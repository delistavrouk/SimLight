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y Drive\DELISTAVROU_KONSTANTINOS\2025-07 Journal\_revOf_Fig7table\"/>
    </mc:Choice>
  </mc:AlternateContent>
  <xr:revisionPtr revIDLastSave="0" documentId="13_ncr:1_{4C8F30E2-C612-4C07-864C-0AFD2365B7BB}" xr6:coauthVersionLast="47" xr6:coauthVersionMax="47" xr10:uidLastSave="{00000000-0000-0000-0000-000000000000}"/>
  <bookViews>
    <workbookView xWindow="-120" yWindow="-120" windowWidth="29040" windowHeight="15840" activeTab="5" xr2:uid="{5A6A3284-36D5-4FD0-93EB-D7D1A2E58368}"/>
  </bookViews>
  <sheets>
    <sheet name="Sheet3" sheetId="4" r:id="rId1"/>
    <sheet name="Sheet2" sheetId="3" r:id="rId2"/>
    <sheet name="ourPower" sheetId="1" r:id="rId3"/>
    <sheet name="stPower" sheetId="2" r:id="rId4"/>
    <sheet name="sideBYside" sheetId="5" r:id="rId5"/>
    <sheet name="Sheet1" sheetId="6" r:id="rId6"/>
  </sheet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6" l="1"/>
  <c r="J4" i="6" a="1"/>
  <c r="J4" i="6" s="1"/>
  <c r="X10" i="6"/>
  <c r="X9" i="6" a="1"/>
  <c r="X9" i="6" s="1"/>
  <c r="I20" i="6" a="1"/>
  <c r="I20" i="6" s="1"/>
  <c r="I10" i="6"/>
  <c r="I9" i="6" a="1"/>
  <c r="I9" i="6" s="1"/>
  <c r="Y36" i="6"/>
  <c r="Y34" i="6"/>
  <c r="Y32" i="6"/>
  <c r="P36" i="6" a="1"/>
  <c r="P36" i="6" s="1"/>
  <c r="P34" i="6" a="1"/>
  <c r="P34" i="6" s="1"/>
  <c r="P32" i="6" a="1"/>
  <c r="P32" i="6" s="1"/>
  <c r="A36" i="6" a="1"/>
  <c r="A36" i="6" s="1"/>
  <c r="J36" i="6" s="1"/>
  <c r="A34" i="6" a="1"/>
  <c r="A34" i="6" s="1"/>
  <c r="J34" i="6" s="1"/>
  <c r="A32" i="6" a="1"/>
  <c r="A32" i="6" s="1"/>
  <c r="J32" i="6" s="1"/>
  <c r="R29" i="6"/>
  <c r="R28" i="6"/>
  <c r="R27" i="6"/>
  <c r="R26" i="6"/>
  <c r="R25" i="6"/>
  <c r="R24" i="6"/>
  <c r="R19" i="6"/>
  <c r="R18" i="6"/>
  <c r="R17" i="6"/>
  <c r="R16" i="6"/>
  <c r="R15" i="6"/>
  <c r="R14" i="6"/>
  <c r="R9" i="6"/>
  <c r="R8" i="6"/>
  <c r="R7" i="6"/>
  <c r="R6" i="6"/>
  <c r="R5" i="6"/>
  <c r="R4" i="6"/>
  <c r="C29" i="6"/>
  <c r="C28" i="6"/>
  <c r="C27" i="6"/>
  <c r="C26" i="6"/>
  <c r="C25" i="6"/>
  <c r="C24" i="6"/>
  <c r="C19" i="6"/>
  <c r="C18" i="6"/>
  <c r="C17" i="6"/>
  <c r="C16" i="6"/>
  <c r="C15" i="6"/>
  <c r="C14" i="6"/>
  <c r="C9" i="6"/>
  <c r="C8" i="6"/>
  <c r="C7" i="6"/>
  <c r="C6" i="6"/>
  <c r="C5" i="6"/>
  <c r="C4" i="6"/>
  <c r="X29" i="6"/>
  <c r="X28" i="6"/>
  <c r="X27" i="6"/>
  <c r="X26" i="6"/>
  <c r="X25" i="6"/>
  <c r="X24" i="6"/>
  <c r="X19" i="6"/>
  <c r="X18" i="6"/>
  <c r="X17" i="6"/>
  <c r="X16" i="6"/>
  <c r="X15" i="6"/>
  <c r="X14" i="6"/>
  <c r="X8" i="6"/>
  <c r="X7" i="6"/>
  <c r="X6" i="6"/>
  <c r="X5" i="6"/>
  <c r="X4" i="6"/>
  <c r="I29" i="6"/>
  <c r="I28" i="6"/>
  <c r="I27" i="6"/>
  <c r="I26" i="6"/>
  <c r="I25" i="6"/>
  <c r="I24" i="6"/>
  <c r="I19" i="6"/>
  <c r="I18" i="6"/>
  <c r="I17" i="6"/>
  <c r="I16" i="6"/>
  <c r="I15" i="6"/>
  <c r="I14" i="6"/>
  <c r="I8" i="6"/>
  <c r="I7" i="6"/>
  <c r="I6" i="6"/>
  <c r="I5" i="6"/>
  <c r="I4" i="6"/>
  <c r="H3602" i="5" l="1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H3589" i="5"/>
  <c r="H3588" i="5"/>
  <c r="H3587" i="5"/>
  <c r="H3586" i="5"/>
  <c r="H3585" i="5"/>
  <c r="H3584" i="5"/>
  <c r="H3583" i="5"/>
  <c r="H3582" i="5"/>
  <c r="H3581" i="5"/>
  <c r="H3580" i="5"/>
  <c r="H3579" i="5"/>
  <c r="H3578" i="5"/>
  <c r="H3577" i="5"/>
  <c r="H3576" i="5"/>
  <c r="H3575" i="5"/>
  <c r="H3574" i="5"/>
  <c r="H3573" i="5"/>
  <c r="H3572" i="5"/>
  <c r="H3571" i="5"/>
  <c r="H3570" i="5"/>
  <c r="H3569" i="5"/>
  <c r="H3568" i="5"/>
  <c r="H3567" i="5"/>
  <c r="H3566" i="5"/>
  <c r="H3565" i="5"/>
  <c r="H3564" i="5"/>
  <c r="H3563" i="5"/>
  <c r="H3562" i="5"/>
  <c r="H3561" i="5"/>
  <c r="H3560" i="5"/>
  <c r="H3559" i="5"/>
  <c r="H3558" i="5"/>
  <c r="H3557" i="5"/>
  <c r="H3556" i="5"/>
  <c r="H3555" i="5"/>
  <c r="H3554" i="5"/>
  <c r="H3553" i="5"/>
  <c r="H3552" i="5"/>
  <c r="H3551" i="5"/>
  <c r="H3550" i="5"/>
  <c r="H3549" i="5"/>
  <c r="H3548" i="5"/>
  <c r="H3547" i="5"/>
  <c r="H3546" i="5"/>
  <c r="H3545" i="5"/>
  <c r="H3544" i="5"/>
  <c r="H3543" i="5"/>
  <c r="H3542" i="5"/>
  <c r="H3541" i="5"/>
  <c r="H3540" i="5"/>
  <c r="H3539" i="5"/>
  <c r="H3538" i="5"/>
  <c r="H3537" i="5"/>
  <c r="H3536" i="5"/>
  <c r="H3535" i="5"/>
  <c r="H3534" i="5"/>
  <c r="H3533" i="5"/>
  <c r="H3532" i="5"/>
  <c r="H3531" i="5"/>
  <c r="H3530" i="5"/>
  <c r="H3529" i="5"/>
  <c r="H3528" i="5"/>
  <c r="H3527" i="5"/>
  <c r="H3526" i="5"/>
  <c r="H3525" i="5"/>
  <c r="H3524" i="5"/>
  <c r="H3523" i="5"/>
  <c r="H3522" i="5"/>
  <c r="H3521" i="5"/>
  <c r="H3520" i="5"/>
  <c r="H3519" i="5"/>
  <c r="H3518" i="5"/>
  <c r="H3517" i="5"/>
  <c r="H3516" i="5"/>
  <c r="H3515" i="5"/>
  <c r="H3514" i="5"/>
  <c r="H3513" i="5"/>
  <c r="H3512" i="5"/>
  <c r="H3511" i="5"/>
  <c r="H3510" i="5"/>
  <c r="H3509" i="5"/>
  <c r="H3508" i="5"/>
  <c r="H3507" i="5"/>
  <c r="H3506" i="5"/>
  <c r="H3505" i="5"/>
  <c r="H3504" i="5"/>
  <c r="H3503" i="5"/>
  <c r="H3502" i="5"/>
  <c r="H3501" i="5"/>
  <c r="H3500" i="5"/>
  <c r="H3499" i="5"/>
  <c r="H3498" i="5"/>
  <c r="H3497" i="5"/>
  <c r="H3496" i="5"/>
  <c r="H3495" i="5"/>
  <c r="H3494" i="5"/>
  <c r="H3493" i="5"/>
  <c r="H3492" i="5"/>
  <c r="H3491" i="5"/>
  <c r="H3490" i="5"/>
  <c r="H3489" i="5"/>
  <c r="H3488" i="5"/>
  <c r="H3487" i="5"/>
  <c r="H3486" i="5"/>
  <c r="H3485" i="5"/>
  <c r="H3484" i="5"/>
  <c r="H3483" i="5"/>
  <c r="H3482" i="5"/>
  <c r="H3481" i="5"/>
  <c r="H3480" i="5"/>
  <c r="H3479" i="5"/>
  <c r="H3478" i="5"/>
  <c r="H3477" i="5"/>
  <c r="H3476" i="5"/>
  <c r="H3475" i="5"/>
  <c r="H3474" i="5"/>
  <c r="H3473" i="5"/>
  <c r="H3472" i="5"/>
  <c r="H3471" i="5"/>
  <c r="H3470" i="5"/>
  <c r="H3469" i="5"/>
  <c r="H3468" i="5"/>
  <c r="H3467" i="5"/>
  <c r="H3466" i="5"/>
  <c r="H3465" i="5"/>
  <c r="H3464" i="5"/>
  <c r="H3463" i="5"/>
  <c r="H3462" i="5"/>
  <c r="H3461" i="5"/>
  <c r="H3460" i="5"/>
  <c r="H3459" i="5"/>
  <c r="H3458" i="5"/>
  <c r="H3457" i="5"/>
  <c r="H3456" i="5"/>
  <c r="H3455" i="5"/>
  <c r="H3454" i="5"/>
  <c r="H3453" i="5"/>
  <c r="H3452" i="5"/>
  <c r="H3451" i="5"/>
  <c r="H3450" i="5"/>
  <c r="H3449" i="5"/>
  <c r="H3448" i="5"/>
  <c r="H3447" i="5"/>
  <c r="H3446" i="5"/>
  <c r="H3445" i="5"/>
  <c r="H3444" i="5"/>
  <c r="H3443" i="5"/>
  <c r="H3442" i="5"/>
  <c r="H3441" i="5"/>
  <c r="H3440" i="5"/>
  <c r="H3439" i="5"/>
  <c r="H3438" i="5"/>
  <c r="H3437" i="5"/>
  <c r="H3436" i="5"/>
  <c r="H3435" i="5"/>
  <c r="H3434" i="5"/>
  <c r="H3433" i="5"/>
  <c r="H3432" i="5"/>
  <c r="H3431" i="5"/>
  <c r="H3430" i="5"/>
  <c r="H3429" i="5"/>
  <c r="H3428" i="5"/>
  <c r="H3427" i="5"/>
  <c r="H3426" i="5"/>
  <c r="H3425" i="5"/>
  <c r="H3424" i="5"/>
  <c r="H3423" i="5"/>
  <c r="H3422" i="5"/>
  <c r="H3421" i="5"/>
  <c r="H3420" i="5"/>
  <c r="H3419" i="5"/>
  <c r="H3418" i="5"/>
  <c r="H3417" i="5"/>
  <c r="H3416" i="5"/>
  <c r="H3415" i="5"/>
  <c r="H3414" i="5"/>
  <c r="H3413" i="5"/>
  <c r="H3412" i="5"/>
  <c r="H3411" i="5"/>
  <c r="H3410" i="5"/>
  <c r="H3409" i="5"/>
  <c r="H3408" i="5"/>
  <c r="H3407" i="5"/>
  <c r="H3406" i="5"/>
  <c r="H3405" i="5"/>
  <c r="H3404" i="5"/>
  <c r="H3403" i="5"/>
  <c r="H3402" i="5"/>
  <c r="H3401" i="5"/>
  <c r="H3400" i="5"/>
  <c r="H3399" i="5"/>
  <c r="H3398" i="5"/>
  <c r="H3397" i="5"/>
  <c r="H3396" i="5"/>
  <c r="H3395" i="5"/>
  <c r="H3394" i="5"/>
  <c r="H3393" i="5"/>
  <c r="H3392" i="5"/>
  <c r="H3391" i="5"/>
  <c r="H3390" i="5"/>
  <c r="H3389" i="5"/>
  <c r="H3388" i="5"/>
  <c r="H3387" i="5"/>
  <c r="H3386" i="5"/>
  <c r="H3385" i="5"/>
  <c r="H3384" i="5"/>
  <c r="H3383" i="5"/>
  <c r="H3382" i="5"/>
  <c r="H3381" i="5"/>
  <c r="H3380" i="5"/>
  <c r="H3379" i="5"/>
  <c r="H3378" i="5"/>
  <c r="H3377" i="5"/>
  <c r="H3376" i="5"/>
  <c r="H3375" i="5"/>
  <c r="H3374" i="5"/>
  <c r="H3373" i="5"/>
  <c r="H3372" i="5"/>
  <c r="H3371" i="5"/>
  <c r="H3370" i="5"/>
  <c r="H3369" i="5"/>
  <c r="H3368" i="5"/>
  <c r="H3367" i="5"/>
  <c r="H3366" i="5"/>
  <c r="H3365" i="5"/>
  <c r="H3364" i="5"/>
  <c r="H3363" i="5"/>
  <c r="H3362" i="5"/>
  <c r="H3361" i="5"/>
  <c r="H3360" i="5"/>
  <c r="H3359" i="5"/>
  <c r="H3358" i="5"/>
  <c r="H3357" i="5"/>
  <c r="H3356" i="5"/>
  <c r="H3355" i="5"/>
  <c r="H3354" i="5"/>
  <c r="H3353" i="5"/>
  <c r="H3352" i="5"/>
  <c r="H3351" i="5"/>
  <c r="H3350" i="5"/>
  <c r="H3349" i="5"/>
  <c r="H3348" i="5"/>
  <c r="H3347" i="5"/>
  <c r="H3346" i="5"/>
  <c r="H3345" i="5"/>
  <c r="H3344" i="5"/>
  <c r="H3343" i="5"/>
  <c r="H3342" i="5"/>
  <c r="H3341" i="5"/>
  <c r="H3340" i="5"/>
  <c r="H3339" i="5"/>
  <c r="H3338" i="5"/>
  <c r="H3337" i="5"/>
  <c r="H3336" i="5"/>
  <c r="H3335" i="5"/>
  <c r="H3334" i="5"/>
  <c r="H3333" i="5"/>
  <c r="H3332" i="5"/>
  <c r="H3331" i="5"/>
  <c r="H3330" i="5"/>
  <c r="H3329" i="5"/>
  <c r="H3328" i="5"/>
  <c r="H3327" i="5"/>
  <c r="H3326" i="5"/>
  <c r="H3325" i="5"/>
  <c r="H3324" i="5"/>
  <c r="H3323" i="5"/>
  <c r="H3322" i="5"/>
  <c r="H3321" i="5"/>
  <c r="H3320" i="5"/>
  <c r="H3319" i="5"/>
  <c r="H3318" i="5"/>
  <c r="H3317" i="5"/>
  <c r="H3316" i="5"/>
  <c r="H3315" i="5"/>
  <c r="H3314" i="5"/>
  <c r="H3313" i="5"/>
  <c r="H3312" i="5"/>
  <c r="H3311" i="5"/>
  <c r="H3310" i="5"/>
  <c r="H3309" i="5"/>
  <c r="H3308" i="5"/>
  <c r="H3307" i="5"/>
  <c r="H3306" i="5"/>
  <c r="H3305" i="5"/>
  <c r="H3304" i="5"/>
  <c r="H3303" i="5"/>
  <c r="H3302" i="5"/>
  <c r="H3301" i="5"/>
  <c r="H3300" i="5"/>
  <c r="H3299" i="5"/>
  <c r="H3298" i="5"/>
  <c r="H3297" i="5"/>
  <c r="H3296" i="5"/>
  <c r="H3295" i="5"/>
  <c r="H3294" i="5"/>
  <c r="H3293" i="5"/>
  <c r="H3292" i="5"/>
  <c r="H3291" i="5"/>
  <c r="H3290" i="5"/>
  <c r="H3289" i="5"/>
  <c r="H3288" i="5"/>
  <c r="H3287" i="5"/>
  <c r="H3286" i="5"/>
  <c r="H3285" i="5"/>
  <c r="H3284" i="5"/>
  <c r="H3283" i="5"/>
  <c r="H3282" i="5"/>
  <c r="H3281" i="5"/>
  <c r="H3280" i="5"/>
  <c r="H3279" i="5"/>
  <c r="H3278" i="5"/>
  <c r="H3277" i="5"/>
  <c r="H3276" i="5"/>
  <c r="H3275" i="5"/>
  <c r="H3274" i="5"/>
  <c r="H3273" i="5"/>
  <c r="H3272" i="5"/>
  <c r="H3271" i="5"/>
  <c r="H3270" i="5"/>
  <c r="H3269" i="5"/>
  <c r="H3268" i="5"/>
  <c r="H3267" i="5"/>
  <c r="H3266" i="5"/>
  <c r="H3265" i="5"/>
  <c r="H3264" i="5"/>
  <c r="H3263" i="5"/>
  <c r="H3262" i="5"/>
  <c r="H3261" i="5"/>
  <c r="H3260" i="5"/>
  <c r="H3259" i="5"/>
  <c r="H3258" i="5"/>
  <c r="H3257" i="5"/>
  <c r="H3256" i="5"/>
  <c r="H3255" i="5"/>
  <c r="H3254" i="5"/>
  <c r="H3253" i="5"/>
  <c r="H3252" i="5"/>
  <c r="H3251" i="5"/>
  <c r="H3250" i="5"/>
  <c r="H3249" i="5"/>
  <c r="H3248" i="5"/>
  <c r="H3247" i="5"/>
  <c r="H3246" i="5"/>
  <c r="H3245" i="5"/>
  <c r="H3244" i="5"/>
  <c r="H3243" i="5"/>
  <c r="H3242" i="5"/>
  <c r="H3241" i="5"/>
  <c r="H3240" i="5"/>
  <c r="H3239" i="5"/>
  <c r="H3238" i="5"/>
  <c r="H3237" i="5"/>
  <c r="H3236" i="5"/>
  <c r="H3235" i="5"/>
  <c r="H3234" i="5"/>
  <c r="H3233" i="5"/>
  <c r="H3232" i="5"/>
  <c r="H3231" i="5"/>
  <c r="H3230" i="5"/>
  <c r="H3229" i="5"/>
  <c r="H3228" i="5"/>
  <c r="H3227" i="5"/>
  <c r="H3226" i="5"/>
  <c r="H3225" i="5"/>
  <c r="H3224" i="5"/>
  <c r="H3223" i="5"/>
  <c r="H3222" i="5"/>
  <c r="H3221" i="5"/>
  <c r="H3220" i="5"/>
  <c r="H3219" i="5"/>
  <c r="H3218" i="5"/>
  <c r="H3217" i="5"/>
  <c r="H3216" i="5"/>
  <c r="H3215" i="5"/>
  <c r="H3214" i="5"/>
  <c r="H3213" i="5"/>
  <c r="H3212" i="5"/>
  <c r="H3211" i="5"/>
  <c r="H3210" i="5"/>
  <c r="H3209" i="5"/>
  <c r="H3208" i="5"/>
  <c r="H3207" i="5"/>
  <c r="H3206" i="5"/>
  <c r="H3205" i="5"/>
  <c r="H3204" i="5"/>
  <c r="H3203" i="5"/>
  <c r="H3202" i="5"/>
  <c r="H3201" i="5"/>
  <c r="H3200" i="5"/>
  <c r="H3199" i="5"/>
  <c r="H3198" i="5"/>
  <c r="H3197" i="5"/>
  <c r="H3196" i="5"/>
  <c r="H3195" i="5"/>
  <c r="H3194" i="5"/>
  <c r="H3193" i="5"/>
  <c r="H3192" i="5"/>
  <c r="H3191" i="5"/>
  <c r="H3190" i="5"/>
  <c r="H3189" i="5"/>
  <c r="H3188" i="5"/>
  <c r="H3187" i="5"/>
  <c r="H3186" i="5"/>
  <c r="H3185" i="5"/>
  <c r="H3184" i="5"/>
  <c r="H3183" i="5"/>
  <c r="H3182" i="5"/>
  <c r="H3181" i="5"/>
  <c r="H3180" i="5"/>
  <c r="H3179" i="5"/>
  <c r="H3178" i="5"/>
  <c r="H3177" i="5"/>
  <c r="H3176" i="5"/>
  <c r="H3175" i="5"/>
  <c r="H3174" i="5"/>
  <c r="H3173" i="5"/>
  <c r="H3172" i="5"/>
  <c r="H3171" i="5"/>
  <c r="H3170" i="5"/>
  <c r="H3169" i="5"/>
  <c r="H3168" i="5"/>
  <c r="H3167" i="5"/>
  <c r="H3166" i="5"/>
  <c r="H3165" i="5"/>
  <c r="H3164" i="5"/>
  <c r="H3163" i="5"/>
  <c r="H3162" i="5"/>
  <c r="H3161" i="5"/>
  <c r="H3160" i="5"/>
  <c r="H3159" i="5"/>
  <c r="H3158" i="5"/>
  <c r="H3157" i="5"/>
  <c r="H3156" i="5"/>
  <c r="H3155" i="5"/>
  <c r="H3154" i="5"/>
  <c r="H3153" i="5"/>
  <c r="H3152" i="5"/>
  <c r="H3151" i="5"/>
  <c r="H3150" i="5"/>
  <c r="H3149" i="5"/>
  <c r="H3148" i="5"/>
  <c r="H3147" i="5"/>
  <c r="H3146" i="5"/>
  <c r="H3145" i="5"/>
  <c r="H3144" i="5"/>
  <c r="H3143" i="5"/>
  <c r="H3142" i="5"/>
  <c r="H3141" i="5"/>
  <c r="H3140" i="5"/>
  <c r="H3139" i="5"/>
  <c r="H3138" i="5"/>
  <c r="H3137" i="5"/>
  <c r="H3136" i="5"/>
  <c r="H3135" i="5"/>
  <c r="H3134" i="5"/>
  <c r="H3133" i="5"/>
  <c r="H3132" i="5"/>
  <c r="H3131" i="5"/>
  <c r="H3130" i="5"/>
  <c r="H3129" i="5"/>
  <c r="H3128" i="5"/>
  <c r="H3127" i="5"/>
  <c r="H3126" i="5"/>
  <c r="H3125" i="5"/>
  <c r="H3124" i="5"/>
  <c r="H3123" i="5"/>
  <c r="H3122" i="5"/>
  <c r="H3121" i="5"/>
  <c r="H3120" i="5"/>
  <c r="H3119" i="5"/>
  <c r="H3118" i="5"/>
  <c r="H3117" i="5"/>
  <c r="H3116" i="5"/>
  <c r="H3115" i="5"/>
  <c r="H3114" i="5"/>
  <c r="H3113" i="5"/>
  <c r="H3112" i="5"/>
  <c r="H3111" i="5"/>
  <c r="H3110" i="5"/>
  <c r="H3109" i="5"/>
  <c r="H3108" i="5"/>
  <c r="H3107" i="5"/>
  <c r="H3106" i="5"/>
  <c r="H3105" i="5"/>
  <c r="H3104" i="5"/>
  <c r="H3103" i="5"/>
  <c r="H3102" i="5"/>
  <c r="H3101" i="5"/>
  <c r="H3100" i="5"/>
  <c r="H3099" i="5"/>
  <c r="H3098" i="5"/>
  <c r="H3097" i="5"/>
  <c r="H3096" i="5"/>
  <c r="H3095" i="5"/>
  <c r="H3094" i="5"/>
  <c r="H3093" i="5"/>
  <c r="H3092" i="5"/>
  <c r="H3091" i="5"/>
  <c r="H3090" i="5"/>
  <c r="H3089" i="5"/>
  <c r="H3088" i="5"/>
  <c r="H3087" i="5"/>
  <c r="H3086" i="5"/>
  <c r="H3085" i="5"/>
  <c r="H3084" i="5"/>
  <c r="H3083" i="5"/>
  <c r="H3082" i="5"/>
  <c r="H3081" i="5"/>
  <c r="H3080" i="5"/>
  <c r="H3079" i="5"/>
  <c r="H3078" i="5"/>
  <c r="H3077" i="5"/>
  <c r="H3076" i="5"/>
  <c r="H3075" i="5"/>
  <c r="H3074" i="5"/>
  <c r="H3073" i="5"/>
  <c r="H3072" i="5"/>
  <c r="H3071" i="5"/>
  <c r="H3070" i="5"/>
  <c r="H3069" i="5"/>
  <c r="H3068" i="5"/>
  <c r="H3067" i="5"/>
  <c r="H3066" i="5"/>
  <c r="H3065" i="5"/>
  <c r="H3064" i="5"/>
  <c r="H3063" i="5"/>
  <c r="H3062" i="5"/>
  <c r="H3061" i="5"/>
  <c r="H3060" i="5"/>
  <c r="H3059" i="5"/>
  <c r="H3058" i="5"/>
  <c r="H3057" i="5"/>
  <c r="H3056" i="5"/>
  <c r="H3055" i="5"/>
  <c r="H3054" i="5"/>
  <c r="H3053" i="5"/>
  <c r="H3052" i="5"/>
  <c r="H3051" i="5"/>
  <c r="H3050" i="5"/>
  <c r="H3049" i="5"/>
  <c r="H3048" i="5"/>
  <c r="H3047" i="5"/>
  <c r="H3046" i="5"/>
  <c r="H3045" i="5"/>
  <c r="H3044" i="5"/>
  <c r="H3043" i="5"/>
  <c r="H3042" i="5"/>
  <c r="H3041" i="5"/>
  <c r="H3040" i="5"/>
  <c r="H3039" i="5"/>
  <c r="H3038" i="5"/>
  <c r="H3037" i="5"/>
  <c r="H3036" i="5"/>
  <c r="H3035" i="5"/>
  <c r="H3034" i="5"/>
  <c r="H3033" i="5"/>
  <c r="H3032" i="5"/>
  <c r="H3031" i="5"/>
  <c r="H3030" i="5"/>
  <c r="H3029" i="5"/>
  <c r="H3028" i="5"/>
  <c r="H3027" i="5"/>
  <c r="H3026" i="5"/>
  <c r="H3025" i="5"/>
  <c r="H3024" i="5"/>
  <c r="H3023" i="5"/>
  <c r="H3022" i="5"/>
  <c r="H3021" i="5"/>
  <c r="H3020" i="5"/>
  <c r="H3019" i="5"/>
  <c r="H3018" i="5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1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8" i="5"/>
  <c r="H2977" i="5"/>
  <c r="H2976" i="5"/>
  <c r="H2975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G847" i="5" l="1"/>
  <c r="G719" i="5"/>
  <c r="G591" i="5"/>
  <c r="G463" i="5"/>
  <c r="G250" i="5"/>
  <c r="G174" i="5"/>
  <c r="G142" i="5"/>
  <c r="G94" i="5"/>
  <c r="G30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A3602" i="5"/>
  <c r="A3601" i="5"/>
  <c r="A3600" i="5"/>
  <c r="A3599" i="5"/>
  <c r="A3598" i="5"/>
  <c r="A3597" i="5"/>
  <c r="A3596" i="5"/>
  <c r="A3595" i="5"/>
  <c r="A3594" i="5"/>
  <c r="A3593" i="5"/>
  <c r="A3592" i="5"/>
  <c r="A3591" i="5"/>
  <c r="A3590" i="5"/>
  <c r="A3589" i="5"/>
  <c r="A3588" i="5"/>
  <c r="A3587" i="5"/>
  <c r="A3586" i="5"/>
  <c r="A3585" i="5"/>
  <c r="A3584" i="5"/>
  <c r="A3583" i="5"/>
  <c r="A3582" i="5"/>
  <c r="A3581" i="5"/>
  <c r="A3580" i="5"/>
  <c r="A3579" i="5"/>
  <c r="A3578" i="5"/>
  <c r="A3577" i="5"/>
  <c r="A3576" i="5"/>
  <c r="A3575" i="5"/>
  <c r="A3574" i="5"/>
  <c r="A3573" i="5"/>
  <c r="A3572" i="5"/>
  <c r="A3571" i="5"/>
  <c r="A3570" i="5"/>
  <c r="A3569" i="5"/>
  <c r="A3568" i="5"/>
  <c r="A3567" i="5"/>
  <c r="A3566" i="5"/>
  <c r="A3565" i="5"/>
  <c r="A3564" i="5"/>
  <c r="A3563" i="5"/>
  <c r="A3562" i="5"/>
  <c r="A3561" i="5"/>
  <c r="A3560" i="5"/>
  <c r="A3559" i="5"/>
  <c r="A3558" i="5"/>
  <c r="A3557" i="5"/>
  <c r="A3556" i="5"/>
  <c r="A3555" i="5"/>
  <c r="A3554" i="5"/>
  <c r="A3553" i="5"/>
  <c r="A3552" i="5"/>
  <c r="A3551" i="5"/>
  <c r="A3550" i="5"/>
  <c r="A3549" i="5"/>
  <c r="A3548" i="5"/>
  <c r="A3547" i="5"/>
  <c r="A3546" i="5"/>
  <c r="A3545" i="5"/>
  <c r="A3544" i="5"/>
  <c r="A3543" i="5"/>
  <c r="A3542" i="5"/>
  <c r="A3541" i="5"/>
  <c r="A3540" i="5"/>
  <c r="A3539" i="5"/>
  <c r="A3538" i="5"/>
  <c r="A3537" i="5"/>
  <c r="A3536" i="5"/>
  <c r="A3535" i="5"/>
  <c r="A3534" i="5"/>
  <c r="A3533" i="5"/>
  <c r="A3532" i="5"/>
  <c r="A3531" i="5"/>
  <c r="A3530" i="5"/>
  <c r="A3529" i="5"/>
  <c r="A3528" i="5"/>
  <c r="A3527" i="5"/>
  <c r="A3526" i="5"/>
  <c r="A3525" i="5"/>
  <c r="A3524" i="5"/>
  <c r="A3523" i="5"/>
  <c r="A3522" i="5"/>
  <c r="A3521" i="5"/>
  <c r="A3520" i="5"/>
  <c r="A3519" i="5"/>
  <c r="A3518" i="5"/>
  <c r="A3517" i="5"/>
  <c r="A3516" i="5"/>
  <c r="A3515" i="5"/>
  <c r="A3514" i="5"/>
  <c r="A3513" i="5"/>
  <c r="A3512" i="5"/>
  <c r="A3511" i="5"/>
  <c r="A3510" i="5"/>
  <c r="A3509" i="5"/>
  <c r="A3508" i="5"/>
  <c r="A3507" i="5"/>
  <c r="A3506" i="5"/>
  <c r="A3505" i="5"/>
  <c r="A3504" i="5"/>
  <c r="A3503" i="5"/>
  <c r="A3502" i="5"/>
  <c r="A3501" i="5"/>
  <c r="A3500" i="5"/>
  <c r="A3499" i="5"/>
  <c r="A3498" i="5"/>
  <c r="A3497" i="5"/>
  <c r="A3496" i="5"/>
  <c r="A3495" i="5"/>
  <c r="A3494" i="5"/>
  <c r="A3493" i="5"/>
  <c r="A3492" i="5"/>
  <c r="A3491" i="5"/>
  <c r="A3490" i="5"/>
  <c r="A3489" i="5"/>
  <c r="A3488" i="5"/>
  <c r="A3487" i="5"/>
  <c r="A3486" i="5"/>
  <c r="A3485" i="5"/>
  <c r="A3484" i="5"/>
  <c r="A3483" i="5"/>
  <c r="A3482" i="5"/>
  <c r="A3481" i="5"/>
  <c r="A3480" i="5"/>
  <c r="A3479" i="5"/>
  <c r="A3478" i="5"/>
  <c r="A3477" i="5"/>
  <c r="A3476" i="5"/>
  <c r="A3475" i="5"/>
  <c r="A3474" i="5"/>
  <c r="A3473" i="5"/>
  <c r="A3472" i="5"/>
  <c r="A3471" i="5"/>
  <c r="A3470" i="5"/>
  <c r="A3469" i="5"/>
  <c r="A3468" i="5"/>
  <c r="A3467" i="5"/>
  <c r="A3466" i="5"/>
  <c r="A3465" i="5"/>
  <c r="A3464" i="5"/>
  <c r="A3463" i="5"/>
  <c r="A3462" i="5"/>
  <c r="A3461" i="5"/>
  <c r="A3460" i="5"/>
  <c r="A3459" i="5"/>
  <c r="A3458" i="5"/>
  <c r="A3457" i="5"/>
  <c r="A3456" i="5"/>
  <c r="A3455" i="5"/>
  <c r="A3454" i="5"/>
  <c r="A3453" i="5"/>
  <c r="A3452" i="5"/>
  <c r="A3451" i="5"/>
  <c r="A3450" i="5"/>
  <c r="A3449" i="5"/>
  <c r="A3448" i="5"/>
  <c r="A3447" i="5"/>
  <c r="A3446" i="5"/>
  <c r="A3445" i="5"/>
  <c r="A3444" i="5"/>
  <c r="A3443" i="5"/>
  <c r="A3442" i="5"/>
  <c r="A3441" i="5"/>
  <c r="A3440" i="5"/>
  <c r="A3439" i="5"/>
  <c r="A3438" i="5"/>
  <c r="A3437" i="5"/>
  <c r="A3436" i="5"/>
  <c r="A3435" i="5"/>
  <c r="A3434" i="5"/>
  <c r="A3433" i="5"/>
  <c r="A3432" i="5"/>
  <c r="A3431" i="5"/>
  <c r="A3430" i="5"/>
  <c r="A3429" i="5"/>
  <c r="A3428" i="5"/>
  <c r="A3427" i="5"/>
  <c r="A3426" i="5"/>
  <c r="A3425" i="5"/>
  <c r="A3424" i="5"/>
  <c r="A3423" i="5"/>
  <c r="A3422" i="5"/>
  <c r="A3421" i="5"/>
  <c r="A3420" i="5"/>
  <c r="A3419" i="5"/>
  <c r="A3418" i="5"/>
  <c r="A3417" i="5"/>
  <c r="A3416" i="5"/>
  <c r="A3415" i="5"/>
  <c r="A3414" i="5"/>
  <c r="A3413" i="5"/>
  <c r="A3412" i="5"/>
  <c r="A3411" i="5"/>
  <c r="A3410" i="5"/>
  <c r="A3409" i="5"/>
  <c r="A3408" i="5"/>
  <c r="A3407" i="5"/>
  <c r="A3406" i="5"/>
  <c r="A3405" i="5"/>
  <c r="A3404" i="5"/>
  <c r="A3403" i="5"/>
  <c r="A3402" i="5"/>
  <c r="A3401" i="5"/>
  <c r="A3400" i="5"/>
  <c r="A3399" i="5"/>
  <c r="A3398" i="5"/>
  <c r="A3397" i="5"/>
  <c r="A3396" i="5"/>
  <c r="A3395" i="5"/>
  <c r="A3394" i="5"/>
  <c r="A3393" i="5"/>
  <c r="A3392" i="5"/>
  <c r="A3391" i="5"/>
  <c r="A3390" i="5"/>
  <c r="A3389" i="5"/>
  <c r="A3388" i="5"/>
  <c r="A3387" i="5"/>
  <c r="A3386" i="5"/>
  <c r="A3385" i="5"/>
  <c r="A3384" i="5"/>
  <c r="A3383" i="5"/>
  <c r="A3382" i="5"/>
  <c r="A3381" i="5"/>
  <c r="A3380" i="5"/>
  <c r="A3379" i="5"/>
  <c r="A3378" i="5"/>
  <c r="A3377" i="5"/>
  <c r="A3376" i="5"/>
  <c r="A3375" i="5"/>
  <c r="A3374" i="5"/>
  <c r="A3373" i="5"/>
  <c r="A3372" i="5"/>
  <c r="A3371" i="5"/>
  <c r="A3370" i="5"/>
  <c r="A3369" i="5"/>
  <c r="A3368" i="5"/>
  <c r="A3367" i="5"/>
  <c r="A3366" i="5"/>
  <c r="A3365" i="5"/>
  <c r="A3364" i="5"/>
  <c r="A3363" i="5"/>
  <c r="A3362" i="5"/>
  <c r="A3361" i="5"/>
  <c r="A3360" i="5"/>
  <c r="A3359" i="5"/>
  <c r="A3358" i="5"/>
  <c r="A3357" i="5"/>
  <c r="A3356" i="5"/>
  <c r="A3355" i="5"/>
  <c r="A3354" i="5"/>
  <c r="A3353" i="5"/>
  <c r="A3352" i="5"/>
  <c r="A3351" i="5"/>
  <c r="A3350" i="5"/>
  <c r="A3349" i="5"/>
  <c r="A3348" i="5"/>
  <c r="A3347" i="5"/>
  <c r="A3346" i="5"/>
  <c r="A3345" i="5"/>
  <c r="A3344" i="5"/>
  <c r="A3343" i="5"/>
  <c r="A3342" i="5"/>
  <c r="A3341" i="5"/>
  <c r="A3340" i="5"/>
  <c r="A3339" i="5"/>
  <c r="A3338" i="5"/>
  <c r="A3337" i="5"/>
  <c r="A3336" i="5"/>
  <c r="A3335" i="5"/>
  <c r="A3334" i="5"/>
  <c r="A3333" i="5"/>
  <c r="A3332" i="5"/>
  <c r="A3331" i="5"/>
  <c r="A3330" i="5"/>
  <c r="A3329" i="5"/>
  <c r="A3328" i="5"/>
  <c r="A3327" i="5"/>
  <c r="A3326" i="5"/>
  <c r="A3325" i="5"/>
  <c r="A3324" i="5"/>
  <c r="A3323" i="5"/>
  <c r="A3322" i="5"/>
  <c r="A3321" i="5"/>
  <c r="A3320" i="5"/>
  <c r="A3319" i="5"/>
  <c r="A3318" i="5"/>
  <c r="A3317" i="5"/>
  <c r="A3316" i="5"/>
  <c r="A3315" i="5"/>
  <c r="A3314" i="5"/>
  <c r="A3313" i="5"/>
  <c r="A3312" i="5"/>
  <c r="A3311" i="5"/>
  <c r="A3310" i="5"/>
  <c r="A3309" i="5"/>
  <c r="A3308" i="5"/>
  <c r="A3307" i="5"/>
  <c r="A3306" i="5"/>
  <c r="A3305" i="5"/>
  <c r="A3304" i="5"/>
  <c r="A3303" i="5"/>
  <c r="A3302" i="5"/>
  <c r="A3301" i="5"/>
  <c r="A3300" i="5"/>
  <c r="A3299" i="5"/>
  <c r="A3298" i="5"/>
  <c r="A3297" i="5"/>
  <c r="A3296" i="5"/>
  <c r="A3295" i="5"/>
  <c r="A3294" i="5"/>
  <c r="A3293" i="5"/>
  <c r="A3292" i="5"/>
  <c r="A3291" i="5"/>
  <c r="A3290" i="5"/>
  <c r="A3289" i="5"/>
  <c r="A3288" i="5"/>
  <c r="A3287" i="5"/>
  <c r="A3286" i="5"/>
  <c r="A3285" i="5"/>
  <c r="A3284" i="5"/>
  <c r="A3283" i="5"/>
  <c r="A3282" i="5"/>
  <c r="A3281" i="5"/>
  <c r="A3280" i="5"/>
  <c r="A3279" i="5"/>
  <c r="A3278" i="5"/>
  <c r="A3277" i="5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F1007" i="5" s="1"/>
  <c r="G1007" i="5" s="1"/>
  <c r="A1006" i="5"/>
  <c r="A1005" i="5"/>
  <c r="A1004" i="5"/>
  <c r="A1003" i="5"/>
  <c r="F1003" i="5" s="1"/>
  <c r="G1003" i="5" s="1"/>
  <c r="A1002" i="5"/>
  <c r="A1001" i="5"/>
  <c r="A1000" i="5"/>
  <c r="A999" i="5"/>
  <c r="F999" i="5" s="1"/>
  <c r="G999" i="5" s="1"/>
  <c r="A998" i="5"/>
  <c r="A997" i="5"/>
  <c r="A996" i="5"/>
  <c r="A995" i="5"/>
  <c r="F995" i="5" s="1"/>
  <c r="G995" i="5" s="1"/>
  <c r="A994" i="5"/>
  <c r="A993" i="5"/>
  <c r="A992" i="5"/>
  <c r="A991" i="5"/>
  <c r="F991" i="5" s="1"/>
  <c r="G991" i="5" s="1"/>
  <c r="A990" i="5"/>
  <c r="A989" i="5"/>
  <c r="A988" i="5"/>
  <c r="A987" i="5"/>
  <c r="F987" i="5" s="1"/>
  <c r="G987" i="5" s="1"/>
  <c r="A986" i="5"/>
  <c r="A985" i="5"/>
  <c r="A984" i="5"/>
  <c r="A983" i="5"/>
  <c r="F983" i="5" s="1"/>
  <c r="G983" i="5" s="1"/>
  <c r="A982" i="5"/>
  <c r="A981" i="5"/>
  <c r="A980" i="5"/>
  <c r="A979" i="5"/>
  <c r="F979" i="5" s="1"/>
  <c r="G979" i="5" s="1"/>
  <c r="A978" i="5"/>
  <c r="A977" i="5"/>
  <c r="A976" i="5"/>
  <c r="A975" i="5"/>
  <c r="F975" i="5" s="1"/>
  <c r="G975" i="5" s="1"/>
  <c r="A974" i="5"/>
  <c r="A973" i="5"/>
  <c r="A972" i="5"/>
  <c r="A971" i="5"/>
  <c r="F971" i="5" s="1"/>
  <c r="G971" i="5" s="1"/>
  <c r="A970" i="5"/>
  <c r="A969" i="5"/>
  <c r="A968" i="5"/>
  <c r="A967" i="5"/>
  <c r="F967" i="5" s="1"/>
  <c r="G967" i="5" s="1"/>
  <c r="A966" i="5"/>
  <c r="A965" i="5"/>
  <c r="A964" i="5"/>
  <c r="A963" i="5"/>
  <c r="F963" i="5" s="1"/>
  <c r="G963" i="5" s="1"/>
  <c r="A962" i="5"/>
  <c r="A961" i="5"/>
  <c r="A960" i="5"/>
  <c r="A959" i="5"/>
  <c r="F959" i="5" s="1"/>
  <c r="G959" i="5" s="1"/>
  <c r="A958" i="5"/>
  <c r="A957" i="5"/>
  <c r="A956" i="5"/>
  <c r="A955" i="5"/>
  <c r="F955" i="5" s="1"/>
  <c r="G955" i="5" s="1"/>
  <c r="A954" i="5"/>
  <c r="A953" i="5"/>
  <c r="A952" i="5"/>
  <c r="A951" i="5"/>
  <c r="F951" i="5" s="1"/>
  <c r="G951" i="5" s="1"/>
  <c r="A950" i="5"/>
  <c r="A949" i="5"/>
  <c r="A948" i="5"/>
  <c r="A947" i="5"/>
  <c r="F947" i="5" s="1"/>
  <c r="G947" i="5" s="1"/>
  <c r="A946" i="5"/>
  <c r="A945" i="5"/>
  <c r="A944" i="5"/>
  <c r="A943" i="5"/>
  <c r="F943" i="5" s="1"/>
  <c r="G943" i="5" s="1"/>
  <c r="A942" i="5"/>
  <c r="A941" i="5"/>
  <c r="A940" i="5"/>
  <c r="A939" i="5"/>
  <c r="F939" i="5" s="1"/>
  <c r="G939" i="5" s="1"/>
  <c r="A938" i="5"/>
  <c r="A937" i="5"/>
  <c r="A936" i="5"/>
  <c r="A935" i="5"/>
  <c r="F935" i="5" s="1"/>
  <c r="G935" i="5" s="1"/>
  <c r="A934" i="5"/>
  <c r="A933" i="5"/>
  <c r="A932" i="5"/>
  <c r="A931" i="5"/>
  <c r="F931" i="5" s="1"/>
  <c r="G931" i="5" s="1"/>
  <c r="A930" i="5"/>
  <c r="A929" i="5"/>
  <c r="A928" i="5"/>
  <c r="A927" i="5"/>
  <c r="F927" i="5" s="1"/>
  <c r="G927" i="5" s="1"/>
  <c r="A926" i="5"/>
  <c r="A925" i="5"/>
  <c r="A924" i="5"/>
  <c r="A923" i="5"/>
  <c r="F923" i="5" s="1"/>
  <c r="G923" i="5" s="1"/>
  <c r="A922" i="5"/>
  <c r="A921" i="5"/>
  <c r="A920" i="5"/>
  <c r="A919" i="5"/>
  <c r="F919" i="5" s="1"/>
  <c r="G919" i="5" s="1"/>
  <c r="A918" i="5"/>
  <c r="A917" i="5"/>
  <c r="A916" i="5"/>
  <c r="A915" i="5"/>
  <c r="F915" i="5" s="1"/>
  <c r="G915" i="5" s="1"/>
  <c r="A914" i="5"/>
  <c r="A913" i="5"/>
  <c r="A912" i="5"/>
  <c r="A911" i="5"/>
  <c r="F911" i="5" s="1"/>
  <c r="G911" i="5" s="1"/>
  <c r="A910" i="5"/>
  <c r="A909" i="5"/>
  <c r="A908" i="5"/>
  <c r="A907" i="5"/>
  <c r="F907" i="5" s="1"/>
  <c r="G907" i="5" s="1"/>
  <c r="A906" i="5"/>
  <c r="A905" i="5"/>
  <c r="A904" i="5"/>
  <c r="A903" i="5"/>
  <c r="F903" i="5" s="1"/>
  <c r="G903" i="5" s="1"/>
  <c r="A902" i="5"/>
  <c r="A901" i="5"/>
  <c r="A900" i="5"/>
  <c r="A899" i="5"/>
  <c r="F899" i="5" s="1"/>
  <c r="G899" i="5" s="1"/>
  <c r="A898" i="5"/>
  <c r="A897" i="5"/>
  <c r="A896" i="5"/>
  <c r="A895" i="5"/>
  <c r="F895" i="5" s="1"/>
  <c r="G895" i="5" s="1"/>
  <c r="A894" i="5"/>
  <c r="A893" i="5"/>
  <c r="A892" i="5"/>
  <c r="A891" i="5"/>
  <c r="F891" i="5" s="1"/>
  <c r="G891" i="5" s="1"/>
  <c r="A890" i="5"/>
  <c r="A889" i="5"/>
  <c r="A888" i="5"/>
  <c r="A887" i="5"/>
  <c r="F887" i="5" s="1"/>
  <c r="G887" i="5" s="1"/>
  <c r="A886" i="5"/>
  <c r="A885" i="5"/>
  <c r="A884" i="5"/>
  <c r="A883" i="5"/>
  <c r="F883" i="5" s="1"/>
  <c r="G883" i="5" s="1"/>
  <c r="A882" i="5"/>
  <c r="A881" i="5"/>
  <c r="A880" i="5"/>
  <c r="A879" i="5"/>
  <c r="F879" i="5" s="1"/>
  <c r="G879" i="5" s="1"/>
  <c r="A878" i="5"/>
  <c r="A877" i="5"/>
  <c r="A876" i="5"/>
  <c r="A875" i="5"/>
  <c r="F875" i="5" s="1"/>
  <c r="G875" i="5" s="1"/>
  <c r="A874" i="5"/>
  <c r="A873" i="5"/>
  <c r="A872" i="5"/>
  <c r="A871" i="5"/>
  <c r="F871" i="5" s="1"/>
  <c r="G871" i="5" s="1"/>
  <c r="A870" i="5"/>
  <c r="A869" i="5"/>
  <c r="A868" i="5"/>
  <c r="A867" i="5"/>
  <c r="F867" i="5" s="1"/>
  <c r="G867" i="5" s="1"/>
  <c r="A866" i="5"/>
  <c r="A865" i="5"/>
  <c r="A864" i="5"/>
  <c r="A863" i="5"/>
  <c r="F863" i="5" s="1"/>
  <c r="G863" i="5" s="1"/>
  <c r="A862" i="5"/>
  <c r="A861" i="5"/>
  <c r="A860" i="5"/>
  <c r="A859" i="5"/>
  <c r="F859" i="5" s="1"/>
  <c r="G859" i="5" s="1"/>
  <c r="A858" i="5"/>
  <c r="A857" i="5"/>
  <c r="A856" i="5"/>
  <c r="A855" i="5"/>
  <c r="F855" i="5" s="1"/>
  <c r="G855" i="5" s="1"/>
  <c r="A854" i="5"/>
  <c r="A853" i="5"/>
  <c r="A852" i="5"/>
  <c r="A851" i="5"/>
  <c r="F851" i="5" s="1"/>
  <c r="G851" i="5" s="1"/>
  <c r="A850" i="5"/>
  <c r="A849" i="5"/>
  <c r="A848" i="5"/>
  <c r="A847" i="5"/>
  <c r="F847" i="5" s="1"/>
  <c r="A846" i="5"/>
  <c r="A845" i="5"/>
  <c r="A844" i="5"/>
  <c r="A843" i="5"/>
  <c r="F843" i="5" s="1"/>
  <c r="G843" i="5" s="1"/>
  <c r="A842" i="5"/>
  <c r="A841" i="5"/>
  <c r="A840" i="5"/>
  <c r="A839" i="5"/>
  <c r="F839" i="5" s="1"/>
  <c r="G839" i="5" s="1"/>
  <c r="A838" i="5"/>
  <c r="A837" i="5"/>
  <c r="A836" i="5"/>
  <c r="A835" i="5"/>
  <c r="F835" i="5" s="1"/>
  <c r="G835" i="5" s="1"/>
  <c r="A834" i="5"/>
  <c r="A833" i="5"/>
  <c r="A832" i="5"/>
  <c r="A831" i="5"/>
  <c r="F831" i="5" s="1"/>
  <c r="G831" i="5" s="1"/>
  <c r="A830" i="5"/>
  <c r="A829" i="5"/>
  <c r="A828" i="5"/>
  <c r="A827" i="5"/>
  <c r="F827" i="5" s="1"/>
  <c r="G827" i="5" s="1"/>
  <c r="A826" i="5"/>
  <c r="A825" i="5"/>
  <c r="A824" i="5"/>
  <c r="A823" i="5"/>
  <c r="F823" i="5" s="1"/>
  <c r="G823" i="5" s="1"/>
  <c r="A822" i="5"/>
  <c r="A821" i="5"/>
  <c r="A820" i="5"/>
  <c r="A819" i="5"/>
  <c r="F819" i="5" s="1"/>
  <c r="G819" i="5" s="1"/>
  <c r="A818" i="5"/>
  <c r="A817" i="5"/>
  <c r="A816" i="5"/>
  <c r="A815" i="5"/>
  <c r="F815" i="5" s="1"/>
  <c r="G815" i="5" s="1"/>
  <c r="A814" i="5"/>
  <c r="A813" i="5"/>
  <c r="A812" i="5"/>
  <c r="A811" i="5"/>
  <c r="F811" i="5" s="1"/>
  <c r="G811" i="5" s="1"/>
  <c r="A810" i="5"/>
  <c r="A809" i="5"/>
  <c r="A808" i="5"/>
  <c r="A807" i="5"/>
  <c r="F807" i="5" s="1"/>
  <c r="G807" i="5" s="1"/>
  <c r="A806" i="5"/>
  <c r="A805" i="5"/>
  <c r="A804" i="5"/>
  <c r="A803" i="5"/>
  <c r="F803" i="5" s="1"/>
  <c r="G803" i="5" s="1"/>
  <c r="A802" i="5"/>
  <c r="A801" i="5"/>
  <c r="A800" i="5"/>
  <c r="A799" i="5"/>
  <c r="F799" i="5" s="1"/>
  <c r="G799" i="5" s="1"/>
  <c r="A798" i="5"/>
  <c r="A797" i="5"/>
  <c r="A796" i="5"/>
  <c r="A795" i="5"/>
  <c r="F795" i="5" s="1"/>
  <c r="G795" i="5" s="1"/>
  <c r="A794" i="5"/>
  <c r="A793" i="5"/>
  <c r="A792" i="5"/>
  <c r="A791" i="5"/>
  <c r="F791" i="5" s="1"/>
  <c r="G791" i="5" s="1"/>
  <c r="A790" i="5"/>
  <c r="A789" i="5"/>
  <c r="A788" i="5"/>
  <c r="A787" i="5"/>
  <c r="F787" i="5" s="1"/>
  <c r="G787" i="5" s="1"/>
  <c r="A786" i="5"/>
  <c r="A785" i="5"/>
  <c r="A784" i="5"/>
  <c r="A783" i="5"/>
  <c r="F783" i="5" s="1"/>
  <c r="G783" i="5" s="1"/>
  <c r="A782" i="5"/>
  <c r="A781" i="5"/>
  <c r="A780" i="5"/>
  <c r="A779" i="5"/>
  <c r="F779" i="5" s="1"/>
  <c r="G779" i="5" s="1"/>
  <c r="A778" i="5"/>
  <c r="A777" i="5"/>
  <c r="A776" i="5"/>
  <c r="A775" i="5"/>
  <c r="F775" i="5" s="1"/>
  <c r="G775" i="5" s="1"/>
  <c r="A774" i="5"/>
  <c r="A773" i="5"/>
  <c r="A772" i="5"/>
  <c r="A771" i="5"/>
  <c r="F771" i="5" s="1"/>
  <c r="G771" i="5" s="1"/>
  <c r="A770" i="5"/>
  <c r="A769" i="5"/>
  <c r="A768" i="5"/>
  <c r="A767" i="5"/>
  <c r="F767" i="5" s="1"/>
  <c r="G767" i="5" s="1"/>
  <c r="A766" i="5"/>
  <c r="A765" i="5"/>
  <c r="A764" i="5"/>
  <c r="A763" i="5"/>
  <c r="F763" i="5" s="1"/>
  <c r="G763" i="5" s="1"/>
  <c r="A762" i="5"/>
  <c r="A761" i="5"/>
  <c r="A760" i="5"/>
  <c r="A759" i="5"/>
  <c r="F759" i="5" s="1"/>
  <c r="G759" i="5" s="1"/>
  <c r="A758" i="5"/>
  <c r="A757" i="5"/>
  <c r="A756" i="5"/>
  <c r="A755" i="5"/>
  <c r="F755" i="5" s="1"/>
  <c r="G755" i="5" s="1"/>
  <c r="A754" i="5"/>
  <c r="A753" i="5"/>
  <c r="A752" i="5"/>
  <c r="A751" i="5"/>
  <c r="F751" i="5" s="1"/>
  <c r="G751" i="5" s="1"/>
  <c r="A750" i="5"/>
  <c r="A749" i="5"/>
  <c r="A748" i="5"/>
  <c r="A747" i="5"/>
  <c r="F747" i="5" s="1"/>
  <c r="G747" i="5" s="1"/>
  <c r="A746" i="5"/>
  <c r="A745" i="5"/>
  <c r="A744" i="5"/>
  <c r="A743" i="5"/>
  <c r="F743" i="5" s="1"/>
  <c r="G743" i="5" s="1"/>
  <c r="A742" i="5"/>
  <c r="A741" i="5"/>
  <c r="A740" i="5"/>
  <c r="A739" i="5"/>
  <c r="F739" i="5" s="1"/>
  <c r="G739" i="5" s="1"/>
  <c r="A738" i="5"/>
  <c r="A737" i="5"/>
  <c r="A736" i="5"/>
  <c r="A735" i="5"/>
  <c r="F735" i="5" s="1"/>
  <c r="G735" i="5" s="1"/>
  <c r="A734" i="5"/>
  <c r="A733" i="5"/>
  <c r="A732" i="5"/>
  <c r="A731" i="5"/>
  <c r="F731" i="5" s="1"/>
  <c r="G731" i="5" s="1"/>
  <c r="A730" i="5"/>
  <c r="A729" i="5"/>
  <c r="A728" i="5"/>
  <c r="A727" i="5"/>
  <c r="F727" i="5" s="1"/>
  <c r="G727" i="5" s="1"/>
  <c r="A726" i="5"/>
  <c r="A725" i="5"/>
  <c r="A724" i="5"/>
  <c r="A723" i="5"/>
  <c r="F723" i="5" s="1"/>
  <c r="G723" i="5" s="1"/>
  <c r="A722" i="5"/>
  <c r="A721" i="5"/>
  <c r="A720" i="5"/>
  <c r="A719" i="5"/>
  <c r="F719" i="5" s="1"/>
  <c r="A718" i="5"/>
  <c r="A717" i="5"/>
  <c r="A716" i="5"/>
  <c r="A715" i="5"/>
  <c r="F715" i="5" s="1"/>
  <c r="G715" i="5" s="1"/>
  <c r="A714" i="5"/>
  <c r="A713" i="5"/>
  <c r="A712" i="5"/>
  <c r="A711" i="5"/>
  <c r="F711" i="5" s="1"/>
  <c r="G711" i="5" s="1"/>
  <c r="A710" i="5"/>
  <c r="A709" i="5"/>
  <c r="A708" i="5"/>
  <c r="A707" i="5"/>
  <c r="F707" i="5" s="1"/>
  <c r="G707" i="5" s="1"/>
  <c r="A706" i="5"/>
  <c r="A705" i="5"/>
  <c r="A704" i="5"/>
  <c r="A703" i="5"/>
  <c r="F703" i="5" s="1"/>
  <c r="G703" i="5" s="1"/>
  <c r="A702" i="5"/>
  <c r="A701" i="5"/>
  <c r="A700" i="5"/>
  <c r="A699" i="5"/>
  <c r="F699" i="5" s="1"/>
  <c r="G699" i="5" s="1"/>
  <c r="A698" i="5"/>
  <c r="A697" i="5"/>
  <c r="A696" i="5"/>
  <c r="A695" i="5"/>
  <c r="F695" i="5" s="1"/>
  <c r="G695" i="5" s="1"/>
  <c r="A694" i="5"/>
  <c r="A693" i="5"/>
  <c r="A692" i="5"/>
  <c r="A691" i="5"/>
  <c r="F691" i="5" s="1"/>
  <c r="G691" i="5" s="1"/>
  <c r="A690" i="5"/>
  <c r="A689" i="5"/>
  <c r="A688" i="5"/>
  <c r="A687" i="5"/>
  <c r="F687" i="5" s="1"/>
  <c r="G687" i="5" s="1"/>
  <c r="A686" i="5"/>
  <c r="A685" i="5"/>
  <c r="A684" i="5"/>
  <c r="A683" i="5"/>
  <c r="F683" i="5" s="1"/>
  <c r="G683" i="5" s="1"/>
  <c r="A682" i="5"/>
  <c r="A681" i="5"/>
  <c r="A680" i="5"/>
  <c r="A679" i="5"/>
  <c r="F679" i="5" s="1"/>
  <c r="G679" i="5" s="1"/>
  <c r="A678" i="5"/>
  <c r="A677" i="5"/>
  <c r="A676" i="5"/>
  <c r="A675" i="5"/>
  <c r="F675" i="5" s="1"/>
  <c r="G675" i="5" s="1"/>
  <c r="A674" i="5"/>
  <c r="A673" i="5"/>
  <c r="A672" i="5"/>
  <c r="A671" i="5"/>
  <c r="F671" i="5" s="1"/>
  <c r="G671" i="5" s="1"/>
  <c r="A670" i="5"/>
  <c r="A669" i="5"/>
  <c r="A668" i="5"/>
  <c r="A667" i="5"/>
  <c r="F667" i="5" s="1"/>
  <c r="G667" i="5" s="1"/>
  <c r="A666" i="5"/>
  <c r="A665" i="5"/>
  <c r="A664" i="5"/>
  <c r="A663" i="5"/>
  <c r="F663" i="5" s="1"/>
  <c r="G663" i="5" s="1"/>
  <c r="A662" i="5"/>
  <c r="A661" i="5"/>
  <c r="A660" i="5"/>
  <c r="A659" i="5"/>
  <c r="F659" i="5" s="1"/>
  <c r="G659" i="5" s="1"/>
  <c r="A658" i="5"/>
  <c r="A657" i="5"/>
  <c r="A656" i="5"/>
  <c r="A655" i="5"/>
  <c r="F655" i="5" s="1"/>
  <c r="G655" i="5" s="1"/>
  <c r="A654" i="5"/>
  <c r="A653" i="5"/>
  <c r="A652" i="5"/>
  <c r="A651" i="5"/>
  <c r="F651" i="5" s="1"/>
  <c r="G651" i="5" s="1"/>
  <c r="A650" i="5"/>
  <c r="A649" i="5"/>
  <c r="A648" i="5"/>
  <c r="A647" i="5"/>
  <c r="F647" i="5" s="1"/>
  <c r="G647" i="5" s="1"/>
  <c r="A646" i="5"/>
  <c r="A645" i="5"/>
  <c r="A644" i="5"/>
  <c r="A643" i="5"/>
  <c r="F643" i="5" s="1"/>
  <c r="G643" i="5" s="1"/>
  <c r="A642" i="5"/>
  <c r="A641" i="5"/>
  <c r="A640" i="5"/>
  <c r="A639" i="5"/>
  <c r="F639" i="5" s="1"/>
  <c r="G639" i="5" s="1"/>
  <c r="A638" i="5"/>
  <c r="F638" i="5" s="1"/>
  <c r="G638" i="5" s="1"/>
  <c r="A637" i="5"/>
  <c r="A636" i="5"/>
  <c r="A635" i="5"/>
  <c r="F635" i="5" s="1"/>
  <c r="G635" i="5" s="1"/>
  <c r="A634" i="5"/>
  <c r="A633" i="5"/>
  <c r="A632" i="5"/>
  <c r="A631" i="5"/>
  <c r="F631" i="5" s="1"/>
  <c r="G631" i="5" s="1"/>
  <c r="A630" i="5"/>
  <c r="A629" i="5"/>
  <c r="A628" i="5"/>
  <c r="A627" i="5"/>
  <c r="F627" i="5" s="1"/>
  <c r="G627" i="5" s="1"/>
  <c r="A626" i="5"/>
  <c r="A625" i="5"/>
  <c r="A624" i="5"/>
  <c r="A623" i="5"/>
  <c r="F623" i="5" s="1"/>
  <c r="G623" i="5" s="1"/>
  <c r="A622" i="5"/>
  <c r="A621" i="5"/>
  <c r="A620" i="5"/>
  <c r="A619" i="5"/>
  <c r="F619" i="5" s="1"/>
  <c r="G619" i="5" s="1"/>
  <c r="A618" i="5"/>
  <c r="A617" i="5"/>
  <c r="A616" i="5"/>
  <c r="A615" i="5"/>
  <c r="F615" i="5" s="1"/>
  <c r="G615" i="5" s="1"/>
  <c r="A614" i="5"/>
  <c r="A613" i="5"/>
  <c r="A612" i="5"/>
  <c r="A611" i="5"/>
  <c r="F611" i="5" s="1"/>
  <c r="G611" i="5" s="1"/>
  <c r="A610" i="5"/>
  <c r="A609" i="5"/>
  <c r="A608" i="5"/>
  <c r="A607" i="5"/>
  <c r="F607" i="5" s="1"/>
  <c r="G607" i="5" s="1"/>
  <c r="A606" i="5"/>
  <c r="A605" i="5"/>
  <c r="A604" i="5"/>
  <c r="A603" i="5"/>
  <c r="F603" i="5" s="1"/>
  <c r="G603" i="5" s="1"/>
  <c r="A602" i="5"/>
  <c r="A601" i="5"/>
  <c r="A600" i="5"/>
  <c r="A599" i="5"/>
  <c r="F599" i="5" s="1"/>
  <c r="G599" i="5" s="1"/>
  <c r="A598" i="5"/>
  <c r="A597" i="5"/>
  <c r="A596" i="5"/>
  <c r="A595" i="5"/>
  <c r="F595" i="5" s="1"/>
  <c r="G595" i="5" s="1"/>
  <c r="A594" i="5"/>
  <c r="A593" i="5"/>
  <c r="A592" i="5"/>
  <c r="A591" i="5"/>
  <c r="F591" i="5" s="1"/>
  <c r="A590" i="5"/>
  <c r="A589" i="5"/>
  <c r="A588" i="5"/>
  <c r="A587" i="5"/>
  <c r="F587" i="5" s="1"/>
  <c r="G587" i="5" s="1"/>
  <c r="A586" i="5"/>
  <c r="A585" i="5"/>
  <c r="A584" i="5"/>
  <c r="A583" i="5"/>
  <c r="F583" i="5" s="1"/>
  <c r="G583" i="5" s="1"/>
  <c r="A582" i="5"/>
  <c r="A581" i="5"/>
  <c r="A580" i="5"/>
  <c r="A579" i="5"/>
  <c r="F579" i="5" s="1"/>
  <c r="G579" i="5" s="1"/>
  <c r="A578" i="5"/>
  <c r="A577" i="5"/>
  <c r="A576" i="5"/>
  <c r="A575" i="5"/>
  <c r="F575" i="5" s="1"/>
  <c r="G575" i="5" s="1"/>
  <c r="A574" i="5"/>
  <c r="F574" i="5" s="1"/>
  <c r="G574" i="5" s="1"/>
  <c r="A573" i="5"/>
  <c r="A572" i="5"/>
  <c r="A571" i="5"/>
  <c r="F571" i="5" s="1"/>
  <c r="G571" i="5" s="1"/>
  <c r="A570" i="5"/>
  <c r="A569" i="5"/>
  <c r="A568" i="5"/>
  <c r="A567" i="5"/>
  <c r="F567" i="5" s="1"/>
  <c r="G567" i="5" s="1"/>
  <c r="A566" i="5"/>
  <c r="A565" i="5"/>
  <c r="A564" i="5"/>
  <c r="A563" i="5"/>
  <c r="F563" i="5" s="1"/>
  <c r="G563" i="5" s="1"/>
  <c r="A562" i="5"/>
  <c r="A561" i="5"/>
  <c r="A560" i="5"/>
  <c r="A559" i="5"/>
  <c r="F559" i="5" s="1"/>
  <c r="G559" i="5" s="1"/>
  <c r="A558" i="5"/>
  <c r="A557" i="5"/>
  <c r="A556" i="5"/>
  <c r="A555" i="5"/>
  <c r="F555" i="5" s="1"/>
  <c r="G555" i="5" s="1"/>
  <c r="A554" i="5"/>
  <c r="A553" i="5"/>
  <c r="A552" i="5"/>
  <c r="A551" i="5"/>
  <c r="F551" i="5" s="1"/>
  <c r="G551" i="5" s="1"/>
  <c r="A550" i="5"/>
  <c r="A549" i="5"/>
  <c r="A548" i="5"/>
  <c r="A547" i="5"/>
  <c r="F547" i="5" s="1"/>
  <c r="G547" i="5" s="1"/>
  <c r="A546" i="5"/>
  <c r="A545" i="5"/>
  <c r="A544" i="5"/>
  <c r="A543" i="5"/>
  <c r="F543" i="5" s="1"/>
  <c r="G543" i="5" s="1"/>
  <c r="A542" i="5"/>
  <c r="A541" i="5"/>
  <c r="A540" i="5"/>
  <c r="A539" i="5"/>
  <c r="F539" i="5" s="1"/>
  <c r="G539" i="5" s="1"/>
  <c r="A538" i="5"/>
  <c r="A537" i="5"/>
  <c r="A536" i="5"/>
  <c r="A535" i="5"/>
  <c r="F535" i="5" s="1"/>
  <c r="G535" i="5" s="1"/>
  <c r="A534" i="5"/>
  <c r="A533" i="5"/>
  <c r="A532" i="5"/>
  <c r="A531" i="5"/>
  <c r="F531" i="5" s="1"/>
  <c r="G531" i="5" s="1"/>
  <c r="A530" i="5"/>
  <c r="A529" i="5"/>
  <c r="A528" i="5"/>
  <c r="A527" i="5"/>
  <c r="F527" i="5" s="1"/>
  <c r="G527" i="5" s="1"/>
  <c r="A526" i="5"/>
  <c r="A525" i="5"/>
  <c r="A524" i="5"/>
  <c r="A523" i="5"/>
  <c r="F523" i="5" s="1"/>
  <c r="G523" i="5" s="1"/>
  <c r="A522" i="5"/>
  <c r="A521" i="5"/>
  <c r="A520" i="5"/>
  <c r="A519" i="5"/>
  <c r="F519" i="5" s="1"/>
  <c r="G519" i="5" s="1"/>
  <c r="A518" i="5"/>
  <c r="A517" i="5"/>
  <c r="A516" i="5"/>
  <c r="A515" i="5"/>
  <c r="F515" i="5" s="1"/>
  <c r="G515" i="5" s="1"/>
  <c r="A514" i="5"/>
  <c r="A513" i="5"/>
  <c r="A512" i="5"/>
  <c r="A511" i="5"/>
  <c r="F511" i="5" s="1"/>
  <c r="G511" i="5" s="1"/>
  <c r="A510" i="5"/>
  <c r="A509" i="5"/>
  <c r="A508" i="5"/>
  <c r="A507" i="5"/>
  <c r="F507" i="5" s="1"/>
  <c r="G507" i="5" s="1"/>
  <c r="A506" i="5"/>
  <c r="A505" i="5"/>
  <c r="A504" i="5"/>
  <c r="A503" i="5"/>
  <c r="F503" i="5" s="1"/>
  <c r="G503" i="5" s="1"/>
  <c r="A502" i="5"/>
  <c r="A501" i="5"/>
  <c r="A500" i="5"/>
  <c r="A499" i="5"/>
  <c r="F499" i="5" s="1"/>
  <c r="G499" i="5" s="1"/>
  <c r="A498" i="5"/>
  <c r="A497" i="5"/>
  <c r="A496" i="5"/>
  <c r="A495" i="5"/>
  <c r="F495" i="5" s="1"/>
  <c r="G495" i="5" s="1"/>
  <c r="A494" i="5"/>
  <c r="A493" i="5"/>
  <c r="A492" i="5"/>
  <c r="A491" i="5"/>
  <c r="F491" i="5" s="1"/>
  <c r="G491" i="5" s="1"/>
  <c r="A490" i="5"/>
  <c r="A489" i="5"/>
  <c r="A488" i="5"/>
  <c r="A487" i="5"/>
  <c r="F487" i="5" s="1"/>
  <c r="G487" i="5" s="1"/>
  <c r="A486" i="5"/>
  <c r="A485" i="5"/>
  <c r="A484" i="5"/>
  <c r="A483" i="5"/>
  <c r="F483" i="5" s="1"/>
  <c r="G483" i="5" s="1"/>
  <c r="A482" i="5"/>
  <c r="A481" i="5"/>
  <c r="A480" i="5"/>
  <c r="A479" i="5"/>
  <c r="F479" i="5" s="1"/>
  <c r="G479" i="5" s="1"/>
  <c r="A478" i="5"/>
  <c r="A477" i="5"/>
  <c r="A476" i="5"/>
  <c r="A475" i="5"/>
  <c r="F475" i="5" s="1"/>
  <c r="G475" i="5" s="1"/>
  <c r="A474" i="5"/>
  <c r="A473" i="5"/>
  <c r="A472" i="5"/>
  <c r="A471" i="5"/>
  <c r="F471" i="5" s="1"/>
  <c r="G471" i="5" s="1"/>
  <c r="A470" i="5"/>
  <c r="A469" i="5"/>
  <c r="A468" i="5"/>
  <c r="A467" i="5"/>
  <c r="F467" i="5" s="1"/>
  <c r="G467" i="5" s="1"/>
  <c r="A466" i="5"/>
  <c r="A465" i="5"/>
  <c r="A464" i="5"/>
  <c r="A463" i="5"/>
  <c r="F463" i="5" s="1"/>
  <c r="A462" i="5"/>
  <c r="A461" i="5"/>
  <c r="A460" i="5"/>
  <c r="A459" i="5"/>
  <c r="F459" i="5" s="1"/>
  <c r="G459" i="5" s="1"/>
  <c r="A458" i="5"/>
  <c r="A457" i="5"/>
  <c r="A456" i="5"/>
  <c r="A455" i="5"/>
  <c r="F455" i="5" s="1"/>
  <c r="G455" i="5" s="1"/>
  <c r="A454" i="5"/>
  <c r="A453" i="5"/>
  <c r="A452" i="5"/>
  <c r="A451" i="5"/>
  <c r="F451" i="5" s="1"/>
  <c r="G451" i="5" s="1"/>
  <c r="A450" i="5"/>
  <c r="A449" i="5"/>
  <c r="A448" i="5"/>
  <c r="A447" i="5"/>
  <c r="F447" i="5" s="1"/>
  <c r="G447" i="5" s="1"/>
  <c r="A446" i="5"/>
  <c r="A445" i="5"/>
  <c r="A444" i="5"/>
  <c r="A443" i="5"/>
  <c r="F443" i="5" s="1"/>
  <c r="G443" i="5" s="1"/>
  <c r="A442" i="5"/>
  <c r="A441" i="5"/>
  <c r="A440" i="5"/>
  <c r="A439" i="5"/>
  <c r="F439" i="5" s="1"/>
  <c r="G439" i="5" s="1"/>
  <c r="A438" i="5"/>
  <c r="A437" i="5"/>
  <c r="A436" i="5"/>
  <c r="A435" i="5"/>
  <c r="F435" i="5" s="1"/>
  <c r="G435" i="5" s="1"/>
  <c r="A434" i="5"/>
  <c r="A433" i="5"/>
  <c r="A432" i="5"/>
  <c r="A431" i="5"/>
  <c r="F431" i="5" s="1"/>
  <c r="G431" i="5" s="1"/>
  <c r="A430" i="5"/>
  <c r="A429" i="5"/>
  <c r="A428" i="5"/>
  <c r="A427" i="5"/>
  <c r="F427" i="5" s="1"/>
  <c r="G427" i="5" s="1"/>
  <c r="A426" i="5"/>
  <c r="A425" i="5"/>
  <c r="A424" i="5"/>
  <c r="A423" i="5"/>
  <c r="F423" i="5" s="1"/>
  <c r="G423" i="5" s="1"/>
  <c r="A422" i="5"/>
  <c r="A421" i="5"/>
  <c r="A420" i="5"/>
  <c r="A419" i="5"/>
  <c r="F419" i="5" s="1"/>
  <c r="G419" i="5" s="1"/>
  <c r="A418" i="5"/>
  <c r="A417" i="5"/>
  <c r="A416" i="5"/>
  <c r="A415" i="5"/>
  <c r="F415" i="5" s="1"/>
  <c r="G415" i="5" s="1"/>
  <c r="A414" i="5"/>
  <c r="A413" i="5"/>
  <c r="A412" i="5"/>
  <c r="A411" i="5"/>
  <c r="F411" i="5" s="1"/>
  <c r="G411" i="5" s="1"/>
  <c r="A410" i="5"/>
  <c r="A409" i="5"/>
  <c r="A408" i="5"/>
  <c r="A407" i="5"/>
  <c r="F407" i="5" s="1"/>
  <c r="G407" i="5" s="1"/>
  <c r="A406" i="5"/>
  <c r="A405" i="5"/>
  <c r="A404" i="5"/>
  <c r="A403" i="5"/>
  <c r="F403" i="5" s="1"/>
  <c r="G403" i="5" s="1"/>
  <c r="A402" i="5"/>
  <c r="A401" i="5"/>
  <c r="A400" i="5"/>
  <c r="A399" i="5"/>
  <c r="F399" i="5" s="1"/>
  <c r="G399" i="5" s="1"/>
  <c r="A398" i="5"/>
  <c r="A397" i="5"/>
  <c r="A396" i="5"/>
  <c r="A395" i="5"/>
  <c r="F395" i="5" s="1"/>
  <c r="G395" i="5" s="1"/>
  <c r="A394" i="5"/>
  <c r="A393" i="5"/>
  <c r="A392" i="5"/>
  <c r="A391" i="5"/>
  <c r="F391" i="5" s="1"/>
  <c r="G391" i="5" s="1"/>
  <c r="A390" i="5"/>
  <c r="A389" i="5"/>
  <c r="A388" i="5"/>
  <c r="A387" i="5"/>
  <c r="F387" i="5" s="1"/>
  <c r="G387" i="5" s="1"/>
  <c r="A386" i="5"/>
  <c r="A385" i="5"/>
  <c r="A384" i="5"/>
  <c r="A383" i="5"/>
  <c r="F383" i="5" s="1"/>
  <c r="G383" i="5" s="1"/>
  <c r="A382" i="5"/>
  <c r="F382" i="5" s="1"/>
  <c r="G382" i="5" s="1"/>
  <c r="A381" i="5"/>
  <c r="A380" i="5"/>
  <c r="A379" i="5"/>
  <c r="F379" i="5" s="1"/>
  <c r="G379" i="5" s="1"/>
  <c r="A378" i="5"/>
  <c r="A377" i="5"/>
  <c r="A376" i="5"/>
  <c r="A375" i="5"/>
  <c r="F375" i="5" s="1"/>
  <c r="G375" i="5" s="1"/>
  <c r="A374" i="5"/>
  <c r="F374" i="5" s="1"/>
  <c r="G374" i="5" s="1"/>
  <c r="A373" i="5"/>
  <c r="A372" i="5"/>
  <c r="A371" i="5"/>
  <c r="F371" i="5" s="1"/>
  <c r="G371" i="5" s="1"/>
  <c r="A370" i="5"/>
  <c r="A369" i="5"/>
  <c r="A368" i="5"/>
  <c r="A367" i="5"/>
  <c r="F367" i="5" s="1"/>
  <c r="G367" i="5" s="1"/>
  <c r="A366" i="5"/>
  <c r="F366" i="5" s="1"/>
  <c r="G366" i="5" s="1"/>
  <c r="A365" i="5"/>
  <c r="A364" i="5"/>
  <c r="A363" i="5"/>
  <c r="F363" i="5" s="1"/>
  <c r="G363" i="5" s="1"/>
  <c r="A362" i="5"/>
  <c r="A361" i="5"/>
  <c r="A360" i="5"/>
  <c r="A359" i="5"/>
  <c r="F359" i="5" s="1"/>
  <c r="G359" i="5" s="1"/>
  <c r="A358" i="5"/>
  <c r="F358" i="5" s="1"/>
  <c r="G358" i="5" s="1"/>
  <c r="A357" i="5"/>
  <c r="A356" i="5"/>
  <c r="A355" i="5"/>
  <c r="F355" i="5" s="1"/>
  <c r="G355" i="5" s="1"/>
  <c r="A354" i="5"/>
  <c r="A353" i="5"/>
  <c r="A352" i="5"/>
  <c r="A351" i="5"/>
  <c r="F351" i="5" s="1"/>
  <c r="G351" i="5" s="1"/>
  <c r="A350" i="5"/>
  <c r="A349" i="5"/>
  <c r="A348" i="5"/>
  <c r="A347" i="5"/>
  <c r="F347" i="5" s="1"/>
  <c r="G347" i="5" s="1"/>
  <c r="A346" i="5"/>
  <c r="A345" i="5"/>
  <c r="A344" i="5"/>
  <c r="A343" i="5"/>
  <c r="F343" i="5" s="1"/>
  <c r="G343" i="5" s="1"/>
  <c r="A342" i="5"/>
  <c r="F342" i="5" s="1"/>
  <c r="G342" i="5" s="1"/>
  <c r="A341" i="5"/>
  <c r="A340" i="5"/>
  <c r="A339" i="5"/>
  <c r="F339" i="5" s="1"/>
  <c r="G339" i="5" s="1"/>
  <c r="A338" i="5"/>
  <c r="A337" i="5"/>
  <c r="A336" i="5"/>
  <c r="A335" i="5"/>
  <c r="F335" i="5" s="1"/>
  <c r="G335" i="5" s="1"/>
  <c r="A334" i="5"/>
  <c r="F334" i="5" s="1"/>
  <c r="G334" i="5" s="1"/>
  <c r="A333" i="5"/>
  <c r="A332" i="5"/>
  <c r="A331" i="5"/>
  <c r="F331" i="5" s="1"/>
  <c r="G331" i="5" s="1"/>
  <c r="A330" i="5"/>
  <c r="A329" i="5"/>
  <c r="A328" i="5"/>
  <c r="A327" i="5"/>
  <c r="F327" i="5" s="1"/>
  <c r="G327" i="5" s="1"/>
  <c r="A326" i="5"/>
  <c r="F326" i="5" s="1"/>
  <c r="G326" i="5" s="1"/>
  <c r="A325" i="5"/>
  <c r="A324" i="5"/>
  <c r="A323" i="5"/>
  <c r="F323" i="5" s="1"/>
  <c r="G323" i="5" s="1"/>
  <c r="A322" i="5"/>
  <c r="A321" i="5"/>
  <c r="A320" i="5"/>
  <c r="A319" i="5"/>
  <c r="F319" i="5" s="1"/>
  <c r="G319" i="5" s="1"/>
  <c r="A318" i="5"/>
  <c r="F318" i="5" s="1"/>
  <c r="G318" i="5" s="1"/>
  <c r="A317" i="5"/>
  <c r="A316" i="5"/>
  <c r="A315" i="5"/>
  <c r="F315" i="5" s="1"/>
  <c r="G315" i="5" s="1"/>
  <c r="A314" i="5"/>
  <c r="F314" i="5" s="1"/>
  <c r="G314" i="5" s="1"/>
  <c r="A313" i="5"/>
  <c r="A312" i="5"/>
  <c r="A311" i="5"/>
  <c r="F311" i="5" s="1"/>
  <c r="G311" i="5" s="1"/>
  <c r="A310" i="5"/>
  <c r="F310" i="5" s="1"/>
  <c r="G310" i="5" s="1"/>
  <c r="A309" i="5"/>
  <c r="A308" i="5"/>
  <c r="A307" i="5"/>
  <c r="F307" i="5" s="1"/>
  <c r="G307" i="5" s="1"/>
  <c r="A306" i="5"/>
  <c r="F306" i="5" s="1"/>
  <c r="G306" i="5" s="1"/>
  <c r="A305" i="5"/>
  <c r="A304" i="5"/>
  <c r="A303" i="5"/>
  <c r="F303" i="5" s="1"/>
  <c r="G303" i="5" s="1"/>
  <c r="A302" i="5"/>
  <c r="F302" i="5" s="1"/>
  <c r="G302" i="5" s="1"/>
  <c r="A301" i="5"/>
  <c r="A300" i="5"/>
  <c r="A299" i="5"/>
  <c r="F299" i="5" s="1"/>
  <c r="G299" i="5" s="1"/>
  <c r="A298" i="5"/>
  <c r="F298" i="5" s="1"/>
  <c r="G298" i="5" s="1"/>
  <c r="A297" i="5"/>
  <c r="A296" i="5"/>
  <c r="A295" i="5"/>
  <c r="F295" i="5" s="1"/>
  <c r="G295" i="5" s="1"/>
  <c r="A294" i="5"/>
  <c r="F294" i="5" s="1"/>
  <c r="G294" i="5" s="1"/>
  <c r="A293" i="5"/>
  <c r="A292" i="5"/>
  <c r="A291" i="5"/>
  <c r="F291" i="5" s="1"/>
  <c r="G291" i="5" s="1"/>
  <c r="A290" i="5"/>
  <c r="F290" i="5" s="1"/>
  <c r="G290" i="5" s="1"/>
  <c r="A289" i="5"/>
  <c r="A288" i="5"/>
  <c r="A287" i="5"/>
  <c r="F287" i="5" s="1"/>
  <c r="G287" i="5" s="1"/>
  <c r="A286" i="5"/>
  <c r="F286" i="5" s="1"/>
  <c r="G286" i="5" s="1"/>
  <c r="A285" i="5"/>
  <c r="A284" i="5"/>
  <c r="A283" i="5"/>
  <c r="F283" i="5" s="1"/>
  <c r="G283" i="5" s="1"/>
  <c r="A282" i="5"/>
  <c r="F282" i="5" s="1"/>
  <c r="G282" i="5" s="1"/>
  <c r="A281" i="5"/>
  <c r="A280" i="5"/>
  <c r="A279" i="5"/>
  <c r="F279" i="5" s="1"/>
  <c r="G279" i="5" s="1"/>
  <c r="A278" i="5"/>
  <c r="F278" i="5" s="1"/>
  <c r="G278" i="5" s="1"/>
  <c r="A277" i="5"/>
  <c r="A276" i="5"/>
  <c r="A275" i="5"/>
  <c r="F275" i="5" s="1"/>
  <c r="G275" i="5" s="1"/>
  <c r="A274" i="5"/>
  <c r="F274" i="5" s="1"/>
  <c r="G274" i="5" s="1"/>
  <c r="A273" i="5"/>
  <c r="A272" i="5"/>
  <c r="A271" i="5"/>
  <c r="F271" i="5" s="1"/>
  <c r="G271" i="5" s="1"/>
  <c r="A270" i="5"/>
  <c r="F270" i="5" s="1"/>
  <c r="G270" i="5" s="1"/>
  <c r="A269" i="5"/>
  <c r="A268" i="5"/>
  <c r="A267" i="5"/>
  <c r="F267" i="5" s="1"/>
  <c r="G267" i="5" s="1"/>
  <c r="A266" i="5"/>
  <c r="F266" i="5" s="1"/>
  <c r="G266" i="5" s="1"/>
  <c r="A265" i="5"/>
  <c r="A264" i="5"/>
  <c r="A263" i="5"/>
  <c r="F263" i="5" s="1"/>
  <c r="G263" i="5" s="1"/>
  <c r="A262" i="5"/>
  <c r="F262" i="5" s="1"/>
  <c r="G262" i="5" s="1"/>
  <c r="A261" i="5"/>
  <c r="A260" i="5"/>
  <c r="A259" i="5"/>
  <c r="F259" i="5" s="1"/>
  <c r="G259" i="5" s="1"/>
  <c r="A258" i="5"/>
  <c r="F258" i="5" s="1"/>
  <c r="G258" i="5" s="1"/>
  <c r="A257" i="5"/>
  <c r="A256" i="5"/>
  <c r="A255" i="5"/>
  <c r="F255" i="5" s="1"/>
  <c r="G255" i="5" s="1"/>
  <c r="A254" i="5"/>
  <c r="F254" i="5" s="1"/>
  <c r="G254" i="5" s="1"/>
  <c r="A253" i="5"/>
  <c r="A252" i="5"/>
  <c r="A251" i="5"/>
  <c r="F251" i="5" s="1"/>
  <c r="G251" i="5" s="1"/>
  <c r="A250" i="5"/>
  <c r="F250" i="5" s="1"/>
  <c r="A249" i="5"/>
  <c r="F249" i="5" s="1"/>
  <c r="G249" i="5" s="1"/>
  <c r="A248" i="5"/>
  <c r="A247" i="5"/>
  <c r="F247" i="5" s="1"/>
  <c r="G247" i="5" s="1"/>
  <c r="A246" i="5"/>
  <c r="F246" i="5" s="1"/>
  <c r="G246" i="5" s="1"/>
  <c r="A245" i="5"/>
  <c r="F245" i="5" s="1"/>
  <c r="G245" i="5" s="1"/>
  <c r="A244" i="5"/>
  <c r="A243" i="5"/>
  <c r="F243" i="5" s="1"/>
  <c r="G243" i="5" s="1"/>
  <c r="A242" i="5"/>
  <c r="F242" i="5" s="1"/>
  <c r="G242" i="5" s="1"/>
  <c r="A241" i="5"/>
  <c r="F241" i="5" s="1"/>
  <c r="G241" i="5" s="1"/>
  <c r="A240" i="5"/>
  <c r="A239" i="5"/>
  <c r="F239" i="5" s="1"/>
  <c r="G239" i="5" s="1"/>
  <c r="A238" i="5"/>
  <c r="F238" i="5" s="1"/>
  <c r="G238" i="5" s="1"/>
  <c r="A237" i="5"/>
  <c r="F237" i="5" s="1"/>
  <c r="G237" i="5" s="1"/>
  <c r="A236" i="5"/>
  <c r="A235" i="5"/>
  <c r="F235" i="5" s="1"/>
  <c r="G235" i="5" s="1"/>
  <c r="A234" i="5"/>
  <c r="F234" i="5" s="1"/>
  <c r="G234" i="5" s="1"/>
  <c r="A233" i="5"/>
  <c r="F233" i="5" s="1"/>
  <c r="G233" i="5" s="1"/>
  <c r="A232" i="5"/>
  <c r="A231" i="5"/>
  <c r="F231" i="5" s="1"/>
  <c r="G231" i="5" s="1"/>
  <c r="A230" i="5"/>
  <c r="F230" i="5" s="1"/>
  <c r="G230" i="5" s="1"/>
  <c r="A229" i="5"/>
  <c r="F229" i="5" s="1"/>
  <c r="G229" i="5" s="1"/>
  <c r="A228" i="5"/>
  <c r="A227" i="5"/>
  <c r="F227" i="5" s="1"/>
  <c r="G227" i="5" s="1"/>
  <c r="A226" i="5"/>
  <c r="F226" i="5" s="1"/>
  <c r="G226" i="5" s="1"/>
  <c r="A225" i="5"/>
  <c r="F225" i="5" s="1"/>
  <c r="G225" i="5" s="1"/>
  <c r="A224" i="5"/>
  <c r="A223" i="5"/>
  <c r="F223" i="5" s="1"/>
  <c r="G223" i="5" s="1"/>
  <c r="A222" i="5"/>
  <c r="F222" i="5" s="1"/>
  <c r="G222" i="5" s="1"/>
  <c r="A221" i="5"/>
  <c r="F221" i="5" s="1"/>
  <c r="G221" i="5" s="1"/>
  <c r="A220" i="5"/>
  <c r="A219" i="5"/>
  <c r="F219" i="5" s="1"/>
  <c r="G219" i="5" s="1"/>
  <c r="A218" i="5"/>
  <c r="F218" i="5" s="1"/>
  <c r="G218" i="5" s="1"/>
  <c r="A217" i="5"/>
  <c r="F217" i="5" s="1"/>
  <c r="G217" i="5" s="1"/>
  <c r="A216" i="5"/>
  <c r="A215" i="5"/>
  <c r="F215" i="5" s="1"/>
  <c r="G215" i="5" s="1"/>
  <c r="A214" i="5"/>
  <c r="F214" i="5" s="1"/>
  <c r="G214" i="5" s="1"/>
  <c r="A213" i="5"/>
  <c r="F213" i="5" s="1"/>
  <c r="G213" i="5" s="1"/>
  <c r="A212" i="5"/>
  <c r="A211" i="5"/>
  <c r="F211" i="5" s="1"/>
  <c r="G211" i="5" s="1"/>
  <c r="A210" i="5"/>
  <c r="F210" i="5" s="1"/>
  <c r="G210" i="5" s="1"/>
  <c r="A209" i="5"/>
  <c r="F209" i="5" s="1"/>
  <c r="G209" i="5" s="1"/>
  <c r="A208" i="5"/>
  <c r="A207" i="5"/>
  <c r="F207" i="5" s="1"/>
  <c r="G207" i="5" s="1"/>
  <c r="A206" i="5"/>
  <c r="F206" i="5" s="1"/>
  <c r="G206" i="5" s="1"/>
  <c r="A205" i="5"/>
  <c r="F205" i="5" s="1"/>
  <c r="G205" i="5" s="1"/>
  <c r="A204" i="5"/>
  <c r="A203" i="5"/>
  <c r="F203" i="5" s="1"/>
  <c r="G203" i="5" s="1"/>
  <c r="A202" i="5"/>
  <c r="F202" i="5" s="1"/>
  <c r="G202" i="5" s="1"/>
  <c r="A201" i="5"/>
  <c r="F201" i="5" s="1"/>
  <c r="G201" i="5" s="1"/>
  <c r="A200" i="5"/>
  <c r="A199" i="5"/>
  <c r="F199" i="5" s="1"/>
  <c r="G199" i="5" s="1"/>
  <c r="A198" i="5"/>
  <c r="F198" i="5" s="1"/>
  <c r="G198" i="5" s="1"/>
  <c r="A197" i="5"/>
  <c r="F197" i="5" s="1"/>
  <c r="G197" i="5" s="1"/>
  <c r="A196" i="5"/>
  <c r="A195" i="5"/>
  <c r="F195" i="5" s="1"/>
  <c r="G195" i="5" s="1"/>
  <c r="A194" i="5"/>
  <c r="F194" i="5" s="1"/>
  <c r="G194" i="5" s="1"/>
  <c r="A193" i="5"/>
  <c r="F193" i="5" s="1"/>
  <c r="G193" i="5" s="1"/>
  <c r="A192" i="5"/>
  <c r="A191" i="5"/>
  <c r="F191" i="5" s="1"/>
  <c r="G191" i="5" s="1"/>
  <c r="A190" i="5"/>
  <c r="F190" i="5" s="1"/>
  <c r="G190" i="5" s="1"/>
  <c r="A189" i="5"/>
  <c r="F189" i="5" s="1"/>
  <c r="G189" i="5" s="1"/>
  <c r="A188" i="5"/>
  <c r="A187" i="5"/>
  <c r="F187" i="5" s="1"/>
  <c r="G187" i="5" s="1"/>
  <c r="A186" i="5"/>
  <c r="F186" i="5" s="1"/>
  <c r="G186" i="5" s="1"/>
  <c r="A185" i="5"/>
  <c r="F185" i="5" s="1"/>
  <c r="G185" i="5" s="1"/>
  <c r="A184" i="5"/>
  <c r="A183" i="5"/>
  <c r="F183" i="5" s="1"/>
  <c r="G183" i="5" s="1"/>
  <c r="A182" i="5"/>
  <c r="F182" i="5" s="1"/>
  <c r="G182" i="5" s="1"/>
  <c r="A181" i="5"/>
  <c r="F181" i="5" s="1"/>
  <c r="G181" i="5" s="1"/>
  <c r="A180" i="5"/>
  <c r="A179" i="5"/>
  <c r="F179" i="5" s="1"/>
  <c r="G179" i="5" s="1"/>
  <c r="A178" i="5"/>
  <c r="F178" i="5" s="1"/>
  <c r="G178" i="5" s="1"/>
  <c r="A177" i="5"/>
  <c r="F177" i="5" s="1"/>
  <c r="G177" i="5" s="1"/>
  <c r="A176" i="5"/>
  <c r="A175" i="5"/>
  <c r="F175" i="5" s="1"/>
  <c r="G175" i="5" s="1"/>
  <c r="A174" i="5"/>
  <c r="F174" i="5" s="1"/>
  <c r="A173" i="5"/>
  <c r="F173" i="5" s="1"/>
  <c r="G173" i="5" s="1"/>
  <c r="A172" i="5"/>
  <c r="A171" i="5"/>
  <c r="F171" i="5" s="1"/>
  <c r="G171" i="5" s="1"/>
  <c r="A170" i="5"/>
  <c r="F170" i="5" s="1"/>
  <c r="G170" i="5" s="1"/>
  <c r="A169" i="5"/>
  <c r="F169" i="5" s="1"/>
  <c r="G169" i="5" s="1"/>
  <c r="A168" i="5"/>
  <c r="A167" i="5"/>
  <c r="F167" i="5" s="1"/>
  <c r="G167" i="5" s="1"/>
  <c r="A166" i="5"/>
  <c r="F166" i="5" s="1"/>
  <c r="G166" i="5" s="1"/>
  <c r="A165" i="5"/>
  <c r="F165" i="5" s="1"/>
  <c r="G165" i="5" s="1"/>
  <c r="A164" i="5"/>
  <c r="A163" i="5"/>
  <c r="F163" i="5" s="1"/>
  <c r="G163" i="5" s="1"/>
  <c r="A162" i="5"/>
  <c r="F162" i="5" s="1"/>
  <c r="G162" i="5" s="1"/>
  <c r="A161" i="5"/>
  <c r="F161" i="5" s="1"/>
  <c r="G161" i="5" s="1"/>
  <c r="A160" i="5"/>
  <c r="A159" i="5"/>
  <c r="F159" i="5" s="1"/>
  <c r="G159" i="5" s="1"/>
  <c r="A158" i="5"/>
  <c r="F158" i="5" s="1"/>
  <c r="G158" i="5" s="1"/>
  <c r="A157" i="5"/>
  <c r="F157" i="5" s="1"/>
  <c r="G157" i="5" s="1"/>
  <c r="A156" i="5"/>
  <c r="A155" i="5"/>
  <c r="F155" i="5" s="1"/>
  <c r="G155" i="5" s="1"/>
  <c r="A154" i="5"/>
  <c r="F154" i="5" s="1"/>
  <c r="G154" i="5" s="1"/>
  <c r="A153" i="5"/>
  <c r="F153" i="5" s="1"/>
  <c r="G153" i="5" s="1"/>
  <c r="A152" i="5"/>
  <c r="A151" i="5"/>
  <c r="F151" i="5" s="1"/>
  <c r="G151" i="5" s="1"/>
  <c r="A150" i="5"/>
  <c r="F150" i="5" s="1"/>
  <c r="G150" i="5" s="1"/>
  <c r="A149" i="5"/>
  <c r="F149" i="5" s="1"/>
  <c r="G149" i="5" s="1"/>
  <c r="A148" i="5"/>
  <c r="A147" i="5"/>
  <c r="F147" i="5" s="1"/>
  <c r="G147" i="5" s="1"/>
  <c r="A146" i="5"/>
  <c r="F146" i="5" s="1"/>
  <c r="G146" i="5" s="1"/>
  <c r="A145" i="5"/>
  <c r="F145" i="5" s="1"/>
  <c r="G145" i="5" s="1"/>
  <c r="A144" i="5"/>
  <c r="A143" i="5"/>
  <c r="F143" i="5" s="1"/>
  <c r="G143" i="5" s="1"/>
  <c r="A142" i="5"/>
  <c r="F142" i="5" s="1"/>
  <c r="A141" i="5"/>
  <c r="F141" i="5" s="1"/>
  <c r="G141" i="5" s="1"/>
  <c r="A140" i="5"/>
  <c r="A139" i="5"/>
  <c r="F139" i="5" s="1"/>
  <c r="G139" i="5" s="1"/>
  <c r="A138" i="5"/>
  <c r="F138" i="5" s="1"/>
  <c r="G138" i="5" s="1"/>
  <c r="A137" i="5"/>
  <c r="F137" i="5" s="1"/>
  <c r="G137" i="5" s="1"/>
  <c r="A136" i="5"/>
  <c r="A135" i="5"/>
  <c r="F135" i="5" s="1"/>
  <c r="G135" i="5" s="1"/>
  <c r="A134" i="5"/>
  <c r="F134" i="5" s="1"/>
  <c r="G134" i="5" s="1"/>
  <c r="A133" i="5"/>
  <c r="F133" i="5" s="1"/>
  <c r="G133" i="5" s="1"/>
  <c r="A132" i="5"/>
  <c r="A131" i="5"/>
  <c r="F131" i="5" s="1"/>
  <c r="G131" i="5" s="1"/>
  <c r="A130" i="5"/>
  <c r="F130" i="5" s="1"/>
  <c r="G130" i="5" s="1"/>
  <c r="A129" i="5"/>
  <c r="F129" i="5" s="1"/>
  <c r="G129" i="5" s="1"/>
  <c r="A128" i="5"/>
  <c r="A127" i="5"/>
  <c r="F127" i="5" s="1"/>
  <c r="G127" i="5" s="1"/>
  <c r="A126" i="5"/>
  <c r="F126" i="5" s="1"/>
  <c r="G126" i="5" s="1"/>
  <c r="A125" i="5"/>
  <c r="F125" i="5" s="1"/>
  <c r="G125" i="5" s="1"/>
  <c r="A124" i="5"/>
  <c r="A123" i="5"/>
  <c r="F123" i="5" s="1"/>
  <c r="G123" i="5" s="1"/>
  <c r="A122" i="5"/>
  <c r="F122" i="5" s="1"/>
  <c r="G122" i="5" s="1"/>
  <c r="A121" i="5"/>
  <c r="F121" i="5" s="1"/>
  <c r="G121" i="5" s="1"/>
  <c r="A120" i="5"/>
  <c r="A119" i="5"/>
  <c r="F119" i="5" s="1"/>
  <c r="G119" i="5" s="1"/>
  <c r="A118" i="5"/>
  <c r="F118" i="5" s="1"/>
  <c r="G118" i="5" s="1"/>
  <c r="A117" i="5"/>
  <c r="F117" i="5" s="1"/>
  <c r="G117" i="5" s="1"/>
  <c r="A116" i="5"/>
  <c r="A115" i="5"/>
  <c r="F115" i="5" s="1"/>
  <c r="G115" i="5" s="1"/>
  <c r="A114" i="5"/>
  <c r="F114" i="5" s="1"/>
  <c r="G114" i="5" s="1"/>
  <c r="A113" i="5"/>
  <c r="F113" i="5" s="1"/>
  <c r="G113" i="5" s="1"/>
  <c r="A112" i="5"/>
  <c r="A111" i="5"/>
  <c r="F111" i="5" s="1"/>
  <c r="G111" i="5" s="1"/>
  <c r="A110" i="5"/>
  <c r="F110" i="5" s="1"/>
  <c r="G110" i="5" s="1"/>
  <c r="A109" i="5"/>
  <c r="F109" i="5" s="1"/>
  <c r="G109" i="5" s="1"/>
  <c r="A108" i="5"/>
  <c r="A107" i="5"/>
  <c r="F107" i="5" s="1"/>
  <c r="G107" i="5" s="1"/>
  <c r="A106" i="5"/>
  <c r="F106" i="5" s="1"/>
  <c r="G106" i="5" s="1"/>
  <c r="A105" i="5"/>
  <c r="F105" i="5" s="1"/>
  <c r="G105" i="5" s="1"/>
  <c r="A104" i="5"/>
  <c r="A103" i="5"/>
  <c r="F103" i="5" s="1"/>
  <c r="G103" i="5" s="1"/>
  <c r="A102" i="5"/>
  <c r="F102" i="5" s="1"/>
  <c r="G102" i="5" s="1"/>
  <c r="A101" i="5"/>
  <c r="F101" i="5" s="1"/>
  <c r="G101" i="5" s="1"/>
  <c r="A100" i="5"/>
  <c r="A99" i="5"/>
  <c r="F99" i="5" s="1"/>
  <c r="G99" i="5" s="1"/>
  <c r="A98" i="5"/>
  <c r="F98" i="5" s="1"/>
  <c r="G98" i="5" s="1"/>
  <c r="A97" i="5"/>
  <c r="F97" i="5" s="1"/>
  <c r="G97" i="5" s="1"/>
  <c r="A96" i="5"/>
  <c r="A95" i="5"/>
  <c r="F95" i="5" s="1"/>
  <c r="G95" i="5" s="1"/>
  <c r="A94" i="5"/>
  <c r="F94" i="5" s="1"/>
  <c r="A93" i="5"/>
  <c r="F93" i="5" s="1"/>
  <c r="G93" i="5" s="1"/>
  <c r="A92" i="5"/>
  <c r="A91" i="5"/>
  <c r="F91" i="5" s="1"/>
  <c r="G91" i="5" s="1"/>
  <c r="A90" i="5"/>
  <c r="F90" i="5" s="1"/>
  <c r="G90" i="5" s="1"/>
  <c r="A89" i="5"/>
  <c r="F89" i="5" s="1"/>
  <c r="G89" i="5" s="1"/>
  <c r="A88" i="5"/>
  <c r="A87" i="5"/>
  <c r="F87" i="5" s="1"/>
  <c r="G87" i="5" s="1"/>
  <c r="A86" i="5"/>
  <c r="F86" i="5" s="1"/>
  <c r="G86" i="5" s="1"/>
  <c r="A85" i="5"/>
  <c r="F85" i="5" s="1"/>
  <c r="G85" i="5" s="1"/>
  <c r="A84" i="5"/>
  <c r="A83" i="5"/>
  <c r="F83" i="5" s="1"/>
  <c r="G83" i="5" s="1"/>
  <c r="A82" i="5"/>
  <c r="F82" i="5" s="1"/>
  <c r="G82" i="5" s="1"/>
  <c r="A81" i="5"/>
  <c r="F81" i="5" s="1"/>
  <c r="G81" i="5" s="1"/>
  <c r="A80" i="5"/>
  <c r="A79" i="5"/>
  <c r="F79" i="5" s="1"/>
  <c r="G79" i="5" s="1"/>
  <c r="A78" i="5"/>
  <c r="F78" i="5" s="1"/>
  <c r="G78" i="5" s="1"/>
  <c r="A77" i="5"/>
  <c r="F77" i="5" s="1"/>
  <c r="G77" i="5" s="1"/>
  <c r="A76" i="5"/>
  <c r="A75" i="5"/>
  <c r="F75" i="5" s="1"/>
  <c r="G75" i="5" s="1"/>
  <c r="A74" i="5"/>
  <c r="F74" i="5" s="1"/>
  <c r="G74" i="5" s="1"/>
  <c r="A73" i="5"/>
  <c r="F73" i="5" s="1"/>
  <c r="G73" i="5" s="1"/>
  <c r="A72" i="5"/>
  <c r="A71" i="5"/>
  <c r="F71" i="5" s="1"/>
  <c r="G71" i="5" s="1"/>
  <c r="A70" i="5"/>
  <c r="F70" i="5" s="1"/>
  <c r="G70" i="5" s="1"/>
  <c r="A69" i="5"/>
  <c r="F69" i="5" s="1"/>
  <c r="G69" i="5" s="1"/>
  <c r="A68" i="5"/>
  <c r="A67" i="5"/>
  <c r="F67" i="5" s="1"/>
  <c r="G67" i="5" s="1"/>
  <c r="A66" i="5"/>
  <c r="F66" i="5" s="1"/>
  <c r="G66" i="5" s="1"/>
  <c r="A65" i="5"/>
  <c r="F65" i="5" s="1"/>
  <c r="G65" i="5" s="1"/>
  <c r="A64" i="5"/>
  <c r="A63" i="5"/>
  <c r="F63" i="5" s="1"/>
  <c r="G63" i="5" s="1"/>
  <c r="A62" i="5"/>
  <c r="F62" i="5" s="1"/>
  <c r="G62" i="5" s="1"/>
  <c r="A61" i="5"/>
  <c r="F61" i="5" s="1"/>
  <c r="G61" i="5" s="1"/>
  <c r="A60" i="5"/>
  <c r="A59" i="5"/>
  <c r="F59" i="5" s="1"/>
  <c r="G59" i="5" s="1"/>
  <c r="A58" i="5"/>
  <c r="F58" i="5" s="1"/>
  <c r="G58" i="5" s="1"/>
  <c r="A57" i="5"/>
  <c r="F57" i="5" s="1"/>
  <c r="G57" i="5" s="1"/>
  <c r="A56" i="5"/>
  <c r="A55" i="5"/>
  <c r="F55" i="5" s="1"/>
  <c r="G55" i="5" s="1"/>
  <c r="A54" i="5"/>
  <c r="F54" i="5" s="1"/>
  <c r="G54" i="5" s="1"/>
  <c r="A53" i="5"/>
  <c r="F53" i="5" s="1"/>
  <c r="G53" i="5" s="1"/>
  <c r="A52" i="5"/>
  <c r="A51" i="5"/>
  <c r="F51" i="5" s="1"/>
  <c r="G51" i="5" s="1"/>
  <c r="A50" i="5"/>
  <c r="F50" i="5" s="1"/>
  <c r="G50" i="5" s="1"/>
  <c r="A49" i="5"/>
  <c r="F49" i="5" s="1"/>
  <c r="G49" i="5" s="1"/>
  <c r="A48" i="5"/>
  <c r="A47" i="5"/>
  <c r="F47" i="5" s="1"/>
  <c r="G47" i="5" s="1"/>
  <c r="A46" i="5"/>
  <c r="F46" i="5" s="1"/>
  <c r="G46" i="5" s="1"/>
  <c r="A45" i="5"/>
  <c r="F45" i="5" s="1"/>
  <c r="G45" i="5" s="1"/>
  <c r="A44" i="5"/>
  <c r="A43" i="5"/>
  <c r="F43" i="5" s="1"/>
  <c r="G43" i="5" s="1"/>
  <c r="A42" i="5"/>
  <c r="F42" i="5" s="1"/>
  <c r="G42" i="5" s="1"/>
  <c r="A41" i="5"/>
  <c r="F41" i="5" s="1"/>
  <c r="G41" i="5" s="1"/>
  <c r="A40" i="5"/>
  <c r="A39" i="5"/>
  <c r="F39" i="5" s="1"/>
  <c r="G39" i="5" s="1"/>
  <c r="A38" i="5"/>
  <c r="F38" i="5" s="1"/>
  <c r="G38" i="5" s="1"/>
  <c r="A37" i="5"/>
  <c r="F37" i="5" s="1"/>
  <c r="G37" i="5" s="1"/>
  <c r="A36" i="5"/>
  <c r="A35" i="5"/>
  <c r="F35" i="5" s="1"/>
  <c r="G35" i="5" s="1"/>
  <c r="A34" i="5"/>
  <c r="F34" i="5" s="1"/>
  <c r="G34" i="5" s="1"/>
  <c r="A33" i="5"/>
  <c r="F33" i="5" s="1"/>
  <c r="G33" i="5" s="1"/>
  <c r="A32" i="5"/>
  <c r="A31" i="5"/>
  <c r="F31" i="5" s="1"/>
  <c r="G31" i="5" s="1"/>
  <c r="A30" i="5"/>
  <c r="F30" i="5" s="1"/>
  <c r="A29" i="5"/>
  <c r="F29" i="5" s="1"/>
  <c r="G29" i="5" s="1"/>
  <c r="A28" i="5"/>
  <c r="A27" i="5"/>
  <c r="F27" i="5" s="1"/>
  <c r="G27" i="5" s="1"/>
  <c r="A26" i="5"/>
  <c r="F26" i="5" s="1"/>
  <c r="G26" i="5" s="1"/>
  <c r="A25" i="5"/>
  <c r="F25" i="5" s="1"/>
  <c r="G25" i="5" s="1"/>
  <c r="A24" i="5"/>
  <c r="A23" i="5"/>
  <c r="F23" i="5" s="1"/>
  <c r="G23" i="5" s="1"/>
  <c r="A22" i="5"/>
  <c r="F22" i="5" s="1"/>
  <c r="G22" i="5" s="1"/>
  <c r="A21" i="5"/>
  <c r="F21" i="5" s="1"/>
  <c r="G21" i="5" s="1"/>
  <c r="A20" i="5"/>
  <c r="A19" i="5"/>
  <c r="F19" i="5" s="1"/>
  <c r="G19" i="5" s="1"/>
  <c r="A18" i="5"/>
  <c r="F18" i="5" s="1"/>
  <c r="G18" i="5" s="1"/>
  <c r="A17" i="5"/>
  <c r="F17" i="5" s="1"/>
  <c r="G17" i="5" s="1"/>
  <c r="A16" i="5"/>
  <c r="A15" i="5"/>
  <c r="F15" i="5" s="1"/>
  <c r="G15" i="5" s="1"/>
  <c r="A14" i="5"/>
  <c r="F14" i="5" s="1"/>
  <c r="G14" i="5" s="1"/>
  <c r="A13" i="5"/>
  <c r="F13" i="5" s="1"/>
  <c r="G13" i="5" s="1"/>
  <c r="A12" i="5"/>
  <c r="A11" i="5"/>
  <c r="F11" i="5" s="1"/>
  <c r="G11" i="5" s="1"/>
  <c r="A10" i="5"/>
  <c r="F10" i="5" s="1"/>
  <c r="G10" i="5" s="1"/>
  <c r="A9" i="5"/>
  <c r="F9" i="5" s="1"/>
  <c r="A8" i="5"/>
  <c r="A7" i="5"/>
  <c r="F7" i="5" s="1"/>
  <c r="A6" i="5"/>
  <c r="F6" i="5" s="1"/>
  <c r="A5" i="5"/>
  <c r="F5" i="5" s="1"/>
  <c r="A4" i="5"/>
  <c r="A3" i="5"/>
  <c r="F3" i="5" s="1"/>
  <c r="G3" i="5" s="1"/>
  <c r="G5" i="5" l="1"/>
  <c r="G9" i="5"/>
  <c r="H3" i="5"/>
  <c r="G6" i="5"/>
  <c r="G7" i="5"/>
  <c r="F253" i="5"/>
  <c r="G253" i="5" s="1"/>
  <c r="F257" i="5"/>
  <c r="G257" i="5" s="1"/>
  <c r="F261" i="5"/>
  <c r="G261" i="5" s="1"/>
  <c r="F265" i="5"/>
  <c r="G265" i="5" s="1"/>
  <c r="F269" i="5"/>
  <c r="G269" i="5" s="1"/>
  <c r="F273" i="5"/>
  <c r="G273" i="5" s="1"/>
  <c r="F277" i="5"/>
  <c r="G277" i="5" s="1"/>
  <c r="F281" i="5"/>
  <c r="G281" i="5" s="1"/>
  <c r="F285" i="5"/>
  <c r="G285" i="5" s="1"/>
  <c r="F289" i="5"/>
  <c r="G289" i="5" s="1"/>
  <c r="F293" i="5"/>
  <c r="G293" i="5" s="1"/>
  <c r="F297" i="5"/>
  <c r="G297" i="5" s="1"/>
  <c r="F301" i="5"/>
  <c r="G301" i="5" s="1"/>
  <c r="F1011" i="5"/>
  <c r="G1011" i="5" s="1"/>
  <c r="F1015" i="5"/>
  <c r="G1015" i="5" s="1"/>
  <c r="F1019" i="5"/>
  <c r="G1019" i="5" s="1"/>
  <c r="F1023" i="5"/>
  <c r="G1023" i="5" s="1"/>
  <c r="F1027" i="5"/>
  <c r="G1027" i="5" s="1"/>
  <c r="F1031" i="5"/>
  <c r="G1031" i="5" s="1"/>
  <c r="F1035" i="5"/>
  <c r="G1035" i="5" s="1"/>
  <c r="F1039" i="5"/>
  <c r="G1039" i="5" s="1"/>
  <c r="F1043" i="5"/>
  <c r="G1043" i="5" s="1"/>
  <c r="F1047" i="5"/>
  <c r="G1047" i="5" s="1"/>
  <c r="F1051" i="5"/>
  <c r="G1051" i="5" s="1"/>
  <c r="F1055" i="5"/>
  <c r="G1055" i="5" s="1"/>
  <c r="F1059" i="5"/>
  <c r="G1059" i="5" s="1"/>
  <c r="F1063" i="5"/>
  <c r="G1063" i="5" s="1"/>
  <c r="F1067" i="5"/>
  <c r="G1067" i="5" s="1"/>
  <c r="F1071" i="5"/>
  <c r="G1071" i="5" s="1"/>
  <c r="F1075" i="5"/>
  <c r="G1075" i="5" s="1"/>
  <c r="F1079" i="5"/>
  <c r="G1079" i="5" s="1"/>
  <c r="F1083" i="5"/>
  <c r="G1083" i="5" s="1"/>
  <c r="F1087" i="5"/>
  <c r="G1087" i="5" s="1"/>
  <c r="F1091" i="5"/>
  <c r="G1091" i="5" s="1"/>
  <c r="F1095" i="5"/>
  <c r="G1095" i="5" s="1"/>
  <c r="F1099" i="5"/>
  <c r="G1099" i="5" s="1"/>
  <c r="F1103" i="5"/>
  <c r="G1103" i="5" s="1"/>
  <c r="F1107" i="5"/>
  <c r="G1107" i="5" s="1"/>
  <c r="F1111" i="5"/>
  <c r="G1111" i="5" s="1"/>
  <c r="F1115" i="5"/>
  <c r="G1115" i="5" s="1"/>
  <c r="F1119" i="5"/>
  <c r="G1119" i="5" s="1"/>
  <c r="F1123" i="5"/>
  <c r="G1123" i="5" s="1"/>
  <c r="F1127" i="5"/>
  <c r="G1127" i="5" s="1"/>
  <c r="F1131" i="5"/>
  <c r="G1131" i="5" s="1"/>
  <c r="F1135" i="5"/>
  <c r="G1135" i="5" s="1"/>
  <c r="F1139" i="5"/>
  <c r="G1139" i="5" s="1"/>
  <c r="F1143" i="5"/>
  <c r="G1143" i="5" s="1"/>
  <c r="F1147" i="5"/>
  <c r="G1147" i="5" s="1"/>
  <c r="F1151" i="5"/>
  <c r="G1151" i="5" s="1"/>
  <c r="F1155" i="5"/>
  <c r="G1155" i="5" s="1"/>
  <c r="F1159" i="5"/>
  <c r="G1159" i="5" s="1"/>
  <c r="F1163" i="5"/>
  <c r="G1163" i="5" s="1"/>
  <c r="F1167" i="5"/>
  <c r="G1167" i="5" s="1"/>
  <c r="F1171" i="5"/>
  <c r="G1171" i="5" s="1"/>
  <c r="F1175" i="5"/>
  <c r="G1175" i="5" s="1"/>
  <c r="F1179" i="5"/>
  <c r="G1179" i="5" s="1"/>
  <c r="F1183" i="5"/>
  <c r="G1183" i="5" s="1"/>
  <c r="F1187" i="5"/>
  <c r="G1187" i="5" s="1"/>
  <c r="F1191" i="5"/>
  <c r="G1191" i="5" s="1"/>
  <c r="F1199" i="5"/>
  <c r="G1199" i="5" s="1"/>
  <c r="F1203" i="5"/>
  <c r="G1203" i="5" s="1"/>
  <c r="F1211" i="5"/>
  <c r="G1211" i="5" s="1"/>
  <c r="F1215" i="5"/>
  <c r="G1215" i="5" s="1"/>
  <c r="F1223" i="5"/>
  <c r="G1223" i="5" s="1"/>
  <c r="F1227" i="5"/>
  <c r="G1227" i="5" s="1"/>
  <c r="F1231" i="5"/>
  <c r="G1231" i="5" s="1"/>
  <c r="F1235" i="5"/>
  <c r="G1235" i="5" s="1"/>
  <c r="F1239" i="5"/>
  <c r="G1239" i="5" s="1"/>
  <c r="F1243" i="5"/>
  <c r="G1243" i="5" s="1"/>
  <c r="F1247" i="5"/>
  <c r="G1247" i="5" s="1"/>
  <c r="F1251" i="5"/>
  <c r="G1251" i="5" s="1"/>
  <c r="F1259" i="5"/>
  <c r="G1259" i="5" s="1"/>
  <c r="F1195" i="5"/>
  <c r="G1195" i="5" s="1"/>
  <c r="F1207" i="5"/>
  <c r="G1207" i="5" s="1"/>
  <c r="F1219" i="5"/>
  <c r="G1219" i="5" s="1"/>
  <c r="F1255" i="5"/>
  <c r="G1255" i="5" s="1"/>
  <c r="F1267" i="5"/>
  <c r="G1267" i="5" s="1"/>
  <c r="F1275" i="5"/>
  <c r="G1275" i="5" s="1"/>
  <c r="F1283" i="5"/>
  <c r="G1283" i="5" s="1"/>
  <c r="F1291" i="5"/>
  <c r="G1291" i="5" s="1"/>
  <c r="F1299" i="5"/>
  <c r="G1299" i="5" s="1"/>
  <c r="F1307" i="5"/>
  <c r="G1307" i="5" s="1"/>
  <c r="F1315" i="5"/>
  <c r="G1315" i="5" s="1"/>
  <c r="F1323" i="5"/>
  <c r="G1323" i="5" s="1"/>
  <c r="F1331" i="5"/>
  <c r="G1331" i="5" s="1"/>
  <c r="F1339" i="5"/>
  <c r="G1339" i="5" s="1"/>
  <c r="F1347" i="5"/>
  <c r="G1347" i="5" s="1"/>
  <c r="F1355" i="5"/>
  <c r="G1355" i="5" s="1"/>
  <c r="F1363" i="5"/>
  <c r="G1363" i="5" s="1"/>
  <c r="F1371" i="5"/>
  <c r="G1371" i="5" s="1"/>
  <c r="F1375" i="5"/>
  <c r="G1375" i="5" s="1"/>
  <c r="F1383" i="5"/>
  <c r="G1383" i="5" s="1"/>
  <c r="F1387" i="5"/>
  <c r="G1387" i="5" s="1"/>
  <c r="F1391" i="5"/>
  <c r="G1391" i="5" s="1"/>
  <c r="F1395" i="5"/>
  <c r="G1395" i="5" s="1"/>
  <c r="F1399" i="5"/>
  <c r="G1399" i="5" s="1"/>
  <c r="F1403" i="5"/>
  <c r="G1403" i="5" s="1"/>
  <c r="F1407" i="5"/>
  <c r="G1407" i="5" s="1"/>
  <c r="F1411" i="5"/>
  <c r="G1411" i="5" s="1"/>
  <c r="F1415" i="5"/>
  <c r="G1415" i="5" s="1"/>
  <c r="F1419" i="5"/>
  <c r="G1419" i="5" s="1"/>
  <c r="F1423" i="5"/>
  <c r="G1423" i="5" s="1"/>
  <c r="F1427" i="5"/>
  <c r="G1427" i="5" s="1"/>
  <c r="F1431" i="5"/>
  <c r="G1431" i="5" s="1"/>
  <c r="F1439" i="5"/>
  <c r="G1439" i="5" s="1"/>
  <c r="F1447" i="5"/>
  <c r="G1447" i="5" s="1"/>
  <c r="F1455" i="5"/>
  <c r="G1455" i="5" s="1"/>
  <c r="F1463" i="5"/>
  <c r="G1463" i="5" s="1"/>
  <c r="F1467" i="5"/>
  <c r="G1467" i="5" s="1"/>
  <c r="F1475" i="5"/>
  <c r="G1475" i="5" s="1"/>
  <c r="F1479" i="5"/>
  <c r="G1479" i="5" s="1"/>
  <c r="F1483" i="5"/>
  <c r="G1483" i="5" s="1"/>
  <c r="F1487" i="5"/>
  <c r="G1487" i="5" s="1"/>
  <c r="F1491" i="5"/>
  <c r="G1491" i="5" s="1"/>
  <c r="F1495" i="5"/>
  <c r="G1495" i="5" s="1"/>
  <c r="F1499" i="5"/>
  <c r="G1499" i="5" s="1"/>
  <c r="F1503" i="5"/>
  <c r="G1503" i="5" s="1"/>
  <c r="F1507" i="5"/>
  <c r="G1507" i="5" s="1"/>
  <c r="F1511" i="5"/>
  <c r="G1511" i="5" s="1"/>
  <c r="F1515" i="5"/>
  <c r="G1515" i="5" s="1"/>
  <c r="F1519" i="5"/>
  <c r="G1519" i="5" s="1"/>
  <c r="F1523" i="5"/>
  <c r="G1523" i="5" s="1"/>
  <c r="F1531" i="5"/>
  <c r="G1531" i="5" s="1"/>
  <c r="F1539" i="5"/>
  <c r="G1539" i="5" s="1"/>
  <c r="F1547" i="5"/>
  <c r="G1547" i="5" s="1"/>
  <c r="F1555" i="5"/>
  <c r="G1555" i="5" s="1"/>
  <c r="F1563" i="5"/>
  <c r="G1563" i="5" s="1"/>
  <c r="F1571" i="5"/>
  <c r="G1571" i="5" s="1"/>
  <c r="F1579" i="5"/>
  <c r="G1579" i="5" s="1"/>
  <c r="F1587" i="5"/>
  <c r="G1587" i="5" s="1"/>
  <c r="F1595" i="5"/>
  <c r="G1595" i="5" s="1"/>
  <c r="F1603" i="5"/>
  <c r="G1603" i="5" s="1"/>
  <c r="F1611" i="5"/>
  <c r="G1611" i="5" s="1"/>
  <c r="F1619" i="5"/>
  <c r="G1619" i="5" s="1"/>
  <c r="F1627" i="5"/>
  <c r="G1627" i="5" s="1"/>
  <c r="F1635" i="5"/>
  <c r="G1635" i="5" s="1"/>
  <c r="F1643" i="5"/>
  <c r="G1643" i="5" s="1"/>
  <c r="F1651" i="5"/>
  <c r="G1651" i="5" s="1"/>
  <c r="F1659" i="5"/>
  <c r="G1659" i="5" s="1"/>
  <c r="F1667" i="5"/>
  <c r="G1667" i="5" s="1"/>
  <c r="F1675" i="5"/>
  <c r="G1675" i="5" s="1"/>
  <c r="F1683" i="5"/>
  <c r="G1683" i="5" s="1"/>
  <c r="F1691" i="5"/>
  <c r="G1691" i="5" s="1"/>
  <c r="F1699" i="5"/>
  <c r="G1699" i="5" s="1"/>
  <c r="F1707" i="5"/>
  <c r="G1707" i="5" s="1"/>
  <c r="F1715" i="5"/>
  <c r="G1715" i="5" s="1"/>
  <c r="F1723" i="5"/>
  <c r="G1723" i="5" s="1"/>
  <c r="F1731" i="5"/>
  <c r="G1731" i="5" s="1"/>
  <c r="F1739" i="5"/>
  <c r="G1739" i="5" s="1"/>
  <c r="F1747" i="5"/>
  <c r="G1747" i="5" s="1"/>
  <c r="F1755" i="5"/>
  <c r="G1755" i="5" s="1"/>
  <c r="F1763" i="5"/>
  <c r="G1763" i="5" s="1"/>
  <c r="F1771" i="5"/>
  <c r="G1771" i="5" s="1"/>
  <c r="F1779" i="5"/>
  <c r="G1779" i="5" s="1"/>
  <c r="F1787" i="5"/>
  <c r="G1787" i="5" s="1"/>
  <c r="F1795" i="5"/>
  <c r="G1795" i="5" s="1"/>
  <c r="F1803" i="5"/>
  <c r="G1803" i="5" s="1"/>
  <c r="F1807" i="5"/>
  <c r="G1807" i="5" s="1"/>
  <c r="F1815" i="5"/>
  <c r="G1815" i="5" s="1"/>
  <c r="F1819" i="5"/>
  <c r="G1819" i="5" s="1"/>
  <c r="F1823" i="5"/>
  <c r="G1823" i="5" s="1"/>
  <c r="F1827" i="5"/>
  <c r="G1827" i="5" s="1"/>
  <c r="F1831" i="5"/>
  <c r="G1831" i="5" s="1"/>
  <c r="F1835" i="5"/>
  <c r="G1835" i="5" s="1"/>
  <c r="F1839" i="5"/>
  <c r="G1839" i="5" s="1"/>
  <c r="F1843" i="5"/>
  <c r="G1843" i="5" s="1"/>
  <c r="F1847" i="5"/>
  <c r="G1847" i="5" s="1"/>
  <c r="F1851" i="5"/>
  <c r="G1851" i="5" s="1"/>
  <c r="F1855" i="5"/>
  <c r="G1855" i="5" s="1"/>
  <c r="F1859" i="5"/>
  <c r="G1859" i="5" s="1"/>
  <c r="F1863" i="5"/>
  <c r="G1863" i="5" s="1"/>
  <c r="F1871" i="5"/>
  <c r="G1871" i="5" s="1"/>
  <c r="F1875" i="5"/>
  <c r="G1875" i="5" s="1"/>
  <c r="F1879" i="5"/>
  <c r="G1879" i="5" s="1"/>
  <c r="F1883" i="5"/>
  <c r="G1883" i="5" s="1"/>
  <c r="F1887" i="5"/>
  <c r="G1887" i="5" s="1"/>
  <c r="F1891" i="5"/>
  <c r="G1891" i="5" s="1"/>
  <c r="F1895" i="5"/>
  <c r="G1895" i="5" s="1"/>
  <c r="F1899" i="5"/>
  <c r="G1899" i="5" s="1"/>
  <c r="F1903" i="5"/>
  <c r="G1903" i="5" s="1"/>
  <c r="F1907" i="5"/>
  <c r="G1907" i="5" s="1"/>
  <c r="F1911" i="5"/>
  <c r="G1911" i="5" s="1"/>
  <c r="F1915" i="5"/>
  <c r="G1915" i="5" s="1"/>
  <c r="F1919" i="5"/>
  <c r="G1919" i="5" s="1"/>
  <c r="F1923" i="5"/>
  <c r="G1923" i="5" s="1"/>
  <c r="F1927" i="5"/>
  <c r="G1927" i="5" s="1"/>
  <c r="F1931" i="5"/>
  <c r="G1931" i="5" s="1"/>
  <c r="F1935" i="5"/>
  <c r="G1935" i="5" s="1"/>
  <c r="F1943" i="5"/>
  <c r="G1943" i="5" s="1"/>
  <c r="F1951" i="5"/>
  <c r="G1951" i="5" s="1"/>
  <c r="F1959" i="5"/>
  <c r="G1959" i="5" s="1"/>
  <c r="F1967" i="5"/>
  <c r="G1967" i="5" s="1"/>
  <c r="F1975" i="5"/>
  <c r="G1975" i="5" s="1"/>
  <c r="F1983" i="5"/>
  <c r="G1983" i="5" s="1"/>
  <c r="F1991" i="5"/>
  <c r="G1991" i="5" s="1"/>
  <c r="F1999" i="5"/>
  <c r="G1999" i="5" s="1"/>
  <c r="F2007" i="5"/>
  <c r="G2007" i="5" s="1"/>
  <c r="F2015" i="5"/>
  <c r="G2015" i="5" s="1"/>
  <c r="F2023" i="5"/>
  <c r="G2023" i="5" s="1"/>
  <c r="F2031" i="5"/>
  <c r="G2031" i="5" s="1"/>
  <c r="F2039" i="5"/>
  <c r="G2039" i="5" s="1"/>
  <c r="F2047" i="5"/>
  <c r="G2047" i="5" s="1"/>
  <c r="F2055" i="5"/>
  <c r="G2055" i="5" s="1"/>
  <c r="F2059" i="5"/>
  <c r="G2059" i="5" s="1"/>
  <c r="F2063" i="5"/>
  <c r="G2063" i="5" s="1"/>
  <c r="F2067" i="5"/>
  <c r="G2067" i="5" s="1"/>
  <c r="F2071" i="5"/>
  <c r="G2071" i="5" s="1"/>
  <c r="F2075" i="5"/>
  <c r="G2075" i="5" s="1"/>
  <c r="F2079" i="5"/>
  <c r="G2079" i="5" s="1"/>
  <c r="F2083" i="5"/>
  <c r="G2083" i="5" s="1"/>
  <c r="F2091" i="5"/>
  <c r="G2091" i="5" s="1"/>
  <c r="F2095" i="5"/>
  <c r="G2095" i="5" s="1"/>
  <c r="F2099" i="5"/>
  <c r="G2099" i="5" s="1"/>
  <c r="F2103" i="5"/>
  <c r="G2103" i="5" s="1"/>
  <c r="F2107" i="5"/>
  <c r="G2107" i="5" s="1"/>
  <c r="F2111" i="5"/>
  <c r="G2111" i="5" s="1"/>
  <c r="F2115" i="5"/>
  <c r="G2115" i="5" s="1"/>
  <c r="F2119" i="5"/>
  <c r="G2119" i="5" s="1"/>
  <c r="F2123" i="5"/>
  <c r="G2123" i="5" s="1"/>
  <c r="F2127" i="5"/>
  <c r="G2127" i="5" s="1"/>
  <c r="F2131" i="5"/>
  <c r="G2131" i="5" s="1"/>
  <c r="F2135" i="5"/>
  <c r="G2135" i="5" s="1"/>
  <c r="F2139" i="5"/>
  <c r="G2139" i="5" s="1"/>
  <c r="F2143" i="5"/>
  <c r="G2143" i="5" s="1"/>
  <c r="F2147" i="5"/>
  <c r="G2147" i="5" s="1"/>
  <c r="F2151" i="5"/>
  <c r="G2151" i="5" s="1"/>
  <c r="F2155" i="5"/>
  <c r="G2155" i="5" s="1"/>
  <c r="F2159" i="5"/>
  <c r="G2159" i="5" s="1"/>
  <c r="F2163" i="5"/>
  <c r="G2163" i="5" s="1"/>
  <c r="F2167" i="5"/>
  <c r="G2167" i="5" s="1"/>
  <c r="F2171" i="5"/>
  <c r="G2171" i="5" s="1"/>
  <c r="F2175" i="5"/>
  <c r="G2175" i="5" s="1"/>
  <c r="F2179" i="5"/>
  <c r="G2179" i="5" s="1"/>
  <c r="F2183" i="5"/>
  <c r="G2183" i="5" s="1"/>
  <c r="F2187" i="5"/>
  <c r="G2187" i="5" s="1"/>
  <c r="F2191" i="5"/>
  <c r="G2191" i="5" s="1"/>
  <c r="F2195" i="5"/>
  <c r="G2195" i="5" s="1"/>
  <c r="F2199" i="5"/>
  <c r="G2199" i="5" s="1"/>
  <c r="F2203" i="5"/>
  <c r="G2203" i="5" s="1"/>
  <c r="F2207" i="5"/>
  <c r="G2207" i="5" s="1"/>
  <c r="F2211" i="5"/>
  <c r="G2211" i="5" s="1"/>
  <c r="F2215" i="5"/>
  <c r="G2215" i="5" s="1"/>
  <c r="F2219" i="5"/>
  <c r="G2219" i="5" s="1"/>
  <c r="F2223" i="5"/>
  <c r="G2223" i="5" s="1"/>
  <c r="F2227" i="5"/>
  <c r="G2227" i="5" s="1"/>
  <c r="F2231" i="5"/>
  <c r="G2231" i="5" s="1"/>
  <c r="F1263" i="5"/>
  <c r="G1263" i="5" s="1"/>
  <c r="F1271" i="5"/>
  <c r="G1271" i="5" s="1"/>
  <c r="F1279" i="5"/>
  <c r="G1279" i="5" s="1"/>
  <c r="F1287" i="5"/>
  <c r="G1287" i="5" s="1"/>
  <c r="F1295" i="5"/>
  <c r="G1295" i="5" s="1"/>
  <c r="F1303" i="5"/>
  <c r="G1303" i="5" s="1"/>
  <c r="F1311" i="5"/>
  <c r="G1311" i="5" s="1"/>
  <c r="F1319" i="5"/>
  <c r="G1319" i="5" s="1"/>
  <c r="F1327" i="5"/>
  <c r="G1327" i="5" s="1"/>
  <c r="F1335" i="5"/>
  <c r="G1335" i="5" s="1"/>
  <c r="F1343" i="5"/>
  <c r="G1343" i="5" s="1"/>
  <c r="F1351" i="5"/>
  <c r="G1351" i="5" s="1"/>
  <c r="F1359" i="5"/>
  <c r="G1359" i="5" s="1"/>
  <c r="F1367" i="5"/>
  <c r="G1367" i="5" s="1"/>
  <c r="F1379" i="5"/>
  <c r="G1379" i="5" s="1"/>
  <c r="F1435" i="5"/>
  <c r="G1435" i="5" s="1"/>
  <c r="F1443" i="5"/>
  <c r="G1443" i="5" s="1"/>
  <c r="F1451" i="5"/>
  <c r="G1451" i="5" s="1"/>
  <c r="F1459" i="5"/>
  <c r="G1459" i="5" s="1"/>
  <c r="F1471" i="5"/>
  <c r="G1471" i="5" s="1"/>
  <c r="F1527" i="5"/>
  <c r="G1527" i="5" s="1"/>
  <c r="F1535" i="5"/>
  <c r="G1535" i="5" s="1"/>
  <c r="F1543" i="5"/>
  <c r="G1543" i="5" s="1"/>
  <c r="F1551" i="5"/>
  <c r="G1551" i="5" s="1"/>
  <c r="F1559" i="5"/>
  <c r="G1559" i="5" s="1"/>
  <c r="F1567" i="5"/>
  <c r="G1567" i="5" s="1"/>
  <c r="F1575" i="5"/>
  <c r="G1575" i="5" s="1"/>
  <c r="F1583" i="5"/>
  <c r="G1583" i="5" s="1"/>
  <c r="F1591" i="5"/>
  <c r="G1591" i="5" s="1"/>
  <c r="F1599" i="5"/>
  <c r="G1599" i="5" s="1"/>
  <c r="F1607" i="5"/>
  <c r="G1607" i="5" s="1"/>
  <c r="F1615" i="5"/>
  <c r="G1615" i="5" s="1"/>
  <c r="F1623" i="5"/>
  <c r="G1623" i="5" s="1"/>
  <c r="F1631" i="5"/>
  <c r="G1631" i="5" s="1"/>
  <c r="F1639" i="5"/>
  <c r="G1639" i="5" s="1"/>
  <c r="F1647" i="5"/>
  <c r="G1647" i="5" s="1"/>
  <c r="F1655" i="5"/>
  <c r="G1655" i="5" s="1"/>
  <c r="F1663" i="5"/>
  <c r="G1663" i="5" s="1"/>
  <c r="F1671" i="5"/>
  <c r="G1671" i="5" s="1"/>
  <c r="F1679" i="5"/>
  <c r="G1679" i="5" s="1"/>
  <c r="F1687" i="5"/>
  <c r="G1687" i="5" s="1"/>
  <c r="F1695" i="5"/>
  <c r="G1695" i="5" s="1"/>
  <c r="F1703" i="5"/>
  <c r="G1703" i="5" s="1"/>
  <c r="F1711" i="5"/>
  <c r="G1711" i="5" s="1"/>
  <c r="F1719" i="5"/>
  <c r="G1719" i="5" s="1"/>
  <c r="F1727" i="5"/>
  <c r="G1727" i="5" s="1"/>
  <c r="F1735" i="5"/>
  <c r="G1735" i="5" s="1"/>
  <c r="F1743" i="5"/>
  <c r="G1743" i="5" s="1"/>
  <c r="F1751" i="5"/>
  <c r="G1751" i="5" s="1"/>
  <c r="F1759" i="5"/>
  <c r="G1759" i="5" s="1"/>
  <c r="F1767" i="5"/>
  <c r="G1767" i="5" s="1"/>
  <c r="F1775" i="5"/>
  <c r="G1775" i="5" s="1"/>
  <c r="F1783" i="5"/>
  <c r="G1783" i="5" s="1"/>
  <c r="F1791" i="5"/>
  <c r="G1791" i="5" s="1"/>
  <c r="F1799" i="5"/>
  <c r="G1799" i="5" s="1"/>
  <c r="F1811" i="5"/>
  <c r="G1811" i="5" s="1"/>
  <c r="F1867" i="5"/>
  <c r="G1867" i="5" s="1"/>
  <c r="F1939" i="5"/>
  <c r="G1939" i="5" s="1"/>
  <c r="F1947" i="5"/>
  <c r="G1947" i="5" s="1"/>
  <c r="F1955" i="5"/>
  <c r="G1955" i="5" s="1"/>
  <c r="F1963" i="5"/>
  <c r="G1963" i="5" s="1"/>
  <c r="F1971" i="5"/>
  <c r="G1971" i="5" s="1"/>
  <c r="F1979" i="5"/>
  <c r="G1979" i="5" s="1"/>
  <c r="F1987" i="5"/>
  <c r="G1987" i="5" s="1"/>
  <c r="F1995" i="5"/>
  <c r="G1995" i="5" s="1"/>
  <c r="F2003" i="5"/>
  <c r="G2003" i="5" s="1"/>
  <c r="F2011" i="5"/>
  <c r="G2011" i="5" s="1"/>
  <c r="F2019" i="5"/>
  <c r="G2019" i="5" s="1"/>
  <c r="F2027" i="5"/>
  <c r="G2027" i="5" s="1"/>
  <c r="F2035" i="5"/>
  <c r="G2035" i="5" s="1"/>
  <c r="F2043" i="5"/>
  <c r="G2043" i="5" s="1"/>
  <c r="F2051" i="5"/>
  <c r="G2051" i="5" s="1"/>
  <c r="F2087" i="5"/>
  <c r="G2087" i="5" s="1"/>
  <c r="F305" i="5"/>
  <c r="G305" i="5" s="1"/>
  <c r="F309" i="5"/>
  <c r="G309" i="5" s="1"/>
  <c r="F313" i="5"/>
  <c r="G313" i="5" s="1"/>
  <c r="F317" i="5"/>
  <c r="G317" i="5" s="1"/>
  <c r="F321" i="5"/>
  <c r="G321" i="5" s="1"/>
  <c r="F325" i="5"/>
  <c r="G325" i="5" s="1"/>
  <c r="F329" i="5"/>
  <c r="G329" i="5" s="1"/>
  <c r="F333" i="5"/>
  <c r="G333" i="5" s="1"/>
  <c r="F337" i="5"/>
  <c r="G337" i="5" s="1"/>
  <c r="F341" i="5"/>
  <c r="G341" i="5" s="1"/>
  <c r="F345" i="5"/>
  <c r="G345" i="5" s="1"/>
  <c r="F349" i="5"/>
  <c r="G349" i="5" s="1"/>
  <c r="F353" i="5"/>
  <c r="G353" i="5" s="1"/>
  <c r="F357" i="5"/>
  <c r="G357" i="5" s="1"/>
  <c r="F361" i="5"/>
  <c r="G361" i="5" s="1"/>
  <c r="F365" i="5"/>
  <c r="G365" i="5" s="1"/>
  <c r="F369" i="5"/>
  <c r="G369" i="5" s="1"/>
  <c r="F373" i="5"/>
  <c r="G373" i="5" s="1"/>
  <c r="F377" i="5"/>
  <c r="G377" i="5" s="1"/>
  <c r="F381" i="5"/>
  <c r="G381" i="5" s="1"/>
  <c r="F385" i="5"/>
  <c r="G385" i="5" s="1"/>
  <c r="F389" i="5"/>
  <c r="G389" i="5" s="1"/>
  <c r="F393" i="5"/>
  <c r="G393" i="5" s="1"/>
  <c r="F397" i="5"/>
  <c r="G397" i="5" s="1"/>
  <c r="F401" i="5"/>
  <c r="G401" i="5" s="1"/>
  <c r="F405" i="5"/>
  <c r="G405" i="5" s="1"/>
  <c r="F409" i="5"/>
  <c r="G409" i="5" s="1"/>
  <c r="F413" i="5"/>
  <c r="G413" i="5" s="1"/>
  <c r="F417" i="5"/>
  <c r="G417" i="5" s="1"/>
  <c r="F421" i="5"/>
  <c r="G421" i="5" s="1"/>
  <c r="F425" i="5"/>
  <c r="G425" i="5" s="1"/>
  <c r="F429" i="5"/>
  <c r="G429" i="5" s="1"/>
  <c r="F433" i="5"/>
  <c r="G433" i="5" s="1"/>
  <c r="F437" i="5"/>
  <c r="G437" i="5" s="1"/>
  <c r="F441" i="5"/>
  <c r="G441" i="5" s="1"/>
  <c r="F445" i="5"/>
  <c r="G445" i="5" s="1"/>
  <c r="F449" i="5"/>
  <c r="G449" i="5" s="1"/>
  <c r="F453" i="5"/>
  <c r="G453" i="5" s="1"/>
  <c r="F457" i="5"/>
  <c r="G457" i="5" s="1"/>
  <c r="F461" i="5"/>
  <c r="G461" i="5" s="1"/>
  <c r="F465" i="5"/>
  <c r="G465" i="5" s="1"/>
  <c r="F469" i="5"/>
  <c r="G469" i="5" s="1"/>
  <c r="F473" i="5"/>
  <c r="G473" i="5" s="1"/>
  <c r="F477" i="5"/>
  <c r="G477" i="5" s="1"/>
  <c r="F481" i="5"/>
  <c r="G481" i="5" s="1"/>
  <c r="F485" i="5"/>
  <c r="G485" i="5" s="1"/>
  <c r="F489" i="5"/>
  <c r="G489" i="5" s="1"/>
  <c r="F493" i="5"/>
  <c r="G493" i="5" s="1"/>
  <c r="F497" i="5"/>
  <c r="G497" i="5" s="1"/>
  <c r="F501" i="5"/>
  <c r="G501" i="5" s="1"/>
  <c r="F505" i="5"/>
  <c r="G505" i="5" s="1"/>
  <c r="F509" i="5"/>
  <c r="G509" i="5" s="1"/>
  <c r="F513" i="5"/>
  <c r="G513" i="5" s="1"/>
  <c r="F517" i="5"/>
  <c r="G517" i="5" s="1"/>
  <c r="F521" i="5"/>
  <c r="G521" i="5" s="1"/>
  <c r="F525" i="5"/>
  <c r="G525" i="5" s="1"/>
  <c r="F529" i="5"/>
  <c r="G529" i="5" s="1"/>
  <c r="F533" i="5"/>
  <c r="G533" i="5" s="1"/>
  <c r="F537" i="5"/>
  <c r="G537" i="5" s="1"/>
  <c r="F541" i="5"/>
  <c r="G541" i="5" s="1"/>
  <c r="F545" i="5"/>
  <c r="G545" i="5" s="1"/>
  <c r="F549" i="5"/>
  <c r="G549" i="5" s="1"/>
  <c r="F553" i="5"/>
  <c r="G553" i="5" s="1"/>
  <c r="F557" i="5"/>
  <c r="G557" i="5" s="1"/>
  <c r="F561" i="5"/>
  <c r="G561" i="5" s="1"/>
  <c r="F565" i="5"/>
  <c r="G565" i="5" s="1"/>
  <c r="F569" i="5"/>
  <c r="G569" i="5" s="1"/>
  <c r="F573" i="5"/>
  <c r="G573" i="5" s="1"/>
  <c r="F577" i="5"/>
  <c r="G577" i="5" s="1"/>
  <c r="F581" i="5"/>
  <c r="G581" i="5" s="1"/>
  <c r="F585" i="5"/>
  <c r="G585" i="5" s="1"/>
  <c r="F589" i="5"/>
  <c r="G589" i="5" s="1"/>
  <c r="F593" i="5"/>
  <c r="G593" i="5" s="1"/>
  <c r="F597" i="5"/>
  <c r="G597" i="5" s="1"/>
  <c r="F601" i="5"/>
  <c r="G601" i="5" s="1"/>
  <c r="F605" i="5"/>
  <c r="G605" i="5" s="1"/>
  <c r="F609" i="5"/>
  <c r="G609" i="5" s="1"/>
  <c r="F613" i="5"/>
  <c r="G613" i="5" s="1"/>
  <c r="F617" i="5"/>
  <c r="G617" i="5" s="1"/>
  <c r="F621" i="5"/>
  <c r="G621" i="5" s="1"/>
  <c r="F625" i="5"/>
  <c r="G625" i="5" s="1"/>
  <c r="F629" i="5"/>
  <c r="G629" i="5" s="1"/>
  <c r="F633" i="5"/>
  <c r="G633" i="5" s="1"/>
  <c r="F637" i="5"/>
  <c r="G637" i="5" s="1"/>
  <c r="F641" i="5"/>
  <c r="G641" i="5" s="1"/>
  <c r="F645" i="5"/>
  <c r="G645" i="5" s="1"/>
  <c r="F649" i="5"/>
  <c r="G649" i="5" s="1"/>
  <c r="F653" i="5"/>
  <c r="G653" i="5" s="1"/>
  <c r="F657" i="5"/>
  <c r="G657" i="5" s="1"/>
  <c r="F661" i="5"/>
  <c r="G661" i="5" s="1"/>
  <c r="F665" i="5"/>
  <c r="G665" i="5" s="1"/>
  <c r="F669" i="5"/>
  <c r="G669" i="5" s="1"/>
  <c r="F673" i="5"/>
  <c r="G673" i="5" s="1"/>
  <c r="F677" i="5"/>
  <c r="G677" i="5" s="1"/>
  <c r="F681" i="5"/>
  <c r="G681" i="5" s="1"/>
  <c r="F685" i="5"/>
  <c r="G685" i="5" s="1"/>
  <c r="F689" i="5"/>
  <c r="G689" i="5" s="1"/>
  <c r="F693" i="5"/>
  <c r="G693" i="5" s="1"/>
  <c r="F697" i="5"/>
  <c r="G697" i="5" s="1"/>
  <c r="F701" i="5"/>
  <c r="G701" i="5" s="1"/>
  <c r="F705" i="5"/>
  <c r="G705" i="5" s="1"/>
  <c r="F2263" i="5"/>
  <c r="G2263" i="5" s="1"/>
  <c r="F2271" i="5"/>
  <c r="G2271" i="5" s="1"/>
  <c r="F2279" i="5"/>
  <c r="G2279" i="5" s="1"/>
  <c r="F2291" i="5"/>
  <c r="G2291" i="5" s="1"/>
  <c r="F2347" i="5"/>
  <c r="G2347" i="5" s="1"/>
  <c r="F2355" i="5"/>
  <c r="G2355" i="5" s="1"/>
  <c r="F2363" i="5"/>
  <c r="G2363" i="5" s="1"/>
  <c r="F2371" i="5"/>
  <c r="G2371" i="5" s="1"/>
  <c r="F2379" i="5"/>
  <c r="G2379" i="5" s="1"/>
  <c r="F2387" i="5"/>
  <c r="G2387" i="5" s="1"/>
  <c r="F2395" i="5"/>
  <c r="G2395" i="5" s="1"/>
  <c r="F2403" i="5"/>
  <c r="G2403" i="5" s="1"/>
  <c r="F2411" i="5"/>
  <c r="G2411" i="5" s="1"/>
  <c r="F2419" i="5"/>
  <c r="G2419" i="5" s="1"/>
  <c r="F2427" i="5"/>
  <c r="G2427" i="5" s="1"/>
  <c r="F2435" i="5"/>
  <c r="G2435" i="5" s="1"/>
  <c r="F2443" i="5"/>
  <c r="G2443" i="5" s="1"/>
  <c r="F2451" i="5"/>
  <c r="G2451" i="5" s="1"/>
  <c r="F2459" i="5"/>
  <c r="G2459" i="5" s="1"/>
  <c r="F2467" i="5"/>
  <c r="G2467" i="5" s="1"/>
  <c r="F2475" i="5"/>
  <c r="G2475" i="5" s="1"/>
  <c r="F2483" i="5"/>
  <c r="G2483" i="5" s="1"/>
  <c r="F2491" i="5"/>
  <c r="G2491" i="5" s="1"/>
  <c r="F2499" i="5"/>
  <c r="G2499" i="5" s="1"/>
  <c r="F2507" i="5"/>
  <c r="G2507" i="5" s="1"/>
  <c r="F2515" i="5"/>
  <c r="G2515" i="5" s="1"/>
  <c r="F2523" i="5"/>
  <c r="G2523" i="5" s="1"/>
  <c r="F2531" i="5"/>
  <c r="G2531" i="5" s="1"/>
  <c r="F2539" i="5"/>
  <c r="G2539" i="5" s="1"/>
  <c r="F2547" i="5"/>
  <c r="G2547" i="5" s="1"/>
  <c r="F2555" i="5"/>
  <c r="G2555" i="5" s="1"/>
  <c r="F2567" i="5"/>
  <c r="G2567" i="5" s="1"/>
  <c r="F2615" i="5"/>
  <c r="G2615" i="5" s="1"/>
  <c r="F2623" i="5"/>
  <c r="G2623" i="5" s="1"/>
  <c r="F2639" i="5"/>
  <c r="G2639" i="5" s="1"/>
  <c r="F2655" i="5"/>
  <c r="G2655" i="5" s="1"/>
  <c r="F2659" i="5"/>
  <c r="G2659" i="5" s="1"/>
  <c r="F2663" i="5"/>
  <c r="G2663" i="5" s="1"/>
  <c r="F2667" i="5"/>
  <c r="G2667" i="5" s="1"/>
  <c r="F2671" i="5"/>
  <c r="G2671" i="5" s="1"/>
  <c r="F2675" i="5"/>
  <c r="G2675" i="5" s="1"/>
  <c r="F2679" i="5"/>
  <c r="G2679" i="5" s="1"/>
  <c r="F2683" i="5"/>
  <c r="G2683" i="5" s="1"/>
  <c r="F2687" i="5"/>
  <c r="G2687" i="5" s="1"/>
  <c r="F2691" i="5"/>
  <c r="G2691" i="5" s="1"/>
  <c r="F2695" i="5"/>
  <c r="G2695" i="5" s="1"/>
  <c r="F2699" i="5"/>
  <c r="G2699" i="5" s="1"/>
  <c r="F2703" i="5"/>
  <c r="G2703" i="5" s="1"/>
  <c r="F2707" i="5"/>
  <c r="G2707" i="5" s="1"/>
  <c r="F2711" i="5"/>
  <c r="G2711" i="5" s="1"/>
  <c r="F2715" i="5"/>
  <c r="G2715" i="5" s="1"/>
  <c r="F2719" i="5"/>
  <c r="G2719" i="5" s="1"/>
  <c r="F2723" i="5"/>
  <c r="G2723" i="5" s="1"/>
  <c r="F2235" i="5"/>
  <c r="G2235" i="5" s="1"/>
  <c r="F2239" i="5"/>
  <c r="G2239" i="5" s="1"/>
  <c r="F2243" i="5"/>
  <c r="G2243" i="5" s="1"/>
  <c r="F2247" i="5"/>
  <c r="G2247" i="5" s="1"/>
  <c r="F2251" i="5"/>
  <c r="G2251" i="5" s="1"/>
  <c r="F2255" i="5"/>
  <c r="G2255" i="5" s="1"/>
  <c r="F2259" i="5"/>
  <c r="G2259" i="5" s="1"/>
  <c r="F2267" i="5"/>
  <c r="G2267" i="5" s="1"/>
  <c r="F2275" i="5"/>
  <c r="G2275" i="5" s="1"/>
  <c r="F2283" i="5"/>
  <c r="G2283" i="5" s="1"/>
  <c r="F2287" i="5"/>
  <c r="G2287" i="5" s="1"/>
  <c r="F2295" i="5"/>
  <c r="G2295" i="5" s="1"/>
  <c r="F2299" i="5"/>
  <c r="G2299" i="5" s="1"/>
  <c r="F2303" i="5"/>
  <c r="G2303" i="5" s="1"/>
  <c r="F2307" i="5"/>
  <c r="G2307" i="5" s="1"/>
  <c r="F2311" i="5"/>
  <c r="G2311" i="5" s="1"/>
  <c r="F2315" i="5"/>
  <c r="G2315" i="5" s="1"/>
  <c r="F2319" i="5"/>
  <c r="G2319" i="5" s="1"/>
  <c r="F2323" i="5"/>
  <c r="G2323" i="5" s="1"/>
  <c r="F2327" i="5"/>
  <c r="G2327" i="5" s="1"/>
  <c r="F2331" i="5"/>
  <c r="G2331" i="5" s="1"/>
  <c r="F2335" i="5"/>
  <c r="G2335" i="5" s="1"/>
  <c r="F2339" i="5"/>
  <c r="G2339" i="5" s="1"/>
  <c r="F2343" i="5"/>
  <c r="G2343" i="5" s="1"/>
  <c r="F2351" i="5"/>
  <c r="G2351" i="5" s="1"/>
  <c r="F2359" i="5"/>
  <c r="G2359" i="5" s="1"/>
  <c r="F2367" i="5"/>
  <c r="G2367" i="5" s="1"/>
  <c r="F2375" i="5"/>
  <c r="G2375" i="5" s="1"/>
  <c r="F2383" i="5"/>
  <c r="G2383" i="5" s="1"/>
  <c r="F2391" i="5"/>
  <c r="G2391" i="5" s="1"/>
  <c r="F2399" i="5"/>
  <c r="G2399" i="5" s="1"/>
  <c r="F2407" i="5"/>
  <c r="G2407" i="5" s="1"/>
  <c r="F2415" i="5"/>
  <c r="G2415" i="5" s="1"/>
  <c r="F2423" i="5"/>
  <c r="G2423" i="5" s="1"/>
  <c r="F2431" i="5"/>
  <c r="G2431" i="5" s="1"/>
  <c r="F2439" i="5"/>
  <c r="G2439" i="5" s="1"/>
  <c r="F2447" i="5"/>
  <c r="G2447" i="5" s="1"/>
  <c r="F2455" i="5"/>
  <c r="G2455" i="5" s="1"/>
  <c r="F2463" i="5"/>
  <c r="G2463" i="5" s="1"/>
  <c r="F2471" i="5"/>
  <c r="G2471" i="5" s="1"/>
  <c r="F2479" i="5"/>
  <c r="G2479" i="5" s="1"/>
  <c r="F2487" i="5"/>
  <c r="G2487" i="5" s="1"/>
  <c r="F2495" i="5"/>
  <c r="G2495" i="5" s="1"/>
  <c r="F2503" i="5"/>
  <c r="G2503" i="5" s="1"/>
  <c r="F2511" i="5"/>
  <c r="G2511" i="5" s="1"/>
  <c r="F2519" i="5"/>
  <c r="G2519" i="5" s="1"/>
  <c r="F2527" i="5"/>
  <c r="G2527" i="5" s="1"/>
  <c r="F2535" i="5"/>
  <c r="G2535" i="5" s="1"/>
  <c r="F2543" i="5"/>
  <c r="G2543" i="5" s="1"/>
  <c r="F2551" i="5"/>
  <c r="G2551" i="5" s="1"/>
  <c r="F2559" i="5"/>
  <c r="G2559" i="5" s="1"/>
  <c r="F2563" i="5"/>
  <c r="G2563" i="5" s="1"/>
  <c r="F2571" i="5"/>
  <c r="G2571" i="5" s="1"/>
  <c r="F2575" i="5"/>
  <c r="G2575" i="5" s="1"/>
  <c r="F2579" i="5"/>
  <c r="G2579" i="5" s="1"/>
  <c r="F2583" i="5"/>
  <c r="G2583" i="5" s="1"/>
  <c r="F2587" i="5"/>
  <c r="G2587" i="5" s="1"/>
  <c r="F2591" i="5"/>
  <c r="G2591" i="5" s="1"/>
  <c r="F2595" i="5"/>
  <c r="G2595" i="5" s="1"/>
  <c r="F2599" i="5"/>
  <c r="G2599" i="5" s="1"/>
  <c r="F2603" i="5"/>
  <c r="G2603" i="5" s="1"/>
  <c r="F2607" i="5"/>
  <c r="G2607" i="5" s="1"/>
  <c r="F2611" i="5"/>
  <c r="G2611" i="5" s="1"/>
  <c r="F2619" i="5"/>
  <c r="G2619" i="5" s="1"/>
  <c r="F2627" i="5"/>
  <c r="G2627" i="5" s="1"/>
  <c r="F2631" i="5"/>
  <c r="G2631" i="5" s="1"/>
  <c r="F2635" i="5"/>
  <c r="G2635" i="5" s="1"/>
  <c r="F2643" i="5"/>
  <c r="G2643" i="5" s="1"/>
  <c r="F2647" i="5"/>
  <c r="G2647" i="5" s="1"/>
  <c r="F2651" i="5"/>
  <c r="G2651" i="5" s="1"/>
  <c r="F709" i="5"/>
  <c r="G709" i="5" s="1"/>
  <c r="F713" i="5"/>
  <c r="G713" i="5" s="1"/>
  <c r="F717" i="5"/>
  <c r="G717" i="5" s="1"/>
  <c r="F721" i="5"/>
  <c r="G721" i="5" s="1"/>
  <c r="F725" i="5"/>
  <c r="G725" i="5" s="1"/>
  <c r="F729" i="5"/>
  <c r="G729" i="5" s="1"/>
  <c r="F733" i="5"/>
  <c r="G733" i="5" s="1"/>
  <c r="F737" i="5"/>
  <c r="G737" i="5" s="1"/>
  <c r="F741" i="5"/>
  <c r="G741" i="5" s="1"/>
  <c r="F745" i="5"/>
  <c r="G745" i="5" s="1"/>
  <c r="F749" i="5"/>
  <c r="G749" i="5" s="1"/>
  <c r="F753" i="5"/>
  <c r="G753" i="5" s="1"/>
  <c r="F757" i="5"/>
  <c r="G757" i="5" s="1"/>
  <c r="F761" i="5"/>
  <c r="G761" i="5" s="1"/>
  <c r="F765" i="5"/>
  <c r="G765" i="5" s="1"/>
  <c r="F769" i="5"/>
  <c r="G769" i="5" s="1"/>
  <c r="F773" i="5"/>
  <c r="G773" i="5" s="1"/>
  <c r="F777" i="5"/>
  <c r="G777" i="5" s="1"/>
  <c r="F781" i="5"/>
  <c r="G781" i="5" s="1"/>
  <c r="F785" i="5"/>
  <c r="G785" i="5" s="1"/>
  <c r="F789" i="5"/>
  <c r="G789" i="5" s="1"/>
  <c r="F793" i="5"/>
  <c r="G793" i="5" s="1"/>
  <c r="F797" i="5"/>
  <c r="G797" i="5" s="1"/>
  <c r="F801" i="5"/>
  <c r="G801" i="5" s="1"/>
  <c r="F805" i="5"/>
  <c r="G805" i="5" s="1"/>
  <c r="F809" i="5"/>
  <c r="G809" i="5" s="1"/>
  <c r="F813" i="5"/>
  <c r="G813" i="5" s="1"/>
  <c r="F817" i="5"/>
  <c r="G817" i="5" s="1"/>
  <c r="F821" i="5"/>
  <c r="G821" i="5" s="1"/>
  <c r="F825" i="5"/>
  <c r="G825" i="5" s="1"/>
  <c r="F829" i="5"/>
  <c r="G829" i="5" s="1"/>
  <c r="F833" i="5"/>
  <c r="G833" i="5" s="1"/>
  <c r="F837" i="5"/>
  <c r="G837" i="5" s="1"/>
  <c r="F841" i="5"/>
  <c r="G841" i="5" s="1"/>
  <c r="F845" i="5"/>
  <c r="G845" i="5" s="1"/>
  <c r="F849" i="5"/>
  <c r="G849" i="5" s="1"/>
  <c r="F853" i="5"/>
  <c r="G853" i="5" s="1"/>
  <c r="F857" i="5"/>
  <c r="G857" i="5" s="1"/>
  <c r="F861" i="5"/>
  <c r="G861" i="5" s="1"/>
  <c r="F865" i="5"/>
  <c r="G865" i="5" s="1"/>
  <c r="F869" i="5"/>
  <c r="G869" i="5" s="1"/>
  <c r="F873" i="5"/>
  <c r="G873" i="5" s="1"/>
  <c r="F877" i="5"/>
  <c r="G877" i="5" s="1"/>
  <c r="F881" i="5"/>
  <c r="G881" i="5" s="1"/>
  <c r="F885" i="5"/>
  <c r="G885" i="5" s="1"/>
  <c r="F889" i="5"/>
  <c r="G889" i="5" s="1"/>
  <c r="F893" i="5"/>
  <c r="G893" i="5" s="1"/>
  <c r="F897" i="5"/>
  <c r="G897" i="5" s="1"/>
  <c r="F901" i="5"/>
  <c r="G901" i="5" s="1"/>
  <c r="F905" i="5"/>
  <c r="G905" i="5" s="1"/>
  <c r="F909" i="5"/>
  <c r="G909" i="5" s="1"/>
  <c r="F913" i="5"/>
  <c r="G913" i="5" s="1"/>
  <c r="F917" i="5"/>
  <c r="G917" i="5" s="1"/>
  <c r="F921" i="5"/>
  <c r="G921" i="5" s="1"/>
  <c r="F925" i="5"/>
  <c r="G925" i="5" s="1"/>
  <c r="F929" i="5"/>
  <c r="G929" i="5" s="1"/>
  <c r="F933" i="5"/>
  <c r="G933" i="5" s="1"/>
  <c r="F937" i="5"/>
  <c r="G937" i="5" s="1"/>
  <c r="F941" i="5"/>
  <c r="G941" i="5" s="1"/>
  <c r="F945" i="5"/>
  <c r="G945" i="5" s="1"/>
  <c r="F949" i="5"/>
  <c r="G949" i="5" s="1"/>
  <c r="F953" i="5"/>
  <c r="G953" i="5" s="1"/>
  <c r="F957" i="5"/>
  <c r="G957" i="5" s="1"/>
  <c r="F961" i="5"/>
  <c r="G961" i="5" s="1"/>
  <c r="F965" i="5"/>
  <c r="G965" i="5" s="1"/>
  <c r="F969" i="5"/>
  <c r="G969" i="5" s="1"/>
  <c r="F973" i="5"/>
  <c r="G973" i="5" s="1"/>
  <c r="F977" i="5"/>
  <c r="G977" i="5" s="1"/>
  <c r="F981" i="5"/>
  <c r="G981" i="5" s="1"/>
  <c r="F985" i="5"/>
  <c r="G985" i="5" s="1"/>
  <c r="F989" i="5"/>
  <c r="G989" i="5" s="1"/>
  <c r="F993" i="5"/>
  <c r="G993" i="5" s="1"/>
  <c r="F997" i="5"/>
  <c r="G997" i="5" s="1"/>
  <c r="F1001" i="5"/>
  <c r="G1001" i="5" s="1"/>
  <c r="F1005" i="5"/>
  <c r="G1005" i="5" s="1"/>
  <c r="F1009" i="5"/>
  <c r="G1009" i="5" s="1"/>
  <c r="F1013" i="5"/>
  <c r="G1013" i="5" s="1"/>
  <c r="F1017" i="5"/>
  <c r="G1017" i="5" s="1"/>
  <c r="F1021" i="5"/>
  <c r="G1021" i="5" s="1"/>
  <c r="F1025" i="5"/>
  <c r="G1025" i="5" s="1"/>
  <c r="F1029" i="5"/>
  <c r="G1029" i="5" s="1"/>
  <c r="F1033" i="5"/>
  <c r="G1033" i="5" s="1"/>
  <c r="F1037" i="5"/>
  <c r="G1037" i="5" s="1"/>
  <c r="F2727" i="5"/>
  <c r="G2727" i="5" s="1"/>
  <c r="F2731" i="5"/>
  <c r="G2731" i="5" s="1"/>
  <c r="F2735" i="5"/>
  <c r="G2735" i="5" s="1"/>
  <c r="F2739" i="5"/>
  <c r="G2739" i="5" s="1"/>
  <c r="F2743" i="5"/>
  <c r="G2743" i="5" s="1"/>
  <c r="F2747" i="5"/>
  <c r="G2747" i="5" s="1"/>
  <c r="F2751" i="5"/>
  <c r="G2751" i="5" s="1"/>
  <c r="F2755" i="5"/>
  <c r="G2755" i="5" s="1"/>
  <c r="F2759" i="5"/>
  <c r="G2759" i="5" s="1"/>
  <c r="F2763" i="5"/>
  <c r="G2763" i="5" s="1"/>
  <c r="F2767" i="5"/>
  <c r="G2767" i="5" s="1"/>
  <c r="F2771" i="5"/>
  <c r="G2771" i="5" s="1"/>
  <c r="F2775" i="5"/>
  <c r="G2775" i="5" s="1"/>
  <c r="F2779" i="5"/>
  <c r="G2779" i="5" s="1"/>
  <c r="F2783" i="5"/>
  <c r="G2783" i="5" s="1"/>
  <c r="F2787" i="5"/>
  <c r="G2787" i="5" s="1"/>
  <c r="F2791" i="5"/>
  <c r="G2791" i="5" s="1"/>
  <c r="F2795" i="5"/>
  <c r="G2795" i="5" s="1"/>
  <c r="F2799" i="5"/>
  <c r="G2799" i="5" s="1"/>
  <c r="F2803" i="5"/>
  <c r="G2803" i="5" s="1"/>
  <c r="F2807" i="5"/>
  <c r="G2807" i="5" s="1"/>
  <c r="F2811" i="5"/>
  <c r="G2811" i="5" s="1"/>
  <c r="F2815" i="5"/>
  <c r="G2815" i="5" s="1"/>
  <c r="F2819" i="5"/>
  <c r="G2819" i="5" s="1"/>
  <c r="F2823" i="5"/>
  <c r="G2823" i="5" s="1"/>
  <c r="F2827" i="5"/>
  <c r="G2827" i="5" s="1"/>
  <c r="F2831" i="5"/>
  <c r="G2831" i="5" s="1"/>
  <c r="F2835" i="5"/>
  <c r="G2835" i="5" s="1"/>
  <c r="F2839" i="5"/>
  <c r="G2839" i="5" s="1"/>
  <c r="F2843" i="5"/>
  <c r="G2843" i="5" s="1"/>
  <c r="F2847" i="5"/>
  <c r="G2847" i="5" s="1"/>
  <c r="F2851" i="5"/>
  <c r="G2851" i="5" s="1"/>
  <c r="F2855" i="5"/>
  <c r="G2855" i="5" s="1"/>
  <c r="F2859" i="5"/>
  <c r="G2859" i="5" s="1"/>
  <c r="F2863" i="5"/>
  <c r="G2863" i="5" s="1"/>
  <c r="F2867" i="5"/>
  <c r="G2867" i="5" s="1"/>
  <c r="F2871" i="5"/>
  <c r="G2871" i="5" s="1"/>
  <c r="F2875" i="5"/>
  <c r="G2875" i="5" s="1"/>
  <c r="F2879" i="5"/>
  <c r="G2879" i="5" s="1"/>
  <c r="F2883" i="5"/>
  <c r="G2883" i="5" s="1"/>
  <c r="F2887" i="5"/>
  <c r="G2887" i="5" s="1"/>
  <c r="F2891" i="5"/>
  <c r="G2891" i="5" s="1"/>
  <c r="F2895" i="5"/>
  <c r="G2895" i="5" s="1"/>
  <c r="F2899" i="5"/>
  <c r="G2899" i="5" s="1"/>
  <c r="F2903" i="5"/>
  <c r="G2903" i="5" s="1"/>
  <c r="F2907" i="5"/>
  <c r="G2907" i="5" s="1"/>
  <c r="F2911" i="5"/>
  <c r="G2911" i="5" s="1"/>
  <c r="F2915" i="5"/>
  <c r="G2915" i="5" s="1"/>
  <c r="F2919" i="5"/>
  <c r="G2919" i="5" s="1"/>
  <c r="F2923" i="5"/>
  <c r="G2923" i="5" s="1"/>
  <c r="F2927" i="5"/>
  <c r="G2927" i="5" s="1"/>
  <c r="F2931" i="5"/>
  <c r="G2931" i="5" s="1"/>
  <c r="F2935" i="5"/>
  <c r="G2935" i="5" s="1"/>
  <c r="F2939" i="5"/>
  <c r="G2939" i="5" s="1"/>
  <c r="F2943" i="5"/>
  <c r="G2943" i="5" s="1"/>
  <c r="F2947" i="5"/>
  <c r="G2947" i="5" s="1"/>
  <c r="F2951" i="5"/>
  <c r="G2951" i="5" s="1"/>
  <c r="F2955" i="5"/>
  <c r="G2955" i="5" s="1"/>
  <c r="F2959" i="5"/>
  <c r="G2959" i="5" s="1"/>
  <c r="F2963" i="5"/>
  <c r="G2963" i="5" s="1"/>
  <c r="F2967" i="5"/>
  <c r="G2967" i="5" s="1"/>
  <c r="F2971" i="5"/>
  <c r="G2971" i="5" s="1"/>
  <c r="F2975" i="5"/>
  <c r="G2975" i="5" s="1"/>
  <c r="F2979" i="5"/>
  <c r="G2979" i="5" s="1"/>
  <c r="F2983" i="5"/>
  <c r="G2983" i="5" s="1"/>
  <c r="F2987" i="5"/>
  <c r="G2987" i="5" s="1"/>
  <c r="F2991" i="5"/>
  <c r="G2991" i="5" s="1"/>
  <c r="F2995" i="5"/>
  <c r="G2995" i="5" s="1"/>
  <c r="F2999" i="5"/>
  <c r="G2999" i="5" s="1"/>
  <c r="F3003" i="5"/>
  <c r="G3003" i="5" s="1"/>
  <c r="F3007" i="5"/>
  <c r="G3007" i="5" s="1"/>
  <c r="F3011" i="5"/>
  <c r="G3011" i="5" s="1"/>
  <c r="F3015" i="5"/>
  <c r="G3015" i="5" s="1"/>
  <c r="F3019" i="5"/>
  <c r="G3019" i="5" s="1"/>
  <c r="F3023" i="5"/>
  <c r="G3023" i="5" s="1"/>
  <c r="F3027" i="5"/>
  <c r="G3027" i="5" s="1"/>
  <c r="F3031" i="5"/>
  <c r="G3031" i="5" s="1"/>
  <c r="F3035" i="5"/>
  <c r="G3035" i="5" s="1"/>
  <c r="F3039" i="5"/>
  <c r="G3039" i="5" s="1"/>
  <c r="F3043" i="5"/>
  <c r="G3043" i="5" s="1"/>
  <c r="F1041" i="5"/>
  <c r="G1041" i="5" s="1"/>
  <c r="F1045" i="5"/>
  <c r="G1045" i="5" s="1"/>
  <c r="F1049" i="5"/>
  <c r="G1049" i="5" s="1"/>
  <c r="F1053" i="5"/>
  <c r="G1053" i="5" s="1"/>
  <c r="F1057" i="5"/>
  <c r="G1057" i="5" s="1"/>
  <c r="F1061" i="5"/>
  <c r="G1061" i="5" s="1"/>
  <c r="F1065" i="5"/>
  <c r="G1065" i="5" s="1"/>
  <c r="F1069" i="5"/>
  <c r="G1069" i="5" s="1"/>
  <c r="F1073" i="5"/>
  <c r="G1073" i="5" s="1"/>
  <c r="F1077" i="5"/>
  <c r="G1077" i="5" s="1"/>
  <c r="F1081" i="5"/>
  <c r="G1081" i="5" s="1"/>
  <c r="F1085" i="5"/>
  <c r="G1085" i="5" s="1"/>
  <c r="F1089" i="5"/>
  <c r="G1089" i="5" s="1"/>
  <c r="F1093" i="5"/>
  <c r="G1093" i="5" s="1"/>
  <c r="F1097" i="5"/>
  <c r="G1097" i="5" s="1"/>
  <c r="F1101" i="5"/>
  <c r="G1101" i="5" s="1"/>
  <c r="F1105" i="5"/>
  <c r="G1105" i="5" s="1"/>
  <c r="F1109" i="5"/>
  <c r="G1109" i="5" s="1"/>
  <c r="F1113" i="5"/>
  <c r="G1113" i="5" s="1"/>
  <c r="F1117" i="5"/>
  <c r="G1117" i="5" s="1"/>
  <c r="F1121" i="5"/>
  <c r="G1121" i="5" s="1"/>
  <c r="F1125" i="5"/>
  <c r="G1125" i="5" s="1"/>
  <c r="F1129" i="5"/>
  <c r="G1129" i="5" s="1"/>
  <c r="F1133" i="5"/>
  <c r="G1133" i="5" s="1"/>
  <c r="F1137" i="5"/>
  <c r="G1137" i="5" s="1"/>
  <c r="F1141" i="5"/>
  <c r="G1141" i="5" s="1"/>
  <c r="F1145" i="5"/>
  <c r="G1145" i="5" s="1"/>
  <c r="F3047" i="5"/>
  <c r="G3047" i="5" s="1"/>
  <c r="F3051" i="5"/>
  <c r="G3051" i="5" s="1"/>
  <c r="F3055" i="5"/>
  <c r="G3055" i="5" s="1"/>
  <c r="F3059" i="5"/>
  <c r="G3059" i="5" s="1"/>
  <c r="F3063" i="5"/>
  <c r="G3063" i="5" s="1"/>
  <c r="F3067" i="5"/>
  <c r="G3067" i="5" s="1"/>
  <c r="F3071" i="5"/>
  <c r="G3071" i="5" s="1"/>
  <c r="F3075" i="5"/>
  <c r="G3075" i="5" s="1"/>
  <c r="F3079" i="5"/>
  <c r="G3079" i="5" s="1"/>
  <c r="F3083" i="5"/>
  <c r="G3083" i="5" s="1"/>
  <c r="F3087" i="5"/>
  <c r="G3087" i="5" s="1"/>
  <c r="F3091" i="5"/>
  <c r="G3091" i="5" s="1"/>
  <c r="F3095" i="5"/>
  <c r="G3095" i="5" s="1"/>
  <c r="F3099" i="5"/>
  <c r="G3099" i="5" s="1"/>
  <c r="F3103" i="5"/>
  <c r="G3103" i="5" s="1"/>
  <c r="F3107" i="5"/>
  <c r="G3107" i="5" s="1"/>
  <c r="F3111" i="5"/>
  <c r="G3111" i="5" s="1"/>
  <c r="F3115" i="5"/>
  <c r="G3115" i="5" s="1"/>
  <c r="F3119" i="5"/>
  <c r="G3119" i="5" s="1"/>
  <c r="F3123" i="5"/>
  <c r="G3123" i="5" s="1"/>
  <c r="F3127" i="5"/>
  <c r="G3127" i="5" s="1"/>
  <c r="F3131" i="5"/>
  <c r="G3131" i="5" s="1"/>
  <c r="F3135" i="5"/>
  <c r="G3135" i="5" s="1"/>
  <c r="F3139" i="5"/>
  <c r="G3139" i="5" s="1"/>
  <c r="F3143" i="5"/>
  <c r="G3143" i="5" s="1"/>
  <c r="F3147" i="5"/>
  <c r="G3147" i="5" s="1"/>
  <c r="F3151" i="5"/>
  <c r="G3151" i="5" s="1"/>
  <c r="F3155" i="5"/>
  <c r="G3155" i="5" s="1"/>
  <c r="F3159" i="5"/>
  <c r="G3159" i="5" s="1"/>
  <c r="F3163" i="5"/>
  <c r="G3163" i="5" s="1"/>
  <c r="F3167" i="5"/>
  <c r="G3167" i="5" s="1"/>
  <c r="F3171" i="5"/>
  <c r="G3171" i="5" s="1"/>
  <c r="F3175" i="5"/>
  <c r="G3175" i="5" s="1"/>
  <c r="F3179" i="5"/>
  <c r="G3179" i="5" s="1"/>
  <c r="F3183" i="5"/>
  <c r="G3183" i="5" s="1"/>
  <c r="F3187" i="5"/>
  <c r="G3187" i="5" s="1"/>
  <c r="F3191" i="5"/>
  <c r="G3191" i="5" s="1"/>
  <c r="F3195" i="5"/>
  <c r="G3195" i="5" s="1"/>
  <c r="F3199" i="5"/>
  <c r="G3199" i="5" s="1"/>
  <c r="F3203" i="5"/>
  <c r="G3203" i="5" s="1"/>
  <c r="F3207" i="5"/>
  <c r="G3207" i="5" s="1"/>
  <c r="F3211" i="5"/>
  <c r="G3211" i="5" s="1"/>
  <c r="F3215" i="5"/>
  <c r="G3215" i="5" s="1"/>
  <c r="F3219" i="5"/>
  <c r="G3219" i="5" s="1"/>
  <c r="F3223" i="5"/>
  <c r="G3223" i="5" s="1"/>
  <c r="F3227" i="5"/>
  <c r="G3227" i="5" s="1"/>
  <c r="F3231" i="5"/>
  <c r="G3231" i="5" s="1"/>
  <c r="F3235" i="5"/>
  <c r="G3235" i="5" s="1"/>
  <c r="F3239" i="5"/>
  <c r="G3239" i="5" s="1"/>
  <c r="F3243" i="5"/>
  <c r="G3243" i="5" s="1"/>
  <c r="F3247" i="5"/>
  <c r="G3247" i="5" s="1"/>
  <c r="F3251" i="5"/>
  <c r="G3251" i="5" s="1"/>
  <c r="F3255" i="5"/>
  <c r="G3255" i="5" s="1"/>
  <c r="F3259" i="5"/>
  <c r="G3259" i="5" s="1"/>
  <c r="F3263" i="5"/>
  <c r="G3263" i="5" s="1"/>
  <c r="F3267" i="5"/>
  <c r="G3267" i="5" s="1"/>
  <c r="F3271" i="5"/>
  <c r="G3271" i="5" s="1"/>
  <c r="F3275" i="5"/>
  <c r="G3275" i="5" s="1"/>
  <c r="F3279" i="5"/>
  <c r="G3279" i="5" s="1"/>
  <c r="F3283" i="5"/>
  <c r="G3283" i="5" s="1"/>
  <c r="F3287" i="5"/>
  <c r="G3287" i="5" s="1"/>
  <c r="F3291" i="5"/>
  <c r="G3291" i="5" s="1"/>
  <c r="F3295" i="5"/>
  <c r="G3295" i="5" s="1"/>
  <c r="F3299" i="5"/>
  <c r="G3299" i="5" s="1"/>
  <c r="F3303" i="5"/>
  <c r="G3303" i="5" s="1"/>
  <c r="F3307" i="5"/>
  <c r="G3307" i="5" s="1"/>
  <c r="F3311" i="5"/>
  <c r="G3311" i="5" s="1"/>
  <c r="F3315" i="5"/>
  <c r="G3315" i="5" s="1"/>
  <c r="F3319" i="5"/>
  <c r="G3319" i="5" s="1"/>
  <c r="F3323" i="5"/>
  <c r="G3323" i="5" s="1"/>
  <c r="F3327" i="5"/>
  <c r="G3327" i="5" s="1"/>
  <c r="F3331" i="5"/>
  <c r="G3331" i="5" s="1"/>
  <c r="F3335" i="5"/>
  <c r="G3335" i="5" s="1"/>
  <c r="F3339" i="5"/>
  <c r="G3339" i="5" s="1"/>
  <c r="F3343" i="5"/>
  <c r="G3343" i="5" s="1"/>
  <c r="F3347" i="5"/>
  <c r="G3347" i="5" s="1"/>
  <c r="F3351" i="5"/>
  <c r="G3351" i="5" s="1"/>
  <c r="F3355" i="5"/>
  <c r="G3355" i="5" s="1"/>
  <c r="F3359" i="5"/>
  <c r="G3359" i="5" s="1"/>
  <c r="F3363" i="5"/>
  <c r="G3363" i="5" s="1"/>
  <c r="F3367" i="5"/>
  <c r="G3367" i="5" s="1"/>
  <c r="F3371" i="5"/>
  <c r="G3371" i="5" s="1"/>
  <c r="F3375" i="5"/>
  <c r="G3375" i="5" s="1"/>
  <c r="F3379" i="5"/>
  <c r="G3379" i="5" s="1"/>
  <c r="F3383" i="5"/>
  <c r="G3383" i="5" s="1"/>
  <c r="F3387" i="5"/>
  <c r="G3387" i="5" s="1"/>
  <c r="F3391" i="5"/>
  <c r="G3391" i="5" s="1"/>
  <c r="F3395" i="5"/>
  <c r="G3395" i="5" s="1"/>
  <c r="F3399" i="5"/>
  <c r="G3399" i="5" s="1"/>
  <c r="F3403" i="5"/>
  <c r="G3403" i="5" s="1"/>
  <c r="F3407" i="5"/>
  <c r="G3407" i="5" s="1"/>
  <c r="F3411" i="5"/>
  <c r="G3411" i="5" s="1"/>
  <c r="F3415" i="5"/>
  <c r="G3415" i="5" s="1"/>
  <c r="F3419" i="5"/>
  <c r="G3419" i="5" s="1"/>
  <c r="F3423" i="5"/>
  <c r="G3423" i="5" s="1"/>
  <c r="F3427" i="5"/>
  <c r="G3427" i="5" s="1"/>
  <c r="F3431" i="5"/>
  <c r="G3431" i="5" s="1"/>
  <c r="F3435" i="5"/>
  <c r="G3435" i="5" s="1"/>
  <c r="F3439" i="5"/>
  <c r="G3439" i="5" s="1"/>
  <c r="F3443" i="5"/>
  <c r="G3443" i="5" s="1"/>
  <c r="F3447" i="5"/>
  <c r="G3447" i="5" s="1"/>
  <c r="F3451" i="5"/>
  <c r="G3451" i="5" s="1"/>
  <c r="F3455" i="5"/>
  <c r="G3455" i="5" s="1"/>
  <c r="F3459" i="5"/>
  <c r="G3459" i="5" s="1"/>
  <c r="F3463" i="5"/>
  <c r="G3463" i="5" s="1"/>
  <c r="F3467" i="5"/>
  <c r="G3467" i="5" s="1"/>
  <c r="F3471" i="5"/>
  <c r="G3471" i="5" s="1"/>
  <c r="F3475" i="5"/>
  <c r="G3475" i="5" s="1"/>
  <c r="F3479" i="5"/>
  <c r="G3479" i="5" s="1"/>
  <c r="F3483" i="5"/>
  <c r="G3483" i="5" s="1"/>
  <c r="F3487" i="5"/>
  <c r="G3487" i="5" s="1"/>
  <c r="F3491" i="5"/>
  <c r="G3491" i="5" s="1"/>
  <c r="F3495" i="5"/>
  <c r="G3495" i="5" s="1"/>
  <c r="F3499" i="5"/>
  <c r="G3499" i="5" s="1"/>
  <c r="F3503" i="5"/>
  <c r="G3503" i="5" s="1"/>
  <c r="F3507" i="5"/>
  <c r="G3507" i="5" s="1"/>
  <c r="F3511" i="5"/>
  <c r="G3511" i="5" s="1"/>
  <c r="F3515" i="5"/>
  <c r="G3515" i="5" s="1"/>
  <c r="F3519" i="5"/>
  <c r="G3519" i="5" s="1"/>
  <c r="F3523" i="5"/>
  <c r="G3523" i="5" s="1"/>
  <c r="F3527" i="5"/>
  <c r="G3527" i="5" s="1"/>
  <c r="F3531" i="5"/>
  <c r="G3531" i="5" s="1"/>
  <c r="F3535" i="5"/>
  <c r="G3535" i="5" s="1"/>
  <c r="F3539" i="5"/>
  <c r="G3539" i="5" s="1"/>
  <c r="F3543" i="5"/>
  <c r="G3543" i="5" s="1"/>
  <c r="F3547" i="5"/>
  <c r="G3547" i="5" s="1"/>
  <c r="F3551" i="5"/>
  <c r="G3551" i="5" s="1"/>
  <c r="F3555" i="5"/>
  <c r="G3555" i="5" s="1"/>
  <c r="F3559" i="5"/>
  <c r="G3559" i="5" s="1"/>
  <c r="F3563" i="5"/>
  <c r="G3563" i="5" s="1"/>
  <c r="F3567" i="5"/>
  <c r="G3567" i="5" s="1"/>
  <c r="F3571" i="5"/>
  <c r="G3571" i="5" s="1"/>
  <c r="F3575" i="5"/>
  <c r="G3575" i="5" s="1"/>
  <c r="F3579" i="5"/>
  <c r="G3579" i="5" s="1"/>
  <c r="F3583" i="5"/>
  <c r="G3583" i="5" s="1"/>
  <c r="F3587" i="5"/>
  <c r="G3587" i="5" s="1"/>
  <c r="F3591" i="5"/>
  <c r="G3591" i="5" s="1"/>
  <c r="F3595" i="5"/>
  <c r="G3595" i="5" s="1"/>
  <c r="F3599" i="5"/>
  <c r="G3599" i="5" s="1"/>
  <c r="F734" i="5"/>
  <c r="G734" i="5" s="1"/>
  <c r="F4" i="5"/>
  <c r="F8" i="5"/>
  <c r="F12" i="5"/>
  <c r="G12" i="5" s="1"/>
  <c r="F16" i="5"/>
  <c r="G16" i="5" s="1"/>
  <c r="F20" i="5"/>
  <c r="G20" i="5" s="1"/>
  <c r="F24" i="5"/>
  <c r="G24" i="5" s="1"/>
  <c r="F28" i="5"/>
  <c r="G28" i="5" s="1"/>
  <c r="F32" i="5"/>
  <c r="G32" i="5" s="1"/>
  <c r="F36" i="5"/>
  <c r="G36" i="5" s="1"/>
  <c r="F40" i="5"/>
  <c r="G40" i="5" s="1"/>
  <c r="F44" i="5"/>
  <c r="G44" i="5" s="1"/>
  <c r="F48" i="5"/>
  <c r="G48" i="5" s="1"/>
  <c r="F52" i="5"/>
  <c r="G52" i="5" s="1"/>
  <c r="F56" i="5"/>
  <c r="G56" i="5" s="1"/>
  <c r="F60" i="5"/>
  <c r="G60" i="5" s="1"/>
  <c r="F64" i="5"/>
  <c r="G64" i="5" s="1"/>
  <c r="F68" i="5"/>
  <c r="G68" i="5" s="1"/>
  <c r="F72" i="5"/>
  <c r="G72" i="5" s="1"/>
  <c r="F76" i="5"/>
  <c r="G76" i="5" s="1"/>
  <c r="F80" i="5"/>
  <c r="G80" i="5" s="1"/>
  <c r="F84" i="5"/>
  <c r="G84" i="5" s="1"/>
  <c r="F88" i="5"/>
  <c r="G88" i="5" s="1"/>
  <c r="F92" i="5"/>
  <c r="G92" i="5" s="1"/>
  <c r="F96" i="5"/>
  <c r="G96" i="5" s="1"/>
  <c r="F100" i="5"/>
  <c r="G100" i="5" s="1"/>
  <c r="F104" i="5"/>
  <c r="G104" i="5" s="1"/>
  <c r="F108" i="5"/>
  <c r="G108" i="5" s="1"/>
  <c r="F112" i="5"/>
  <c r="G112" i="5" s="1"/>
  <c r="F116" i="5"/>
  <c r="G116" i="5" s="1"/>
  <c r="F120" i="5"/>
  <c r="G120" i="5" s="1"/>
  <c r="F124" i="5"/>
  <c r="G124" i="5" s="1"/>
  <c r="F128" i="5"/>
  <c r="G128" i="5" s="1"/>
  <c r="F132" i="5"/>
  <c r="G132" i="5" s="1"/>
  <c r="F136" i="5"/>
  <c r="G136" i="5" s="1"/>
  <c r="F140" i="5"/>
  <c r="G140" i="5" s="1"/>
  <c r="F144" i="5"/>
  <c r="G144" i="5" s="1"/>
  <c r="F148" i="5"/>
  <c r="G148" i="5" s="1"/>
  <c r="F152" i="5"/>
  <c r="G152" i="5" s="1"/>
  <c r="F156" i="5"/>
  <c r="G156" i="5" s="1"/>
  <c r="F160" i="5"/>
  <c r="G160" i="5" s="1"/>
  <c r="F164" i="5"/>
  <c r="G164" i="5" s="1"/>
  <c r="F168" i="5"/>
  <c r="G168" i="5" s="1"/>
  <c r="F172" i="5"/>
  <c r="G172" i="5" s="1"/>
  <c r="F176" i="5"/>
  <c r="G176" i="5" s="1"/>
  <c r="F180" i="5"/>
  <c r="G180" i="5" s="1"/>
  <c r="F184" i="5"/>
  <c r="G184" i="5" s="1"/>
  <c r="F188" i="5"/>
  <c r="G188" i="5" s="1"/>
  <c r="F192" i="5"/>
  <c r="G192" i="5" s="1"/>
  <c r="F196" i="5"/>
  <c r="G196" i="5" s="1"/>
  <c r="F200" i="5"/>
  <c r="G200" i="5" s="1"/>
  <c r="F204" i="5"/>
  <c r="G204" i="5" s="1"/>
  <c r="F208" i="5"/>
  <c r="G208" i="5" s="1"/>
  <c r="F212" i="5"/>
  <c r="G212" i="5" s="1"/>
  <c r="F216" i="5"/>
  <c r="G216" i="5" s="1"/>
  <c r="F220" i="5"/>
  <c r="G220" i="5" s="1"/>
  <c r="F224" i="5"/>
  <c r="G224" i="5" s="1"/>
  <c r="F228" i="5"/>
  <c r="G228" i="5" s="1"/>
  <c r="F232" i="5"/>
  <c r="G232" i="5" s="1"/>
  <c r="F236" i="5"/>
  <c r="G236" i="5" s="1"/>
  <c r="F240" i="5"/>
  <c r="G240" i="5" s="1"/>
  <c r="F1149" i="5"/>
  <c r="G1149" i="5" s="1"/>
  <c r="F1153" i="5"/>
  <c r="G1153" i="5" s="1"/>
  <c r="F1157" i="5"/>
  <c r="G1157" i="5" s="1"/>
  <c r="F1161" i="5"/>
  <c r="G1161" i="5" s="1"/>
  <c r="F1165" i="5"/>
  <c r="G1165" i="5" s="1"/>
  <c r="F1169" i="5"/>
  <c r="G1169" i="5" s="1"/>
  <c r="F1173" i="5"/>
  <c r="G1173" i="5" s="1"/>
  <c r="F1177" i="5"/>
  <c r="G1177" i="5" s="1"/>
  <c r="F1181" i="5"/>
  <c r="G1181" i="5" s="1"/>
  <c r="F1185" i="5"/>
  <c r="G1185" i="5" s="1"/>
  <c r="F1189" i="5"/>
  <c r="G1189" i="5" s="1"/>
  <c r="F1193" i="5"/>
  <c r="G1193" i="5" s="1"/>
  <c r="F1197" i="5"/>
  <c r="G1197" i="5" s="1"/>
  <c r="F1201" i="5"/>
  <c r="G1201" i="5" s="1"/>
  <c r="F1205" i="5"/>
  <c r="G1205" i="5" s="1"/>
  <c r="F1209" i="5"/>
  <c r="G1209" i="5" s="1"/>
  <c r="F1213" i="5"/>
  <c r="G1213" i="5" s="1"/>
  <c r="F1217" i="5"/>
  <c r="G1217" i="5" s="1"/>
  <c r="F1221" i="5"/>
  <c r="G1221" i="5" s="1"/>
  <c r="F1225" i="5"/>
  <c r="G1225" i="5" s="1"/>
  <c r="F1229" i="5"/>
  <c r="G1229" i="5" s="1"/>
  <c r="F1233" i="5"/>
  <c r="G1233" i="5" s="1"/>
  <c r="F1237" i="5"/>
  <c r="G1237" i="5" s="1"/>
  <c r="F1241" i="5"/>
  <c r="G1241" i="5" s="1"/>
  <c r="F1245" i="5"/>
  <c r="G1245" i="5" s="1"/>
  <c r="F1249" i="5"/>
  <c r="G1249" i="5" s="1"/>
  <c r="F1253" i="5"/>
  <c r="G1253" i="5" s="1"/>
  <c r="F1257" i="5"/>
  <c r="G1257" i="5" s="1"/>
  <c r="F1261" i="5"/>
  <c r="G1261" i="5" s="1"/>
  <c r="F1265" i="5"/>
  <c r="G1265" i="5" s="1"/>
  <c r="F1269" i="5"/>
  <c r="G1269" i="5" s="1"/>
  <c r="F1273" i="5"/>
  <c r="G1273" i="5" s="1"/>
  <c r="F1277" i="5"/>
  <c r="G1277" i="5" s="1"/>
  <c r="F1281" i="5"/>
  <c r="G1281" i="5" s="1"/>
  <c r="F1285" i="5"/>
  <c r="G1285" i="5" s="1"/>
  <c r="F1289" i="5"/>
  <c r="G1289" i="5" s="1"/>
  <c r="F1293" i="5"/>
  <c r="G1293" i="5" s="1"/>
  <c r="F1297" i="5"/>
  <c r="G1297" i="5" s="1"/>
  <c r="F1301" i="5"/>
  <c r="G1301" i="5" s="1"/>
  <c r="F1305" i="5"/>
  <c r="G1305" i="5" s="1"/>
  <c r="F1309" i="5"/>
  <c r="G1309" i="5" s="1"/>
  <c r="F1313" i="5"/>
  <c r="G1313" i="5" s="1"/>
  <c r="F1317" i="5"/>
  <c r="G1317" i="5" s="1"/>
  <c r="F1321" i="5"/>
  <c r="G1321" i="5" s="1"/>
  <c r="F1325" i="5"/>
  <c r="G1325" i="5" s="1"/>
  <c r="F1329" i="5"/>
  <c r="G1329" i="5" s="1"/>
  <c r="F1333" i="5"/>
  <c r="G1333" i="5" s="1"/>
  <c r="F1337" i="5"/>
  <c r="G1337" i="5" s="1"/>
  <c r="F1341" i="5"/>
  <c r="G1341" i="5" s="1"/>
  <c r="F1345" i="5"/>
  <c r="G1345" i="5" s="1"/>
  <c r="F1349" i="5"/>
  <c r="G1349" i="5" s="1"/>
  <c r="F1353" i="5"/>
  <c r="G1353" i="5" s="1"/>
  <c r="F1357" i="5"/>
  <c r="G1357" i="5" s="1"/>
  <c r="F1361" i="5"/>
  <c r="G1361" i="5" s="1"/>
  <c r="F1365" i="5"/>
  <c r="G1365" i="5" s="1"/>
  <c r="F1369" i="5"/>
  <c r="G1369" i="5" s="1"/>
  <c r="F1373" i="5"/>
  <c r="G1373" i="5" s="1"/>
  <c r="F1377" i="5"/>
  <c r="G1377" i="5" s="1"/>
  <c r="F1381" i="5"/>
  <c r="G1381" i="5" s="1"/>
  <c r="F1385" i="5"/>
  <c r="G1385" i="5" s="1"/>
  <c r="F1389" i="5"/>
  <c r="G1389" i="5" s="1"/>
  <c r="F1393" i="5"/>
  <c r="G1393" i="5" s="1"/>
  <c r="F1397" i="5"/>
  <c r="G1397" i="5" s="1"/>
  <c r="F1401" i="5"/>
  <c r="G1401" i="5" s="1"/>
  <c r="F1405" i="5"/>
  <c r="G1405" i="5" s="1"/>
  <c r="F1409" i="5"/>
  <c r="G1409" i="5" s="1"/>
  <c r="F1413" i="5"/>
  <c r="G1413" i="5" s="1"/>
  <c r="F1417" i="5"/>
  <c r="G1417" i="5" s="1"/>
  <c r="F1421" i="5"/>
  <c r="G1421" i="5" s="1"/>
  <c r="F1425" i="5"/>
  <c r="G1425" i="5" s="1"/>
  <c r="F1429" i="5"/>
  <c r="G1429" i="5" s="1"/>
  <c r="F1433" i="5"/>
  <c r="G1433" i="5" s="1"/>
  <c r="F1437" i="5"/>
  <c r="G1437" i="5" s="1"/>
  <c r="F1441" i="5"/>
  <c r="G1441" i="5" s="1"/>
  <c r="F1445" i="5"/>
  <c r="G1445" i="5" s="1"/>
  <c r="F1449" i="5"/>
  <c r="G1449" i="5" s="1"/>
  <c r="F1453" i="5"/>
  <c r="G1453" i="5" s="1"/>
  <c r="F1457" i="5"/>
  <c r="G1457" i="5" s="1"/>
  <c r="F1461" i="5"/>
  <c r="G1461" i="5" s="1"/>
  <c r="F1465" i="5"/>
  <c r="G1465" i="5" s="1"/>
  <c r="F1469" i="5"/>
  <c r="G1469" i="5" s="1"/>
  <c r="F1473" i="5"/>
  <c r="G1473" i="5" s="1"/>
  <c r="F1477" i="5"/>
  <c r="G1477" i="5" s="1"/>
  <c r="F1481" i="5"/>
  <c r="G1481" i="5" s="1"/>
  <c r="F1485" i="5"/>
  <c r="G1485" i="5" s="1"/>
  <c r="F1489" i="5"/>
  <c r="G1489" i="5" s="1"/>
  <c r="F1493" i="5"/>
  <c r="G1493" i="5" s="1"/>
  <c r="F1497" i="5"/>
  <c r="G1497" i="5" s="1"/>
  <c r="F1501" i="5"/>
  <c r="G1501" i="5" s="1"/>
  <c r="F1505" i="5"/>
  <c r="G1505" i="5" s="1"/>
  <c r="F1509" i="5"/>
  <c r="G1509" i="5" s="1"/>
  <c r="F1513" i="5"/>
  <c r="G1513" i="5" s="1"/>
  <c r="F1517" i="5"/>
  <c r="G1517" i="5" s="1"/>
  <c r="F1521" i="5"/>
  <c r="G1521" i="5" s="1"/>
  <c r="F1525" i="5"/>
  <c r="G1525" i="5" s="1"/>
  <c r="F1529" i="5"/>
  <c r="G1529" i="5" s="1"/>
  <c r="F1533" i="5"/>
  <c r="G1533" i="5" s="1"/>
  <c r="F1537" i="5"/>
  <c r="G1537" i="5" s="1"/>
  <c r="F1541" i="5"/>
  <c r="G1541" i="5" s="1"/>
  <c r="F1545" i="5"/>
  <c r="G1545" i="5" s="1"/>
  <c r="F1549" i="5"/>
  <c r="G1549" i="5" s="1"/>
  <c r="F1553" i="5"/>
  <c r="G1553" i="5" s="1"/>
  <c r="F1557" i="5"/>
  <c r="G1557" i="5" s="1"/>
  <c r="F1561" i="5"/>
  <c r="G1561" i="5" s="1"/>
  <c r="F1565" i="5"/>
  <c r="G1565" i="5" s="1"/>
  <c r="F1569" i="5"/>
  <c r="G1569" i="5" s="1"/>
  <c r="F1573" i="5"/>
  <c r="G1573" i="5" s="1"/>
  <c r="F1577" i="5"/>
  <c r="G1577" i="5" s="1"/>
  <c r="F1581" i="5"/>
  <c r="G1581" i="5" s="1"/>
  <c r="F1585" i="5"/>
  <c r="G1585" i="5" s="1"/>
  <c r="F1589" i="5"/>
  <c r="G1589" i="5" s="1"/>
  <c r="F1593" i="5"/>
  <c r="G1593" i="5" s="1"/>
  <c r="F1597" i="5"/>
  <c r="G1597" i="5" s="1"/>
  <c r="F1601" i="5"/>
  <c r="G1601" i="5" s="1"/>
  <c r="F1605" i="5"/>
  <c r="G1605" i="5" s="1"/>
  <c r="F1609" i="5"/>
  <c r="G1609" i="5" s="1"/>
  <c r="F1613" i="5"/>
  <c r="G1613" i="5" s="1"/>
  <c r="F1617" i="5"/>
  <c r="G1617" i="5" s="1"/>
  <c r="F1621" i="5"/>
  <c r="G1621" i="5" s="1"/>
  <c r="F1625" i="5"/>
  <c r="G1625" i="5" s="1"/>
  <c r="F1629" i="5"/>
  <c r="G1629" i="5" s="1"/>
  <c r="F1633" i="5"/>
  <c r="G1633" i="5" s="1"/>
  <c r="F1637" i="5"/>
  <c r="G1637" i="5" s="1"/>
  <c r="F1641" i="5"/>
  <c r="G1641" i="5" s="1"/>
  <c r="F1645" i="5"/>
  <c r="G1645" i="5" s="1"/>
  <c r="F1649" i="5"/>
  <c r="G1649" i="5" s="1"/>
  <c r="F1653" i="5"/>
  <c r="G1653" i="5" s="1"/>
  <c r="F1657" i="5"/>
  <c r="G1657" i="5" s="1"/>
  <c r="F1661" i="5"/>
  <c r="G1661" i="5" s="1"/>
  <c r="F1665" i="5"/>
  <c r="G1665" i="5" s="1"/>
  <c r="F1669" i="5"/>
  <c r="G1669" i="5" s="1"/>
  <c r="F1673" i="5"/>
  <c r="G1673" i="5" s="1"/>
  <c r="F1677" i="5"/>
  <c r="G1677" i="5" s="1"/>
  <c r="F1681" i="5"/>
  <c r="G1681" i="5" s="1"/>
  <c r="F1685" i="5"/>
  <c r="G1685" i="5" s="1"/>
  <c r="F1689" i="5"/>
  <c r="G1689" i="5" s="1"/>
  <c r="F1693" i="5"/>
  <c r="G1693" i="5" s="1"/>
  <c r="F1697" i="5"/>
  <c r="G1697" i="5" s="1"/>
  <c r="F1701" i="5"/>
  <c r="G1701" i="5" s="1"/>
  <c r="F1705" i="5"/>
  <c r="G1705" i="5" s="1"/>
  <c r="F1709" i="5"/>
  <c r="G1709" i="5" s="1"/>
  <c r="F1713" i="5"/>
  <c r="G1713" i="5" s="1"/>
  <c r="F1717" i="5"/>
  <c r="G1717" i="5" s="1"/>
  <c r="F1721" i="5"/>
  <c r="G1721" i="5" s="1"/>
  <c r="F1725" i="5"/>
  <c r="G1725" i="5" s="1"/>
  <c r="F1729" i="5"/>
  <c r="G1729" i="5" s="1"/>
  <c r="F1733" i="5"/>
  <c r="G1733" i="5" s="1"/>
  <c r="F1737" i="5"/>
  <c r="G1737" i="5" s="1"/>
  <c r="F1741" i="5"/>
  <c r="G1741" i="5" s="1"/>
  <c r="F1745" i="5"/>
  <c r="G1745" i="5" s="1"/>
  <c r="F1749" i="5"/>
  <c r="G1749" i="5" s="1"/>
  <c r="F1753" i="5"/>
  <c r="G1753" i="5" s="1"/>
  <c r="F390" i="5"/>
  <c r="G390" i="5" s="1"/>
  <c r="F398" i="5"/>
  <c r="G398" i="5" s="1"/>
  <c r="F406" i="5"/>
  <c r="G406" i="5" s="1"/>
  <c r="F422" i="5"/>
  <c r="G422" i="5" s="1"/>
  <c r="F430" i="5"/>
  <c r="G430" i="5" s="1"/>
  <c r="F438" i="5"/>
  <c r="G438" i="5" s="1"/>
  <c r="F446" i="5"/>
  <c r="G446" i="5" s="1"/>
  <c r="F454" i="5"/>
  <c r="G454" i="5" s="1"/>
  <c r="F462" i="5"/>
  <c r="G462" i="5" s="1"/>
  <c r="F470" i="5"/>
  <c r="G470" i="5" s="1"/>
  <c r="F486" i="5"/>
  <c r="G486" i="5" s="1"/>
  <c r="F494" i="5"/>
  <c r="G494" i="5" s="1"/>
  <c r="F502" i="5"/>
  <c r="G502" i="5" s="1"/>
  <c r="F510" i="5"/>
  <c r="G510" i="5" s="1"/>
  <c r="F518" i="5"/>
  <c r="G518" i="5" s="1"/>
  <c r="F526" i="5"/>
  <c r="G526" i="5" s="1"/>
  <c r="F534" i="5"/>
  <c r="G534" i="5" s="1"/>
  <c r="F550" i="5"/>
  <c r="G550" i="5" s="1"/>
  <c r="F558" i="5"/>
  <c r="G558" i="5" s="1"/>
  <c r="F566" i="5"/>
  <c r="G566" i="5" s="1"/>
  <c r="F582" i="5"/>
  <c r="G582" i="5" s="1"/>
  <c r="F590" i="5"/>
  <c r="G590" i="5" s="1"/>
  <c r="F598" i="5"/>
  <c r="G598" i="5" s="1"/>
  <c r="F614" i="5"/>
  <c r="G614" i="5" s="1"/>
  <c r="F622" i="5"/>
  <c r="G622" i="5" s="1"/>
  <c r="F630" i="5"/>
  <c r="G630" i="5" s="1"/>
  <c r="F646" i="5"/>
  <c r="G646" i="5" s="1"/>
  <c r="F654" i="5"/>
  <c r="G654" i="5" s="1"/>
  <c r="F662" i="5"/>
  <c r="G662" i="5" s="1"/>
  <c r="F678" i="5"/>
  <c r="G678" i="5" s="1"/>
  <c r="F686" i="5"/>
  <c r="G686" i="5" s="1"/>
  <c r="F694" i="5"/>
  <c r="G694" i="5" s="1"/>
  <c r="F702" i="5"/>
  <c r="G702" i="5" s="1"/>
  <c r="F710" i="5"/>
  <c r="G710" i="5" s="1"/>
  <c r="F718" i="5"/>
  <c r="G718" i="5" s="1"/>
  <c r="F726" i="5"/>
  <c r="G726" i="5" s="1"/>
  <c r="F742" i="5"/>
  <c r="G742" i="5" s="1"/>
  <c r="F750" i="5"/>
  <c r="G750" i="5" s="1"/>
  <c r="F758" i="5"/>
  <c r="G758" i="5" s="1"/>
  <c r="F244" i="5"/>
  <c r="G244" i="5" s="1"/>
  <c r="F248" i="5"/>
  <c r="G248" i="5" s="1"/>
  <c r="F252" i="5"/>
  <c r="G252" i="5" s="1"/>
  <c r="F256" i="5"/>
  <c r="G256" i="5" s="1"/>
  <c r="F260" i="5"/>
  <c r="G260" i="5" s="1"/>
  <c r="F264" i="5"/>
  <c r="G264" i="5" s="1"/>
  <c r="F268" i="5"/>
  <c r="G268" i="5" s="1"/>
  <c r="F272" i="5"/>
  <c r="G272" i="5" s="1"/>
  <c r="F276" i="5"/>
  <c r="G276" i="5" s="1"/>
  <c r="F280" i="5"/>
  <c r="G280" i="5" s="1"/>
  <c r="F284" i="5"/>
  <c r="G284" i="5" s="1"/>
  <c r="F288" i="5"/>
  <c r="G288" i="5" s="1"/>
  <c r="F292" i="5"/>
  <c r="G292" i="5" s="1"/>
  <c r="F296" i="5"/>
  <c r="G296" i="5" s="1"/>
  <c r="F300" i="5"/>
  <c r="G300" i="5" s="1"/>
  <c r="F304" i="5"/>
  <c r="G304" i="5" s="1"/>
  <c r="F308" i="5"/>
  <c r="G308" i="5" s="1"/>
  <c r="F312" i="5"/>
  <c r="G312" i="5" s="1"/>
  <c r="F316" i="5"/>
  <c r="G316" i="5" s="1"/>
  <c r="F320" i="5"/>
  <c r="G320" i="5" s="1"/>
  <c r="F324" i="5"/>
  <c r="G324" i="5" s="1"/>
  <c r="F328" i="5"/>
  <c r="G328" i="5" s="1"/>
  <c r="F332" i="5"/>
  <c r="G332" i="5" s="1"/>
  <c r="F336" i="5"/>
  <c r="G336" i="5" s="1"/>
  <c r="F340" i="5"/>
  <c r="G340" i="5" s="1"/>
  <c r="F344" i="5"/>
  <c r="G344" i="5" s="1"/>
  <c r="F348" i="5"/>
  <c r="G348" i="5" s="1"/>
  <c r="F352" i="5"/>
  <c r="G352" i="5" s="1"/>
  <c r="F356" i="5"/>
  <c r="G356" i="5" s="1"/>
  <c r="F360" i="5"/>
  <c r="G360" i="5" s="1"/>
  <c r="F364" i="5"/>
  <c r="G364" i="5" s="1"/>
  <c r="F368" i="5"/>
  <c r="G368" i="5" s="1"/>
  <c r="F372" i="5"/>
  <c r="G372" i="5" s="1"/>
  <c r="F376" i="5"/>
  <c r="G376" i="5" s="1"/>
  <c r="F380" i="5"/>
  <c r="G380" i="5" s="1"/>
  <c r="F384" i="5"/>
  <c r="G384" i="5" s="1"/>
  <c r="F388" i="5"/>
  <c r="G388" i="5" s="1"/>
  <c r="F392" i="5"/>
  <c r="G392" i="5" s="1"/>
  <c r="F396" i="5"/>
  <c r="G396" i="5" s="1"/>
  <c r="F400" i="5"/>
  <c r="G400" i="5" s="1"/>
  <c r="F404" i="5"/>
  <c r="G404" i="5" s="1"/>
  <c r="F408" i="5"/>
  <c r="G408" i="5" s="1"/>
  <c r="F412" i="5"/>
  <c r="G412" i="5" s="1"/>
  <c r="F416" i="5"/>
  <c r="G416" i="5" s="1"/>
  <c r="F420" i="5"/>
  <c r="G420" i="5" s="1"/>
  <c r="F424" i="5"/>
  <c r="G424" i="5" s="1"/>
  <c r="F428" i="5"/>
  <c r="G428" i="5" s="1"/>
  <c r="F432" i="5"/>
  <c r="G432" i="5" s="1"/>
  <c r="F436" i="5"/>
  <c r="G436" i="5" s="1"/>
  <c r="F440" i="5"/>
  <c r="G440" i="5" s="1"/>
  <c r="F444" i="5"/>
  <c r="G444" i="5" s="1"/>
  <c r="F448" i="5"/>
  <c r="G448" i="5" s="1"/>
  <c r="F452" i="5"/>
  <c r="G452" i="5" s="1"/>
  <c r="F456" i="5"/>
  <c r="G456" i="5" s="1"/>
  <c r="F460" i="5"/>
  <c r="G460" i="5" s="1"/>
  <c r="F464" i="5"/>
  <c r="G464" i="5" s="1"/>
  <c r="F468" i="5"/>
  <c r="G468" i="5" s="1"/>
  <c r="F472" i="5"/>
  <c r="G472" i="5" s="1"/>
  <c r="F476" i="5"/>
  <c r="G476" i="5" s="1"/>
  <c r="F480" i="5"/>
  <c r="G480" i="5" s="1"/>
  <c r="F484" i="5"/>
  <c r="G484" i="5" s="1"/>
  <c r="F488" i="5"/>
  <c r="G488" i="5" s="1"/>
  <c r="F492" i="5"/>
  <c r="G492" i="5" s="1"/>
  <c r="F496" i="5"/>
  <c r="G496" i="5" s="1"/>
  <c r="F500" i="5"/>
  <c r="G500" i="5" s="1"/>
  <c r="F504" i="5"/>
  <c r="G504" i="5" s="1"/>
  <c r="F508" i="5"/>
  <c r="G508" i="5" s="1"/>
  <c r="F512" i="5"/>
  <c r="G512" i="5" s="1"/>
  <c r="F516" i="5"/>
  <c r="G516" i="5" s="1"/>
  <c r="F520" i="5"/>
  <c r="G520" i="5" s="1"/>
  <c r="F524" i="5"/>
  <c r="G524" i="5" s="1"/>
  <c r="F528" i="5"/>
  <c r="G528" i="5" s="1"/>
  <c r="F532" i="5"/>
  <c r="G532" i="5" s="1"/>
  <c r="F536" i="5"/>
  <c r="G536" i="5" s="1"/>
  <c r="F540" i="5"/>
  <c r="G540" i="5" s="1"/>
  <c r="F544" i="5"/>
  <c r="G544" i="5" s="1"/>
  <c r="F548" i="5"/>
  <c r="G548" i="5" s="1"/>
  <c r="F552" i="5"/>
  <c r="G552" i="5" s="1"/>
  <c r="F556" i="5"/>
  <c r="G556" i="5" s="1"/>
  <c r="F560" i="5"/>
  <c r="G560" i="5" s="1"/>
  <c r="F564" i="5"/>
  <c r="G564" i="5" s="1"/>
  <c r="F568" i="5"/>
  <c r="G568" i="5" s="1"/>
  <c r="F1757" i="5"/>
  <c r="G1757" i="5" s="1"/>
  <c r="F1761" i="5"/>
  <c r="G1761" i="5" s="1"/>
  <c r="F1765" i="5"/>
  <c r="G1765" i="5" s="1"/>
  <c r="F1769" i="5"/>
  <c r="G1769" i="5" s="1"/>
  <c r="F1773" i="5"/>
  <c r="G1773" i="5" s="1"/>
  <c r="F1777" i="5"/>
  <c r="G1777" i="5" s="1"/>
  <c r="F1781" i="5"/>
  <c r="G1781" i="5" s="1"/>
  <c r="F1785" i="5"/>
  <c r="G1785" i="5" s="1"/>
  <c r="F1789" i="5"/>
  <c r="G1789" i="5" s="1"/>
  <c r="F1793" i="5"/>
  <c r="G1793" i="5" s="1"/>
  <c r="F1797" i="5"/>
  <c r="G1797" i="5" s="1"/>
  <c r="F1801" i="5"/>
  <c r="G1801" i="5" s="1"/>
  <c r="F1805" i="5"/>
  <c r="G1805" i="5" s="1"/>
  <c r="F1809" i="5"/>
  <c r="G1809" i="5" s="1"/>
  <c r="F1813" i="5"/>
  <c r="G1813" i="5" s="1"/>
  <c r="F1817" i="5"/>
  <c r="G1817" i="5" s="1"/>
  <c r="F1821" i="5"/>
  <c r="G1821" i="5" s="1"/>
  <c r="F1825" i="5"/>
  <c r="G1825" i="5" s="1"/>
  <c r="F1829" i="5"/>
  <c r="G1829" i="5" s="1"/>
  <c r="F1833" i="5"/>
  <c r="G1833" i="5" s="1"/>
  <c r="F1837" i="5"/>
  <c r="G1837" i="5" s="1"/>
  <c r="F1841" i="5"/>
  <c r="G1841" i="5" s="1"/>
  <c r="F1845" i="5"/>
  <c r="G1845" i="5" s="1"/>
  <c r="F1849" i="5"/>
  <c r="G1849" i="5" s="1"/>
  <c r="F1853" i="5"/>
  <c r="G1853" i="5" s="1"/>
  <c r="F1857" i="5"/>
  <c r="G1857" i="5" s="1"/>
  <c r="F1861" i="5"/>
  <c r="G1861" i="5" s="1"/>
  <c r="F1865" i="5"/>
  <c r="G1865" i="5" s="1"/>
  <c r="F1869" i="5"/>
  <c r="G1869" i="5" s="1"/>
  <c r="F1873" i="5"/>
  <c r="G1873" i="5" s="1"/>
  <c r="F1877" i="5"/>
  <c r="G1877" i="5" s="1"/>
  <c r="F1881" i="5"/>
  <c r="G1881" i="5" s="1"/>
  <c r="F1885" i="5"/>
  <c r="G1885" i="5" s="1"/>
  <c r="F1889" i="5"/>
  <c r="G1889" i="5" s="1"/>
  <c r="F1893" i="5"/>
  <c r="G1893" i="5" s="1"/>
  <c r="F1897" i="5"/>
  <c r="G1897" i="5" s="1"/>
  <c r="F1901" i="5"/>
  <c r="G1901" i="5" s="1"/>
  <c r="F1905" i="5"/>
  <c r="G1905" i="5" s="1"/>
  <c r="F1909" i="5"/>
  <c r="G1909" i="5" s="1"/>
  <c r="F1913" i="5"/>
  <c r="G1913" i="5" s="1"/>
  <c r="F1917" i="5"/>
  <c r="G1917" i="5" s="1"/>
  <c r="F1921" i="5"/>
  <c r="G1921" i="5" s="1"/>
  <c r="F1925" i="5"/>
  <c r="G1925" i="5" s="1"/>
  <c r="F1929" i="5"/>
  <c r="G1929" i="5" s="1"/>
  <c r="F1933" i="5"/>
  <c r="G1933" i="5" s="1"/>
  <c r="F1937" i="5"/>
  <c r="G1937" i="5" s="1"/>
  <c r="F1941" i="5"/>
  <c r="G1941" i="5" s="1"/>
  <c r="F1945" i="5"/>
  <c r="G1945" i="5" s="1"/>
  <c r="F1949" i="5"/>
  <c r="G1949" i="5" s="1"/>
  <c r="F1953" i="5"/>
  <c r="G1953" i="5" s="1"/>
  <c r="F1957" i="5"/>
  <c r="G1957" i="5" s="1"/>
  <c r="F1961" i="5"/>
  <c r="G1961" i="5" s="1"/>
  <c r="F1965" i="5"/>
  <c r="G1965" i="5" s="1"/>
  <c r="F1969" i="5"/>
  <c r="G1969" i="5" s="1"/>
  <c r="F1973" i="5"/>
  <c r="G1973" i="5" s="1"/>
  <c r="F1977" i="5"/>
  <c r="G1977" i="5" s="1"/>
  <c r="F1981" i="5"/>
  <c r="G1981" i="5" s="1"/>
  <c r="F1985" i="5"/>
  <c r="G1985" i="5" s="1"/>
  <c r="F1989" i="5"/>
  <c r="G1989" i="5" s="1"/>
  <c r="F1993" i="5"/>
  <c r="G1993" i="5" s="1"/>
  <c r="F1997" i="5"/>
  <c r="G1997" i="5" s="1"/>
  <c r="F2001" i="5"/>
  <c r="G2001" i="5" s="1"/>
  <c r="F2005" i="5"/>
  <c r="G2005" i="5" s="1"/>
  <c r="F2009" i="5"/>
  <c r="G2009" i="5" s="1"/>
  <c r="F2013" i="5"/>
  <c r="G2013" i="5" s="1"/>
  <c r="F2017" i="5"/>
  <c r="G2017" i="5" s="1"/>
  <c r="F2021" i="5"/>
  <c r="G2021" i="5" s="1"/>
  <c r="F2025" i="5"/>
  <c r="G2025" i="5" s="1"/>
  <c r="F414" i="5"/>
  <c r="G414" i="5" s="1"/>
  <c r="F542" i="5"/>
  <c r="G542" i="5" s="1"/>
  <c r="F670" i="5"/>
  <c r="G670" i="5" s="1"/>
  <c r="F2029" i="5"/>
  <c r="G2029" i="5" s="1"/>
  <c r="F2033" i="5"/>
  <c r="G2033" i="5" s="1"/>
  <c r="F350" i="5"/>
  <c r="G350" i="5" s="1"/>
  <c r="F478" i="5"/>
  <c r="G478" i="5" s="1"/>
  <c r="F606" i="5"/>
  <c r="G606" i="5" s="1"/>
  <c r="F572" i="5"/>
  <c r="G572" i="5" s="1"/>
  <c r="F576" i="5"/>
  <c r="G576" i="5" s="1"/>
  <c r="F580" i="5"/>
  <c r="G580" i="5" s="1"/>
  <c r="F584" i="5"/>
  <c r="G584" i="5" s="1"/>
  <c r="F588" i="5"/>
  <c r="G588" i="5" s="1"/>
  <c r="F592" i="5"/>
  <c r="G592" i="5" s="1"/>
  <c r="F596" i="5"/>
  <c r="G596" i="5" s="1"/>
  <c r="F600" i="5"/>
  <c r="G600" i="5" s="1"/>
  <c r="F604" i="5"/>
  <c r="G604" i="5" s="1"/>
  <c r="F608" i="5"/>
  <c r="G608" i="5" s="1"/>
  <c r="F612" i="5"/>
  <c r="G612" i="5" s="1"/>
  <c r="F616" i="5"/>
  <c r="G616" i="5" s="1"/>
  <c r="F620" i="5"/>
  <c r="G620" i="5" s="1"/>
  <c r="F624" i="5"/>
  <c r="G624" i="5" s="1"/>
  <c r="F628" i="5"/>
  <c r="G628" i="5" s="1"/>
  <c r="F632" i="5"/>
  <c r="G632" i="5" s="1"/>
  <c r="F636" i="5"/>
  <c r="G636" i="5" s="1"/>
  <c r="F640" i="5"/>
  <c r="G640" i="5" s="1"/>
  <c r="F644" i="5"/>
  <c r="G644" i="5" s="1"/>
  <c r="F648" i="5"/>
  <c r="G648" i="5" s="1"/>
  <c r="F652" i="5"/>
  <c r="G652" i="5" s="1"/>
  <c r="F656" i="5"/>
  <c r="G656" i="5" s="1"/>
  <c r="F660" i="5"/>
  <c r="G660" i="5" s="1"/>
  <c r="F664" i="5"/>
  <c r="G664" i="5" s="1"/>
  <c r="F668" i="5"/>
  <c r="G668" i="5" s="1"/>
  <c r="F672" i="5"/>
  <c r="G672" i="5" s="1"/>
  <c r="F676" i="5"/>
  <c r="G676" i="5" s="1"/>
  <c r="F680" i="5"/>
  <c r="G680" i="5" s="1"/>
  <c r="F684" i="5"/>
  <c r="G684" i="5" s="1"/>
  <c r="F688" i="5"/>
  <c r="G688" i="5" s="1"/>
  <c r="F692" i="5"/>
  <c r="G692" i="5" s="1"/>
  <c r="F696" i="5"/>
  <c r="G696" i="5" s="1"/>
  <c r="F700" i="5"/>
  <c r="G700" i="5" s="1"/>
  <c r="F704" i="5"/>
  <c r="G704" i="5" s="1"/>
  <c r="F708" i="5"/>
  <c r="G708" i="5" s="1"/>
  <c r="F712" i="5"/>
  <c r="G712" i="5" s="1"/>
  <c r="F716" i="5"/>
  <c r="G716" i="5" s="1"/>
  <c r="F720" i="5"/>
  <c r="G720" i="5" s="1"/>
  <c r="F724" i="5"/>
  <c r="G724" i="5" s="1"/>
  <c r="F728" i="5"/>
  <c r="G728" i="5" s="1"/>
  <c r="F732" i="5"/>
  <c r="G732" i="5" s="1"/>
  <c r="F736" i="5"/>
  <c r="G736" i="5" s="1"/>
  <c r="F740" i="5"/>
  <c r="G740" i="5" s="1"/>
  <c r="F744" i="5"/>
  <c r="G744" i="5" s="1"/>
  <c r="F748" i="5"/>
  <c r="G748" i="5" s="1"/>
  <c r="F752" i="5"/>
  <c r="G752" i="5" s="1"/>
  <c r="F756" i="5"/>
  <c r="G756" i="5" s="1"/>
  <c r="F760" i="5"/>
  <c r="G760" i="5" s="1"/>
  <c r="F764" i="5"/>
  <c r="G764" i="5" s="1"/>
  <c r="F768" i="5"/>
  <c r="G768" i="5" s="1"/>
  <c r="F772" i="5"/>
  <c r="G772" i="5" s="1"/>
  <c r="F776" i="5"/>
  <c r="G776" i="5" s="1"/>
  <c r="F780" i="5"/>
  <c r="G780" i="5" s="1"/>
  <c r="F784" i="5"/>
  <c r="G784" i="5" s="1"/>
  <c r="F788" i="5"/>
  <c r="G788" i="5" s="1"/>
  <c r="F792" i="5"/>
  <c r="G792" i="5" s="1"/>
  <c r="F796" i="5"/>
  <c r="G796" i="5" s="1"/>
  <c r="F800" i="5"/>
  <c r="G800" i="5" s="1"/>
  <c r="F804" i="5"/>
  <c r="G804" i="5" s="1"/>
  <c r="F808" i="5"/>
  <c r="G808" i="5" s="1"/>
  <c r="F812" i="5"/>
  <c r="G812" i="5" s="1"/>
  <c r="F816" i="5"/>
  <c r="G816" i="5" s="1"/>
  <c r="F820" i="5"/>
  <c r="G820" i="5" s="1"/>
  <c r="F824" i="5"/>
  <c r="G824" i="5" s="1"/>
  <c r="F828" i="5"/>
  <c r="G828" i="5" s="1"/>
  <c r="F832" i="5"/>
  <c r="G832" i="5" s="1"/>
  <c r="F836" i="5"/>
  <c r="G836" i="5" s="1"/>
  <c r="F840" i="5"/>
  <c r="G840" i="5" s="1"/>
  <c r="F844" i="5"/>
  <c r="G844" i="5" s="1"/>
  <c r="F848" i="5"/>
  <c r="G848" i="5" s="1"/>
  <c r="F852" i="5"/>
  <c r="G852" i="5" s="1"/>
  <c r="F856" i="5"/>
  <c r="G856" i="5" s="1"/>
  <c r="F860" i="5"/>
  <c r="G860" i="5" s="1"/>
  <c r="F864" i="5"/>
  <c r="G864" i="5" s="1"/>
  <c r="F868" i="5"/>
  <c r="G868" i="5" s="1"/>
  <c r="F872" i="5"/>
  <c r="G872" i="5" s="1"/>
  <c r="F876" i="5"/>
  <c r="G876" i="5" s="1"/>
  <c r="F880" i="5"/>
  <c r="G880" i="5" s="1"/>
  <c r="F884" i="5"/>
  <c r="G884" i="5" s="1"/>
  <c r="F888" i="5"/>
  <c r="G888" i="5" s="1"/>
  <c r="F892" i="5"/>
  <c r="G892" i="5" s="1"/>
  <c r="F896" i="5"/>
  <c r="G896" i="5" s="1"/>
  <c r="F900" i="5"/>
  <c r="G900" i="5" s="1"/>
  <c r="F904" i="5"/>
  <c r="G904" i="5" s="1"/>
  <c r="F908" i="5"/>
  <c r="G908" i="5" s="1"/>
  <c r="F912" i="5"/>
  <c r="G912" i="5" s="1"/>
  <c r="F916" i="5"/>
  <c r="G916" i="5" s="1"/>
  <c r="F920" i="5"/>
  <c r="G920" i="5" s="1"/>
  <c r="F924" i="5"/>
  <c r="G924" i="5" s="1"/>
  <c r="F928" i="5"/>
  <c r="G928" i="5" s="1"/>
  <c r="F932" i="5"/>
  <c r="G932" i="5" s="1"/>
  <c r="F936" i="5"/>
  <c r="G936" i="5" s="1"/>
  <c r="F940" i="5"/>
  <c r="G940" i="5" s="1"/>
  <c r="F944" i="5"/>
  <c r="G944" i="5" s="1"/>
  <c r="F948" i="5"/>
  <c r="G948" i="5" s="1"/>
  <c r="F952" i="5"/>
  <c r="G952" i="5" s="1"/>
  <c r="F956" i="5"/>
  <c r="G956" i="5" s="1"/>
  <c r="F960" i="5"/>
  <c r="G960" i="5" s="1"/>
  <c r="F964" i="5"/>
  <c r="G964" i="5" s="1"/>
  <c r="F968" i="5"/>
  <c r="G968" i="5" s="1"/>
  <c r="F972" i="5"/>
  <c r="G972" i="5" s="1"/>
  <c r="F976" i="5"/>
  <c r="G976" i="5" s="1"/>
  <c r="F980" i="5"/>
  <c r="G980" i="5" s="1"/>
  <c r="F984" i="5"/>
  <c r="G984" i="5" s="1"/>
  <c r="F988" i="5"/>
  <c r="G988" i="5" s="1"/>
  <c r="F992" i="5"/>
  <c r="G992" i="5" s="1"/>
  <c r="F996" i="5"/>
  <c r="G996" i="5" s="1"/>
  <c r="F1000" i="5"/>
  <c r="G1000" i="5" s="1"/>
  <c r="F1004" i="5"/>
  <c r="G1004" i="5" s="1"/>
  <c r="F1008" i="5"/>
  <c r="G1008" i="5" s="1"/>
  <c r="F1012" i="5"/>
  <c r="G1012" i="5" s="1"/>
  <c r="F1016" i="5"/>
  <c r="G1016" i="5" s="1"/>
  <c r="F1020" i="5"/>
  <c r="G1020" i="5" s="1"/>
  <c r="F1024" i="5"/>
  <c r="G1024" i="5" s="1"/>
  <c r="F1028" i="5"/>
  <c r="G1028" i="5" s="1"/>
  <c r="F1032" i="5"/>
  <c r="G1032" i="5" s="1"/>
  <c r="F1036" i="5"/>
  <c r="G1036" i="5" s="1"/>
  <c r="F1040" i="5"/>
  <c r="G1040" i="5" s="1"/>
  <c r="F1044" i="5"/>
  <c r="G1044" i="5" s="1"/>
  <c r="F1048" i="5"/>
  <c r="G1048" i="5" s="1"/>
  <c r="F1052" i="5"/>
  <c r="G1052" i="5" s="1"/>
  <c r="F1056" i="5"/>
  <c r="G1056" i="5" s="1"/>
  <c r="F1060" i="5"/>
  <c r="G1060" i="5" s="1"/>
  <c r="F1064" i="5"/>
  <c r="G1064" i="5" s="1"/>
  <c r="F1068" i="5"/>
  <c r="G1068" i="5" s="1"/>
  <c r="F1072" i="5"/>
  <c r="G1072" i="5" s="1"/>
  <c r="F1076" i="5"/>
  <c r="G1076" i="5" s="1"/>
  <c r="F1080" i="5"/>
  <c r="G1080" i="5" s="1"/>
  <c r="F1084" i="5"/>
  <c r="G1084" i="5" s="1"/>
  <c r="F1088" i="5"/>
  <c r="G1088" i="5" s="1"/>
  <c r="F1092" i="5"/>
  <c r="G1092" i="5" s="1"/>
  <c r="F1096" i="5"/>
  <c r="G1096" i="5" s="1"/>
  <c r="F1100" i="5"/>
  <c r="G1100" i="5" s="1"/>
  <c r="F1104" i="5"/>
  <c r="G1104" i="5" s="1"/>
  <c r="F1108" i="5"/>
  <c r="G1108" i="5" s="1"/>
  <c r="F1112" i="5"/>
  <c r="G1112" i="5" s="1"/>
  <c r="F1116" i="5"/>
  <c r="G1116" i="5" s="1"/>
  <c r="F1120" i="5"/>
  <c r="G1120" i="5" s="1"/>
  <c r="F1124" i="5"/>
  <c r="G1124" i="5" s="1"/>
  <c r="F1128" i="5"/>
  <c r="G1128" i="5" s="1"/>
  <c r="F1132" i="5"/>
  <c r="G1132" i="5" s="1"/>
  <c r="F1136" i="5"/>
  <c r="G1136" i="5" s="1"/>
  <c r="F1140" i="5"/>
  <c r="G1140" i="5" s="1"/>
  <c r="F1144" i="5"/>
  <c r="G1144" i="5" s="1"/>
  <c r="F1148" i="5"/>
  <c r="G1148" i="5" s="1"/>
  <c r="F1152" i="5"/>
  <c r="G1152" i="5" s="1"/>
  <c r="F1156" i="5"/>
  <c r="G1156" i="5" s="1"/>
  <c r="F1160" i="5"/>
  <c r="G1160" i="5" s="1"/>
  <c r="F1164" i="5"/>
  <c r="G1164" i="5" s="1"/>
  <c r="F1168" i="5"/>
  <c r="G1168" i="5" s="1"/>
  <c r="F1172" i="5"/>
  <c r="G1172" i="5" s="1"/>
  <c r="F1176" i="5"/>
  <c r="G1176" i="5" s="1"/>
  <c r="F1180" i="5"/>
  <c r="G1180" i="5" s="1"/>
  <c r="F1184" i="5"/>
  <c r="G1184" i="5" s="1"/>
  <c r="F1188" i="5"/>
  <c r="G1188" i="5" s="1"/>
  <c r="F1192" i="5"/>
  <c r="G1192" i="5" s="1"/>
  <c r="F1196" i="5"/>
  <c r="G1196" i="5" s="1"/>
  <c r="F1200" i="5"/>
  <c r="G1200" i="5" s="1"/>
  <c r="F1204" i="5"/>
  <c r="G1204" i="5" s="1"/>
  <c r="F1208" i="5"/>
  <c r="G1208" i="5" s="1"/>
  <c r="F1212" i="5"/>
  <c r="G1212" i="5" s="1"/>
  <c r="F1216" i="5"/>
  <c r="G1216" i="5" s="1"/>
  <c r="F1220" i="5"/>
  <c r="G1220" i="5" s="1"/>
  <c r="F1224" i="5"/>
  <c r="G1224" i="5" s="1"/>
  <c r="F1228" i="5"/>
  <c r="G1228" i="5" s="1"/>
  <c r="F1232" i="5"/>
  <c r="G1232" i="5" s="1"/>
  <c r="F1236" i="5"/>
  <c r="G1236" i="5" s="1"/>
  <c r="F1240" i="5"/>
  <c r="G1240" i="5" s="1"/>
  <c r="F1244" i="5"/>
  <c r="G1244" i="5" s="1"/>
  <c r="F1248" i="5"/>
  <c r="G1248" i="5" s="1"/>
  <c r="F1252" i="5"/>
  <c r="G1252" i="5" s="1"/>
  <c r="F1256" i="5"/>
  <c r="G1256" i="5" s="1"/>
  <c r="F1260" i="5"/>
  <c r="G1260" i="5" s="1"/>
  <c r="F1264" i="5"/>
  <c r="G1264" i="5" s="1"/>
  <c r="F1268" i="5"/>
  <c r="G1268" i="5" s="1"/>
  <c r="F1272" i="5"/>
  <c r="G1272" i="5" s="1"/>
  <c r="F1276" i="5"/>
  <c r="G1276" i="5" s="1"/>
  <c r="F1280" i="5"/>
  <c r="G1280" i="5" s="1"/>
  <c r="F1284" i="5"/>
  <c r="G1284" i="5" s="1"/>
  <c r="F1288" i="5"/>
  <c r="G1288" i="5" s="1"/>
  <c r="F1292" i="5"/>
  <c r="G1292" i="5" s="1"/>
  <c r="F1296" i="5"/>
  <c r="G1296" i="5" s="1"/>
  <c r="F1300" i="5"/>
  <c r="G1300" i="5" s="1"/>
  <c r="F1304" i="5"/>
  <c r="G1304" i="5" s="1"/>
  <c r="F1308" i="5"/>
  <c r="G1308" i="5" s="1"/>
  <c r="F1312" i="5"/>
  <c r="G1312" i="5" s="1"/>
  <c r="F1316" i="5"/>
  <c r="G1316" i="5" s="1"/>
  <c r="F1320" i="5"/>
  <c r="G1320" i="5" s="1"/>
  <c r="F1324" i="5"/>
  <c r="G1324" i="5" s="1"/>
  <c r="F1328" i="5"/>
  <c r="G1328" i="5" s="1"/>
  <c r="F1332" i="5"/>
  <c r="G1332" i="5" s="1"/>
  <c r="F1336" i="5"/>
  <c r="G1336" i="5" s="1"/>
  <c r="F1340" i="5"/>
  <c r="G1340" i="5" s="1"/>
  <c r="F1344" i="5"/>
  <c r="G1344" i="5" s="1"/>
  <c r="F1348" i="5"/>
  <c r="G1348" i="5" s="1"/>
  <c r="F1352" i="5"/>
  <c r="G1352" i="5" s="1"/>
  <c r="F1356" i="5"/>
  <c r="G1356" i="5" s="1"/>
  <c r="F1360" i="5"/>
  <c r="G1360" i="5" s="1"/>
  <c r="F1364" i="5"/>
  <c r="G1364" i="5" s="1"/>
  <c r="F1368" i="5"/>
  <c r="G1368" i="5" s="1"/>
  <c r="F1372" i="5"/>
  <c r="G1372" i="5" s="1"/>
  <c r="F1376" i="5"/>
  <c r="G1376" i="5" s="1"/>
  <c r="F1380" i="5"/>
  <c r="G1380" i="5" s="1"/>
  <c r="F1384" i="5"/>
  <c r="G1384" i="5" s="1"/>
  <c r="F1388" i="5"/>
  <c r="G1388" i="5" s="1"/>
  <c r="F1392" i="5"/>
  <c r="G1392" i="5" s="1"/>
  <c r="F1396" i="5"/>
  <c r="G1396" i="5" s="1"/>
  <c r="F1400" i="5"/>
  <c r="G1400" i="5" s="1"/>
  <c r="F1404" i="5"/>
  <c r="G1404" i="5" s="1"/>
  <c r="F1408" i="5"/>
  <c r="G1408" i="5" s="1"/>
  <c r="F1412" i="5"/>
  <c r="G1412" i="5" s="1"/>
  <c r="F1416" i="5"/>
  <c r="G1416" i="5" s="1"/>
  <c r="F1420" i="5"/>
  <c r="G1420" i="5" s="1"/>
  <c r="F1424" i="5"/>
  <c r="G1424" i="5" s="1"/>
  <c r="F1428" i="5"/>
  <c r="G1428" i="5" s="1"/>
  <c r="F1432" i="5"/>
  <c r="G1432" i="5" s="1"/>
  <c r="F1436" i="5"/>
  <c r="G1436" i="5" s="1"/>
  <c r="F1440" i="5"/>
  <c r="G1440" i="5" s="1"/>
  <c r="F1444" i="5"/>
  <c r="G1444" i="5" s="1"/>
  <c r="F1448" i="5"/>
  <c r="G1448" i="5" s="1"/>
  <c r="F1452" i="5"/>
  <c r="G1452" i="5" s="1"/>
  <c r="F1456" i="5"/>
  <c r="G1456" i="5" s="1"/>
  <c r="F1460" i="5"/>
  <c r="G1460" i="5" s="1"/>
  <c r="F1464" i="5"/>
  <c r="G1464" i="5" s="1"/>
  <c r="F1468" i="5"/>
  <c r="G1468" i="5" s="1"/>
  <c r="F1472" i="5"/>
  <c r="G1472" i="5" s="1"/>
  <c r="F1476" i="5"/>
  <c r="G1476" i="5" s="1"/>
  <c r="F1480" i="5"/>
  <c r="G1480" i="5" s="1"/>
  <c r="F1484" i="5"/>
  <c r="G1484" i="5" s="1"/>
  <c r="F1488" i="5"/>
  <c r="G1488" i="5" s="1"/>
  <c r="F1492" i="5"/>
  <c r="G1492" i="5" s="1"/>
  <c r="F1496" i="5"/>
  <c r="G1496" i="5" s="1"/>
  <c r="F1500" i="5"/>
  <c r="G1500" i="5" s="1"/>
  <c r="F1504" i="5"/>
  <c r="G1504" i="5" s="1"/>
  <c r="F1508" i="5"/>
  <c r="G1508" i="5" s="1"/>
  <c r="F1512" i="5"/>
  <c r="G1512" i="5" s="1"/>
  <c r="F1516" i="5"/>
  <c r="G1516" i="5" s="1"/>
  <c r="F1520" i="5"/>
  <c r="G1520" i="5" s="1"/>
  <c r="F1524" i="5"/>
  <c r="G1524" i="5" s="1"/>
  <c r="F1528" i="5"/>
  <c r="G1528" i="5" s="1"/>
  <c r="F1532" i="5"/>
  <c r="G1532" i="5" s="1"/>
  <c r="F1536" i="5"/>
  <c r="G1536" i="5" s="1"/>
  <c r="F1540" i="5"/>
  <c r="G1540" i="5" s="1"/>
  <c r="F1544" i="5"/>
  <c r="G1544" i="5" s="1"/>
  <c r="F1548" i="5"/>
  <c r="G1548" i="5" s="1"/>
  <c r="F1552" i="5"/>
  <c r="G1552" i="5" s="1"/>
  <c r="F1556" i="5"/>
  <c r="G1556" i="5" s="1"/>
  <c r="F1560" i="5"/>
  <c r="G1560" i="5" s="1"/>
  <c r="F1564" i="5"/>
  <c r="G1564" i="5" s="1"/>
  <c r="F1568" i="5"/>
  <c r="G1568" i="5" s="1"/>
  <c r="F1572" i="5"/>
  <c r="G1572" i="5" s="1"/>
  <c r="F1576" i="5"/>
  <c r="G1576" i="5" s="1"/>
  <c r="F1580" i="5"/>
  <c r="G1580" i="5" s="1"/>
  <c r="F1584" i="5"/>
  <c r="G1584" i="5" s="1"/>
  <c r="F1588" i="5"/>
  <c r="G1588" i="5" s="1"/>
  <c r="F1592" i="5"/>
  <c r="G1592" i="5" s="1"/>
  <c r="F1596" i="5"/>
  <c r="G1596" i="5" s="1"/>
  <c r="F1600" i="5"/>
  <c r="G1600" i="5" s="1"/>
  <c r="F1604" i="5"/>
  <c r="G1604" i="5" s="1"/>
  <c r="F1608" i="5"/>
  <c r="G1608" i="5" s="1"/>
  <c r="F1612" i="5"/>
  <c r="G1612" i="5" s="1"/>
  <c r="F1616" i="5"/>
  <c r="G1616" i="5" s="1"/>
  <c r="F1620" i="5"/>
  <c r="G1620" i="5" s="1"/>
  <c r="F1624" i="5"/>
  <c r="G1624" i="5" s="1"/>
  <c r="F1628" i="5"/>
  <c r="G1628" i="5" s="1"/>
  <c r="F1632" i="5"/>
  <c r="G1632" i="5" s="1"/>
  <c r="F1636" i="5"/>
  <c r="G1636" i="5" s="1"/>
  <c r="F1640" i="5"/>
  <c r="G1640" i="5" s="1"/>
  <c r="F1644" i="5"/>
  <c r="G1644" i="5" s="1"/>
  <c r="F1648" i="5"/>
  <c r="G1648" i="5" s="1"/>
  <c r="F1652" i="5"/>
  <c r="G1652" i="5" s="1"/>
  <c r="F1656" i="5"/>
  <c r="G1656" i="5" s="1"/>
  <c r="F1660" i="5"/>
  <c r="G1660" i="5" s="1"/>
  <c r="F1664" i="5"/>
  <c r="G1664" i="5" s="1"/>
  <c r="F1668" i="5"/>
  <c r="G1668" i="5" s="1"/>
  <c r="F1672" i="5"/>
  <c r="G1672" i="5" s="1"/>
  <c r="F1676" i="5"/>
  <c r="G1676" i="5" s="1"/>
  <c r="F1680" i="5"/>
  <c r="G1680" i="5" s="1"/>
  <c r="F1684" i="5"/>
  <c r="G1684" i="5" s="1"/>
  <c r="F1688" i="5"/>
  <c r="G1688" i="5" s="1"/>
  <c r="F1692" i="5"/>
  <c r="G1692" i="5" s="1"/>
  <c r="F1696" i="5"/>
  <c r="G1696" i="5" s="1"/>
  <c r="F1700" i="5"/>
  <c r="G1700" i="5" s="1"/>
  <c r="F1704" i="5"/>
  <c r="G1704" i="5" s="1"/>
  <c r="F1708" i="5"/>
  <c r="G1708" i="5" s="1"/>
  <c r="F1712" i="5"/>
  <c r="G1712" i="5" s="1"/>
  <c r="F1716" i="5"/>
  <c r="G1716" i="5" s="1"/>
  <c r="F1720" i="5"/>
  <c r="G1720" i="5" s="1"/>
  <c r="F1724" i="5"/>
  <c r="G1724" i="5" s="1"/>
  <c r="F1728" i="5"/>
  <c r="G1728" i="5" s="1"/>
  <c r="F1732" i="5"/>
  <c r="G1732" i="5" s="1"/>
  <c r="F1736" i="5"/>
  <c r="G1736" i="5" s="1"/>
  <c r="F1740" i="5"/>
  <c r="G1740" i="5" s="1"/>
  <c r="F1744" i="5"/>
  <c r="G1744" i="5" s="1"/>
  <c r="F1748" i="5"/>
  <c r="G1748" i="5" s="1"/>
  <c r="F1752" i="5"/>
  <c r="G1752" i="5" s="1"/>
  <c r="F1756" i="5"/>
  <c r="G1756" i="5" s="1"/>
  <c r="F1760" i="5"/>
  <c r="G1760" i="5" s="1"/>
  <c r="F1764" i="5"/>
  <c r="G1764" i="5" s="1"/>
  <c r="F1768" i="5"/>
  <c r="G1768" i="5" s="1"/>
  <c r="F1772" i="5"/>
  <c r="G1772" i="5" s="1"/>
  <c r="F1776" i="5"/>
  <c r="G1776" i="5" s="1"/>
  <c r="F1780" i="5"/>
  <c r="G1780" i="5" s="1"/>
  <c r="F1784" i="5"/>
  <c r="G1784" i="5" s="1"/>
  <c r="F1788" i="5"/>
  <c r="G1788" i="5" s="1"/>
  <c r="F1792" i="5"/>
  <c r="G1792" i="5" s="1"/>
  <c r="F1796" i="5"/>
  <c r="G1796" i="5" s="1"/>
  <c r="F1800" i="5"/>
  <c r="G1800" i="5" s="1"/>
  <c r="F1804" i="5"/>
  <c r="G1804" i="5" s="1"/>
  <c r="F1808" i="5"/>
  <c r="G1808" i="5" s="1"/>
  <c r="F1812" i="5"/>
  <c r="G1812" i="5" s="1"/>
  <c r="F1816" i="5"/>
  <c r="G1816" i="5" s="1"/>
  <c r="F1820" i="5"/>
  <c r="G1820" i="5" s="1"/>
  <c r="F1824" i="5"/>
  <c r="G1824" i="5" s="1"/>
  <c r="F1828" i="5"/>
  <c r="G1828" i="5" s="1"/>
  <c r="F1832" i="5"/>
  <c r="G1832" i="5" s="1"/>
  <c r="F1836" i="5"/>
  <c r="G1836" i="5" s="1"/>
  <c r="F1840" i="5"/>
  <c r="G1840" i="5" s="1"/>
  <c r="F1844" i="5"/>
  <c r="G1844" i="5" s="1"/>
  <c r="F1848" i="5"/>
  <c r="G1848" i="5" s="1"/>
  <c r="F1852" i="5"/>
  <c r="G1852" i="5" s="1"/>
  <c r="F1856" i="5"/>
  <c r="G1856" i="5" s="1"/>
  <c r="F1860" i="5"/>
  <c r="G1860" i="5" s="1"/>
  <c r="F1864" i="5"/>
  <c r="G1864" i="5" s="1"/>
  <c r="F1868" i="5"/>
  <c r="G1868" i="5" s="1"/>
  <c r="F1872" i="5"/>
  <c r="G1872" i="5" s="1"/>
  <c r="F1876" i="5"/>
  <c r="G1876" i="5" s="1"/>
  <c r="F1880" i="5"/>
  <c r="G1880" i="5" s="1"/>
  <c r="F1884" i="5"/>
  <c r="G1884" i="5" s="1"/>
  <c r="F1888" i="5"/>
  <c r="G1888" i="5" s="1"/>
  <c r="F1892" i="5"/>
  <c r="G1892" i="5" s="1"/>
  <c r="F1896" i="5"/>
  <c r="G1896" i="5" s="1"/>
  <c r="F1900" i="5"/>
  <c r="G1900" i="5" s="1"/>
  <c r="F1904" i="5"/>
  <c r="G1904" i="5" s="1"/>
  <c r="F1908" i="5"/>
  <c r="G1908" i="5" s="1"/>
  <c r="F1912" i="5"/>
  <c r="G1912" i="5" s="1"/>
  <c r="F1916" i="5"/>
  <c r="G1916" i="5" s="1"/>
  <c r="F1920" i="5"/>
  <c r="G1920" i="5" s="1"/>
  <c r="F1924" i="5"/>
  <c r="G1924" i="5" s="1"/>
  <c r="F1928" i="5"/>
  <c r="G1928" i="5" s="1"/>
  <c r="F1932" i="5"/>
  <c r="G1932" i="5" s="1"/>
  <c r="F1936" i="5"/>
  <c r="G1936" i="5" s="1"/>
  <c r="F1940" i="5"/>
  <c r="G1940" i="5" s="1"/>
  <c r="F1944" i="5"/>
  <c r="G1944" i="5" s="1"/>
  <c r="F1948" i="5"/>
  <c r="G1948" i="5" s="1"/>
  <c r="F1952" i="5"/>
  <c r="G1952" i="5" s="1"/>
  <c r="F1956" i="5"/>
  <c r="G1956" i="5" s="1"/>
  <c r="F1960" i="5"/>
  <c r="G1960" i="5" s="1"/>
  <c r="F1964" i="5"/>
  <c r="G1964" i="5" s="1"/>
  <c r="F1968" i="5"/>
  <c r="G1968" i="5" s="1"/>
  <c r="F1972" i="5"/>
  <c r="G1972" i="5" s="1"/>
  <c r="F1976" i="5"/>
  <c r="G1976" i="5" s="1"/>
  <c r="F1980" i="5"/>
  <c r="G1980" i="5" s="1"/>
  <c r="F1984" i="5"/>
  <c r="G1984" i="5" s="1"/>
  <c r="F1988" i="5"/>
  <c r="G1988" i="5" s="1"/>
  <c r="F1992" i="5"/>
  <c r="G1992" i="5" s="1"/>
  <c r="F1996" i="5"/>
  <c r="G1996" i="5" s="1"/>
  <c r="F2000" i="5"/>
  <c r="G2000" i="5" s="1"/>
  <c r="F2004" i="5"/>
  <c r="G2004" i="5" s="1"/>
  <c r="F2008" i="5"/>
  <c r="G2008" i="5" s="1"/>
  <c r="F2012" i="5"/>
  <c r="G2012" i="5" s="1"/>
  <c r="F2016" i="5"/>
  <c r="G2016" i="5" s="1"/>
  <c r="F2020" i="5"/>
  <c r="G2020" i="5" s="1"/>
  <c r="F2024" i="5"/>
  <c r="G2024" i="5" s="1"/>
  <c r="F2028" i="5"/>
  <c r="G2028" i="5" s="1"/>
  <c r="F2032" i="5"/>
  <c r="G2032" i="5" s="1"/>
  <c r="F2036" i="5"/>
  <c r="G2036" i="5" s="1"/>
  <c r="F2040" i="5"/>
  <c r="G2040" i="5" s="1"/>
  <c r="F2044" i="5"/>
  <c r="G2044" i="5" s="1"/>
  <c r="F2048" i="5"/>
  <c r="G2048" i="5" s="1"/>
  <c r="F2052" i="5"/>
  <c r="G2052" i="5" s="1"/>
  <c r="F2056" i="5"/>
  <c r="G2056" i="5" s="1"/>
  <c r="F2060" i="5"/>
  <c r="G2060" i="5" s="1"/>
  <c r="F2064" i="5"/>
  <c r="G2064" i="5" s="1"/>
  <c r="F2068" i="5"/>
  <c r="G2068" i="5" s="1"/>
  <c r="F2072" i="5"/>
  <c r="G2072" i="5" s="1"/>
  <c r="F2076" i="5"/>
  <c r="G2076" i="5" s="1"/>
  <c r="F2080" i="5"/>
  <c r="G2080" i="5" s="1"/>
  <c r="F2084" i="5"/>
  <c r="G2084" i="5" s="1"/>
  <c r="F2088" i="5"/>
  <c r="G2088" i="5" s="1"/>
  <c r="F2092" i="5"/>
  <c r="G2092" i="5" s="1"/>
  <c r="F2096" i="5"/>
  <c r="G2096" i="5" s="1"/>
  <c r="F2100" i="5"/>
  <c r="G2100" i="5" s="1"/>
  <c r="F2104" i="5"/>
  <c r="G2104" i="5" s="1"/>
  <c r="F2108" i="5"/>
  <c r="G2108" i="5" s="1"/>
  <c r="F2112" i="5"/>
  <c r="G2112" i="5" s="1"/>
  <c r="F2116" i="5"/>
  <c r="G2116" i="5" s="1"/>
  <c r="F2120" i="5"/>
  <c r="G2120" i="5" s="1"/>
  <c r="F2124" i="5"/>
  <c r="G2124" i="5" s="1"/>
  <c r="F2128" i="5"/>
  <c r="G2128" i="5" s="1"/>
  <c r="F2132" i="5"/>
  <c r="G2132" i="5" s="1"/>
  <c r="F2136" i="5"/>
  <c r="G2136" i="5" s="1"/>
  <c r="F2140" i="5"/>
  <c r="G2140" i="5" s="1"/>
  <c r="F2144" i="5"/>
  <c r="G2144" i="5" s="1"/>
  <c r="F2148" i="5"/>
  <c r="G2148" i="5" s="1"/>
  <c r="F2152" i="5"/>
  <c r="G2152" i="5" s="1"/>
  <c r="F2156" i="5"/>
  <c r="G2156" i="5" s="1"/>
  <c r="F2160" i="5"/>
  <c r="G2160" i="5" s="1"/>
  <c r="F2164" i="5"/>
  <c r="G2164" i="5" s="1"/>
  <c r="F2168" i="5"/>
  <c r="G2168" i="5" s="1"/>
  <c r="F2172" i="5"/>
  <c r="G2172" i="5" s="1"/>
  <c r="F2176" i="5"/>
  <c r="G2176" i="5" s="1"/>
  <c r="F2180" i="5"/>
  <c r="G2180" i="5" s="1"/>
  <c r="F2184" i="5"/>
  <c r="G2184" i="5" s="1"/>
  <c r="F2188" i="5"/>
  <c r="G2188" i="5" s="1"/>
  <c r="F2192" i="5"/>
  <c r="G2192" i="5" s="1"/>
  <c r="F2196" i="5"/>
  <c r="G2196" i="5" s="1"/>
  <c r="F2200" i="5"/>
  <c r="G2200" i="5" s="1"/>
  <c r="F2204" i="5"/>
  <c r="G2204" i="5" s="1"/>
  <c r="F2208" i="5"/>
  <c r="G2208" i="5" s="1"/>
  <c r="F2212" i="5"/>
  <c r="G2212" i="5" s="1"/>
  <c r="F2216" i="5"/>
  <c r="G2216" i="5" s="1"/>
  <c r="F2220" i="5"/>
  <c r="G2220" i="5" s="1"/>
  <c r="F2224" i="5"/>
  <c r="G2224" i="5" s="1"/>
  <c r="F2228" i="5"/>
  <c r="G2228" i="5" s="1"/>
  <c r="F2232" i="5"/>
  <c r="G2232" i="5" s="1"/>
  <c r="F2236" i="5"/>
  <c r="G2236" i="5" s="1"/>
  <c r="F2240" i="5"/>
  <c r="G2240" i="5" s="1"/>
  <c r="F2244" i="5"/>
  <c r="G2244" i="5" s="1"/>
  <c r="F2248" i="5"/>
  <c r="G2248" i="5" s="1"/>
  <c r="F2252" i="5"/>
  <c r="G2252" i="5" s="1"/>
  <c r="F2256" i="5"/>
  <c r="G2256" i="5" s="1"/>
  <c r="F2260" i="5"/>
  <c r="G2260" i="5" s="1"/>
  <c r="F2264" i="5"/>
  <c r="G2264" i="5" s="1"/>
  <c r="F2268" i="5"/>
  <c r="G2268" i="5" s="1"/>
  <c r="F2272" i="5"/>
  <c r="G2272" i="5" s="1"/>
  <c r="F2276" i="5"/>
  <c r="G2276" i="5" s="1"/>
  <c r="F2280" i="5"/>
  <c r="G2280" i="5" s="1"/>
  <c r="F2284" i="5"/>
  <c r="G2284" i="5" s="1"/>
  <c r="F2288" i="5"/>
  <c r="G2288" i="5" s="1"/>
  <c r="F2292" i="5"/>
  <c r="G2292" i="5" s="1"/>
  <c r="F2296" i="5"/>
  <c r="G2296" i="5" s="1"/>
  <c r="F2300" i="5"/>
  <c r="G2300" i="5" s="1"/>
  <c r="F2304" i="5"/>
  <c r="G2304" i="5" s="1"/>
  <c r="F2308" i="5"/>
  <c r="G2308" i="5" s="1"/>
  <c r="F2312" i="5"/>
  <c r="G2312" i="5" s="1"/>
  <c r="F2316" i="5"/>
  <c r="G2316" i="5" s="1"/>
  <c r="F2320" i="5"/>
  <c r="G2320" i="5" s="1"/>
  <c r="F2324" i="5"/>
  <c r="G2324" i="5" s="1"/>
  <c r="F2328" i="5"/>
  <c r="G2328" i="5" s="1"/>
  <c r="F2332" i="5"/>
  <c r="G2332" i="5" s="1"/>
  <c r="F2336" i="5"/>
  <c r="G2336" i="5" s="1"/>
  <c r="F2340" i="5"/>
  <c r="G2340" i="5" s="1"/>
  <c r="F2344" i="5"/>
  <c r="G2344" i="5" s="1"/>
  <c r="F2348" i="5"/>
  <c r="G2348" i="5" s="1"/>
  <c r="F2352" i="5"/>
  <c r="G2352" i="5" s="1"/>
  <c r="F2356" i="5"/>
  <c r="G2356" i="5" s="1"/>
  <c r="F2360" i="5"/>
  <c r="G2360" i="5" s="1"/>
  <c r="F2364" i="5"/>
  <c r="G2364" i="5" s="1"/>
  <c r="F2368" i="5"/>
  <c r="G2368" i="5" s="1"/>
  <c r="F2372" i="5"/>
  <c r="G2372" i="5" s="1"/>
  <c r="F2376" i="5"/>
  <c r="G2376" i="5" s="1"/>
  <c r="F2380" i="5"/>
  <c r="G2380" i="5" s="1"/>
  <c r="F2384" i="5"/>
  <c r="G2384" i="5" s="1"/>
  <c r="F2388" i="5"/>
  <c r="G2388" i="5" s="1"/>
  <c r="F2392" i="5"/>
  <c r="G2392" i="5" s="1"/>
  <c r="F2396" i="5"/>
  <c r="G2396" i="5" s="1"/>
  <c r="F2400" i="5"/>
  <c r="G2400" i="5" s="1"/>
  <c r="F2404" i="5"/>
  <c r="G2404" i="5" s="1"/>
  <c r="F2408" i="5"/>
  <c r="G2408" i="5" s="1"/>
  <c r="F2412" i="5"/>
  <c r="G2412" i="5" s="1"/>
  <c r="F2416" i="5"/>
  <c r="G2416" i="5" s="1"/>
  <c r="F2420" i="5"/>
  <c r="G2420" i="5" s="1"/>
  <c r="F2424" i="5"/>
  <c r="G2424" i="5" s="1"/>
  <c r="F2428" i="5"/>
  <c r="G2428" i="5" s="1"/>
  <c r="F2432" i="5"/>
  <c r="G2432" i="5" s="1"/>
  <c r="F2436" i="5"/>
  <c r="G2436" i="5" s="1"/>
  <c r="F2440" i="5"/>
  <c r="G2440" i="5" s="1"/>
  <c r="F2444" i="5"/>
  <c r="G2444" i="5" s="1"/>
  <c r="F2448" i="5"/>
  <c r="G2448" i="5" s="1"/>
  <c r="F2452" i="5"/>
  <c r="G2452" i="5" s="1"/>
  <c r="F2456" i="5"/>
  <c r="G2456" i="5" s="1"/>
  <c r="F2460" i="5"/>
  <c r="G2460" i="5" s="1"/>
  <c r="F2464" i="5"/>
  <c r="G2464" i="5" s="1"/>
  <c r="F2468" i="5"/>
  <c r="G2468" i="5" s="1"/>
  <c r="F2472" i="5"/>
  <c r="G2472" i="5" s="1"/>
  <c r="F2476" i="5"/>
  <c r="G2476" i="5" s="1"/>
  <c r="F2480" i="5"/>
  <c r="G2480" i="5" s="1"/>
  <c r="F2484" i="5"/>
  <c r="G2484" i="5" s="1"/>
  <c r="F2488" i="5"/>
  <c r="G2488" i="5" s="1"/>
  <c r="F2492" i="5"/>
  <c r="G2492" i="5" s="1"/>
  <c r="F2496" i="5"/>
  <c r="G2496" i="5" s="1"/>
  <c r="F2500" i="5"/>
  <c r="G2500" i="5" s="1"/>
  <c r="F2504" i="5"/>
  <c r="G2504" i="5" s="1"/>
  <c r="F2508" i="5"/>
  <c r="G2508" i="5" s="1"/>
  <c r="F2512" i="5"/>
  <c r="G2512" i="5" s="1"/>
  <c r="F2516" i="5"/>
  <c r="G2516" i="5" s="1"/>
  <c r="F2520" i="5"/>
  <c r="G2520" i="5" s="1"/>
  <c r="F2524" i="5"/>
  <c r="G2524" i="5" s="1"/>
  <c r="F2528" i="5"/>
  <c r="G2528" i="5" s="1"/>
  <c r="F2532" i="5"/>
  <c r="G2532" i="5" s="1"/>
  <c r="F2536" i="5"/>
  <c r="G2536" i="5" s="1"/>
  <c r="F2540" i="5"/>
  <c r="G2540" i="5" s="1"/>
  <c r="F2544" i="5"/>
  <c r="G2544" i="5" s="1"/>
  <c r="F2548" i="5"/>
  <c r="G2548" i="5" s="1"/>
  <c r="F2552" i="5"/>
  <c r="G2552" i="5" s="1"/>
  <c r="F2556" i="5"/>
  <c r="G2556" i="5" s="1"/>
  <c r="F2560" i="5"/>
  <c r="G2560" i="5" s="1"/>
  <c r="F2564" i="5"/>
  <c r="G2564" i="5" s="1"/>
  <c r="F2568" i="5"/>
  <c r="G2568" i="5" s="1"/>
  <c r="F2572" i="5"/>
  <c r="G2572" i="5" s="1"/>
  <c r="F2576" i="5"/>
  <c r="G2576" i="5" s="1"/>
  <c r="F2580" i="5"/>
  <c r="G2580" i="5" s="1"/>
  <c r="F2584" i="5"/>
  <c r="G2584" i="5" s="1"/>
  <c r="F2588" i="5"/>
  <c r="G2588" i="5" s="1"/>
  <c r="F2592" i="5"/>
  <c r="G2592" i="5" s="1"/>
  <c r="F2596" i="5"/>
  <c r="G2596" i="5" s="1"/>
  <c r="F2600" i="5"/>
  <c r="G2600" i="5" s="1"/>
  <c r="F2604" i="5"/>
  <c r="G2604" i="5" s="1"/>
  <c r="F2608" i="5"/>
  <c r="G2608" i="5" s="1"/>
  <c r="F2612" i="5"/>
  <c r="G2612" i="5" s="1"/>
  <c r="F2616" i="5"/>
  <c r="G2616" i="5" s="1"/>
  <c r="F2620" i="5"/>
  <c r="G2620" i="5" s="1"/>
  <c r="F2624" i="5"/>
  <c r="G2624" i="5" s="1"/>
  <c r="F2628" i="5"/>
  <c r="G2628" i="5" s="1"/>
  <c r="F2632" i="5"/>
  <c r="G2632" i="5" s="1"/>
  <c r="F2636" i="5"/>
  <c r="G2636" i="5" s="1"/>
  <c r="F2640" i="5"/>
  <c r="G2640" i="5" s="1"/>
  <c r="F2644" i="5"/>
  <c r="G2644" i="5" s="1"/>
  <c r="F2648" i="5"/>
  <c r="G2648" i="5" s="1"/>
  <c r="F2652" i="5"/>
  <c r="G2652" i="5" s="1"/>
  <c r="F2656" i="5"/>
  <c r="G2656" i="5" s="1"/>
  <c r="F2660" i="5"/>
  <c r="G2660" i="5" s="1"/>
  <c r="F2664" i="5"/>
  <c r="G2664" i="5" s="1"/>
  <c r="F2668" i="5"/>
  <c r="G2668" i="5" s="1"/>
  <c r="F2672" i="5"/>
  <c r="G2672" i="5" s="1"/>
  <c r="F2676" i="5"/>
  <c r="G2676" i="5" s="1"/>
  <c r="F2680" i="5"/>
  <c r="G2680" i="5" s="1"/>
  <c r="F2684" i="5"/>
  <c r="G2684" i="5" s="1"/>
  <c r="F2688" i="5"/>
  <c r="G2688" i="5" s="1"/>
  <c r="F2692" i="5"/>
  <c r="G2692" i="5" s="1"/>
  <c r="F2696" i="5"/>
  <c r="G2696" i="5" s="1"/>
  <c r="F2700" i="5"/>
  <c r="G2700" i="5" s="1"/>
  <c r="F2704" i="5"/>
  <c r="G2704" i="5" s="1"/>
  <c r="F2708" i="5"/>
  <c r="G2708" i="5" s="1"/>
  <c r="F2712" i="5"/>
  <c r="G2712" i="5" s="1"/>
  <c r="F2716" i="5"/>
  <c r="G2716" i="5" s="1"/>
  <c r="F2720" i="5"/>
  <c r="G2720" i="5" s="1"/>
  <c r="F2724" i="5"/>
  <c r="G2724" i="5" s="1"/>
  <c r="F2728" i="5"/>
  <c r="G2728" i="5" s="1"/>
  <c r="F2732" i="5"/>
  <c r="G2732" i="5" s="1"/>
  <c r="F2736" i="5"/>
  <c r="G2736" i="5" s="1"/>
  <c r="F2740" i="5"/>
  <c r="G2740" i="5" s="1"/>
  <c r="F2744" i="5"/>
  <c r="G2744" i="5" s="1"/>
  <c r="F2748" i="5"/>
  <c r="G2748" i="5" s="1"/>
  <c r="F2752" i="5"/>
  <c r="G2752" i="5" s="1"/>
  <c r="F2756" i="5"/>
  <c r="G2756" i="5" s="1"/>
  <c r="F2760" i="5"/>
  <c r="G2760" i="5" s="1"/>
  <c r="F2764" i="5"/>
  <c r="G2764" i="5" s="1"/>
  <c r="F2768" i="5"/>
  <c r="G2768" i="5" s="1"/>
  <c r="F2772" i="5"/>
  <c r="G2772" i="5" s="1"/>
  <c r="F2776" i="5"/>
  <c r="G2776" i="5" s="1"/>
  <c r="F2780" i="5"/>
  <c r="G2780" i="5" s="1"/>
  <c r="F2784" i="5"/>
  <c r="G2784" i="5" s="1"/>
  <c r="F2788" i="5"/>
  <c r="G2788" i="5" s="1"/>
  <c r="F2792" i="5"/>
  <c r="G2792" i="5" s="1"/>
  <c r="F2796" i="5"/>
  <c r="G2796" i="5" s="1"/>
  <c r="F2800" i="5"/>
  <c r="G2800" i="5" s="1"/>
  <c r="F2804" i="5"/>
  <c r="G2804" i="5" s="1"/>
  <c r="F2808" i="5"/>
  <c r="G2808" i="5" s="1"/>
  <c r="F2812" i="5"/>
  <c r="G2812" i="5" s="1"/>
  <c r="F2816" i="5"/>
  <c r="G2816" i="5" s="1"/>
  <c r="F2820" i="5"/>
  <c r="G2820" i="5" s="1"/>
  <c r="F2824" i="5"/>
  <c r="G2824" i="5" s="1"/>
  <c r="F2828" i="5"/>
  <c r="G2828" i="5" s="1"/>
  <c r="F2832" i="5"/>
  <c r="G2832" i="5" s="1"/>
  <c r="F2836" i="5"/>
  <c r="G2836" i="5" s="1"/>
  <c r="F2840" i="5"/>
  <c r="G2840" i="5" s="1"/>
  <c r="F2844" i="5"/>
  <c r="G2844" i="5" s="1"/>
  <c r="F2848" i="5"/>
  <c r="G2848" i="5" s="1"/>
  <c r="F2852" i="5"/>
  <c r="G2852" i="5" s="1"/>
  <c r="F2856" i="5"/>
  <c r="G2856" i="5" s="1"/>
  <c r="F2860" i="5"/>
  <c r="G2860" i="5" s="1"/>
  <c r="F2864" i="5"/>
  <c r="G2864" i="5" s="1"/>
  <c r="F2868" i="5"/>
  <c r="G2868" i="5" s="1"/>
  <c r="F2872" i="5"/>
  <c r="G2872" i="5" s="1"/>
  <c r="F2876" i="5"/>
  <c r="G2876" i="5" s="1"/>
  <c r="F2880" i="5"/>
  <c r="G2880" i="5" s="1"/>
  <c r="F2884" i="5"/>
  <c r="G2884" i="5" s="1"/>
  <c r="F2888" i="5"/>
  <c r="G2888" i="5" s="1"/>
  <c r="F2892" i="5"/>
  <c r="G2892" i="5" s="1"/>
  <c r="F2896" i="5"/>
  <c r="G2896" i="5" s="1"/>
  <c r="F2900" i="5"/>
  <c r="G2900" i="5" s="1"/>
  <c r="F2904" i="5"/>
  <c r="G2904" i="5" s="1"/>
  <c r="F2908" i="5"/>
  <c r="G2908" i="5" s="1"/>
  <c r="F2912" i="5"/>
  <c r="G2912" i="5" s="1"/>
  <c r="F2916" i="5"/>
  <c r="G2916" i="5" s="1"/>
  <c r="F2920" i="5"/>
  <c r="G2920" i="5" s="1"/>
  <c r="F2924" i="5"/>
  <c r="G2924" i="5" s="1"/>
  <c r="F2928" i="5"/>
  <c r="G2928" i="5" s="1"/>
  <c r="F2932" i="5"/>
  <c r="G2932" i="5" s="1"/>
  <c r="F2936" i="5"/>
  <c r="G2936" i="5" s="1"/>
  <c r="F2940" i="5"/>
  <c r="G2940" i="5" s="1"/>
  <c r="F2944" i="5"/>
  <c r="G2944" i="5" s="1"/>
  <c r="F2948" i="5"/>
  <c r="G2948" i="5" s="1"/>
  <c r="F2952" i="5"/>
  <c r="G2952" i="5" s="1"/>
  <c r="F2956" i="5"/>
  <c r="G2956" i="5" s="1"/>
  <c r="F2960" i="5"/>
  <c r="G2960" i="5" s="1"/>
  <c r="F2964" i="5"/>
  <c r="G2964" i="5" s="1"/>
  <c r="F2968" i="5"/>
  <c r="G2968" i="5" s="1"/>
  <c r="F2972" i="5"/>
  <c r="G2972" i="5" s="1"/>
  <c r="F2976" i="5"/>
  <c r="G2976" i="5" s="1"/>
  <c r="F2980" i="5"/>
  <c r="G2980" i="5" s="1"/>
  <c r="F2984" i="5"/>
  <c r="G2984" i="5" s="1"/>
  <c r="F2988" i="5"/>
  <c r="G2988" i="5" s="1"/>
  <c r="F2992" i="5"/>
  <c r="G2992" i="5" s="1"/>
  <c r="F2996" i="5"/>
  <c r="G2996" i="5" s="1"/>
  <c r="F3000" i="5"/>
  <c r="G3000" i="5" s="1"/>
  <c r="F3004" i="5"/>
  <c r="G3004" i="5" s="1"/>
  <c r="F3008" i="5"/>
  <c r="G3008" i="5" s="1"/>
  <c r="F3012" i="5"/>
  <c r="G3012" i="5" s="1"/>
  <c r="F3016" i="5"/>
  <c r="G3016" i="5" s="1"/>
  <c r="F3020" i="5"/>
  <c r="G3020" i="5" s="1"/>
  <c r="F3024" i="5"/>
  <c r="G3024" i="5" s="1"/>
  <c r="F3028" i="5"/>
  <c r="G3028" i="5" s="1"/>
  <c r="F3032" i="5"/>
  <c r="G3032" i="5" s="1"/>
  <c r="F3036" i="5"/>
  <c r="G3036" i="5" s="1"/>
  <c r="F3040" i="5"/>
  <c r="G3040" i="5" s="1"/>
  <c r="F3044" i="5"/>
  <c r="G3044" i="5" s="1"/>
  <c r="F3048" i="5"/>
  <c r="G3048" i="5" s="1"/>
  <c r="F3052" i="5"/>
  <c r="G3052" i="5" s="1"/>
  <c r="F3056" i="5"/>
  <c r="G3056" i="5" s="1"/>
  <c r="F3060" i="5"/>
  <c r="G3060" i="5" s="1"/>
  <c r="F3064" i="5"/>
  <c r="G3064" i="5" s="1"/>
  <c r="F3068" i="5"/>
  <c r="G3068" i="5" s="1"/>
  <c r="F3072" i="5"/>
  <c r="G3072" i="5" s="1"/>
  <c r="F3076" i="5"/>
  <c r="G3076" i="5" s="1"/>
  <c r="F3080" i="5"/>
  <c r="G3080" i="5" s="1"/>
  <c r="F3084" i="5"/>
  <c r="G3084" i="5" s="1"/>
  <c r="F3088" i="5"/>
  <c r="G3088" i="5" s="1"/>
  <c r="F3092" i="5"/>
  <c r="G3092" i="5" s="1"/>
  <c r="F3096" i="5"/>
  <c r="G3096" i="5" s="1"/>
  <c r="F3100" i="5"/>
  <c r="G3100" i="5" s="1"/>
  <c r="F3104" i="5"/>
  <c r="G3104" i="5" s="1"/>
  <c r="F3108" i="5"/>
  <c r="G3108" i="5" s="1"/>
  <c r="F3112" i="5"/>
  <c r="G3112" i="5" s="1"/>
  <c r="F3116" i="5"/>
  <c r="G3116" i="5" s="1"/>
  <c r="F3120" i="5"/>
  <c r="G3120" i="5" s="1"/>
  <c r="F3124" i="5"/>
  <c r="G3124" i="5" s="1"/>
  <c r="F3128" i="5"/>
  <c r="G3128" i="5" s="1"/>
  <c r="F3132" i="5"/>
  <c r="G3132" i="5" s="1"/>
  <c r="F3136" i="5"/>
  <c r="G3136" i="5" s="1"/>
  <c r="F3140" i="5"/>
  <c r="G3140" i="5" s="1"/>
  <c r="F3144" i="5"/>
  <c r="G3144" i="5" s="1"/>
  <c r="F3148" i="5"/>
  <c r="G3148" i="5" s="1"/>
  <c r="F3152" i="5"/>
  <c r="G3152" i="5" s="1"/>
  <c r="F3156" i="5"/>
  <c r="G3156" i="5" s="1"/>
  <c r="F3160" i="5"/>
  <c r="G3160" i="5" s="1"/>
  <c r="F3164" i="5"/>
  <c r="G3164" i="5" s="1"/>
  <c r="F2037" i="5"/>
  <c r="G2037" i="5" s="1"/>
  <c r="F2041" i="5"/>
  <c r="G2041" i="5" s="1"/>
  <c r="F2045" i="5"/>
  <c r="G2045" i="5" s="1"/>
  <c r="F2049" i="5"/>
  <c r="G2049" i="5" s="1"/>
  <c r="F2053" i="5"/>
  <c r="G2053" i="5" s="1"/>
  <c r="F2057" i="5"/>
  <c r="G2057" i="5" s="1"/>
  <c r="F2061" i="5"/>
  <c r="G2061" i="5" s="1"/>
  <c r="F2065" i="5"/>
  <c r="G2065" i="5" s="1"/>
  <c r="F2069" i="5"/>
  <c r="G2069" i="5" s="1"/>
  <c r="F2073" i="5"/>
  <c r="G2073" i="5" s="1"/>
  <c r="F2077" i="5"/>
  <c r="G2077" i="5" s="1"/>
  <c r="F2081" i="5"/>
  <c r="G2081" i="5" s="1"/>
  <c r="F2085" i="5"/>
  <c r="G2085" i="5" s="1"/>
  <c r="F2089" i="5"/>
  <c r="G2089" i="5" s="1"/>
  <c r="F2093" i="5"/>
  <c r="G2093" i="5" s="1"/>
  <c r="F2097" i="5"/>
  <c r="G2097" i="5" s="1"/>
  <c r="F2101" i="5"/>
  <c r="G2101" i="5" s="1"/>
  <c r="F2105" i="5"/>
  <c r="G2105" i="5" s="1"/>
  <c r="F2109" i="5"/>
  <c r="G2109" i="5" s="1"/>
  <c r="F2113" i="5"/>
  <c r="G2113" i="5" s="1"/>
  <c r="F2117" i="5"/>
  <c r="G2117" i="5" s="1"/>
  <c r="F2121" i="5"/>
  <c r="G2121" i="5" s="1"/>
  <c r="F2125" i="5"/>
  <c r="G2125" i="5" s="1"/>
  <c r="F2129" i="5"/>
  <c r="G2129" i="5" s="1"/>
  <c r="F2133" i="5"/>
  <c r="G2133" i="5" s="1"/>
  <c r="F2137" i="5"/>
  <c r="G2137" i="5" s="1"/>
  <c r="F2141" i="5"/>
  <c r="G2141" i="5" s="1"/>
  <c r="F2145" i="5"/>
  <c r="G2145" i="5" s="1"/>
  <c r="F2149" i="5"/>
  <c r="G2149" i="5" s="1"/>
  <c r="F2153" i="5"/>
  <c r="G2153" i="5" s="1"/>
  <c r="F2157" i="5"/>
  <c r="G2157" i="5" s="1"/>
  <c r="F2161" i="5"/>
  <c r="G2161" i="5" s="1"/>
  <c r="F2165" i="5"/>
  <c r="G2165" i="5" s="1"/>
  <c r="F2169" i="5"/>
  <c r="G2169" i="5" s="1"/>
  <c r="F2173" i="5"/>
  <c r="G2173" i="5" s="1"/>
  <c r="F2177" i="5"/>
  <c r="G2177" i="5" s="1"/>
  <c r="F2181" i="5"/>
  <c r="G2181" i="5" s="1"/>
  <c r="F2185" i="5"/>
  <c r="G2185" i="5" s="1"/>
  <c r="F2189" i="5"/>
  <c r="G2189" i="5" s="1"/>
  <c r="F2193" i="5"/>
  <c r="G2193" i="5" s="1"/>
  <c r="F2197" i="5"/>
  <c r="G2197" i="5" s="1"/>
  <c r="F2201" i="5"/>
  <c r="G2201" i="5" s="1"/>
  <c r="F2205" i="5"/>
  <c r="G2205" i="5" s="1"/>
  <c r="F2209" i="5"/>
  <c r="G2209" i="5" s="1"/>
  <c r="F2213" i="5"/>
  <c r="G2213" i="5" s="1"/>
  <c r="F2217" i="5"/>
  <c r="G2217" i="5" s="1"/>
  <c r="F2221" i="5"/>
  <c r="G2221" i="5" s="1"/>
  <c r="F2225" i="5"/>
  <c r="G2225" i="5" s="1"/>
  <c r="F2229" i="5"/>
  <c r="G2229" i="5" s="1"/>
  <c r="F2233" i="5"/>
  <c r="G2233" i="5" s="1"/>
  <c r="F2237" i="5"/>
  <c r="G2237" i="5" s="1"/>
  <c r="F2241" i="5"/>
  <c r="G2241" i="5" s="1"/>
  <c r="F2245" i="5"/>
  <c r="G2245" i="5" s="1"/>
  <c r="F2249" i="5"/>
  <c r="G2249" i="5" s="1"/>
  <c r="F2253" i="5"/>
  <c r="G2253" i="5" s="1"/>
  <c r="F2257" i="5"/>
  <c r="G2257" i="5" s="1"/>
  <c r="F2261" i="5"/>
  <c r="G2261" i="5" s="1"/>
  <c r="F2265" i="5"/>
  <c r="G2265" i="5" s="1"/>
  <c r="F2269" i="5"/>
  <c r="G2269" i="5" s="1"/>
  <c r="F2273" i="5"/>
  <c r="G2273" i="5" s="1"/>
  <c r="F2277" i="5"/>
  <c r="G2277" i="5" s="1"/>
  <c r="F2281" i="5"/>
  <c r="G2281" i="5" s="1"/>
  <c r="F2285" i="5"/>
  <c r="G2285" i="5" s="1"/>
  <c r="F2289" i="5"/>
  <c r="G2289" i="5" s="1"/>
  <c r="F2293" i="5"/>
  <c r="G2293" i="5" s="1"/>
  <c r="F2297" i="5"/>
  <c r="G2297" i="5" s="1"/>
  <c r="F2301" i="5"/>
  <c r="G2301" i="5" s="1"/>
  <c r="F2305" i="5"/>
  <c r="G2305" i="5" s="1"/>
  <c r="F2309" i="5"/>
  <c r="G2309" i="5" s="1"/>
  <c r="F2313" i="5"/>
  <c r="G2313" i="5" s="1"/>
  <c r="F2317" i="5"/>
  <c r="G2317" i="5" s="1"/>
  <c r="F2321" i="5"/>
  <c r="G2321" i="5" s="1"/>
  <c r="F2325" i="5"/>
  <c r="G2325" i="5" s="1"/>
  <c r="F2329" i="5"/>
  <c r="G2329" i="5" s="1"/>
  <c r="F2333" i="5"/>
  <c r="G2333" i="5" s="1"/>
  <c r="F2337" i="5"/>
  <c r="G2337" i="5" s="1"/>
  <c r="F2341" i="5"/>
  <c r="G2341" i="5" s="1"/>
  <c r="F2345" i="5"/>
  <c r="G2345" i="5" s="1"/>
  <c r="F2349" i="5"/>
  <c r="G2349" i="5" s="1"/>
  <c r="F2353" i="5"/>
  <c r="G2353" i="5" s="1"/>
  <c r="F2357" i="5"/>
  <c r="G2357" i="5" s="1"/>
  <c r="F2361" i="5"/>
  <c r="G2361" i="5" s="1"/>
  <c r="F2365" i="5"/>
  <c r="G2365" i="5" s="1"/>
  <c r="F2369" i="5"/>
  <c r="G2369" i="5" s="1"/>
  <c r="F2373" i="5"/>
  <c r="G2373" i="5" s="1"/>
  <c r="F2377" i="5"/>
  <c r="G2377" i="5" s="1"/>
  <c r="F2381" i="5"/>
  <c r="G2381" i="5" s="1"/>
  <c r="F2385" i="5"/>
  <c r="G2385" i="5" s="1"/>
  <c r="F2389" i="5"/>
  <c r="G2389" i="5" s="1"/>
  <c r="F2393" i="5"/>
  <c r="G2393" i="5" s="1"/>
  <c r="F2397" i="5"/>
  <c r="G2397" i="5" s="1"/>
  <c r="F2401" i="5"/>
  <c r="G2401" i="5" s="1"/>
  <c r="F2405" i="5"/>
  <c r="G2405" i="5" s="1"/>
  <c r="F2409" i="5"/>
  <c r="G2409" i="5" s="1"/>
  <c r="F2413" i="5"/>
  <c r="G2413" i="5" s="1"/>
  <c r="F2417" i="5"/>
  <c r="G2417" i="5" s="1"/>
  <c r="F2421" i="5"/>
  <c r="G2421" i="5" s="1"/>
  <c r="F2425" i="5"/>
  <c r="G2425" i="5" s="1"/>
  <c r="F2429" i="5"/>
  <c r="G2429" i="5" s="1"/>
  <c r="F2433" i="5"/>
  <c r="G2433" i="5" s="1"/>
  <c r="F2437" i="5"/>
  <c r="G2437" i="5" s="1"/>
  <c r="F2441" i="5"/>
  <c r="G2441" i="5" s="1"/>
  <c r="F2445" i="5"/>
  <c r="G2445" i="5" s="1"/>
  <c r="F2449" i="5"/>
  <c r="G2449" i="5" s="1"/>
  <c r="F2453" i="5"/>
  <c r="G2453" i="5" s="1"/>
  <c r="F2457" i="5"/>
  <c r="G2457" i="5" s="1"/>
  <c r="F2461" i="5"/>
  <c r="G2461" i="5" s="1"/>
  <c r="F2465" i="5"/>
  <c r="G2465" i="5" s="1"/>
  <c r="F2469" i="5"/>
  <c r="G2469" i="5" s="1"/>
  <c r="F2473" i="5"/>
  <c r="G2473" i="5" s="1"/>
  <c r="F2477" i="5"/>
  <c r="G2477" i="5" s="1"/>
  <c r="F2481" i="5"/>
  <c r="G2481" i="5" s="1"/>
  <c r="F2485" i="5"/>
  <c r="G2485" i="5" s="1"/>
  <c r="F2489" i="5"/>
  <c r="G2489" i="5" s="1"/>
  <c r="F2493" i="5"/>
  <c r="G2493" i="5" s="1"/>
  <c r="F2497" i="5"/>
  <c r="G2497" i="5" s="1"/>
  <c r="F2501" i="5"/>
  <c r="G2501" i="5" s="1"/>
  <c r="F2505" i="5"/>
  <c r="G2505" i="5" s="1"/>
  <c r="F2509" i="5"/>
  <c r="G2509" i="5" s="1"/>
  <c r="F2513" i="5"/>
  <c r="G2513" i="5" s="1"/>
  <c r="F2517" i="5"/>
  <c r="G2517" i="5" s="1"/>
  <c r="F2521" i="5"/>
  <c r="G2521" i="5" s="1"/>
  <c r="F2525" i="5"/>
  <c r="G2525" i="5" s="1"/>
  <c r="F2529" i="5"/>
  <c r="G2529" i="5" s="1"/>
  <c r="F2533" i="5"/>
  <c r="G2533" i="5" s="1"/>
  <c r="F2537" i="5"/>
  <c r="G2537" i="5" s="1"/>
  <c r="F2541" i="5"/>
  <c r="G2541" i="5" s="1"/>
  <c r="F2545" i="5"/>
  <c r="G2545" i="5" s="1"/>
  <c r="F2549" i="5"/>
  <c r="G2549" i="5" s="1"/>
  <c r="F2553" i="5"/>
  <c r="G2553" i="5" s="1"/>
  <c r="F2557" i="5"/>
  <c r="G2557" i="5" s="1"/>
  <c r="F2561" i="5"/>
  <c r="G2561" i="5" s="1"/>
  <c r="F2565" i="5"/>
  <c r="G2565" i="5" s="1"/>
  <c r="F2569" i="5"/>
  <c r="G2569" i="5" s="1"/>
  <c r="F2573" i="5"/>
  <c r="G2573" i="5" s="1"/>
  <c r="F2577" i="5"/>
  <c r="G2577" i="5" s="1"/>
  <c r="F2581" i="5"/>
  <c r="G2581" i="5" s="1"/>
  <c r="F2585" i="5"/>
  <c r="G2585" i="5" s="1"/>
  <c r="F2589" i="5"/>
  <c r="G2589" i="5" s="1"/>
  <c r="F2593" i="5"/>
  <c r="G2593" i="5" s="1"/>
  <c r="F2597" i="5"/>
  <c r="G2597" i="5" s="1"/>
  <c r="F2601" i="5"/>
  <c r="G2601" i="5" s="1"/>
  <c r="F2605" i="5"/>
  <c r="G2605" i="5" s="1"/>
  <c r="F2609" i="5"/>
  <c r="G2609" i="5" s="1"/>
  <c r="F2613" i="5"/>
  <c r="G2613" i="5" s="1"/>
  <c r="F2617" i="5"/>
  <c r="G2617" i="5" s="1"/>
  <c r="F2621" i="5"/>
  <c r="G2621" i="5" s="1"/>
  <c r="F2625" i="5"/>
  <c r="G2625" i="5" s="1"/>
  <c r="F2629" i="5"/>
  <c r="G2629" i="5" s="1"/>
  <c r="F2633" i="5"/>
  <c r="G2633" i="5" s="1"/>
  <c r="F2637" i="5"/>
  <c r="G2637" i="5" s="1"/>
  <c r="F2641" i="5"/>
  <c r="G2641" i="5" s="1"/>
  <c r="F2645" i="5"/>
  <c r="G2645" i="5" s="1"/>
  <c r="F2649" i="5"/>
  <c r="G2649" i="5" s="1"/>
  <c r="F2653" i="5"/>
  <c r="G2653" i="5" s="1"/>
  <c r="F2657" i="5"/>
  <c r="G2657" i="5" s="1"/>
  <c r="F2661" i="5"/>
  <c r="G2661" i="5" s="1"/>
  <c r="F2665" i="5"/>
  <c r="G2665" i="5" s="1"/>
  <c r="F2669" i="5"/>
  <c r="G2669" i="5" s="1"/>
  <c r="F2673" i="5"/>
  <c r="G2673" i="5" s="1"/>
  <c r="F2677" i="5"/>
  <c r="G2677" i="5" s="1"/>
  <c r="F2681" i="5"/>
  <c r="G2681" i="5" s="1"/>
  <c r="F2685" i="5"/>
  <c r="G2685" i="5" s="1"/>
  <c r="F2689" i="5"/>
  <c r="G2689" i="5" s="1"/>
  <c r="F2693" i="5"/>
  <c r="G2693" i="5" s="1"/>
  <c r="F2697" i="5"/>
  <c r="G2697" i="5" s="1"/>
  <c r="F2701" i="5"/>
  <c r="G2701" i="5" s="1"/>
  <c r="F2705" i="5"/>
  <c r="G2705" i="5" s="1"/>
  <c r="F2709" i="5"/>
  <c r="G2709" i="5" s="1"/>
  <c r="F2713" i="5"/>
  <c r="G2713" i="5" s="1"/>
  <c r="F2717" i="5"/>
  <c r="G2717" i="5" s="1"/>
  <c r="F2721" i="5"/>
  <c r="G2721" i="5" s="1"/>
  <c r="F2725" i="5"/>
  <c r="G2725" i="5" s="1"/>
  <c r="F2729" i="5"/>
  <c r="G2729" i="5" s="1"/>
  <c r="F2733" i="5"/>
  <c r="G2733" i="5" s="1"/>
  <c r="F2737" i="5"/>
  <c r="G2737" i="5" s="1"/>
  <c r="F2741" i="5"/>
  <c r="G2741" i="5" s="1"/>
  <c r="F2745" i="5"/>
  <c r="G2745" i="5" s="1"/>
  <c r="F2749" i="5"/>
  <c r="G2749" i="5" s="1"/>
  <c r="F2753" i="5"/>
  <c r="G2753" i="5" s="1"/>
  <c r="F2757" i="5"/>
  <c r="G2757" i="5" s="1"/>
  <c r="F2761" i="5"/>
  <c r="G2761" i="5" s="1"/>
  <c r="F2765" i="5"/>
  <c r="G2765" i="5" s="1"/>
  <c r="F2769" i="5"/>
  <c r="G2769" i="5" s="1"/>
  <c r="F2773" i="5"/>
  <c r="G2773" i="5" s="1"/>
  <c r="F2777" i="5"/>
  <c r="G2777" i="5" s="1"/>
  <c r="F2781" i="5"/>
  <c r="G2781" i="5" s="1"/>
  <c r="F2785" i="5"/>
  <c r="G2785" i="5" s="1"/>
  <c r="F2789" i="5"/>
  <c r="G2789" i="5" s="1"/>
  <c r="F2793" i="5"/>
  <c r="G2793" i="5" s="1"/>
  <c r="F2797" i="5"/>
  <c r="G2797" i="5" s="1"/>
  <c r="F2801" i="5"/>
  <c r="G2801" i="5" s="1"/>
  <c r="F2805" i="5"/>
  <c r="G2805" i="5" s="1"/>
  <c r="F2809" i="5"/>
  <c r="G2809" i="5" s="1"/>
  <c r="F2813" i="5"/>
  <c r="G2813" i="5" s="1"/>
  <c r="F2817" i="5"/>
  <c r="G2817" i="5" s="1"/>
  <c r="F2821" i="5"/>
  <c r="G2821" i="5" s="1"/>
  <c r="F2825" i="5"/>
  <c r="G2825" i="5" s="1"/>
  <c r="F2829" i="5"/>
  <c r="G2829" i="5" s="1"/>
  <c r="F2833" i="5"/>
  <c r="G2833" i="5" s="1"/>
  <c r="F2837" i="5"/>
  <c r="G2837" i="5" s="1"/>
  <c r="F2841" i="5"/>
  <c r="G2841" i="5" s="1"/>
  <c r="F2845" i="5"/>
  <c r="G2845" i="5" s="1"/>
  <c r="F2849" i="5"/>
  <c r="G2849" i="5" s="1"/>
  <c r="F2853" i="5"/>
  <c r="G2853" i="5" s="1"/>
  <c r="F2857" i="5"/>
  <c r="G2857" i="5" s="1"/>
  <c r="F2861" i="5"/>
  <c r="G2861" i="5" s="1"/>
  <c r="F2865" i="5"/>
  <c r="G2865" i="5" s="1"/>
  <c r="F2869" i="5"/>
  <c r="G2869" i="5" s="1"/>
  <c r="F2873" i="5"/>
  <c r="G2873" i="5" s="1"/>
  <c r="F2877" i="5"/>
  <c r="G2877" i="5" s="1"/>
  <c r="F2881" i="5"/>
  <c r="G2881" i="5" s="1"/>
  <c r="F2885" i="5"/>
  <c r="G2885" i="5" s="1"/>
  <c r="F2889" i="5"/>
  <c r="G2889" i="5" s="1"/>
  <c r="F2893" i="5"/>
  <c r="G2893" i="5" s="1"/>
  <c r="F2897" i="5"/>
  <c r="G2897" i="5" s="1"/>
  <c r="F2901" i="5"/>
  <c r="G2901" i="5" s="1"/>
  <c r="F2945" i="5"/>
  <c r="G2945" i="5" s="1"/>
  <c r="F322" i="5"/>
  <c r="G322" i="5" s="1"/>
  <c r="F330" i="5"/>
  <c r="G330" i="5" s="1"/>
  <c r="F338" i="5"/>
  <c r="G338" i="5" s="1"/>
  <c r="F346" i="5"/>
  <c r="G346" i="5" s="1"/>
  <c r="F354" i="5"/>
  <c r="G354" i="5" s="1"/>
  <c r="F362" i="5"/>
  <c r="G362" i="5" s="1"/>
  <c r="F370" i="5"/>
  <c r="G370" i="5" s="1"/>
  <c r="F378" i="5"/>
  <c r="G378" i="5" s="1"/>
  <c r="F386" i="5"/>
  <c r="G386" i="5" s="1"/>
  <c r="F394" i="5"/>
  <c r="G394" i="5" s="1"/>
  <c r="F402" i="5"/>
  <c r="G402" i="5" s="1"/>
  <c r="F410" i="5"/>
  <c r="G410" i="5" s="1"/>
  <c r="F418" i="5"/>
  <c r="G418" i="5" s="1"/>
  <c r="F426" i="5"/>
  <c r="G426" i="5" s="1"/>
  <c r="F434" i="5"/>
  <c r="G434" i="5" s="1"/>
  <c r="F442" i="5"/>
  <c r="G442" i="5" s="1"/>
  <c r="F450" i="5"/>
  <c r="G450" i="5" s="1"/>
  <c r="F458" i="5"/>
  <c r="G458" i="5" s="1"/>
  <c r="F466" i="5"/>
  <c r="G466" i="5" s="1"/>
  <c r="F474" i="5"/>
  <c r="G474" i="5" s="1"/>
  <c r="F482" i="5"/>
  <c r="G482" i="5" s="1"/>
  <c r="F490" i="5"/>
  <c r="G490" i="5" s="1"/>
  <c r="F498" i="5"/>
  <c r="G498" i="5" s="1"/>
  <c r="F506" i="5"/>
  <c r="G506" i="5" s="1"/>
  <c r="F514" i="5"/>
  <c r="G514" i="5" s="1"/>
  <c r="F522" i="5"/>
  <c r="G522" i="5" s="1"/>
  <c r="F530" i="5"/>
  <c r="G530" i="5" s="1"/>
  <c r="F538" i="5"/>
  <c r="G538" i="5" s="1"/>
  <c r="F546" i="5"/>
  <c r="G546" i="5" s="1"/>
  <c r="F554" i="5"/>
  <c r="G554" i="5" s="1"/>
  <c r="F562" i="5"/>
  <c r="G562" i="5" s="1"/>
  <c r="F570" i="5"/>
  <c r="G570" i="5" s="1"/>
  <c r="F578" i="5"/>
  <c r="G578" i="5" s="1"/>
  <c r="F586" i="5"/>
  <c r="G586" i="5" s="1"/>
  <c r="F594" i="5"/>
  <c r="G594" i="5" s="1"/>
  <c r="F602" i="5"/>
  <c r="G602" i="5" s="1"/>
  <c r="F610" i="5"/>
  <c r="G610" i="5" s="1"/>
  <c r="F618" i="5"/>
  <c r="G618" i="5" s="1"/>
  <c r="F626" i="5"/>
  <c r="G626" i="5" s="1"/>
  <c r="F634" i="5"/>
  <c r="G634" i="5" s="1"/>
  <c r="F642" i="5"/>
  <c r="G642" i="5" s="1"/>
  <c r="F650" i="5"/>
  <c r="G650" i="5" s="1"/>
  <c r="F658" i="5"/>
  <c r="G658" i="5" s="1"/>
  <c r="F666" i="5"/>
  <c r="G666" i="5" s="1"/>
  <c r="F674" i="5"/>
  <c r="G674" i="5" s="1"/>
  <c r="F682" i="5"/>
  <c r="G682" i="5" s="1"/>
  <c r="F690" i="5"/>
  <c r="G690" i="5" s="1"/>
  <c r="F698" i="5"/>
  <c r="G698" i="5" s="1"/>
  <c r="F706" i="5"/>
  <c r="G706" i="5" s="1"/>
  <c r="F714" i="5"/>
  <c r="G714" i="5" s="1"/>
  <c r="F722" i="5"/>
  <c r="G722" i="5" s="1"/>
  <c r="F730" i="5"/>
  <c r="G730" i="5" s="1"/>
  <c r="F738" i="5"/>
  <c r="G738" i="5" s="1"/>
  <c r="F746" i="5"/>
  <c r="G746" i="5" s="1"/>
  <c r="F754" i="5"/>
  <c r="G754" i="5" s="1"/>
  <c r="F762" i="5"/>
  <c r="G762" i="5" s="1"/>
  <c r="F766" i="5"/>
  <c r="G766" i="5" s="1"/>
  <c r="F770" i="5"/>
  <c r="G770" i="5" s="1"/>
  <c r="F774" i="5"/>
  <c r="G774" i="5" s="1"/>
  <c r="F778" i="5"/>
  <c r="G778" i="5" s="1"/>
  <c r="F782" i="5"/>
  <c r="G782" i="5" s="1"/>
  <c r="F786" i="5"/>
  <c r="G786" i="5" s="1"/>
  <c r="F790" i="5"/>
  <c r="G790" i="5" s="1"/>
  <c r="F794" i="5"/>
  <c r="G794" i="5" s="1"/>
  <c r="F798" i="5"/>
  <c r="G798" i="5" s="1"/>
  <c r="F802" i="5"/>
  <c r="G802" i="5" s="1"/>
  <c r="F806" i="5"/>
  <c r="G806" i="5" s="1"/>
  <c r="F810" i="5"/>
  <c r="G810" i="5" s="1"/>
  <c r="F814" i="5"/>
  <c r="G814" i="5" s="1"/>
  <c r="F818" i="5"/>
  <c r="G818" i="5" s="1"/>
  <c r="F822" i="5"/>
  <c r="G822" i="5" s="1"/>
  <c r="F826" i="5"/>
  <c r="G826" i="5" s="1"/>
  <c r="F830" i="5"/>
  <c r="G830" i="5" s="1"/>
  <c r="F834" i="5"/>
  <c r="G834" i="5" s="1"/>
  <c r="F838" i="5"/>
  <c r="G838" i="5" s="1"/>
  <c r="F842" i="5"/>
  <c r="G842" i="5" s="1"/>
  <c r="F846" i="5"/>
  <c r="G846" i="5" s="1"/>
  <c r="F850" i="5"/>
  <c r="G850" i="5" s="1"/>
  <c r="F854" i="5"/>
  <c r="G854" i="5" s="1"/>
  <c r="F858" i="5"/>
  <c r="G858" i="5" s="1"/>
  <c r="F862" i="5"/>
  <c r="G862" i="5" s="1"/>
  <c r="F866" i="5"/>
  <c r="G866" i="5" s="1"/>
  <c r="F870" i="5"/>
  <c r="G870" i="5" s="1"/>
  <c r="F874" i="5"/>
  <c r="G874" i="5" s="1"/>
  <c r="F878" i="5"/>
  <c r="G878" i="5" s="1"/>
  <c r="F882" i="5"/>
  <c r="G882" i="5" s="1"/>
  <c r="F886" i="5"/>
  <c r="G886" i="5" s="1"/>
  <c r="F890" i="5"/>
  <c r="G890" i="5" s="1"/>
  <c r="F894" i="5"/>
  <c r="G894" i="5" s="1"/>
  <c r="F898" i="5"/>
  <c r="G898" i="5" s="1"/>
  <c r="F902" i="5"/>
  <c r="G902" i="5" s="1"/>
  <c r="F906" i="5"/>
  <c r="G906" i="5" s="1"/>
  <c r="F910" i="5"/>
  <c r="G910" i="5" s="1"/>
  <c r="F914" i="5"/>
  <c r="G914" i="5" s="1"/>
  <c r="F918" i="5"/>
  <c r="G918" i="5" s="1"/>
  <c r="F922" i="5"/>
  <c r="G922" i="5" s="1"/>
  <c r="F926" i="5"/>
  <c r="G926" i="5" s="1"/>
  <c r="F930" i="5"/>
  <c r="G930" i="5" s="1"/>
  <c r="F934" i="5"/>
  <c r="G934" i="5" s="1"/>
  <c r="F938" i="5"/>
  <c r="G938" i="5" s="1"/>
  <c r="F942" i="5"/>
  <c r="G942" i="5" s="1"/>
  <c r="F946" i="5"/>
  <c r="G946" i="5" s="1"/>
  <c r="F950" i="5"/>
  <c r="G950" i="5" s="1"/>
  <c r="F954" i="5"/>
  <c r="G954" i="5" s="1"/>
  <c r="F958" i="5"/>
  <c r="G958" i="5" s="1"/>
  <c r="F962" i="5"/>
  <c r="G962" i="5" s="1"/>
  <c r="F966" i="5"/>
  <c r="G966" i="5" s="1"/>
  <c r="F970" i="5"/>
  <c r="G970" i="5" s="1"/>
  <c r="F974" i="5"/>
  <c r="G974" i="5" s="1"/>
  <c r="F978" i="5"/>
  <c r="G978" i="5" s="1"/>
  <c r="F982" i="5"/>
  <c r="G982" i="5" s="1"/>
  <c r="F986" i="5"/>
  <c r="G986" i="5" s="1"/>
  <c r="F990" i="5"/>
  <c r="G990" i="5" s="1"/>
  <c r="F994" i="5"/>
  <c r="G994" i="5" s="1"/>
  <c r="F998" i="5"/>
  <c r="G998" i="5" s="1"/>
  <c r="F1002" i="5"/>
  <c r="G1002" i="5" s="1"/>
  <c r="F1006" i="5"/>
  <c r="G1006" i="5" s="1"/>
  <c r="F1010" i="5"/>
  <c r="G1010" i="5" s="1"/>
  <c r="F1014" i="5"/>
  <c r="G1014" i="5" s="1"/>
  <c r="F1018" i="5"/>
  <c r="G1018" i="5" s="1"/>
  <c r="F1022" i="5"/>
  <c r="G1022" i="5" s="1"/>
  <c r="F1026" i="5"/>
  <c r="G1026" i="5" s="1"/>
  <c r="F1030" i="5"/>
  <c r="G1030" i="5" s="1"/>
  <c r="F1034" i="5"/>
  <c r="G1034" i="5" s="1"/>
  <c r="F1038" i="5"/>
  <c r="G1038" i="5" s="1"/>
  <c r="F1042" i="5"/>
  <c r="G1042" i="5" s="1"/>
  <c r="F1046" i="5"/>
  <c r="G1046" i="5" s="1"/>
  <c r="F1050" i="5"/>
  <c r="G1050" i="5" s="1"/>
  <c r="F1054" i="5"/>
  <c r="G1054" i="5" s="1"/>
  <c r="F1058" i="5"/>
  <c r="G1058" i="5" s="1"/>
  <c r="F1062" i="5"/>
  <c r="G1062" i="5" s="1"/>
  <c r="F1066" i="5"/>
  <c r="G1066" i="5" s="1"/>
  <c r="F1070" i="5"/>
  <c r="G1070" i="5" s="1"/>
  <c r="F1074" i="5"/>
  <c r="G1074" i="5" s="1"/>
  <c r="F1078" i="5"/>
  <c r="G1078" i="5" s="1"/>
  <c r="F1082" i="5"/>
  <c r="G1082" i="5" s="1"/>
  <c r="F1086" i="5"/>
  <c r="G1086" i="5" s="1"/>
  <c r="F1090" i="5"/>
  <c r="G1090" i="5" s="1"/>
  <c r="F1094" i="5"/>
  <c r="G1094" i="5" s="1"/>
  <c r="F1098" i="5"/>
  <c r="G1098" i="5" s="1"/>
  <c r="F1102" i="5"/>
  <c r="G1102" i="5" s="1"/>
  <c r="F1106" i="5"/>
  <c r="G1106" i="5" s="1"/>
  <c r="F1110" i="5"/>
  <c r="G1110" i="5" s="1"/>
  <c r="F1114" i="5"/>
  <c r="G1114" i="5" s="1"/>
  <c r="F1118" i="5"/>
  <c r="G1118" i="5" s="1"/>
  <c r="F1122" i="5"/>
  <c r="G1122" i="5" s="1"/>
  <c r="F1126" i="5"/>
  <c r="G1126" i="5" s="1"/>
  <c r="F1130" i="5"/>
  <c r="G1130" i="5" s="1"/>
  <c r="F1134" i="5"/>
  <c r="G1134" i="5" s="1"/>
  <c r="F1138" i="5"/>
  <c r="G1138" i="5" s="1"/>
  <c r="F1142" i="5"/>
  <c r="G1142" i="5" s="1"/>
  <c r="F1146" i="5"/>
  <c r="G1146" i="5" s="1"/>
  <c r="F1150" i="5"/>
  <c r="G1150" i="5" s="1"/>
  <c r="F1154" i="5"/>
  <c r="G1154" i="5" s="1"/>
  <c r="F1158" i="5"/>
  <c r="G1158" i="5" s="1"/>
  <c r="F1162" i="5"/>
  <c r="G1162" i="5" s="1"/>
  <c r="F1166" i="5"/>
  <c r="G1166" i="5" s="1"/>
  <c r="F1170" i="5"/>
  <c r="G1170" i="5" s="1"/>
  <c r="F1174" i="5"/>
  <c r="G1174" i="5" s="1"/>
  <c r="F1178" i="5"/>
  <c r="G1178" i="5" s="1"/>
  <c r="F1182" i="5"/>
  <c r="G1182" i="5" s="1"/>
  <c r="F1186" i="5"/>
  <c r="G1186" i="5" s="1"/>
  <c r="F1190" i="5"/>
  <c r="G1190" i="5" s="1"/>
  <c r="F1194" i="5"/>
  <c r="G1194" i="5" s="1"/>
  <c r="F1198" i="5"/>
  <c r="G1198" i="5" s="1"/>
  <c r="F1202" i="5"/>
  <c r="G1202" i="5" s="1"/>
  <c r="F1206" i="5"/>
  <c r="G1206" i="5" s="1"/>
  <c r="F1210" i="5"/>
  <c r="G1210" i="5" s="1"/>
  <c r="F1214" i="5"/>
  <c r="G1214" i="5" s="1"/>
  <c r="F1218" i="5"/>
  <c r="G1218" i="5" s="1"/>
  <c r="F1222" i="5"/>
  <c r="G1222" i="5" s="1"/>
  <c r="F1226" i="5"/>
  <c r="G1226" i="5" s="1"/>
  <c r="F1230" i="5"/>
  <c r="G1230" i="5" s="1"/>
  <c r="F1234" i="5"/>
  <c r="G1234" i="5" s="1"/>
  <c r="F1238" i="5"/>
  <c r="G1238" i="5" s="1"/>
  <c r="F1242" i="5"/>
  <c r="G1242" i="5" s="1"/>
  <c r="F1246" i="5"/>
  <c r="G1246" i="5" s="1"/>
  <c r="F1250" i="5"/>
  <c r="G1250" i="5" s="1"/>
  <c r="F1254" i="5"/>
  <c r="G1254" i="5" s="1"/>
  <c r="F1258" i="5"/>
  <c r="G1258" i="5" s="1"/>
  <c r="F1262" i="5"/>
  <c r="G1262" i="5" s="1"/>
  <c r="F1266" i="5"/>
  <c r="G1266" i="5" s="1"/>
  <c r="F1270" i="5"/>
  <c r="G1270" i="5" s="1"/>
  <c r="F1274" i="5"/>
  <c r="G1274" i="5" s="1"/>
  <c r="F1278" i="5"/>
  <c r="G1278" i="5" s="1"/>
  <c r="F1282" i="5"/>
  <c r="G1282" i="5" s="1"/>
  <c r="F1286" i="5"/>
  <c r="G1286" i="5" s="1"/>
  <c r="F1290" i="5"/>
  <c r="G1290" i="5" s="1"/>
  <c r="F1294" i="5"/>
  <c r="G1294" i="5" s="1"/>
  <c r="F1298" i="5"/>
  <c r="G1298" i="5" s="1"/>
  <c r="F1302" i="5"/>
  <c r="G1302" i="5" s="1"/>
  <c r="F1306" i="5"/>
  <c r="G1306" i="5" s="1"/>
  <c r="F1310" i="5"/>
  <c r="G1310" i="5" s="1"/>
  <c r="F1314" i="5"/>
  <c r="G1314" i="5" s="1"/>
  <c r="F1318" i="5"/>
  <c r="G1318" i="5" s="1"/>
  <c r="F1322" i="5"/>
  <c r="G1322" i="5" s="1"/>
  <c r="F1326" i="5"/>
  <c r="G1326" i="5" s="1"/>
  <c r="F1330" i="5"/>
  <c r="G1330" i="5" s="1"/>
  <c r="F1334" i="5"/>
  <c r="G1334" i="5" s="1"/>
  <c r="F1338" i="5"/>
  <c r="G1338" i="5" s="1"/>
  <c r="F1342" i="5"/>
  <c r="G1342" i="5" s="1"/>
  <c r="F1346" i="5"/>
  <c r="G1346" i="5" s="1"/>
  <c r="F1350" i="5"/>
  <c r="G1350" i="5" s="1"/>
  <c r="F1354" i="5"/>
  <c r="G1354" i="5" s="1"/>
  <c r="F1358" i="5"/>
  <c r="G1358" i="5" s="1"/>
  <c r="F1362" i="5"/>
  <c r="G1362" i="5" s="1"/>
  <c r="F1366" i="5"/>
  <c r="G1366" i="5" s="1"/>
  <c r="F1370" i="5"/>
  <c r="G1370" i="5" s="1"/>
  <c r="F1374" i="5"/>
  <c r="G1374" i="5" s="1"/>
  <c r="F1378" i="5"/>
  <c r="G1378" i="5" s="1"/>
  <c r="F1382" i="5"/>
  <c r="G1382" i="5" s="1"/>
  <c r="F1386" i="5"/>
  <c r="G1386" i="5" s="1"/>
  <c r="F1390" i="5"/>
  <c r="G1390" i="5" s="1"/>
  <c r="F1394" i="5"/>
  <c r="G1394" i="5" s="1"/>
  <c r="F1398" i="5"/>
  <c r="G1398" i="5" s="1"/>
  <c r="F1402" i="5"/>
  <c r="G1402" i="5" s="1"/>
  <c r="F1406" i="5"/>
  <c r="G1406" i="5" s="1"/>
  <c r="F1410" i="5"/>
  <c r="G1410" i="5" s="1"/>
  <c r="F1414" i="5"/>
  <c r="G1414" i="5" s="1"/>
  <c r="F1418" i="5"/>
  <c r="G1418" i="5" s="1"/>
  <c r="F1422" i="5"/>
  <c r="G1422" i="5" s="1"/>
  <c r="F1426" i="5"/>
  <c r="G1426" i="5" s="1"/>
  <c r="F1430" i="5"/>
  <c r="G1430" i="5" s="1"/>
  <c r="F1434" i="5"/>
  <c r="G1434" i="5" s="1"/>
  <c r="F1438" i="5"/>
  <c r="G1438" i="5" s="1"/>
  <c r="F1442" i="5"/>
  <c r="G1442" i="5" s="1"/>
  <c r="F1446" i="5"/>
  <c r="G1446" i="5" s="1"/>
  <c r="F1450" i="5"/>
  <c r="G1450" i="5" s="1"/>
  <c r="F1454" i="5"/>
  <c r="G1454" i="5" s="1"/>
  <c r="F1458" i="5"/>
  <c r="G1458" i="5" s="1"/>
  <c r="F1462" i="5"/>
  <c r="G1462" i="5" s="1"/>
  <c r="F1466" i="5"/>
  <c r="G1466" i="5" s="1"/>
  <c r="F1470" i="5"/>
  <c r="G1470" i="5" s="1"/>
  <c r="F1474" i="5"/>
  <c r="G1474" i="5" s="1"/>
  <c r="F1478" i="5"/>
  <c r="G1478" i="5" s="1"/>
  <c r="F1482" i="5"/>
  <c r="G1482" i="5" s="1"/>
  <c r="F1486" i="5"/>
  <c r="G1486" i="5" s="1"/>
  <c r="F1490" i="5"/>
  <c r="G1490" i="5" s="1"/>
  <c r="F1494" i="5"/>
  <c r="G1494" i="5" s="1"/>
  <c r="F1498" i="5"/>
  <c r="G1498" i="5" s="1"/>
  <c r="F1502" i="5"/>
  <c r="G1502" i="5" s="1"/>
  <c r="F1506" i="5"/>
  <c r="G1506" i="5" s="1"/>
  <c r="F1510" i="5"/>
  <c r="G1510" i="5" s="1"/>
  <c r="F1514" i="5"/>
  <c r="G1514" i="5" s="1"/>
  <c r="F1518" i="5"/>
  <c r="G1518" i="5" s="1"/>
  <c r="F1522" i="5"/>
  <c r="G1522" i="5" s="1"/>
  <c r="F1526" i="5"/>
  <c r="G1526" i="5" s="1"/>
  <c r="F1530" i="5"/>
  <c r="G1530" i="5" s="1"/>
  <c r="F1534" i="5"/>
  <c r="G1534" i="5" s="1"/>
  <c r="F1538" i="5"/>
  <c r="G1538" i="5" s="1"/>
  <c r="F1542" i="5"/>
  <c r="G1542" i="5" s="1"/>
  <c r="F1546" i="5"/>
  <c r="G1546" i="5" s="1"/>
  <c r="F1550" i="5"/>
  <c r="G1550" i="5" s="1"/>
  <c r="F1554" i="5"/>
  <c r="G1554" i="5" s="1"/>
  <c r="F1558" i="5"/>
  <c r="G1558" i="5" s="1"/>
  <c r="F1562" i="5"/>
  <c r="G1562" i="5" s="1"/>
  <c r="F1566" i="5"/>
  <c r="G1566" i="5" s="1"/>
  <c r="F1570" i="5"/>
  <c r="G1570" i="5" s="1"/>
  <c r="F1574" i="5"/>
  <c r="G1574" i="5" s="1"/>
  <c r="F1578" i="5"/>
  <c r="G1578" i="5" s="1"/>
  <c r="F1582" i="5"/>
  <c r="G1582" i="5" s="1"/>
  <c r="F1586" i="5"/>
  <c r="G1586" i="5" s="1"/>
  <c r="F1590" i="5"/>
  <c r="G1590" i="5" s="1"/>
  <c r="F1594" i="5"/>
  <c r="G1594" i="5" s="1"/>
  <c r="F1598" i="5"/>
  <c r="G1598" i="5" s="1"/>
  <c r="F1602" i="5"/>
  <c r="G1602" i="5" s="1"/>
  <c r="F1606" i="5"/>
  <c r="G1606" i="5" s="1"/>
  <c r="F1610" i="5"/>
  <c r="G1610" i="5" s="1"/>
  <c r="F1614" i="5"/>
  <c r="G1614" i="5" s="1"/>
  <c r="F1618" i="5"/>
  <c r="G1618" i="5" s="1"/>
  <c r="F1622" i="5"/>
  <c r="G1622" i="5" s="1"/>
  <c r="F1626" i="5"/>
  <c r="G1626" i="5" s="1"/>
  <c r="F1630" i="5"/>
  <c r="G1630" i="5" s="1"/>
  <c r="F1634" i="5"/>
  <c r="G1634" i="5" s="1"/>
  <c r="F1638" i="5"/>
  <c r="G1638" i="5" s="1"/>
  <c r="F1642" i="5"/>
  <c r="G1642" i="5" s="1"/>
  <c r="F1646" i="5"/>
  <c r="G1646" i="5" s="1"/>
  <c r="F1650" i="5"/>
  <c r="G1650" i="5" s="1"/>
  <c r="F1654" i="5"/>
  <c r="G1654" i="5" s="1"/>
  <c r="F1658" i="5"/>
  <c r="G1658" i="5" s="1"/>
  <c r="F1662" i="5"/>
  <c r="G1662" i="5" s="1"/>
  <c r="F1666" i="5"/>
  <c r="G1666" i="5" s="1"/>
  <c r="F1670" i="5"/>
  <c r="G1670" i="5" s="1"/>
  <c r="F1674" i="5"/>
  <c r="G1674" i="5" s="1"/>
  <c r="F1678" i="5"/>
  <c r="G1678" i="5" s="1"/>
  <c r="F1682" i="5"/>
  <c r="G1682" i="5" s="1"/>
  <c r="F1686" i="5"/>
  <c r="G1686" i="5" s="1"/>
  <c r="F1690" i="5"/>
  <c r="G1690" i="5" s="1"/>
  <c r="F1694" i="5"/>
  <c r="G1694" i="5" s="1"/>
  <c r="F1698" i="5"/>
  <c r="G1698" i="5" s="1"/>
  <c r="F1702" i="5"/>
  <c r="G1702" i="5" s="1"/>
  <c r="F1706" i="5"/>
  <c r="G1706" i="5" s="1"/>
  <c r="F1710" i="5"/>
  <c r="G1710" i="5" s="1"/>
  <c r="F1714" i="5"/>
  <c r="G1714" i="5" s="1"/>
  <c r="F1718" i="5"/>
  <c r="G1718" i="5" s="1"/>
  <c r="F1722" i="5"/>
  <c r="G1722" i="5" s="1"/>
  <c r="F1726" i="5"/>
  <c r="G1726" i="5" s="1"/>
  <c r="F1730" i="5"/>
  <c r="G1730" i="5" s="1"/>
  <c r="F1734" i="5"/>
  <c r="G1734" i="5" s="1"/>
  <c r="F1738" i="5"/>
  <c r="G1738" i="5" s="1"/>
  <c r="F1742" i="5"/>
  <c r="G1742" i="5" s="1"/>
  <c r="F1746" i="5"/>
  <c r="G1746" i="5" s="1"/>
  <c r="F1750" i="5"/>
  <c r="G1750" i="5" s="1"/>
  <c r="F1754" i="5"/>
  <c r="G1754" i="5" s="1"/>
  <c r="F1758" i="5"/>
  <c r="G1758" i="5" s="1"/>
  <c r="F1762" i="5"/>
  <c r="G1762" i="5" s="1"/>
  <c r="F1766" i="5"/>
  <c r="G1766" i="5" s="1"/>
  <c r="F1770" i="5"/>
  <c r="G1770" i="5" s="1"/>
  <c r="F1774" i="5"/>
  <c r="G1774" i="5" s="1"/>
  <c r="F1778" i="5"/>
  <c r="G1778" i="5" s="1"/>
  <c r="F1782" i="5"/>
  <c r="G1782" i="5" s="1"/>
  <c r="F1786" i="5"/>
  <c r="G1786" i="5" s="1"/>
  <c r="F1790" i="5"/>
  <c r="G1790" i="5" s="1"/>
  <c r="F1794" i="5"/>
  <c r="G1794" i="5" s="1"/>
  <c r="F1798" i="5"/>
  <c r="G1798" i="5" s="1"/>
  <c r="F1802" i="5"/>
  <c r="G1802" i="5" s="1"/>
  <c r="F1806" i="5"/>
  <c r="G1806" i="5" s="1"/>
  <c r="F1810" i="5"/>
  <c r="G1810" i="5" s="1"/>
  <c r="F1814" i="5"/>
  <c r="G1814" i="5" s="1"/>
  <c r="F1818" i="5"/>
  <c r="G1818" i="5" s="1"/>
  <c r="F1822" i="5"/>
  <c r="G1822" i="5" s="1"/>
  <c r="F1826" i="5"/>
  <c r="G1826" i="5" s="1"/>
  <c r="F1830" i="5"/>
  <c r="G1830" i="5" s="1"/>
  <c r="F1834" i="5"/>
  <c r="G1834" i="5" s="1"/>
  <c r="F1838" i="5"/>
  <c r="G1838" i="5" s="1"/>
  <c r="F1842" i="5"/>
  <c r="G1842" i="5" s="1"/>
  <c r="F1846" i="5"/>
  <c r="G1846" i="5" s="1"/>
  <c r="F1850" i="5"/>
  <c r="G1850" i="5" s="1"/>
  <c r="F1854" i="5"/>
  <c r="G1854" i="5" s="1"/>
  <c r="F1858" i="5"/>
  <c r="G1858" i="5" s="1"/>
  <c r="F1862" i="5"/>
  <c r="G1862" i="5" s="1"/>
  <c r="F1866" i="5"/>
  <c r="G1866" i="5" s="1"/>
  <c r="F1870" i="5"/>
  <c r="G1870" i="5" s="1"/>
  <c r="F1874" i="5"/>
  <c r="G1874" i="5" s="1"/>
  <c r="F1878" i="5"/>
  <c r="G1878" i="5" s="1"/>
  <c r="F1882" i="5"/>
  <c r="G1882" i="5" s="1"/>
  <c r="F1886" i="5"/>
  <c r="G1886" i="5" s="1"/>
  <c r="F1890" i="5"/>
  <c r="G1890" i="5" s="1"/>
  <c r="F1894" i="5"/>
  <c r="G1894" i="5" s="1"/>
  <c r="F1898" i="5"/>
  <c r="G1898" i="5" s="1"/>
  <c r="F1902" i="5"/>
  <c r="G1902" i="5" s="1"/>
  <c r="F1906" i="5"/>
  <c r="G1906" i="5" s="1"/>
  <c r="F1910" i="5"/>
  <c r="G1910" i="5" s="1"/>
  <c r="F1914" i="5"/>
  <c r="G1914" i="5" s="1"/>
  <c r="F1918" i="5"/>
  <c r="G1918" i="5" s="1"/>
  <c r="F1922" i="5"/>
  <c r="G1922" i="5" s="1"/>
  <c r="F1926" i="5"/>
  <c r="G1926" i="5" s="1"/>
  <c r="F1930" i="5"/>
  <c r="G1930" i="5" s="1"/>
  <c r="F1934" i="5"/>
  <c r="G1934" i="5" s="1"/>
  <c r="F1938" i="5"/>
  <c r="G1938" i="5" s="1"/>
  <c r="F1942" i="5"/>
  <c r="G1942" i="5" s="1"/>
  <c r="F1946" i="5"/>
  <c r="G1946" i="5" s="1"/>
  <c r="F1950" i="5"/>
  <c r="G1950" i="5" s="1"/>
  <c r="F1954" i="5"/>
  <c r="G1954" i="5" s="1"/>
  <c r="F1958" i="5"/>
  <c r="G1958" i="5" s="1"/>
  <c r="F1962" i="5"/>
  <c r="G1962" i="5" s="1"/>
  <c r="F1966" i="5"/>
  <c r="G1966" i="5" s="1"/>
  <c r="F1970" i="5"/>
  <c r="G1970" i="5" s="1"/>
  <c r="F1974" i="5"/>
  <c r="G1974" i="5" s="1"/>
  <c r="F1978" i="5"/>
  <c r="G1978" i="5" s="1"/>
  <c r="F1982" i="5"/>
  <c r="G1982" i="5" s="1"/>
  <c r="F1986" i="5"/>
  <c r="G1986" i="5" s="1"/>
  <c r="F1990" i="5"/>
  <c r="G1990" i="5" s="1"/>
  <c r="F1994" i="5"/>
  <c r="G1994" i="5" s="1"/>
  <c r="F1998" i="5"/>
  <c r="G1998" i="5" s="1"/>
  <c r="F2002" i="5"/>
  <c r="G2002" i="5" s="1"/>
  <c r="F2006" i="5"/>
  <c r="G2006" i="5" s="1"/>
  <c r="F2010" i="5"/>
  <c r="G2010" i="5" s="1"/>
  <c r="F2014" i="5"/>
  <c r="G2014" i="5" s="1"/>
  <c r="F2018" i="5"/>
  <c r="G2018" i="5" s="1"/>
  <c r="F2022" i="5"/>
  <c r="G2022" i="5" s="1"/>
  <c r="F2026" i="5"/>
  <c r="G2026" i="5" s="1"/>
  <c r="F2030" i="5"/>
  <c r="G2030" i="5" s="1"/>
  <c r="F2034" i="5"/>
  <c r="G2034" i="5" s="1"/>
  <c r="F2038" i="5"/>
  <c r="G2038" i="5" s="1"/>
  <c r="F2042" i="5"/>
  <c r="G2042" i="5" s="1"/>
  <c r="F2046" i="5"/>
  <c r="G2046" i="5" s="1"/>
  <c r="F2050" i="5"/>
  <c r="G2050" i="5" s="1"/>
  <c r="F2054" i="5"/>
  <c r="G2054" i="5" s="1"/>
  <c r="F2058" i="5"/>
  <c r="G2058" i="5" s="1"/>
  <c r="F2062" i="5"/>
  <c r="G2062" i="5" s="1"/>
  <c r="F2066" i="5"/>
  <c r="G2066" i="5" s="1"/>
  <c r="F2070" i="5"/>
  <c r="G2070" i="5" s="1"/>
  <c r="F2074" i="5"/>
  <c r="G2074" i="5" s="1"/>
  <c r="F2078" i="5"/>
  <c r="G2078" i="5" s="1"/>
  <c r="F2082" i="5"/>
  <c r="G2082" i="5" s="1"/>
  <c r="F2086" i="5"/>
  <c r="G2086" i="5" s="1"/>
  <c r="F2090" i="5"/>
  <c r="G2090" i="5" s="1"/>
  <c r="F2094" i="5"/>
  <c r="G2094" i="5" s="1"/>
  <c r="F2098" i="5"/>
  <c r="G2098" i="5" s="1"/>
  <c r="F2102" i="5"/>
  <c r="G2102" i="5" s="1"/>
  <c r="F2106" i="5"/>
  <c r="G2106" i="5" s="1"/>
  <c r="F2110" i="5"/>
  <c r="G2110" i="5" s="1"/>
  <c r="F2114" i="5"/>
  <c r="G2114" i="5" s="1"/>
  <c r="F2118" i="5"/>
  <c r="G2118" i="5" s="1"/>
  <c r="F2122" i="5"/>
  <c r="G2122" i="5" s="1"/>
  <c r="F2126" i="5"/>
  <c r="G2126" i="5" s="1"/>
  <c r="F2130" i="5"/>
  <c r="G2130" i="5" s="1"/>
  <c r="F2134" i="5"/>
  <c r="G2134" i="5" s="1"/>
  <c r="F2138" i="5"/>
  <c r="G2138" i="5" s="1"/>
  <c r="F2142" i="5"/>
  <c r="G2142" i="5" s="1"/>
  <c r="F2146" i="5"/>
  <c r="G2146" i="5" s="1"/>
  <c r="F2150" i="5"/>
  <c r="G2150" i="5" s="1"/>
  <c r="F2154" i="5"/>
  <c r="G2154" i="5" s="1"/>
  <c r="F2158" i="5"/>
  <c r="G2158" i="5" s="1"/>
  <c r="F2162" i="5"/>
  <c r="G2162" i="5" s="1"/>
  <c r="F2166" i="5"/>
  <c r="G2166" i="5" s="1"/>
  <c r="F2170" i="5"/>
  <c r="G2170" i="5" s="1"/>
  <c r="F2174" i="5"/>
  <c r="G2174" i="5" s="1"/>
  <c r="F2178" i="5"/>
  <c r="G2178" i="5" s="1"/>
  <c r="F2182" i="5"/>
  <c r="G2182" i="5" s="1"/>
  <c r="F2186" i="5"/>
  <c r="G2186" i="5" s="1"/>
  <c r="F2190" i="5"/>
  <c r="G2190" i="5" s="1"/>
  <c r="F2194" i="5"/>
  <c r="G2194" i="5" s="1"/>
  <c r="F2198" i="5"/>
  <c r="G2198" i="5" s="1"/>
  <c r="F2202" i="5"/>
  <c r="G2202" i="5" s="1"/>
  <c r="F2206" i="5"/>
  <c r="G2206" i="5" s="1"/>
  <c r="F2210" i="5"/>
  <c r="G2210" i="5" s="1"/>
  <c r="F2214" i="5"/>
  <c r="G2214" i="5" s="1"/>
  <c r="F2218" i="5"/>
  <c r="G2218" i="5" s="1"/>
  <c r="F2222" i="5"/>
  <c r="G2222" i="5" s="1"/>
  <c r="F2226" i="5"/>
  <c r="G2226" i="5" s="1"/>
  <c r="F2230" i="5"/>
  <c r="G2230" i="5" s="1"/>
  <c r="F2234" i="5"/>
  <c r="G2234" i="5" s="1"/>
  <c r="F2238" i="5"/>
  <c r="G2238" i="5" s="1"/>
  <c r="F2242" i="5"/>
  <c r="G2242" i="5" s="1"/>
  <c r="F2246" i="5"/>
  <c r="G2246" i="5" s="1"/>
  <c r="F2250" i="5"/>
  <c r="G2250" i="5" s="1"/>
  <c r="F2254" i="5"/>
  <c r="G2254" i="5" s="1"/>
  <c r="F2258" i="5"/>
  <c r="G2258" i="5" s="1"/>
  <c r="F2262" i="5"/>
  <c r="G2262" i="5" s="1"/>
  <c r="F2266" i="5"/>
  <c r="G2266" i="5" s="1"/>
  <c r="F2270" i="5"/>
  <c r="G2270" i="5" s="1"/>
  <c r="F2274" i="5"/>
  <c r="G2274" i="5" s="1"/>
  <c r="F2278" i="5"/>
  <c r="G2278" i="5" s="1"/>
  <c r="F2282" i="5"/>
  <c r="G2282" i="5" s="1"/>
  <c r="F2286" i="5"/>
  <c r="G2286" i="5" s="1"/>
  <c r="F2290" i="5"/>
  <c r="G2290" i="5" s="1"/>
  <c r="F2294" i="5"/>
  <c r="G2294" i="5" s="1"/>
  <c r="F2298" i="5"/>
  <c r="G2298" i="5" s="1"/>
  <c r="F2302" i="5"/>
  <c r="G2302" i="5" s="1"/>
  <c r="F2306" i="5"/>
  <c r="G2306" i="5" s="1"/>
  <c r="F2310" i="5"/>
  <c r="G2310" i="5" s="1"/>
  <c r="F2314" i="5"/>
  <c r="G2314" i="5" s="1"/>
  <c r="F2318" i="5"/>
  <c r="G2318" i="5" s="1"/>
  <c r="F2322" i="5"/>
  <c r="G2322" i="5" s="1"/>
  <c r="F2326" i="5"/>
  <c r="G2326" i="5" s="1"/>
  <c r="F2330" i="5"/>
  <c r="G2330" i="5" s="1"/>
  <c r="F2334" i="5"/>
  <c r="G2334" i="5" s="1"/>
  <c r="F2338" i="5"/>
  <c r="G2338" i="5" s="1"/>
  <c r="F2342" i="5"/>
  <c r="G2342" i="5" s="1"/>
  <c r="F2346" i="5"/>
  <c r="G2346" i="5" s="1"/>
  <c r="F2350" i="5"/>
  <c r="G2350" i="5" s="1"/>
  <c r="F2354" i="5"/>
  <c r="G2354" i="5" s="1"/>
  <c r="F2358" i="5"/>
  <c r="G2358" i="5" s="1"/>
  <c r="F2362" i="5"/>
  <c r="G2362" i="5" s="1"/>
  <c r="F2366" i="5"/>
  <c r="G2366" i="5" s="1"/>
  <c r="F2370" i="5"/>
  <c r="G2370" i="5" s="1"/>
  <c r="F2374" i="5"/>
  <c r="G2374" i="5" s="1"/>
  <c r="F2378" i="5"/>
  <c r="G2378" i="5" s="1"/>
  <c r="F2382" i="5"/>
  <c r="G2382" i="5" s="1"/>
  <c r="F2386" i="5"/>
  <c r="G2386" i="5" s="1"/>
  <c r="F2390" i="5"/>
  <c r="G2390" i="5" s="1"/>
  <c r="F2394" i="5"/>
  <c r="G2394" i="5" s="1"/>
  <c r="F2398" i="5"/>
  <c r="G2398" i="5" s="1"/>
  <c r="F2402" i="5"/>
  <c r="G2402" i="5" s="1"/>
  <c r="F2406" i="5"/>
  <c r="G2406" i="5" s="1"/>
  <c r="F2410" i="5"/>
  <c r="G2410" i="5" s="1"/>
  <c r="F2414" i="5"/>
  <c r="G2414" i="5" s="1"/>
  <c r="F2418" i="5"/>
  <c r="G2418" i="5" s="1"/>
  <c r="F2422" i="5"/>
  <c r="G2422" i="5" s="1"/>
  <c r="F2426" i="5"/>
  <c r="G2426" i="5" s="1"/>
  <c r="F2430" i="5"/>
  <c r="G2430" i="5" s="1"/>
  <c r="F2434" i="5"/>
  <c r="G2434" i="5" s="1"/>
  <c r="F2438" i="5"/>
  <c r="G2438" i="5" s="1"/>
  <c r="F2442" i="5"/>
  <c r="G2442" i="5" s="1"/>
  <c r="F2446" i="5"/>
  <c r="G2446" i="5" s="1"/>
  <c r="F2450" i="5"/>
  <c r="G2450" i="5" s="1"/>
  <c r="F2454" i="5"/>
  <c r="G2454" i="5" s="1"/>
  <c r="F2458" i="5"/>
  <c r="G2458" i="5" s="1"/>
  <c r="F2462" i="5"/>
  <c r="G2462" i="5" s="1"/>
  <c r="F2466" i="5"/>
  <c r="G2466" i="5" s="1"/>
  <c r="F2470" i="5"/>
  <c r="G2470" i="5" s="1"/>
  <c r="F2474" i="5"/>
  <c r="G2474" i="5" s="1"/>
  <c r="F2478" i="5"/>
  <c r="G2478" i="5" s="1"/>
  <c r="F2482" i="5"/>
  <c r="G2482" i="5" s="1"/>
  <c r="F2486" i="5"/>
  <c r="G2486" i="5" s="1"/>
  <c r="F2490" i="5"/>
  <c r="G2490" i="5" s="1"/>
  <c r="F2494" i="5"/>
  <c r="G2494" i="5" s="1"/>
  <c r="F2498" i="5"/>
  <c r="G2498" i="5" s="1"/>
  <c r="F2502" i="5"/>
  <c r="G2502" i="5" s="1"/>
  <c r="F2506" i="5"/>
  <c r="G2506" i="5" s="1"/>
  <c r="F2510" i="5"/>
  <c r="G2510" i="5" s="1"/>
  <c r="F2514" i="5"/>
  <c r="G2514" i="5" s="1"/>
  <c r="F2518" i="5"/>
  <c r="G2518" i="5" s="1"/>
  <c r="F2522" i="5"/>
  <c r="G2522" i="5" s="1"/>
  <c r="F2526" i="5"/>
  <c r="G2526" i="5" s="1"/>
  <c r="F2530" i="5"/>
  <c r="G2530" i="5" s="1"/>
  <c r="F2534" i="5"/>
  <c r="G2534" i="5" s="1"/>
  <c r="F2538" i="5"/>
  <c r="G2538" i="5" s="1"/>
  <c r="F2542" i="5"/>
  <c r="G2542" i="5" s="1"/>
  <c r="F2546" i="5"/>
  <c r="G2546" i="5" s="1"/>
  <c r="F2550" i="5"/>
  <c r="G2550" i="5" s="1"/>
  <c r="F2554" i="5"/>
  <c r="G2554" i="5" s="1"/>
  <c r="F2558" i="5"/>
  <c r="G2558" i="5" s="1"/>
  <c r="F2562" i="5"/>
  <c r="G2562" i="5" s="1"/>
  <c r="F2566" i="5"/>
  <c r="G2566" i="5" s="1"/>
  <c r="F2570" i="5"/>
  <c r="G2570" i="5" s="1"/>
  <c r="F2574" i="5"/>
  <c r="G2574" i="5" s="1"/>
  <c r="F2578" i="5"/>
  <c r="G2578" i="5" s="1"/>
  <c r="F2582" i="5"/>
  <c r="G2582" i="5" s="1"/>
  <c r="F2586" i="5"/>
  <c r="G2586" i="5" s="1"/>
  <c r="F2590" i="5"/>
  <c r="G2590" i="5" s="1"/>
  <c r="F2594" i="5"/>
  <c r="G2594" i="5" s="1"/>
  <c r="F2598" i="5"/>
  <c r="G2598" i="5" s="1"/>
  <c r="F2602" i="5"/>
  <c r="G2602" i="5" s="1"/>
  <c r="F2606" i="5"/>
  <c r="G2606" i="5" s="1"/>
  <c r="F2610" i="5"/>
  <c r="G2610" i="5" s="1"/>
  <c r="F2614" i="5"/>
  <c r="G2614" i="5" s="1"/>
  <c r="F2618" i="5"/>
  <c r="G2618" i="5" s="1"/>
  <c r="F2622" i="5"/>
  <c r="G2622" i="5" s="1"/>
  <c r="F2626" i="5"/>
  <c r="G2626" i="5" s="1"/>
  <c r="F2630" i="5"/>
  <c r="G2630" i="5" s="1"/>
  <c r="F2634" i="5"/>
  <c r="G2634" i="5" s="1"/>
  <c r="F2638" i="5"/>
  <c r="G2638" i="5" s="1"/>
  <c r="F2642" i="5"/>
  <c r="G2642" i="5" s="1"/>
  <c r="F2646" i="5"/>
  <c r="G2646" i="5" s="1"/>
  <c r="F2650" i="5"/>
  <c r="G2650" i="5" s="1"/>
  <c r="F2654" i="5"/>
  <c r="G2654" i="5" s="1"/>
  <c r="F2658" i="5"/>
  <c r="G2658" i="5" s="1"/>
  <c r="F2662" i="5"/>
  <c r="G2662" i="5" s="1"/>
  <c r="F2666" i="5"/>
  <c r="G2666" i="5" s="1"/>
  <c r="F2670" i="5"/>
  <c r="G2670" i="5" s="1"/>
  <c r="F2674" i="5"/>
  <c r="G2674" i="5" s="1"/>
  <c r="F2678" i="5"/>
  <c r="G2678" i="5" s="1"/>
  <c r="F2682" i="5"/>
  <c r="G2682" i="5" s="1"/>
  <c r="F2686" i="5"/>
  <c r="G2686" i="5" s="1"/>
  <c r="F2690" i="5"/>
  <c r="G2690" i="5" s="1"/>
  <c r="F2694" i="5"/>
  <c r="G2694" i="5" s="1"/>
  <c r="F2698" i="5"/>
  <c r="G2698" i="5" s="1"/>
  <c r="F2702" i="5"/>
  <c r="G2702" i="5" s="1"/>
  <c r="F2706" i="5"/>
  <c r="G2706" i="5" s="1"/>
  <c r="F2710" i="5"/>
  <c r="G2710" i="5" s="1"/>
  <c r="F2714" i="5"/>
  <c r="G2714" i="5" s="1"/>
  <c r="F2718" i="5"/>
  <c r="G2718" i="5" s="1"/>
  <c r="F2722" i="5"/>
  <c r="G2722" i="5" s="1"/>
  <c r="F2726" i="5"/>
  <c r="G2726" i="5" s="1"/>
  <c r="F2730" i="5"/>
  <c r="G2730" i="5" s="1"/>
  <c r="F2734" i="5"/>
  <c r="G2734" i="5" s="1"/>
  <c r="F2738" i="5"/>
  <c r="G2738" i="5" s="1"/>
  <c r="F2742" i="5"/>
  <c r="G2742" i="5" s="1"/>
  <c r="F2746" i="5"/>
  <c r="G2746" i="5" s="1"/>
  <c r="F2750" i="5"/>
  <c r="G2750" i="5" s="1"/>
  <c r="F2754" i="5"/>
  <c r="G2754" i="5" s="1"/>
  <c r="F2758" i="5"/>
  <c r="G2758" i="5" s="1"/>
  <c r="F2762" i="5"/>
  <c r="G2762" i="5" s="1"/>
  <c r="F2766" i="5"/>
  <c r="G2766" i="5" s="1"/>
  <c r="F2770" i="5"/>
  <c r="G2770" i="5" s="1"/>
  <c r="F2774" i="5"/>
  <c r="G2774" i="5" s="1"/>
  <c r="F2778" i="5"/>
  <c r="G2778" i="5" s="1"/>
  <c r="F2782" i="5"/>
  <c r="G2782" i="5" s="1"/>
  <c r="F2786" i="5"/>
  <c r="G2786" i="5" s="1"/>
  <c r="F2790" i="5"/>
  <c r="G2790" i="5" s="1"/>
  <c r="F2794" i="5"/>
  <c r="G2794" i="5" s="1"/>
  <c r="F2798" i="5"/>
  <c r="G2798" i="5" s="1"/>
  <c r="F2802" i="5"/>
  <c r="G2802" i="5" s="1"/>
  <c r="F2806" i="5"/>
  <c r="G2806" i="5" s="1"/>
  <c r="F2810" i="5"/>
  <c r="G2810" i="5" s="1"/>
  <c r="F2814" i="5"/>
  <c r="G2814" i="5" s="1"/>
  <c r="F2818" i="5"/>
  <c r="G2818" i="5" s="1"/>
  <c r="F2822" i="5"/>
  <c r="G2822" i="5" s="1"/>
  <c r="F2826" i="5"/>
  <c r="G2826" i="5" s="1"/>
  <c r="F2830" i="5"/>
  <c r="G2830" i="5" s="1"/>
  <c r="F2834" i="5"/>
  <c r="G2834" i="5" s="1"/>
  <c r="F2838" i="5"/>
  <c r="G2838" i="5" s="1"/>
  <c r="F2842" i="5"/>
  <c r="G2842" i="5" s="1"/>
  <c r="F2846" i="5"/>
  <c r="G2846" i="5" s="1"/>
  <c r="F2850" i="5"/>
  <c r="G2850" i="5" s="1"/>
  <c r="F2854" i="5"/>
  <c r="G2854" i="5" s="1"/>
  <c r="F2858" i="5"/>
  <c r="G2858" i="5" s="1"/>
  <c r="F2862" i="5"/>
  <c r="G2862" i="5" s="1"/>
  <c r="F2866" i="5"/>
  <c r="G2866" i="5" s="1"/>
  <c r="F2870" i="5"/>
  <c r="G2870" i="5" s="1"/>
  <c r="F2874" i="5"/>
  <c r="G2874" i="5" s="1"/>
  <c r="F2878" i="5"/>
  <c r="G2878" i="5" s="1"/>
  <c r="F2882" i="5"/>
  <c r="G2882" i="5" s="1"/>
  <c r="F2886" i="5"/>
  <c r="G2886" i="5" s="1"/>
  <c r="F2890" i="5"/>
  <c r="G2890" i="5" s="1"/>
  <c r="F2894" i="5"/>
  <c r="G2894" i="5" s="1"/>
  <c r="F2898" i="5"/>
  <c r="G2898" i="5" s="1"/>
  <c r="F2902" i="5"/>
  <c r="G2902" i="5" s="1"/>
  <c r="F2906" i="5"/>
  <c r="G2906" i="5" s="1"/>
  <c r="F2910" i="5"/>
  <c r="G2910" i="5" s="1"/>
  <c r="F3254" i="5"/>
  <c r="G3254" i="5" s="1"/>
  <c r="F3168" i="5"/>
  <c r="G3168" i="5" s="1"/>
  <c r="F3172" i="5"/>
  <c r="G3172" i="5" s="1"/>
  <c r="F3176" i="5"/>
  <c r="G3176" i="5" s="1"/>
  <c r="F3180" i="5"/>
  <c r="G3180" i="5" s="1"/>
  <c r="F3184" i="5"/>
  <c r="G3184" i="5" s="1"/>
  <c r="F3188" i="5"/>
  <c r="G3188" i="5" s="1"/>
  <c r="F3192" i="5"/>
  <c r="G3192" i="5" s="1"/>
  <c r="F3196" i="5"/>
  <c r="G3196" i="5" s="1"/>
  <c r="F3200" i="5"/>
  <c r="G3200" i="5" s="1"/>
  <c r="F3204" i="5"/>
  <c r="G3204" i="5" s="1"/>
  <c r="F3208" i="5"/>
  <c r="G3208" i="5" s="1"/>
  <c r="F3212" i="5"/>
  <c r="G3212" i="5" s="1"/>
  <c r="F3216" i="5"/>
  <c r="G3216" i="5" s="1"/>
  <c r="F3220" i="5"/>
  <c r="G3220" i="5" s="1"/>
  <c r="F3224" i="5"/>
  <c r="G3224" i="5" s="1"/>
  <c r="F3228" i="5"/>
  <c r="G3228" i="5" s="1"/>
  <c r="F3232" i="5"/>
  <c r="G3232" i="5" s="1"/>
  <c r="F3236" i="5"/>
  <c r="G3236" i="5" s="1"/>
  <c r="F3240" i="5"/>
  <c r="G3240" i="5" s="1"/>
  <c r="F3244" i="5"/>
  <c r="G3244" i="5" s="1"/>
  <c r="F3248" i="5"/>
  <c r="G3248" i="5" s="1"/>
  <c r="F3252" i="5"/>
  <c r="G3252" i="5" s="1"/>
  <c r="F3256" i="5"/>
  <c r="G3256" i="5" s="1"/>
  <c r="F3260" i="5"/>
  <c r="G3260" i="5" s="1"/>
  <c r="F3264" i="5"/>
  <c r="G3264" i="5" s="1"/>
  <c r="F3268" i="5"/>
  <c r="G3268" i="5" s="1"/>
  <c r="F3272" i="5"/>
  <c r="G3272" i="5" s="1"/>
  <c r="F3276" i="5"/>
  <c r="G3276" i="5" s="1"/>
  <c r="F3280" i="5"/>
  <c r="G3280" i="5" s="1"/>
  <c r="F3284" i="5"/>
  <c r="G3284" i="5" s="1"/>
  <c r="F3288" i="5"/>
  <c r="G3288" i="5" s="1"/>
  <c r="F3292" i="5"/>
  <c r="G3292" i="5" s="1"/>
  <c r="F3296" i="5"/>
  <c r="G3296" i="5" s="1"/>
  <c r="F3300" i="5"/>
  <c r="G3300" i="5" s="1"/>
  <c r="F3304" i="5"/>
  <c r="G3304" i="5" s="1"/>
  <c r="F3308" i="5"/>
  <c r="G3308" i="5" s="1"/>
  <c r="F3312" i="5"/>
  <c r="G3312" i="5" s="1"/>
  <c r="F3316" i="5"/>
  <c r="G3316" i="5" s="1"/>
  <c r="F3320" i="5"/>
  <c r="G3320" i="5" s="1"/>
  <c r="F3324" i="5"/>
  <c r="G3324" i="5" s="1"/>
  <c r="F3328" i="5"/>
  <c r="G3328" i="5" s="1"/>
  <c r="F3332" i="5"/>
  <c r="G3332" i="5" s="1"/>
  <c r="F3336" i="5"/>
  <c r="G3336" i="5" s="1"/>
  <c r="F3340" i="5"/>
  <c r="G3340" i="5" s="1"/>
  <c r="F3344" i="5"/>
  <c r="G3344" i="5" s="1"/>
  <c r="F3348" i="5"/>
  <c r="G3348" i="5" s="1"/>
  <c r="F3352" i="5"/>
  <c r="G3352" i="5" s="1"/>
  <c r="F3356" i="5"/>
  <c r="G3356" i="5" s="1"/>
  <c r="F3360" i="5"/>
  <c r="G3360" i="5" s="1"/>
  <c r="F3364" i="5"/>
  <c r="G3364" i="5" s="1"/>
  <c r="F3368" i="5"/>
  <c r="G3368" i="5" s="1"/>
  <c r="F3372" i="5"/>
  <c r="G3372" i="5" s="1"/>
  <c r="F3376" i="5"/>
  <c r="G3376" i="5" s="1"/>
  <c r="F3380" i="5"/>
  <c r="G3380" i="5" s="1"/>
  <c r="F3384" i="5"/>
  <c r="G3384" i="5" s="1"/>
  <c r="F3388" i="5"/>
  <c r="G3388" i="5" s="1"/>
  <c r="F3392" i="5"/>
  <c r="G3392" i="5" s="1"/>
  <c r="F3396" i="5"/>
  <c r="G3396" i="5" s="1"/>
  <c r="F3400" i="5"/>
  <c r="G3400" i="5" s="1"/>
  <c r="F3404" i="5"/>
  <c r="G3404" i="5" s="1"/>
  <c r="F3408" i="5"/>
  <c r="G3408" i="5" s="1"/>
  <c r="F3412" i="5"/>
  <c r="G3412" i="5" s="1"/>
  <c r="F3416" i="5"/>
  <c r="G3416" i="5" s="1"/>
  <c r="F3420" i="5"/>
  <c r="G3420" i="5" s="1"/>
  <c r="F3424" i="5"/>
  <c r="G3424" i="5" s="1"/>
  <c r="F3428" i="5"/>
  <c r="G3428" i="5" s="1"/>
  <c r="F3432" i="5"/>
  <c r="G3432" i="5" s="1"/>
  <c r="F3436" i="5"/>
  <c r="G3436" i="5" s="1"/>
  <c r="F3440" i="5"/>
  <c r="G3440" i="5" s="1"/>
  <c r="F3444" i="5"/>
  <c r="G3444" i="5" s="1"/>
  <c r="F3448" i="5"/>
  <c r="G3448" i="5" s="1"/>
  <c r="F3452" i="5"/>
  <c r="G3452" i="5" s="1"/>
  <c r="F3456" i="5"/>
  <c r="G3456" i="5" s="1"/>
  <c r="F3460" i="5"/>
  <c r="G3460" i="5" s="1"/>
  <c r="F3464" i="5"/>
  <c r="G3464" i="5" s="1"/>
  <c r="F3468" i="5"/>
  <c r="G3468" i="5" s="1"/>
  <c r="F3472" i="5"/>
  <c r="G3472" i="5" s="1"/>
  <c r="F3476" i="5"/>
  <c r="G3476" i="5" s="1"/>
  <c r="F3480" i="5"/>
  <c r="G3480" i="5" s="1"/>
  <c r="F3484" i="5"/>
  <c r="G3484" i="5" s="1"/>
  <c r="F3488" i="5"/>
  <c r="G3488" i="5" s="1"/>
  <c r="F3492" i="5"/>
  <c r="G3492" i="5" s="1"/>
  <c r="F3496" i="5"/>
  <c r="G3496" i="5" s="1"/>
  <c r="F3500" i="5"/>
  <c r="G3500" i="5" s="1"/>
  <c r="F3504" i="5"/>
  <c r="G3504" i="5" s="1"/>
  <c r="F3508" i="5"/>
  <c r="G3508" i="5" s="1"/>
  <c r="F3512" i="5"/>
  <c r="G3512" i="5" s="1"/>
  <c r="F3516" i="5"/>
  <c r="G3516" i="5" s="1"/>
  <c r="F3520" i="5"/>
  <c r="G3520" i="5" s="1"/>
  <c r="F3524" i="5"/>
  <c r="G3524" i="5" s="1"/>
  <c r="F3528" i="5"/>
  <c r="G3528" i="5" s="1"/>
  <c r="F3532" i="5"/>
  <c r="G3532" i="5" s="1"/>
  <c r="F3536" i="5"/>
  <c r="G3536" i="5" s="1"/>
  <c r="F3540" i="5"/>
  <c r="G3540" i="5" s="1"/>
  <c r="F3544" i="5"/>
  <c r="G3544" i="5" s="1"/>
  <c r="F3548" i="5"/>
  <c r="G3548" i="5" s="1"/>
  <c r="F3552" i="5"/>
  <c r="G3552" i="5" s="1"/>
  <c r="F3556" i="5"/>
  <c r="G3556" i="5" s="1"/>
  <c r="F3560" i="5"/>
  <c r="G3560" i="5" s="1"/>
  <c r="F3564" i="5"/>
  <c r="G3564" i="5" s="1"/>
  <c r="F3568" i="5"/>
  <c r="G3568" i="5" s="1"/>
  <c r="F3572" i="5"/>
  <c r="G3572" i="5" s="1"/>
  <c r="F3576" i="5"/>
  <c r="G3576" i="5" s="1"/>
  <c r="F3580" i="5"/>
  <c r="G3580" i="5" s="1"/>
  <c r="F3584" i="5"/>
  <c r="G3584" i="5" s="1"/>
  <c r="F3588" i="5"/>
  <c r="G3588" i="5" s="1"/>
  <c r="F3592" i="5"/>
  <c r="G3592" i="5" s="1"/>
  <c r="F3596" i="5"/>
  <c r="G3596" i="5" s="1"/>
  <c r="F3600" i="5"/>
  <c r="G3600" i="5" s="1"/>
  <c r="F2905" i="5"/>
  <c r="G2905" i="5" s="1"/>
  <c r="F2909" i="5"/>
  <c r="G2909" i="5" s="1"/>
  <c r="F2913" i="5"/>
  <c r="G2913" i="5" s="1"/>
  <c r="F2917" i="5"/>
  <c r="G2917" i="5" s="1"/>
  <c r="F2921" i="5"/>
  <c r="G2921" i="5" s="1"/>
  <c r="F2925" i="5"/>
  <c r="G2925" i="5" s="1"/>
  <c r="F2929" i="5"/>
  <c r="G2929" i="5" s="1"/>
  <c r="F2933" i="5"/>
  <c r="G2933" i="5" s="1"/>
  <c r="F2937" i="5"/>
  <c r="G2937" i="5" s="1"/>
  <c r="F2941" i="5"/>
  <c r="G2941" i="5" s="1"/>
  <c r="F2949" i="5"/>
  <c r="G2949" i="5" s="1"/>
  <c r="F2953" i="5"/>
  <c r="G2953" i="5" s="1"/>
  <c r="F2957" i="5"/>
  <c r="G2957" i="5" s="1"/>
  <c r="F2961" i="5"/>
  <c r="G2961" i="5" s="1"/>
  <c r="F2965" i="5"/>
  <c r="G2965" i="5" s="1"/>
  <c r="F2969" i="5"/>
  <c r="G2969" i="5" s="1"/>
  <c r="F2973" i="5"/>
  <c r="G2973" i="5" s="1"/>
  <c r="F2977" i="5"/>
  <c r="G2977" i="5" s="1"/>
  <c r="F2981" i="5"/>
  <c r="G2981" i="5" s="1"/>
  <c r="F2985" i="5"/>
  <c r="G2985" i="5" s="1"/>
  <c r="F2989" i="5"/>
  <c r="G2989" i="5" s="1"/>
  <c r="F2993" i="5"/>
  <c r="G2993" i="5" s="1"/>
  <c r="F2997" i="5"/>
  <c r="G2997" i="5" s="1"/>
  <c r="F3001" i="5"/>
  <c r="G3001" i="5" s="1"/>
  <c r="F3005" i="5"/>
  <c r="G3005" i="5" s="1"/>
  <c r="F3009" i="5"/>
  <c r="G3009" i="5" s="1"/>
  <c r="F3013" i="5"/>
  <c r="G3013" i="5" s="1"/>
  <c r="F3017" i="5"/>
  <c r="G3017" i="5" s="1"/>
  <c r="F3021" i="5"/>
  <c r="G3021" i="5" s="1"/>
  <c r="F3025" i="5"/>
  <c r="G3025" i="5" s="1"/>
  <c r="F3029" i="5"/>
  <c r="G3029" i="5" s="1"/>
  <c r="F3033" i="5"/>
  <c r="G3033" i="5" s="1"/>
  <c r="F3037" i="5"/>
  <c r="G3037" i="5" s="1"/>
  <c r="F3041" i="5"/>
  <c r="G3041" i="5" s="1"/>
  <c r="F3045" i="5"/>
  <c r="G3045" i="5" s="1"/>
  <c r="F3049" i="5"/>
  <c r="G3049" i="5" s="1"/>
  <c r="F3053" i="5"/>
  <c r="G3053" i="5" s="1"/>
  <c r="F3057" i="5"/>
  <c r="G3057" i="5" s="1"/>
  <c r="F3061" i="5"/>
  <c r="G3061" i="5" s="1"/>
  <c r="F3065" i="5"/>
  <c r="G3065" i="5" s="1"/>
  <c r="F3069" i="5"/>
  <c r="G3069" i="5" s="1"/>
  <c r="F3073" i="5"/>
  <c r="G3073" i="5" s="1"/>
  <c r="F3077" i="5"/>
  <c r="G3077" i="5" s="1"/>
  <c r="F3081" i="5"/>
  <c r="G3081" i="5" s="1"/>
  <c r="F3085" i="5"/>
  <c r="G3085" i="5" s="1"/>
  <c r="F3089" i="5"/>
  <c r="G3089" i="5" s="1"/>
  <c r="F3093" i="5"/>
  <c r="G3093" i="5" s="1"/>
  <c r="F3097" i="5"/>
  <c r="G3097" i="5" s="1"/>
  <c r="F3101" i="5"/>
  <c r="G3101" i="5" s="1"/>
  <c r="F3105" i="5"/>
  <c r="G3105" i="5" s="1"/>
  <c r="F3109" i="5"/>
  <c r="G3109" i="5" s="1"/>
  <c r="F3113" i="5"/>
  <c r="G3113" i="5" s="1"/>
  <c r="F3117" i="5"/>
  <c r="G3117" i="5" s="1"/>
  <c r="F3121" i="5"/>
  <c r="G3121" i="5" s="1"/>
  <c r="F3125" i="5"/>
  <c r="G3125" i="5" s="1"/>
  <c r="F3129" i="5"/>
  <c r="G3129" i="5" s="1"/>
  <c r="F3133" i="5"/>
  <c r="G3133" i="5" s="1"/>
  <c r="F3137" i="5"/>
  <c r="G3137" i="5" s="1"/>
  <c r="F3141" i="5"/>
  <c r="G3141" i="5" s="1"/>
  <c r="F3145" i="5"/>
  <c r="G3145" i="5" s="1"/>
  <c r="F3149" i="5"/>
  <c r="G3149" i="5" s="1"/>
  <c r="F3153" i="5"/>
  <c r="G3153" i="5" s="1"/>
  <c r="F3157" i="5"/>
  <c r="G3157" i="5" s="1"/>
  <c r="F3161" i="5"/>
  <c r="G3161" i="5" s="1"/>
  <c r="F3165" i="5"/>
  <c r="G3165" i="5" s="1"/>
  <c r="F3169" i="5"/>
  <c r="G3169" i="5" s="1"/>
  <c r="F3173" i="5"/>
  <c r="G3173" i="5" s="1"/>
  <c r="F3177" i="5"/>
  <c r="G3177" i="5" s="1"/>
  <c r="F3181" i="5"/>
  <c r="G3181" i="5" s="1"/>
  <c r="F3185" i="5"/>
  <c r="G3185" i="5" s="1"/>
  <c r="F3189" i="5"/>
  <c r="G3189" i="5" s="1"/>
  <c r="F3193" i="5"/>
  <c r="G3193" i="5" s="1"/>
  <c r="F3197" i="5"/>
  <c r="G3197" i="5" s="1"/>
  <c r="F3201" i="5"/>
  <c r="G3201" i="5" s="1"/>
  <c r="F3205" i="5"/>
  <c r="G3205" i="5" s="1"/>
  <c r="F3209" i="5"/>
  <c r="G3209" i="5" s="1"/>
  <c r="F3213" i="5"/>
  <c r="G3213" i="5" s="1"/>
  <c r="F3217" i="5"/>
  <c r="G3217" i="5" s="1"/>
  <c r="F3221" i="5"/>
  <c r="G3221" i="5" s="1"/>
  <c r="F3225" i="5"/>
  <c r="G3225" i="5" s="1"/>
  <c r="F3229" i="5"/>
  <c r="G3229" i="5" s="1"/>
  <c r="F3233" i="5"/>
  <c r="G3233" i="5" s="1"/>
  <c r="F3237" i="5"/>
  <c r="G3237" i="5" s="1"/>
  <c r="F3241" i="5"/>
  <c r="G3241" i="5" s="1"/>
  <c r="F3245" i="5"/>
  <c r="G3245" i="5" s="1"/>
  <c r="F3249" i="5"/>
  <c r="G3249" i="5" s="1"/>
  <c r="F3253" i="5"/>
  <c r="G3253" i="5" s="1"/>
  <c r="F3257" i="5"/>
  <c r="G3257" i="5" s="1"/>
  <c r="F3261" i="5"/>
  <c r="G3261" i="5" s="1"/>
  <c r="F3265" i="5"/>
  <c r="G3265" i="5" s="1"/>
  <c r="F3269" i="5"/>
  <c r="G3269" i="5" s="1"/>
  <c r="F3273" i="5"/>
  <c r="G3273" i="5" s="1"/>
  <c r="F3277" i="5"/>
  <c r="G3277" i="5" s="1"/>
  <c r="F3281" i="5"/>
  <c r="G3281" i="5" s="1"/>
  <c r="F3285" i="5"/>
  <c r="G3285" i="5" s="1"/>
  <c r="F3289" i="5"/>
  <c r="G3289" i="5" s="1"/>
  <c r="F3293" i="5"/>
  <c r="G3293" i="5" s="1"/>
  <c r="F3297" i="5"/>
  <c r="G3297" i="5" s="1"/>
  <c r="F3301" i="5"/>
  <c r="G3301" i="5" s="1"/>
  <c r="F3305" i="5"/>
  <c r="G3305" i="5" s="1"/>
  <c r="F3309" i="5"/>
  <c r="G3309" i="5" s="1"/>
  <c r="F3313" i="5"/>
  <c r="G3313" i="5" s="1"/>
  <c r="F3317" i="5"/>
  <c r="G3317" i="5" s="1"/>
  <c r="F3321" i="5"/>
  <c r="G3321" i="5" s="1"/>
  <c r="F3325" i="5"/>
  <c r="G3325" i="5" s="1"/>
  <c r="F3329" i="5"/>
  <c r="G3329" i="5" s="1"/>
  <c r="F3333" i="5"/>
  <c r="G3333" i="5" s="1"/>
  <c r="F3337" i="5"/>
  <c r="G3337" i="5" s="1"/>
  <c r="F3341" i="5"/>
  <c r="G3341" i="5" s="1"/>
  <c r="F3345" i="5"/>
  <c r="G3345" i="5" s="1"/>
  <c r="F3349" i="5"/>
  <c r="G3349" i="5" s="1"/>
  <c r="F3353" i="5"/>
  <c r="G3353" i="5" s="1"/>
  <c r="F3357" i="5"/>
  <c r="G3357" i="5" s="1"/>
  <c r="F3361" i="5"/>
  <c r="G3361" i="5" s="1"/>
  <c r="F3365" i="5"/>
  <c r="G3365" i="5" s="1"/>
  <c r="F3369" i="5"/>
  <c r="G3369" i="5" s="1"/>
  <c r="F3373" i="5"/>
  <c r="G3373" i="5" s="1"/>
  <c r="F3377" i="5"/>
  <c r="G3377" i="5" s="1"/>
  <c r="F3381" i="5"/>
  <c r="G3381" i="5" s="1"/>
  <c r="F3385" i="5"/>
  <c r="G3385" i="5" s="1"/>
  <c r="F3389" i="5"/>
  <c r="G3389" i="5" s="1"/>
  <c r="F3393" i="5"/>
  <c r="G3393" i="5" s="1"/>
  <c r="F3397" i="5"/>
  <c r="G3397" i="5" s="1"/>
  <c r="F3401" i="5"/>
  <c r="G3401" i="5" s="1"/>
  <c r="F3405" i="5"/>
  <c r="G3405" i="5" s="1"/>
  <c r="F3409" i="5"/>
  <c r="G3409" i="5" s="1"/>
  <c r="F3413" i="5"/>
  <c r="G3413" i="5" s="1"/>
  <c r="F3417" i="5"/>
  <c r="G3417" i="5" s="1"/>
  <c r="F3421" i="5"/>
  <c r="G3421" i="5" s="1"/>
  <c r="F3425" i="5"/>
  <c r="G3425" i="5" s="1"/>
  <c r="F3429" i="5"/>
  <c r="G3429" i="5" s="1"/>
  <c r="F3433" i="5"/>
  <c r="G3433" i="5" s="1"/>
  <c r="F3437" i="5"/>
  <c r="G3437" i="5" s="1"/>
  <c r="F3441" i="5"/>
  <c r="G3441" i="5" s="1"/>
  <c r="F3445" i="5"/>
  <c r="G3445" i="5" s="1"/>
  <c r="F3449" i="5"/>
  <c r="G3449" i="5" s="1"/>
  <c r="F3453" i="5"/>
  <c r="G3453" i="5" s="1"/>
  <c r="F3457" i="5"/>
  <c r="G3457" i="5" s="1"/>
  <c r="F3461" i="5"/>
  <c r="G3461" i="5" s="1"/>
  <c r="F3465" i="5"/>
  <c r="G3465" i="5" s="1"/>
  <c r="F3469" i="5"/>
  <c r="G3469" i="5" s="1"/>
  <c r="F3473" i="5"/>
  <c r="G3473" i="5" s="1"/>
  <c r="F3477" i="5"/>
  <c r="G3477" i="5" s="1"/>
  <c r="F3481" i="5"/>
  <c r="G3481" i="5" s="1"/>
  <c r="F3485" i="5"/>
  <c r="G3485" i="5" s="1"/>
  <c r="F3489" i="5"/>
  <c r="G3489" i="5" s="1"/>
  <c r="F3493" i="5"/>
  <c r="G3493" i="5" s="1"/>
  <c r="F3497" i="5"/>
  <c r="G3497" i="5" s="1"/>
  <c r="F3501" i="5"/>
  <c r="G3501" i="5" s="1"/>
  <c r="F3505" i="5"/>
  <c r="G3505" i="5" s="1"/>
  <c r="F3509" i="5"/>
  <c r="G3509" i="5" s="1"/>
  <c r="F3513" i="5"/>
  <c r="G3513" i="5" s="1"/>
  <c r="F3517" i="5"/>
  <c r="G3517" i="5" s="1"/>
  <c r="F3521" i="5"/>
  <c r="G3521" i="5" s="1"/>
  <c r="F3525" i="5"/>
  <c r="G3525" i="5" s="1"/>
  <c r="F3529" i="5"/>
  <c r="G3529" i="5" s="1"/>
  <c r="F3533" i="5"/>
  <c r="G3533" i="5" s="1"/>
  <c r="F3537" i="5"/>
  <c r="G3537" i="5" s="1"/>
  <c r="F3541" i="5"/>
  <c r="G3541" i="5" s="1"/>
  <c r="F3545" i="5"/>
  <c r="G3545" i="5" s="1"/>
  <c r="F3549" i="5"/>
  <c r="G3549" i="5" s="1"/>
  <c r="F3553" i="5"/>
  <c r="G3553" i="5" s="1"/>
  <c r="F3557" i="5"/>
  <c r="G3557" i="5" s="1"/>
  <c r="F3561" i="5"/>
  <c r="G3561" i="5" s="1"/>
  <c r="F3565" i="5"/>
  <c r="G3565" i="5" s="1"/>
  <c r="F3569" i="5"/>
  <c r="G3569" i="5" s="1"/>
  <c r="F3573" i="5"/>
  <c r="G3573" i="5" s="1"/>
  <c r="F3577" i="5"/>
  <c r="G3577" i="5" s="1"/>
  <c r="F3581" i="5"/>
  <c r="G3581" i="5" s="1"/>
  <c r="F3585" i="5"/>
  <c r="G3585" i="5" s="1"/>
  <c r="F3589" i="5"/>
  <c r="G3589" i="5" s="1"/>
  <c r="F3593" i="5"/>
  <c r="G3593" i="5" s="1"/>
  <c r="F3597" i="5"/>
  <c r="G3597" i="5" s="1"/>
  <c r="F3601" i="5"/>
  <c r="G3601" i="5" s="1"/>
  <c r="F2914" i="5"/>
  <c r="G2914" i="5" s="1"/>
  <c r="F2918" i="5"/>
  <c r="G2918" i="5" s="1"/>
  <c r="F2922" i="5"/>
  <c r="G2922" i="5" s="1"/>
  <c r="F2926" i="5"/>
  <c r="G2926" i="5" s="1"/>
  <c r="F2930" i="5"/>
  <c r="G2930" i="5" s="1"/>
  <c r="F2934" i="5"/>
  <c r="G2934" i="5" s="1"/>
  <c r="F2938" i="5"/>
  <c r="G2938" i="5" s="1"/>
  <c r="F2942" i="5"/>
  <c r="G2942" i="5" s="1"/>
  <c r="F2946" i="5"/>
  <c r="G2946" i="5" s="1"/>
  <c r="F2950" i="5"/>
  <c r="G2950" i="5" s="1"/>
  <c r="F2954" i="5"/>
  <c r="G2954" i="5" s="1"/>
  <c r="F2958" i="5"/>
  <c r="G2958" i="5" s="1"/>
  <c r="F2962" i="5"/>
  <c r="G2962" i="5" s="1"/>
  <c r="F2966" i="5"/>
  <c r="G2966" i="5" s="1"/>
  <c r="F2970" i="5"/>
  <c r="G2970" i="5" s="1"/>
  <c r="F2974" i="5"/>
  <c r="G2974" i="5" s="1"/>
  <c r="F2978" i="5"/>
  <c r="G2978" i="5" s="1"/>
  <c r="F2982" i="5"/>
  <c r="G2982" i="5" s="1"/>
  <c r="F2986" i="5"/>
  <c r="G2986" i="5" s="1"/>
  <c r="F2990" i="5"/>
  <c r="G2990" i="5" s="1"/>
  <c r="F2994" i="5"/>
  <c r="G2994" i="5" s="1"/>
  <c r="F2998" i="5"/>
  <c r="G2998" i="5" s="1"/>
  <c r="F3002" i="5"/>
  <c r="G3002" i="5" s="1"/>
  <c r="F3006" i="5"/>
  <c r="G3006" i="5" s="1"/>
  <c r="F3010" i="5"/>
  <c r="G3010" i="5" s="1"/>
  <c r="F3014" i="5"/>
  <c r="G3014" i="5" s="1"/>
  <c r="F3018" i="5"/>
  <c r="G3018" i="5" s="1"/>
  <c r="F3022" i="5"/>
  <c r="G3022" i="5" s="1"/>
  <c r="F3026" i="5"/>
  <c r="G3026" i="5" s="1"/>
  <c r="F3030" i="5"/>
  <c r="G3030" i="5" s="1"/>
  <c r="F3034" i="5"/>
  <c r="G3034" i="5" s="1"/>
  <c r="F3038" i="5"/>
  <c r="G3038" i="5" s="1"/>
  <c r="F3042" i="5"/>
  <c r="G3042" i="5" s="1"/>
  <c r="F3046" i="5"/>
  <c r="G3046" i="5" s="1"/>
  <c r="F3050" i="5"/>
  <c r="G3050" i="5" s="1"/>
  <c r="F3054" i="5"/>
  <c r="G3054" i="5" s="1"/>
  <c r="F3058" i="5"/>
  <c r="G3058" i="5" s="1"/>
  <c r="F3062" i="5"/>
  <c r="G3062" i="5" s="1"/>
  <c r="F3066" i="5"/>
  <c r="G3066" i="5" s="1"/>
  <c r="F3070" i="5"/>
  <c r="G3070" i="5" s="1"/>
  <c r="F3074" i="5"/>
  <c r="G3074" i="5" s="1"/>
  <c r="F3078" i="5"/>
  <c r="G3078" i="5" s="1"/>
  <c r="F3082" i="5"/>
  <c r="G3082" i="5" s="1"/>
  <c r="F3086" i="5"/>
  <c r="G3086" i="5" s="1"/>
  <c r="F3090" i="5"/>
  <c r="G3090" i="5" s="1"/>
  <c r="F3094" i="5"/>
  <c r="G3094" i="5" s="1"/>
  <c r="F3098" i="5"/>
  <c r="G3098" i="5" s="1"/>
  <c r="F3102" i="5"/>
  <c r="G3102" i="5" s="1"/>
  <c r="F3106" i="5"/>
  <c r="G3106" i="5" s="1"/>
  <c r="F3110" i="5"/>
  <c r="G3110" i="5" s="1"/>
  <c r="F3114" i="5"/>
  <c r="G3114" i="5" s="1"/>
  <c r="F3118" i="5"/>
  <c r="G3118" i="5" s="1"/>
  <c r="F3122" i="5"/>
  <c r="G3122" i="5" s="1"/>
  <c r="F3126" i="5"/>
  <c r="G3126" i="5" s="1"/>
  <c r="F3130" i="5"/>
  <c r="G3130" i="5" s="1"/>
  <c r="F3134" i="5"/>
  <c r="G3134" i="5" s="1"/>
  <c r="F3138" i="5"/>
  <c r="G3138" i="5" s="1"/>
  <c r="F3142" i="5"/>
  <c r="G3142" i="5" s="1"/>
  <c r="F3146" i="5"/>
  <c r="G3146" i="5" s="1"/>
  <c r="F3150" i="5"/>
  <c r="G3150" i="5" s="1"/>
  <c r="F3154" i="5"/>
  <c r="G3154" i="5" s="1"/>
  <c r="F3158" i="5"/>
  <c r="G3158" i="5" s="1"/>
  <c r="F3162" i="5"/>
  <c r="G3162" i="5" s="1"/>
  <c r="F3166" i="5"/>
  <c r="G3166" i="5" s="1"/>
  <c r="F3170" i="5"/>
  <c r="G3170" i="5" s="1"/>
  <c r="F3174" i="5"/>
  <c r="G3174" i="5" s="1"/>
  <c r="F3178" i="5"/>
  <c r="G3178" i="5" s="1"/>
  <c r="F3182" i="5"/>
  <c r="G3182" i="5" s="1"/>
  <c r="F3186" i="5"/>
  <c r="G3186" i="5" s="1"/>
  <c r="F3190" i="5"/>
  <c r="G3190" i="5" s="1"/>
  <c r="F3194" i="5"/>
  <c r="G3194" i="5" s="1"/>
  <c r="F3198" i="5"/>
  <c r="G3198" i="5" s="1"/>
  <c r="F3202" i="5"/>
  <c r="G3202" i="5" s="1"/>
  <c r="F3206" i="5"/>
  <c r="G3206" i="5" s="1"/>
  <c r="F3210" i="5"/>
  <c r="G3210" i="5" s="1"/>
  <c r="F3214" i="5"/>
  <c r="G3214" i="5" s="1"/>
  <c r="F3218" i="5"/>
  <c r="G3218" i="5" s="1"/>
  <c r="F3222" i="5"/>
  <c r="G3222" i="5" s="1"/>
  <c r="F3226" i="5"/>
  <c r="G3226" i="5" s="1"/>
  <c r="F3230" i="5"/>
  <c r="G3230" i="5" s="1"/>
  <c r="F3234" i="5"/>
  <c r="G3234" i="5" s="1"/>
  <c r="F3238" i="5"/>
  <c r="G3238" i="5" s="1"/>
  <c r="F3242" i="5"/>
  <c r="G3242" i="5" s="1"/>
  <c r="F3246" i="5"/>
  <c r="G3246" i="5" s="1"/>
  <c r="F3250" i="5"/>
  <c r="G3250" i="5" s="1"/>
  <c r="F3258" i="5"/>
  <c r="G3258" i="5" s="1"/>
  <c r="F3262" i="5"/>
  <c r="G3262" i="5" s="1"/>
  <c r="F3266" i="5"/>
  <c r="G3266" i="5" s="1"/>
  <c r="F3270" i="5"/>
  <c r="G3270" i="5" s="1"/>
  <c r="F3274" i="5"/>
  <c r="G3274" i="5" s="1"/>
  <c r="F3278" i="5"/>
  <c r="G3278" i="5" s="1"/>
  <c r="F3282" i="5"/>
  <c r="G3282" i="5" s="1"/>
  <c r="F3286" i="5"/>
  <c r="G3286" i="5" s="1"/>
  <c r="F3290" i="5"/>
  <c r="G3290" i="5" s="1"/>
  <c r="F3294" i="5"/>
  <c r="G3294" i="5" s="1"/>
  <c r="F3298" i="5"/>
  <c r="G3298" i="5" s="1"/>
  <c r="F3302" i="5"/>
  <c r="G3302" i="5" s="1"/>
  <c r="F3306" i="5"/>
  <c r="G3306" i="5" s="1"/>
  <c r="F3310" i="5"/>
  <c r="G3310" i="5" s="1"/>
  <c r="F3314" i="5"/>
  <c r="G3314" i="5" s="1"/>
  <c r="F3318" i="5"/>
  <c r="G3318" i="5" s="1"/>
  <c r="F3322" i="5"/>
  <c r="G3322" i="5" s="1"/>
  <c r="F3326" i="5"/>
  <c r="G3326" i="5" s="1"/>
  <c r="F3330" i="5"/>
  <c r="G3330" i="5" s="1"/>
  <c r="F3334" i="5"/>
  <c r="G3334" i="5" s="1"/>
  <c r="F3338" i="5"/>
  <c r="G3338" i="5" s="1"/>
  <c r="F3342" i="5"/>
  <c r="G3342" i="5" s="1"/>
  <c r="F3346" i="5"/>
  <c r="G3346" i="5" s="1"/>
  <c r="F3350" i="5"/>
  <c r="G3350" i="5" s="1"/>
  <c r="F3354" i="5"/>
  <c r="G3354" i="5" s="1"/>
  <c r="F3358" i="5"/>
  <c r="G3358" i="5" s="1"/>
  <c r="F3362" i="5"/>
  <c r="G3362" i="5" s="1"/>
  <c r="F3366" i="5"/>
  <c r="G3366" i="5" s="1"/>
  <c r="F3370" i="5"/>
  <c r="G3370" i="5" s="1"/>
  <c r="F3374" i="5"/>
  <c r="G3374" i="5" s="1"/>
  <c r="F3378" i="5"/>
  <c r="G3378" i="5" s="1"/>
  <c r="F3382" i="5"/>
  <c r="G3382" i="5" s="1"/>
  <c r="F3386" i="5"/>
  <c r="G3386" i="5" s="1"/>
  <c r="F3390" i="5"/>
  <c r="G3390" i="5" s="1"/>
  <c r="F3394" i="5"/>
  <c r="G3394" i="5" s="1"/>
  <c r="F3398" i="5"/>
  <c r="G3398" i="5" s="1"/>
  <c r="F3402" i="5"/>
  <c r="G3402" i="5" s="1"/>
  <c r="F3406" i="5"/>
  <c r="G3406" i="5" s="1"/>
  <c r="F3410" i="5"/>
  <c r="G3410" i="5" s="1"/>
  <c r="F3414" i="5"/>
  <c r="G3414" i="5" s="1"/>
  <c r="F3418" i="5"/>
  <c r="G3418" i="5" s="1"/>
  <c r="F3422" i="5"/>
  <c r="G3422" i="5" s="1"/>
  <c r="F3426" i="5"/>
  <c r="G3426" i="5" s="1"/>
  <c r="F3430" i="5"/>
  <c r="G3430" i="5" s="1"/>
  <c r="F3434" i="5"/>
  <c r="G3434" i="5" s="1"/>
  <c r="F3438" i="5"/>
  <c r="G3438" i="5" s="1"/>
  <c r="F3442" i="5"/>
  <c r="G3442" i="5" s="1"/>
  <c r="F3446" i="5"/>
  <c r="G3446" i="5" s="1"/>
  <c r="F3450" i="5"/>
  <c r="G3450" i="5" s="1"/>
  <c r="F3454" i="5"/>
  <c r="G3454" i="5" s="1"/>
  <c r="F3458" i="5"/>
  <c r="G3458" i="5" s="1"/>
  <c r="F3462" i="5"/>
  <c r="G3462" i="5" s="1"/>
  <c r="F3466" i="5"/>
  <c r="G3466" i="5" s="1"/>
  <c r="F3470" i="5"/>
  <c r="G3470" i="5" s="1"/>
  <c r="F3474" i="5"/>
  <c r="G3474" i="5" s="1"/>
  <c r="F3478" i="5"/>
  <c r="G3478" i="5" s="1"/>
  <c r="F3482" i="5"/>
  <c r="G3482" i="5" s="1"/>
  <c r="F3486" i="5"/>
  <c r="G3486" i="5" s="1"/>
  <c r="F3490" i="5"/>
  <c r="G3490" i="5" s="1"/>
  <c r="F3494" i="5"/>
  <c r="G3494" i="5" s="1"/>
  <c r="F3498" i="5"/>
  <c r="G3498" i="5" s="1"/>
  <c r="F3502" i="5"/>
  <c r="G3502" i="5" s="1"/>
  <c r="F3506" i="5"/>
  <c r="G3506" i="5" s="1"/>
  <c r="F3510" i="5"/>
  <c r="G3510" i="5" s="1"/>
  <c r="F3514" i="5"/>
  <c r="G3514" i="5" s="1"/>
  <c r="F3518" i="5"/>
  <c r="G3518" i="5" s="1"/>
  <c r="F3522" i="5"/>
  <c r="G3522" i="5" s="1"/>
  <c r="F3526" i="5"/>
  <c r="G3526" i="5" s="1"/>
  <c r="F3530" i="5"/>
  <c r="G3530" i="5" s="1"/>
  <c r="F3534" i="5"/>
  <c r="G3534" i="5" s="1"/>
  <c r="F3538" i="5"/>
  <c r="G3538" i="5" s="1"/>
  <c r="F3542" i="5"/>
  <c r="G3542" i="5" s="1"/>
  <c r="F3546" i="5"/>
  <c r="G3546" i="5" s="1"/>
  <c r="F3550" i="5"/>
  <c r="G3550" i="5" s="1"/>
  <c r="F3554" i="5"/>
  <c r="G3554" i="5" s="1"/>
  <c r="F3558" i="5"/>
  <c r="G3558" i="5" s="1"/>
  <c r="F3562" i="5"/>
  <c r="G3562" i="5" s="1"/>
  <c r="F3566" i="5"/>
  <c r="G3566" i="5" s="1"/>
  <c r="F3570" i="5"/>
  <c r="G3570" i="5" s="1"/>
  <c r="F3574" i="5"/>
  <c r="G3574" i="5" s="1"/>
  <c r="F3578" i="5"/>
  <c r="G3578" i="5" s="1"/>
  <c r="F3582" i="5"/>
  <c r="G3582" i="5" s="1"/>
  <c r="F3586" i="5"/>
  <c r="G3586" i="5" s="1"/>
  <c r="F3590" i="5"/>
  <c r="G3590" i="5" s="1"/>
  <c r="F3594" i="5"/>
  <c r="G3594" i="5" s="1"/>
  <c r="F3598" i="5"/>
  <c r="G3598" i="5" s="1"/>
  <c r="F3602" i="5"/>
  <c r="G3602" i="5" s="1"/>
  <c r="G8" i="5" l="1"/>
  <c r="G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<sst xmlns="http://schemas.openxmlformats.org/spreadsheetml/2006/main" count="18266" uniqueCount="57">
  <si>
    <t>Algorithm</t>
  </si>
  <si>
    <t>Network</t>
  </si>
  <si>
    <t>Avg Load X (Gbps)</t>
  </si>
  <si>
    <t>TotalPower (kW)</t>
  </si>
  <si>
    <t>ourDirect</t>
  </si>
  <si>
    <t>STnet</t>
  </si>
  <si>
    <t>NSFnet</t>
  </si>
  <si>
    <t>USnet</t>
  </si>
  <si>
    <t>ourHybrid</t>
  </si>
  <si>
    <t>ourMultihop</t>
  </si>
  <si>
    <t>stDirect</t>
  </si>
  <si>
    <t>Stnet</t>
  </si>
  <si>
    <t>Usnet</t>
  </si>
  <si>
    <t>stMultihop</t>
  </si>
  <si>
    <t>Grand Total</t>
  </si>
  <si>
    <t>Row Labels</t>
  </si>
  <si>
    <t>Average of TotalPower (kW)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</si>
  <si>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</si>
  <si>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</si>
  <si>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</si>
  <si>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</si>
  <si>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</si>
  <si>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</si>
  <si>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</si>
  <si>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</si>
  <si>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</si>
  <si>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</si>
  <si>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</si>
  <si>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</si>
  <si>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</si>
  <si>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</si>
  <si>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My results</t>
  </si>
  <si>
    <t>SnT results</t>
  </si>
  <si>
    <t>Direct</t>
  </si>
  <si>
    <t>Multihop</t>
  </si>
  <si>
    <t>MyKey</t>
  </si>
  <si>
    <t>SnTKey</t>
  </si>
  <si>
    <t>SnTPower</t>
  </si>
  <si>
    <t>MyTotalPower (kW)</t>
  </si>
  <si>
    <t>Average of deviation</t>
  </si>
  <si>
    <t>Column Labels</t>
  </si>
  <si>
    <t>deviation MYvsST</t>
  </si>
  <si>
    <t>deviation STvsMY</t>
  </si>
  <si>
    <t>Average of deviation STvsMY</t>
  </si>
  <si>
    <t>Test network N6L8 Shen &amp; Tucker Fig. 3 (a)</t>
  </si>
  <si>
    <t>Direct 1Q our simulator</t>
  </si>
  <si>
    <t>Direct 1Q Shen &amp; Tucker</t>
  </si>
  <si>
    <t>Multihop 1Q Our simulator</t>
  </si>
  <si>
    <t>Multihop 1Q Shen &amp; Tucker</t>
  </si>
  <si>
    <t>X</t>
  </si>
  <si>
    <t>Average Total Power</t>
  </si>
  <si>
    <t>Samples</t>
  </si>
  <si>
    <t>Test network N14L21 NSFNET</t>
  </si>
  <si>
    <t>Direct 1Q Ours</t>
  </si>
  <si>
    <t>Multihop 1Q Ours</t>
  </si>
  <si>
    <t xml:space="preserve">Test network N24L43 USNET </t>
  </si>
  <si>
    <t>%deviation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</si>
</sst>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i/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0" fillId="0" borderId="0" xfId="0" applyAlignment="1">
      <alignment horizontal="left" indent="2"/>
    </xf>
    <xf numFmtId="2" fontId="0" fillId="0" borderId="0" xfId="0" applyNumberFormat="1"/>
    <xf numFmtId="0" fontId="19" fillId="0" borderId="0" xfId="42"/>
    <xf numFmtId="0" fontId="19" fillId="33" borderId="0" xfId="42" applyFill="1"/>
    <xf numFmtId="0" fontId="0" fillId="33" borderId="0" xfId="0" applyFill="1"/>
    <xf numFmtId="0" fontId="19" fillId="34" borderId="0" xfId="42" applyFill="1"/>
    <xf numFmtId="0" fontId="0" fillId="34" borderId="0" xfId="0" applyFill="1"/>
    <xf numFmtId="0" fontId="19" fillId="35" borderId="0" xfId="42" applyFill="1"/>
    <xf numFmtId="0" fontId="0" fillId="35" borderId="0" xfId="0" applyFill="1"/>
    <xf numFmtId="0" fontId="19" fillId="36" borderId="0" xfId="42" applyFill="1"/>
    <xf numFmtId="0" fontId="0" fillId="36" borderId="0" xfId="0" applyFill="1"/>
    <xf numFmtId="0" fontId="19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B015342-8AAF-4804-AD00-07F7869AF80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stantinos" refreshedDate="45945.314874305557" createdVersion="8" refreshedVersion="8" minRefreshableVersion="3" recordCount="5400" xr:uid="{CCA427C2-C010-40A0-8E17-0D07AA301C92}">
  <cacheSource type="worksheet">
    <worksheetSource ref="A1:D5401" sheet="ourPower"/>
  </cacheSource>
  <cacheFields count="4">
    <cacheField name="Algorithm" numFmtId="0">
      <sharedItems count="3">
        <s v="ourDirect"/>
        <s v="ourHybrid"/>
        <s v="ourMultihop"/>
      </sharedItems>
    </cacheField>
    <cacheField name="Network" numFmtId="0">
      <sharedItems count="3">
        <s v="STnet"/>
        <s v="NSFnet"/>
        <s v="USnet"/>
      </sharedItems>
    </cacheField>
    <cacheField name="Avg Load X (Gbps)" numFmtId="0">
      <sharedItems containsSemiMixedTypes="0" containsString="0" containsNumber="1" containsInteger="1" minValue="20" maxValue="120" count="6">
        <n v="20"/>
        <n v="40"/>
        <n v="60"/>
        <n v="80"/>
        <n v="100"/>
        <n v="120"/>
      </sharedItems>
    </cacheField>
    <cacheField name="TotalPower (kW)" numFmtId="0">
      <sharedItems containsSemiMixedTypes="0" containsString="0" containsNumber="1" minValue="41.783999999999999" maxValue="4312.8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stantinos" refreshedDate="45946.306159837965" createdVersion="8" refreshedVersion="8" minRefreshableVersion="3" recordCount="3600" xr:uid="{F9A78CF0-EFAB-402A-AA88-5E4F9911834E}">
  <cacheSource type="worksheet">
    <worksheetSource ref="A2:G3602" sheet="sideBYside"/>
  </cacheSource>
  <cacheFields count="7">
    <cacheField name="MyKey" numFmtId="0">
      <sharedItems/>
    </cacheField>
    <cacheField name="Algorithm" numFmtId="0">
      <sharedItems count="2">
        <s v="Direct"/>
        <s v="Multihop"/>
      </sharedItems>
    </cacheField>
    <cacheField name="Network" numFmtId="0">
      <sharedItems count="3">
        <s v="NSFnet"/>
        <s v="STnet"/>
        <s v="USnet"/>
      </sharedItems>
    </cacheField>
    <cacheField name="Avg Load X (Gbps)" numFmtId="0">
      <sharedItems containsSemiMixedTypes="0" containsString="0" containsNumber="1" containsInteger="1" minValue="20" maxValue="120" count="6">
        <n v="20"/>
        <n v="40"/>
        <n v="60"/>
        <n v="80"/>
        <n v="100"/>
        <n v="120"/>
      </sharedItems>
    </cacheField>
    <cacheField name="MyTotalPower (kW)" numFmtId="0">
      <sharedItems containsSemiMixedTypes="0" containsString="0" containsNumber="1" minValue="41.783999999999999" maxValue="4312.8999999999996"/>
    </cacheField>
    <cacheField name="SnTPower" numFmtId="0">
      <sharedItems containsMixedTypes="1" containsNumber="1" minValue="46" maxValue="4010"/>
    </cacheField>
    <cacheField name="deviation" numFmtId="0">
      <sharedItems containsMixedTypes="1" containsNumber="1" minValue="1.7467248908256234E-3" maxValue="27.935682819383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stantinos" refreshedDate="45946.314470254627" createdVersion="8" refreshedVersion="8" minRefreshableVersion="3" recordCount="3600" xr:uid="{906D9D6A-DB81-4727-85B0-458058080E23}">
  <cacheSource type="worksheet">
    <worksheetSource ref="A2:H3602" sheet="sideBYside"/>
  </cacheSource>
  <cacheFields count="8">
    <cacheField name="MyKey" numFmtId="0">
      <sharedItems/>
    </cacheField>
    <cacheField name="Algorithm" numFmtId="0">
      <sharedItems count="2">
        <s v="Direct"/>
        <s v="Multihop"/>
      </sharedItems>
    </cacheField>
    <cacheField name="Network" numFmtId="0">
      <sharedItems count="3">
        <s v="NSFnet"/>
        <s v="STnet"/>
        <s v="USnet"/>
      </sharedItems>
    </cacheField>
    <cacheField name="Avg Load X (Gbps)" numFmtId="0">
      <sharedItems containsSemiMixedTypes="0" containsString="0" containsNumber="1" containsInteger="1" minValue="20" maxValue="120" count="6">
        <n v="20"/>
        <n v="40"/>
        <n v="60"/>
        <n v="80"/>
        <n v="100"/>
        <n v="120"/>
      </sharedItems>
    </cacheField>
    <cacheField name="MyTotalPower (kW)" numFmtId="0">
      <sharedItems containsSemiMixedTypes="0" containsString="0" containsNumber="1" minValue="41.783999999999999" maxValue="4312.8999999999996"/>
    </cacheField>
    <cacheField name="SnTPower" numFmtId="0">
      <sharedItems containsMixedTypes="1" containsNumber="1" minValue="46" maxValue="4010"/>
    </cacheField>
    <cacheField name="deviation MYvsST" numFmtId="0">
      <sharedItems containsMixedTypes="1" containsNumber="1" minValue="1.7467248908256234E-3" maxValue="27.935682819383256"/>
    </cacheField>
    <cacheField name="deviation STvsMY" numFmtId="0">
      <sharedItems containsMixedTypes="1" containsNumber="1" minValue="1.746755401837009E-3" maxValue="37.878087568253569" count="2994">
        <n v="4.8271183033470688"/>
        <n v="4.2254589591867679"/>
        <n v="2.6874951825492648"/>
        <n v="5.1251221161794529"/>
        <n v="5.4212655446236813"/>
        <n v="3.616144136807816"/>
        <n v="3.9217675858045191"/>
        <n v="3.3085701156467779"/>
        <n v="5.7155659555400646"/>
        <n v="2.9990267889156366"/>
        <n v="4.527236520380125"/>
        <n v="0.55843314988669279"/>
        <n v="2.9937267975438027"/>
        <n v="0.39836130481507709"/>
        <n v="6.8817566934592431"/>
        <n v="3.0213626181500373"/>
        <n v="8.1977387459109146"/>
        <n v="6.2563069511797149"/>
        <n v="8.3745985627532669"/>
        <n v="2.9698640406706578"/>
        <n v="6.2299535866571043"/>
        <n v="1.6577690362461337"/>
        <n v="2.0583511513563035"/>
        <n v="6.7151922849522485"/>
        <n v="1.0532308568175364"/>
        <n v="2.3684970445352911"/>
        <n v="2.541375794179932"/>
        <n v="0.25194099457187658"/>
        <n v="4.4225255145702684"/>
        <n v="5.0765881049696402"/>
        <n v="4.1820579457558642"/>
        <n v="2.5264669080297018"/>
        <n v="8.6392479625264793E-2"/>
        <n v="2.2964208602367395"/>
        <n v="1.8174634531805587"/>
        <n v="2.1320252763244172"/>
        <n v="7.9477913952484673"/>
        <n v="1.4641593227395722"/>
        <n v="0.6459015934638187"/>
        <n v="8.9617464329227001E-2"/>
        <n v="4.3479661180716007E-2"/>
        <n v="2.9459895408193182"/>
        <n v="0.18176158102448714"/>
        <n v="2.9475057313696413"/>
        <n v="3.7603186559750865"/>
        <n v="1.2850815341529838"/>
        <n v="0.2867353136432319"/>
        <n v="7.2292147709009669"/>
        <n v="9.5445925138595165"/>
        <n v="4.2608727478670643"/>
        <n v="3.5138807998446944"/>
        <n v="2.5692699164487371"/>
        <n v="3.8844602251849811"/>
        <n v="3.5846340677972583"/>
        <n v="2.1277852719055557"/>
        <n v="0.10552233556102251"/>
        <n v="2.6478988008258226"/>
        <n v="0.98122229416745754"/>
        <n v="2.271739622025629"/>
        <n v="1.4602520000396557"/>
        <n v="3.9344357356167459"/>
        <n v="5.1046808023141503"/>
        <n v="9.2520874758751237"/>
        <n v="3.1772285309628256"/>
        <n v="2.5522678655809505"/>
        <n v="5.0571853753679674"/>
        <n v="1.6634118641016018"/>
        <n v="1.0401733091210275"/>
        <n v="7.3518281702638495"/>
        <n v="6.0178811854227421"/>
        <n v="5.0637142818939145"/>
        <n v="9.1078671987300748"/>
        <n v="4.3461859725702574"/>
        <n v="4.2320936174640522"/>
        <n v="4.9225989608441747"/>
        <n v="6.0656633143889565"/>
        <n v="5.0143625164122501"/>
        <n v="4.5882127087732725"/>
        <n v="4.3355071180542186"/>
        <n v="2.5127008101057262"/>
        <n v="4.1321548854022438"/>
        <n v="1.6622444356065798"/>
        <n v="3.6705960793738757"/>
        <n v="2.7065967668051396"/>
        <n v="3.4207936141301567"/>
        <n v="6.2541850810231754"/>
        <n v="3.4857753179920468"/>
        <n v="0.37179976532790643"/>
        <n v="8.0775256023511446"/>
        <n v="6.0130825250521509"/>
        <n v="4.3712166982863714"/>
        <n v="2.9329104307083655"/>
        <n v="2.9882356156147893"/>
        <n v="4.3458177758959238"/>
        <n v="6.645629061948231"/>
        <n v="4.4510066288315802"/>
        <n v="4.3570464994101634"/>
        <n v="3.3009965639750503"/>
        <n v="1.8370495021736057"/>
        <n v="7.2422005061552319"/>
        <n v="6.6950523972049885"/>
        <n v="4.8182641685770031"/>
        <n v="2.2579014751780293"/>
        <n v="4.8563464837049839"/>
        <n v="0.27924845041322605"/>
        <n v="1.0785818211492764"/>
        <n v="0.25668350462291134"/>
        <n v="5.26349899830924"/>
        <n v="2.5268643076548627"/>
        <n v="7.7506185534480201"/>
        <n v="7.6724732073691193"/>
        <n v="2.2151750092162534"/>
        <n v="1.2360524128662673"/>
        <n v="1.0890285128512225"/>
        <n v="3.728657750473642"/>
        <n v="2.4929508123349651"/>
        <n v="3.5753861462267404"/>
        <n v="4.5099917019599776"/>
        <n v="5.4005673211974363"/>
        <n v="1.0425819387587623"/>
        <n v="8.0600674226172195"/>
        <n v="5.1810875605039879"/>
        <n v="3.6857379186586057"/>
        <n v="2.9872033484242126"/>
        <n v="2.3152841743650869"/>
        <n v="7.7610918294050064"/>
        <n v="4.0337935148077051"/>
        <n v="7.1518735859919618"/>
        <n v="1.5633798578901816"/>
        <n v="0.93870311891681313"/>
        <n v="3.6421040525017268"/>
        <n v="8.4426047079425768"/>
        <n v="9.2975910390772931"/>
        <n v="0.72102767702417103"/>
        <n v="2.7890699459422201"/>
        <n v="5.6567498681666386"/>
        <n v="4.1536220722907764"/>
        <n v="0.42053841195222968"/>
        <n v="0.72340413233410872"/>
        <n v="2.5382611804361592"/>
        <n v="5.6605069065572131"/>
        <n v="1.5793153244014535"/>
        <n v="1.6476523566625503"/>
        <n v="1.4841901484190181"/>
        <n v="2.9844503973221035"/>
        <n v="2.7705441452865678"/>
        <n v="3.3208649616238657"/>
        <n v="6.8047457682300543"/>
        <n v="3.7777391830491927"/>
        <n v="5.2949366565114859"/>
        <n v="7.6607938752358855"/>
        <n v="2.6205973737327999"/>
        <n v="1.522601064759993"/>
        <n v="1.4498491623237137"/>
        <n v="3.0456645041286765"/>
        <n v="4.4082144929391536"/>
        <n v="5.5657122434672655"/>
        <n v="1.3952500355235458"/>
        <n v="2.7618741622588732"/>
        <n v="1.4672346284583306"/>
        <n v="8.5035739542837572"/>
        <n v="7.9089706314066577"/>
        <n v="3.7734263383477678"/>
        <n v="3.3701373152653806"/>
        <n v="5.4052565486550161"/>
        <n v="5.6983197279938764"/>
        <n v="4.8276091365495173"/>
        <n v="0.47242999387187856"/>
        <n v="2.1096998315773932"/>
        <n v="1.6192517450554917"/>
        <n v="7.062945577034947"/>
        <n v="4.9816187148867703"/>
        <n v="2.2779062721368293"/>
        <n v="2.3842678109636495"/>
        <n v="1.1041991355370286"/>
        <n v="1.1145128486361218"/>
        <n v="5.0021156734063972"/>
        <n v="4.3555134800253335"/>
        <n v="3.7926963672290155"/>
        <n v="1.9110917566766836"/>
        <n v="9.5528990468165702"/>
        <n v="7.7608441426793391"/>
        <n v="7.3614602099267499"/>
        <n v="5.2481753032885941"/>
        <n v="5.8748093862133342"/>
        <n v="1.9105315535401406"/>
        <n v="2.9267513808563592"/>
        <n v="5.7205788509438165"/>
        <n v="8.7021350676826792"/>
        <n v="4.7288027073996135"/>
        <n v="2.4944115246780036"/>
        <n v="7.0272260009798053"/>
        <n v="4.5393153509673914"/>
        <n v="6.6168804600919655"/>
        <n v="1.42122582388137"/>
        <n v="9.5732568501219504"/>
        <n v="2.8566095684118538"/>
        <n v="1.8139783033967647"/>
        <n v="4.7192407496529318"/>
        <n v="4.1771509230794948"/>
        <n v="4.0313804813517793"/>
        <n v="2.7518260574146503"/>
        <n v="1.3244357754218852"/>
        <n v="4.9020435678759942"/>
        <n v="1.0308921913806046"/>
        <n v="5.8327496425893663"/>
        <n v="1.5297997772595473"/>
        <n v="1.0659738670165944"/>
        <n v="5.2385037890804895"/>
        <n v="6.7426300207283907"/>
        <n v="3.1231844410475702"/>
        <n v="5.4335285047283222"/>
        <n v="5.6748870411061771"/>
        <n v="3.7850753866424696"/>
        <n v="2.1423789332738274"/>
        <n v="3.7272305537159822E-2"/>
        <n v="0.79039623885871246"/>
        <n v="1.0524320567555099"/>
        <n v="1.6617110929503385"/>
        <n v="0.20437052512756645"/>
        <n v="9.0007304844440039"/>
        <n v="8.3741052893320109"/>
        <n v="2.9781467925888681"/>
        <n v="4.1086718843669603"/>
        <n v="0.50067335063131713"/>
        <n v="1.8320578217014913"/>
        <n v="3.6321980539637666"/>
        <n v="3.6564412864556548"/>
        <n v="3.5558952421274928"/>
        <n v="7.0056454041490097"/>
        <n v="9.0994837223813292"/>
        <n v="4.0103322971848856"/>
        <n v="4.3700801568461536"/>
        <n v="0.93921372618786025"/>
        <n v="5.6889865813816982"/>
        <n v="4.5846166901850545"/>
        <n v="6.1535656494286717E-2"/>
        <n v="5.1160471571922352"/>
        <n v="1.9826988845921729"/>
        <n v="3.0631813624873265"/>
        <n v="5.5858307693301406"/>
        <n v="4.9251380320045657"/>
        <n v="7.1570580750069333"/>
        <n v="3.0233064739959827"/>
        <n v="7.0613257484636538"/>
        <n v="4.9481170623007102"/>
        <n v="7.6943155696639565"/>
        <n v="5.5412904115254689"/>
        <n v="2.9604262217083162"/>
        <n v="3.033707119780459"/>
        <n v="4.0958822468027449"/>
        <n v="6.0491693868128156"/>
        <n v="6.7811653310969344"/>
        <n v="7.2146188287670663"/>
        <n v="6.7416136571962104"/>
        <n v="3.7294148899968653"/>
        <n v="6.1066037998454039"/>
        <n v="6.9693433754110581"/>
        <n v="8.106340976818073"/>
        <n v="4.4030202977349973"/>
        <n v="0.81027552126498814"/>
        <n v="1.7292817935904772"/>
        <n v="1.0173654140905235"/>
        <n v="7.8713770970554515"/>
        <n v="1.3310741862063786"/>
        <n v="4.1675636160189882"/>
        <n v="6.8012752391073326"/>
        <n v="7.417182188628253"/>
        <n v="8.3708504376153883"/>
        <n v="1.8299699557171403"/>
        <n v="3.9454646816126231"/>
        <n v="6.533789047721057"/>
        <n v="4.74162932002685"/>
        <n v="1.9901452167552316"/>
        <n v="0.24816278381261359"/>
        <n v="8.1008522414694646"/>
        <n v="10.386024715881808"/>
        <n v="11.11471472080189"/>
        <n v="4.6334859342547396"/>
        <n v="0.8878591757335319"/>
        <n v="8.3806142991012518"/>
        <n v="5.8256044825723654"/>
        <n v="1.3854390034644437"/>
        <n v="6.1117302526847075"/>
        <n v="5.8464319877353423"/>
        <n v="8.7499154610106213"/>
        <n v="4.1729039871502147"/>
        <n v="2.3976566534304364"/>
        <n v="3.4082460942017465"/>
        <n v="9.2428452419759655"/>
        <n v="6.2501336229566347"/>
        <n v="0.4569672177665533"/>
        <n v="1.4182507753336506"/>
        <n v="6.2898027918586497"/>
        <n v="7.7646009583226387"/>
        <n v="0.21231905660248382"/>
        <n v="3.4591776527260372"/>
        <n v="8.3696058743754609"/>
        <n v="3.7132433266251028"/>
        <n v="0.68040153656592439"/>
        <n v="2.8571294533794478"/>
        <n v="7.7443223836258293"/>
        <n v="7.8386535405930253"/>
        <n v="4.7262965700645134"/>
        <n v="3.3044465673357699"/>
        <n v="2.1208634346090407"/>
        <n v="9.5196286693814169"/>
        <n v="4.5398537946768691"/>
        <n v="4.0193668561472471"/>
        <n v="9.705198283060307"/>
        <n v="3.815360588206909"/>
        <n v="0.66635045336697163"/>
        <n v="0.49615367108198327"/>
        <n v="5.1598096254549963"/>
        <n v="0.9567336201625235"/>
        <n v="3.9276284099978529"/>
        <n v="5.6298323699172368"/>
        <n v="4.0386303775241439"/>
        <n v="3.5918858415025885"/>
        <n v="0.14963851063090447"/>
        <n v="2.7168954851917038"/>
        <n v="0.39069085845362561"/>
        <n v="4.7477951685432442"/>
        <n v="0.63298423293819772"/>
        <n v="6.328363223127047"/>
        <n v="3.3046134536064877"/>
        <n v="1.0293670225866685"/>
        <n v="5.8063126144565329"/>
        <n v="2.9051643705226105"/>
        <n v="5.5664801611849812"/>
        <n v="0.92047226718349262"/>
        <n v="0.83523406695299274"/>
        <n v="1.6786749212757812"/>
        <n v="10.177327870011069"/>
        <n v="1.8384970016808448"/>
        <n v="5.3735364498020886"/>
        <n v="2.321582729955376"/>
        <n v="4.1490399118837571"/>
        <n v="0.98247489457306303"/>
        <n v="0.51517302896256179"/>
        <n v="0.25885681053918613"/>
        <n v="2.7820521258976889"/>
        <n v="5.8699920768886349"/>
        <n v="5.0786813492201359"/>
        <n v="6.0530584403594032E-2"/>
        <n v="1.0035670061174986"/>
        <n v="1.5118108481112134"/>
        <n v="3.6150563199496446"/>
        <n v="5.1565177777295661"/>
        <n v="2.4239319835547651E-2"/>
        <n v="0.51471257666200854"/>
        <n v="6.8421976718220261"/>
        <n v="4.3414790400190437"/>
        <n v="1.815824209809525"/>
        <n v="3.0663148792763271"/>
        <n v="0.31701560271270074"/>
        <n v="4.7809046075413795"/>
        <n v="2.326732717506216"/>
        <n v="6.2108496799327346"/>
        <n v="5.7709881545597232"/>
        <n v="5.7871513672068522"/>
        <n v="5.1758541113598175"/>
        <n v="4.3699352375352749"/>
        <n v="0.45782116468903256"/>
        <n v="1.7724986362284196"/>
        <n v="3.7186788405720437"/>
        <n v="2.4563507787427925"/>
        <n v="0.15009459705127873"/>
        <n v="4.7021114766158911"/>
        <n v="1.0407471287783008"/>
        <n v="1.0791330314214702"/>
        <n v="2.92762468427054"/>
        <n v="2.2689101577448838"/>
        <n v="0.59497499868126158"/>
        <n v="0.30719612392918605"/>
        <n v="0.50140361749882756"/>
        <n v="3.709093984505365"/>
        <n v="4.7569253827586442"/>
        <n v="5.5292608637028371"/>
        <n v="2.2858670318952128"/>
        <n v="3.3179715349709413"/>
        <n v="9.1706859815382966"/>
        <n v="2.1333672389432214"/>
        <n v="4.1386998120487108"/>
        <n v="1.896282919272215"/>
        <n v="1.3886441008135235"/>
        <n v="6.0189262698021526"/>
        <n v="2.4650551835406009"/>
        <n v="0.75149190575296898"/>
        <n v="4.6435704041558674"/>
        <n v="1.7210683597221739"/>
        <n v="3.6678488581158719"/>
        <n v="1.2242297280652328"/>
        <n v="1.2283546826680867"/>
        <n v="0.76455778489787729"/>
        <n v="0.99727357542051165"/>
        <n v="0.12687623383702046"/>
        <n v="1.0521255154305682"/>
        <n v="3.9670121136312764"/>
        <n v="1.1725474878115889"/>
        <n v="5.5393031687113004"/>
        <n v="3.2347518587922433"/>
        <n v="3.8042641202226593"/>
        <n v="0.32974167803497173"/>
        <n v="2.6559864341810093"/>
        <n v="8.3613363650388077"/>
        <n v="3.5449705375244016"/>
        <n v="1.356639519436255"/>
        <n v="4.4953588938587714"/>
        <n v="1.4045121192166428"/>
        <n v="2.3883751255264709"/>
        <n v="1.1715181657433857"/>
        <n v="3.7423774369159473"/>
        <n v="3.9068720314087297"/>
        <n v="7.316884644948515"/>
        <n v="0.69955057920150532"/>
        <n v="8.7309585997990009"/>
        <n v="2.9044684938121321"/>
        <n v="11.23585178746136"/>
        <n v="1.7730905295606094"/>
        <n v="6.3488941214586081"/>
        <n v="1.9947659907458801"/>
        <n v="2.0605847928449088"/>
        <n v="4.5184522699171126"/>
        <n v="4.8535001054326061"/>
        <n v="3.0038835896802136"/>
        <n v="0.38152731850322424"/>
        <n v="1.1734790827372545"/>
        <n v="2.2812609414804332"/>
        <n v="3.1672171305044183"/>
        <n v="8.6750262515223717"/>
        <n v="0.25609820297717978"/>
        <n v="1.6590385974984172"/>
        <n v="5.1830114314875857"/>
        <n v="3.4734645199761411"/>
        <n v="4.2613672068198483"/>
        <n v="2.4486518328354134"/>
        <n v="6.0113541187348778"/>
        <n v="1.2440203063646971"/>
        <n v="2.7651489270002787"/>
        <n v="5.6623016358666876"/>
        <n v="3.3008389305595429"/>
        <n v="2.6248992572176251"/>
        <n v="0.12671182430322217"/>
        <n v="3.7940533621659043"/>
        <n v="8.3418180175371575"/>
        <n v="1.3332957735016944"/>
        <n v="3.4077305142811034"/>
        <n v="0.36698800557021488"/>
        <n v="4.751117243651791"/>
        <n v="0.44677484409419432"/>
        <n v="0.59815116911365229"/>
        <n v="2.4162343216044468"/>
        <n v="1.388105197189526"/>
        <n v="4.3028257638962337"/>
        <n v="3.493390228761649"/>
        <n v="1.0338217544932726"/>
        <n v="2.6021398949156027"/>
        <n v="1.5503882047851765"/>
        <n v="0.68272002036963231"/>
        <n v="3.747099405833445"/>
        <n v="7.1638003340669467"/>
        <n v="0.92139279273902186"/>
        <n v="8.1160164780975528"/>
        <n v="9.2009260804388724"/>
        <n v="0.4894885667017404"/>
        <n v="5.5090762362988128"/>
        <n v="4.3407154723537227"/>
        <n v="2.5556552514434969"/>
        <n v="2.6425502908866032"/>
        <n v="0.6725884723444111"/>
        <n v="2.9438370835484928"/>
        <n v="3.5099287910725425"/>
        <n v="2.2185772594844213"/>
        <n v="1.610846967258825"/>
        <n v="2.145174245818871"/>
        <n v="1.7500218035760937"/>
        <n v="1.3176193390033111"/>
        <n v="2.9921813425885833"/>
        <n v="2.1321566447023446"/>
        <n v="2.0138981368264295"/>
        <n v="0.8850619216150416"/>
        <n v="0.1510456382969747"/>
        <n v="0.88696598547821415"/>
        <n v="6.1781846529244921"/>
        <n v="6.9471330375761138"/>
        <n v="3.3793357124151138"/>
        <n v="0.85347742011353689"/>
        <n v="2.134975905609926"/>
        <n v="5.3778274310774368"/>
        <n v="3.1417959231297456"/>
        <n v="4.5729466960601526"/>
        <n v="1.6258567569815845"/>
        <n v="0.82631969918593073"/>
        <n v="2.21994697980446"/>
        <n v="3.9501341731330379"/>
        <n v="5.830030112574927"/>
        <n v="2.7696752507153297"/>
        <n v="1.1509238381226137"/>
        <n v="1.8924529159532733"/>
        <n v="1.9381415195423295"/>
        <n v="7.496498081713086"/>
        <n v="4.9579649995780031"/>
        <n v="6.4963046184327178"/>
        <n v="1.5438981165613819"/>
        <n v="4.4443345820749371"/>
        <n v="2.1489939704485654"/>
        <n v="3.1101853753927258"/>
        <n v="3.8208021864985153"/>
        <n v="4.7372439859408288"/>
        <n v="0.24996690589895901"/>
        <n v="2.7437704208164502"/>
        <n v="0.76052966837819069"/>
        <n v="4.8066498012287786"/>
        <n v="1.1475968639927179"/>
        <n v="2.9847972345091525"/>
        <n v="14.128401133265625"/>
        <n v="7.7398599634138714"/>
        <n v="0.43835105390784201"/>
        <n v="7.3159614069740933"/>
        <n v="10.424370943132757"/>
        <n v="3.9607746114572224"/>
        <n v="5.2595378351693451"/>
        <n v="0.18467004838822931"/>
        <n v="12.298973003537297"/>
        <n v="0.73605737472870802"/>
        <n v="3.5352310751176121"/>
        <n v="0.99696063010750557"/>
        <n v="3.3522933559240111"/>
        <n v="6.2990311714815492"/>
        <n v="3.6269430051813525"/>
        <n v="0.82287522283744696"/>
        <n v="4.6184000980031978"/>
        <n v="7.0951458845542863"/>
        <n v="4.8743539476029127"/>
        <n v="0.52301133385362453"/>
        <n v="9.8264002620360516E-2"/>
        <n v="2.205679955000782"/>
        <n v="0.18350339539721644"/>
        <n v="0.69190069190069059"/>
        <n v="2.9490311949542574"/>
        <n v="6.3008787871244145"/>
        <n v="8.1368551675234908"/>
        <n v="6.3975580888307544"/>
        <n v="10.320238725762493"/>
        <n v="5.3362005897089064"/>
        <n v="1.419831467159171"/>
        <n v="0.47649861756574052"/>
        <n v="3.5339758744014143"/>
        <n v="3.8818669878107772"/>
        <n v="10.841434449102508"/>
        <n v="9.1164632977704017"/>
        <n v="12.406876036538819"/>
        <n v="6.1486894884334289"/>
        <n v="1.6684129926654283"/>
        <n v="8.3828609436350696"/>
        <n v="2.5447905968275588"/>
        <n v="7.2460128092427603"/>
        <n v="2.2950505486081298"/>
        <n v="6.0118922005536497"/>
        <n v="3.7188175568996238"/>
        <n v="6.2043750233177102"/>
        <n v="13.796871252298587"/>
        <n v="9.0147820980877889"/>
        <n v="7.6407270160578937"/>
        <n v="4.8998292614020267"/>
        <n v="10.946553381661342"/>
        <n v="6.494413407821245"/>
        <n v="1.8497537239561614"/>
        <n v="10.444630872483215"/>
        <n v="5.0882913923583395"/>
        <n v="0.35354655029578574"/>
        <n v="6.0733375860627703"/>
        <n v="5.8201058201058231"/>
        <n v="1.5856918963768678"/>
        <n v="4.9516410867121481"/>
        <n v="2.1164653832356932"/>
        <n v="1.5028315052535637"/>
        <n v="7.8378139482025029"/>
        <n v="11.764013034772486"/>
        <n v="12.085258294834121"/>
        <n v="8.7108723601970581"/>
        <n v="4.0395527838642611"/>
        <n v="4.7120418848167578"/>
        <n v="11.306822312461703"/>
        <n v="4.8058514555004805"/>
        <n v="3.1700009664637205"/>
        <n v="0.64938891442445035"/>
        <n v="6.1080463197654336"/>
        <n v="5.1058392132896255"/>
        <n v="5.997864588492992"/>
        <n v="26.725033387742997"/>
        <n v="1.1716482448969971"/>
        <n v="7.4625895304864169"/>
        <n v="9.3189964157706093"/>
        <n v="3.2610667085837304"/>
        <n v="5.9159121914920139"/>
        <n v="8.0369906511316156"/>
        <n v="20.449641048786347"/>
        <n v="8.2391369751149615"/>
        <n v="2.6415503847927786"/>
        <n v="7.5333816712424744"/>
        <n v="0.16856560379140448"/>
        <n v="0.45344115351219194"/>
        <n v="8.3790880878491354"/>
        <n v="1.568828105351705"/>
        <n v="10.156651969825301"/>
        <n v="1.968394289769922"/>
        <n v="4.1239377608082348"/>
        <n v="13.010663825634994"/>
        <n v="9.0158480765068489"/>
        <n v="0.77110034795685067"/>
        <n v="5.6595932141402541"/>
        <n v="7.0583019704387073"/>
        <n v="1.1261983677251468"/>
        <n v="3.5092839163900331"/>
        <n v="2.1694121883157771"/>
        <n v="3.2469801975977952"/>
        <n v="5.4323189536655141"/>
        <n v="0.58074857878646913"/>
        <n v="8.1722639784467752"/>
        <n v="16.131558918503515"/>
        <n v="6.7863426383282937"/>
        <n v="8.3346793732837945"/>
        <n v="7.4783572721196068"/>
        <n v="1.4561414486328048"/>
        <n v="2.7204004319728528"/>
        <n v="4.4619519198910274"/>
        <n v="2.9449993159118915"/>
        <n v="1.3239061928100235"/>
        <n v="13.336285753554364"/>
        <n v="11.355133982614664"/>
        <n v="15.013103706476983"/>
        <n v="9.0690594456016616"/>
        <n v="12.767461878996553"/>
        <n v="4.5321839398042041"/>
        <n v="1.6311036383491402"/>
        <n v="1.1920151921756759"/>
        <n v="3.487215244768326"/>
        <n v="7.368111778532259"/>
        <n v="2.2365943954529524"/>
        <n v="3.9462437480429546"/>
        <n v="5.1590153249661634"/>
        <n v="4.0647795180417363"/>
        <n v="0.51713559470593695"/>
        <n v="7.0357932672618588"/>
        <n v="1.7554185998199621"/>
        <n v="5.1011279169906603"/>
        <n v="3.0291477174732018"/>
        <n v="3.4272683956163688"/>
        <n v="2.3538318593206959"/>
        <n v="16.657487975915117"/>
        <n v="9.1222086105706488"/>
        <n v="9.810371517027864"/>
        <n v="12.042095800494415"/>
        <n v="8.5303932911961375"/>
        <n v="6.5497509365608648"/>
        <n v="9.2812839695632672"/>
        <n v="4.0425336877807281"/>
        <n v="13.656695980281775"/>
        <n v="8.2264663550948516"/>
        <n v="8.4965212554116061"/>
        <n v="4.9270409274430023"/>
        <n v="1.3815275002172243"/>
        <n v="3.1658743648708874"/>
        <n v="1.6933004200770849"/>
        <n v="1.3189354617143518"/>
        <n v="6.001805427878125"/>
        <n v="21.83572417307705"/>
        <n v="0.23314140379384277"/>
        <n v="2.4151183485370842"/>
        <n v="5.9449425725508442"/>
        <n v="14.966623463218385"/>
        <n v="4.7523140572157434"/>
        <n v="4.2420356371490335"/>
        <n v="15.138283475517216"/>
        <n v="16.176774689078606"/>
        <n v="3.4404192298929193"/>
        <n v="2.4386721781981606"/>
        <n v="7.3539843934736409"/>
        <n v="5.6472406057728932"/>
        <n v="10.883157483391951"/>
        <n v="1.7681658417617048"/>
        <n v="5.3725071700126747"/>
        <n v="10.725225840438608"/>
        <n v="9.7328705538851157"/>
        <n v="5.8310102216912298"/>
        <n v="4.181965046262297"/>
        <n v="11.228813559322038"/>
        <n v="5.7740628685708488"/>
        <n v="1.661157139102883"/>
        <n v="9.2530657748048952"/>
        <n v="7.9414032382420956"/>
        <n v="7.1975555709875625"/>
        <n v="0.10828038490611736"/>
        <n v="1.0407550523070244"/>
        <n v="3.796699688609908"/>
        <n v="6.4916436659205097"/>
        <n v="2.9222387320455745"/>
        <n v="2.3170994842382999"/>
        <n v="1.7491157517321485"/>
        <n v="1.1150166117527356"/>
        <n v="1.23755391623333"/>
        <n v="9.8309947550096286"/>
        <n v="7.9612220916568761"/>
        <n v="15.00547645125959"/>
        <n v="10.370772335664499"/>
        <n v="6.5788804718084322"/>
        <n v="6.6364346550311604"/>
        <n v="7.2397190688634732"/>
        <n v="2.2139400344885112"/>
        <n v="1.5583250182485404"/>
        <n v="8.6865775480793168"/>
        <n v="2.9289230273706859"/>
        <n v="4.0507551923553837"/>
        <n v="0.96292531490816269"/>
        <n v="6.7003462317357281"/>
        <n v="2.5076009037404838"/>
        <n v="7.7301908363380551"/>
        <n v="12.019248033899519"/>
        <n v="9.1004656282270968"/>
        <n v="2.9635284970826961"/>
        <n v="9.5212009675691949"/>
        <n v="5.6857989760172432"/>
        <n v="4.2332799124418496"/>
        <n v="5.3937208285236968"/>
        <n v="4.080807026244007"/>
        <n v="9.018326308557846"/>
        <n v="3.5838606479980926"/>
        <n v="3.9229132349718325"/>
        <n v="6.8135413412002421"/>
        <n v="4.7631387996268293"/>
        <n v="6.4492725953644578"/>
        <n v="6.2108031559781534"/>
        <n v="5.082564872399753"/>
        <n v="4.8644252787467543"/>
        <n v="6.6945102096517219"/>
        <n v="6.2668526939008693"/>
        <n v="5.895573997233746"/>
        <n v="9.6695737807653099"/>
        <n v="3.7615320001976467"/>
        <n v="8.272936185257203"/>
        <n v="10.940396709035607"/>
        <n v="6.6506639233392466"/>
        <n v="4.6284401884074811"/>
        <n v="12.121284583562501"/>
        <n v="21.178148364919341"/>
        <n v="13.425050732633236"/>
        <n v="14.647529133062761"/>
        <n v="16.969301526170881"/>
        <n v="10.433319310054696"/>
        <n v="4.2176799827982858"/>
        <n v="3.9038147543416923"/>
        <n v="7.5575652479311692"/>
        <n v="10.130768901577907"/>
        <n v="6.1128816958440568"/>
        <n v="5.4941946433852324"/>
        <n v="14.285214491046593"/>
        <n v="7.9231763185715982"/>
        <n v="5.9374580077937518"/>
        <n v="9.1524718950948163"/>
        <n v="15.136989520184214"/>
        <n v="9.6098783106657155"/>
        <n v="10.978689388296418"/>
        <n v="5.2725187199546264"/>
        <n v="7.8069339220310123"/>
        <n v="8.534878077614696"/>
        <n v="11.023836137881034"/>
        <n v="10.621454499024129"/>
        <n v="2.5463899072533382"/>
        <n v="11.99402698522745"/>
        <n v="4.673588099113525"/>
        <n v="20.044097831856604"/>
        <n v="24.174283252521491"/>
        <n v="0.68305734033281018"/>
        <n v="10.82153386961744"/>
        <n v="2.1954644679578892"/>
        <n v="4.3541628711969445"/>
        <n v="22.037275331036486"/>
        <n v="3.4970819355728127"/>
        <n v="1.8933908180222436"/>
        <n v="8.199587834884154"/>
        <n v="1.6956187867090005"/>
        <n v="23.134140825250032"/>
        <n v="1.5074197090120585"/>
        <n v="9.6857432494700877"/>
        <n v="6.3321315402817007"/>
        <n v="2.7670689143873757"/>
        <n v="4.5854071799216483"/>
        <n v="4.1299486284548621"/>
        <n v="8.0588386972973254"/>
        <n v="1.7153453871117348"/>
        <n v="1.4449634110324894"/>
        <n v="9.8887696360620421"/>
        <n v="2.2684063267935199"/>
        <n v="6.2380983262488217"/>
        <n v="9.2484035373985236"/>
        <n v="9.3816631130064003"/>
        <n v="8.6917184389890814"/>
        <n v="1.1373050314637974"/>
        <n v="0.28438023473890761"/>
        <n v="21.827548440309911"/>
        <n v="5.4752987337257082"/>
        <n v="2.3979997727014428"/>
        <n v="8.4531012655012514"/>
        <n v="12.160976465771057"/>
        <n v="2.2394861334143563"/>
        <n v="8.2617591447693595E-2"/>
        <n v="9.9866941735128574"/>
        <n v="8.0245063363986215"/>
        <n v="6.8060717058743183"/>
        <n v="1.4965388666407473"/>
        <n v="3.5310880531329283"/>
        <n v="7.6252723311546848"/>
        <n v="6.7295277129556119"/>
        <n v="26.347082868821996"/>
        <n v="18.508737021091857"/>
        <n v="10.544082605242261"/>
        <n v="0.12167951061500609"/>
        <n v="18.812925685877605"/>
        <n v="4.7175183923943207"/>
        <n v="3.3992058573756445"/>
        <n v="11.480237313091187"/>
        <n v="6.8011378329454395"/>
        <n v="6.1336034773184993"/>
        <n v="7.8363902935280212"/>
        <n v="3.6162174905555067"/>
        <n v="1.5978069744329131"/>
        <n v="5.6554381629511843"/>
        <n v="4.2131337507840572"/>
        <n v="2.2485014510835719"/>
        <n v="1.4131511136155981"/>
        <n v="9.7562461171139354"/>
        <n v="6.7307095091199027"/>
        <n v="20.104508251353"/>
        <n v="4.8423720758303928"/>
        <n v="10.996131766329103"/>
        <n v="3.4866905896845477"/>
        <n v="0.28387553745441957"/>
        <n v="2.3508897484394509"/>
        <n v="5.2705371017303575"/>
        <n v="8.4699239747425192"/>
        <n v="1.5585650057633629"/>
        <n v="7.6839532989410912"/>
        <n v="1.0650529161361972"/>
        <n v="10.234968097926821"/>
        <n v="0.59901634036185447"/>
        <n v="6.5624092587215372"/>
        <n v="1.7607661987101995"/>
        <n v="5.1808269711190356"/>
        <n v="3.7486542037780146"/>
        <n v="4.3935672243592565"/>
        <n v="2.0199548704564627"/>
        <n v="4.2263701687996935"/>
        <n v="3.1458777875121648"/>
        <n v="6.039638549819327"/>
        <n v="8.483321821801491"/>
        <n v="3.7763253449527974"/>
        <n v="2.5456040063383334"/>
        <n v="1.7678515942281925"/>
        <n v="1.0112334357272597"/>
        <n v="2.0545711490379399"/>
        <n v="10.882520214633674"/>
        <n v="12.842221275956204"/>
        <n v="2.4830237610473431"/>
        <n v="1.902903836910103"/>
        <n v="0.63194115116959571"/>
        <n v="24.055129493728383"/>
        <n v="20.085299213647865"/>
        <n v="6.5912680338584035"/>
        <n v="7.4922452875208796"/>
        <n v="15.923009623797013"/>
        <n v="11.498774636197105"/>
        <n v="5.2934746047763221"/>
        <n v="0.47113276222984907"/>
        <n v="1.8326033427033646"/>
        <n v="11.982494187523205"/>
        <n v="5.0912696098442813"/>
        <n v="1.1389321687989762"/>
        <n v="3.3132478313964464"/>
        <n v="10.976991673646342"/>
        <n v="10.084793392468772"/>
        <n v="15.450654775633623"/>
        <e v="#N/A"/>
        <n v="5.3330424725362899"/>
        <n v="5.1378182523086542"/>
        <n v="5.72109019212402"/>
        <n v="5.4303535671259437"/>
        <n v="5.0399038838679289"/>
        <n v="4.9417871770603838"/>
        <n v="5.2355309076376022"/>
        <n v="4.8434675040441499"/>
        <n v="4.7449442343771331"/>
        <n v="4.6462167350035424"/>
        <n v="4.5472843702403312"/>
        <n v="5.5274648089806391"/>
        <n v="5.6243768131403673"/>
        <n v="5.8176055559422926"/>
        <n v="5.9139235121105118"/>
        <n v="4.1494934509099526"/>
        <n v="4.3488024885946315"/>
        <n v="4.448146501763552"/>
        <n v="6.5388100748636813"/>
        <n v="7.8218170811155563"/>
        <n v="5.8020225833286192"/>
        <n v="8.3163852867621912"/>
        <n v="7.6505296366921884"/>
        <n v="5.0718567559974748"/>
        <n v="6.4874342489772028"/>
        <n v="4.9425994602281094"/>
        <n v="5.2093240720281067"/>
        <n v="7.7299254919148392"/>
        <n v="5.7170504980751584"/>
        <n v="5.5876181988796754"/>
        <n v="5.8562501272212879"/>
        <n v="5.6434764258513921"/>
        <n v="6.1389562017733379"/>
        <n v="5.8239008758377144"/>
        <n v="7.5390647451451729"/>
        <n v="4.5897488131738298"/>
        <n v="6.9294776982905217"/>
        <n v="6.2251900682338475"/>
        <n v="3.8912360496180991"/>
        <n v="5.7333847128849147"/>
        <n v="8.4459818920998746"/>
        <n v="6.993989172340771"/>
        <n v="7.0882266344154061"/>
        <n v="6.9239757549534655"/>
        <n v="4.1707108137525397"/>
        <n v="7.0547924558635868"/>
        <n v="7.1103278252268272"/>
        <n v="6.9804275506375362"/>
        <n v="8.2215506961209321"/>
        <n v="7.149955331600137"/>
        <n v="6.5460689993104548"/>
        <n v="5.0064794566884094"/>
        <n v="7.3703184458241537"/>
        <n v="7.0659982116483988"/>
        <n v="7.5130637797411177"/>
        <n v="4.7305161031176333"/>
        <n v="8.2643869953611588"/>
        <n v="9.8061991174414729"/>
        <n v="6.1776918444324727"/>
        <n v="5.8038211825566544"/>
        <n v="7.1503048355870265"/>
        <n v="8.5896118270218924"/>
        <n v="5.661820573882097"/>
        <n v="6.3413251183706372"/>
        <n v="6.4113297938266838"/>
        <n v="7.7347573766996556"/>
        <n v="4.695363236236366"/>
        <n v="6.4996042027164442"/>
        <n v="4.2721774845574174"/>
        <n v="4.1264494396579678"/>
        <n v="8.6800816449432183"/>
        <n v="5.4015098686039789"/>
        <n v="6.4906247373997719"/>
        <n v="7.6782962902893743"/>
        <n v="8.7888702700404053"/>
        <n v="7.1711538123803642"/>
        <n v="6.5888913994877534"/>
        <n v="5.9804680775102153"/>
        <n v="6.5229899758538812"/>
        <n v="5.7389682747938329"/>
        <n v="6.627963536957977"/>
        <n v="7.2566646739382401"/>
        <n v="4.948643366667679"/>
        <n v="4.224105239588571"/>
        <n v="6.0655624292714947"/>
        <n v="5.7798342107055749"/>
        <n v="5.0875022686010807"/>
        <n v="4.6982476068313321"/>
        <n v="7.6924036461500576"/>
        <n v="6.8850924291288589"/>
        <n v="4.53743873948138"/>
        <n v="6.1197252606446346"/>
        <n v="7.3259465433517263"/>
        <n v="8.6847018493815877"/>
        <n v="6.0199313945499124"/>
        <n v="7.1837285550513368"/>
        <n v="5.1334957601723481"/>
        <n v="6.1764428066176089"/>
        <n v="7.3454986189471008"/>
        <n v="8.004194511455653"/>
        <n v="9.1116213688403995"/>
        <n v="6.2714530711298355"/>
        <n v="5.5421846688583427"/>
        <n v="9.1859068799652448"/>
        <n v="5.8011832135162562"/>
        <n v="6.9658093063106792"/>
        <n v="6.086960935983031"/>
        <n v="5.1055764579758716"/>
        <n v="5.9666092512337183"/>
        <n v="7.5436278506080008"/>
        <n v="7.0258317418836018"/>
        <n v="8.0503759683444773"/>
        <n v="6.4645035951126459"/>
        <n v="6.8287007891860849"/>
        <n v="7.3479347979871976"/>
        <n v="6.5045657989911287"/>
        <n v="4.621783482426248"/>
        <n v="4.0255211008678318"/>
        <n v="5.9618010655013505"/>
        <n v="0.85432847659183808"/>
        <n v="3.3794072939021431"/>
        <n v="4.3587275130754692"/>
        <n v="5.0461506913130671"/>
        <n v="0.37241073508322359"/>
        <n v="3.2903966909878366"/>
        <n v="5.4564500450524367"/>
        <n v="5.1936097822390774"/>
        <n v="2.5675508775781912"/>
        <n v="4.8262050543987485"/>
        <n v="4.5064868339999959"/>
        <n v="4.9287947917047887"/>
        <n v="3.7189352308688908"/>
        <n v="4.1331657839116502"/>
        <n v="5.9517528076492603"/>
        <n v="3.5191940183712229"/>
        <n v="0.87038593532282393"/>
        <n v="3.0462592242608291"/>
        <n v="6.1964510550256886"/>
        <n v="0.81296118480548085"/>
        <n v="3.3088791047764086"/>
        <n v="2.8230585826400993"/>
        <n v="2.7339078273631956"/>
        <n v="1.3722682896562184"/>
        <n v="4.2833428750407894"/>
        <n v="4.0359419187675574"/>
        <n v="2.9333717346535675"/>
        <n v="4.1317850391574478"/>
        <n v="0.97454069388487519"/>
        <n v="2.5660355263446806"/>
        <n v="1.7860642263808222"/>
        <n v="4.8673949744973166"/>
        <n v="6.8309940476815409"/>
        <n v="4.326722893806715"/>
        <n v="2.8612603409432849"/>
        <n v="2.5022088504160771"/>
        <n v="6.501770320940353"/>
        <n v="1.2776891748900501"/>
        <n v="0.26629409657480702"/>
        <n v="0.46012656985596173"/>
        <n v="4.7908953276467141"/>
        <n v="4.0706040354299153"/>
        <n v="4.5866069160823564"/>
        <n v="3.5939976627202039"/>
        <n v="3.9640311481167654"/>
        <n v="4.2021954338178835"/>
        <n v="4.8199958442533299"/>
        <n v="4.5600577120402184"/>
        <n v="3.0740541529354948"/>
        <n v="7.0248204444126356"/>
        <n v="0.39281705948373036"/>
        <n v="5.2468342211067309"/>
        <n v="4.3299028342153925"/>
        <n v="4.1015281173869402"/>
        <n v="0.45738767402001529"/>
        <n v="4.8645906006215611"/>
        <n v="4.6726085915489897"/>
        <n v="4.6548999771708823"/>
        <n v="4.0721161511030859"/>
        <n v="6.2631611142625649"/>
        <n v="4.8077877061715828"/>
        <n v="4.0164821274634024"/>
        <n v="3.7972968395379483"/>
        <n v="3.9235285414779684"/>
        <n v="4.8282887858234345"/>
        <n v="3.150298006078347"/>
        <n v="3.1253666909535398"/>
        <n v="0.90303850824178988"/>
        <n v="1.3346686350323118"/>
        <n v="1.7154574822453421"/>
        <n v="0.32299094670696382"/>
        <n v="0.65414349179697484"/>
        <n v="2.3711661277361351"/>
        <n v="4.3511686221538941"/>
        <n v="3.0306341250222011"/>
        <n v="5.1922594153433668"/>
        <n v="0.36257730671159566"/>
        <n v="0.86817142266739988"/>
        <n v="1.5099040345797339"/>
        <n v="1.3855104295239713"/>
        <n v="5.9352224896959296"/>
        <n v="3.1626267751245183"/>
        <n v="3.4854442003134603"/>
        <n v="2.0196374726586579"/>
        <n v="5.5549224730066653"/>
        <n v="5.5035529333161151"/>
        <n v="2.128273533555308"/>
        <n v="0.35791623609278789"/>
        <n v="1.9699438927505111"/>
        <n v="3.51211375967087"/>
        <n v="4.3372073021700146"/>
        <n v="4.4125500487810143"/>
        <n v="0.22774305786510229"/>
        <n v="4.1118029366998341"/>
        <n v="1.1981922516189873"/>
        <n v="3.1398160838836398"/>
        <n v="3.530598916462941"/>
        <n v="3.6535217804105526"/>
        <n v="4.0421374088575437"/>
        <n v="4.5778265336328277"/>
        <n v="4.6420859021676604"/>
        <n v="3.7844321806661467"/>
        <n v="1.469010745271865"/>
        <n v="3.5975019790658807"/>
        <n v="3.836907394941822"/>
        <n v="1.5413450889613396"/>
        <n v="2.3849424854931187"/>
        <n v="5.964622792871296"/>
        <n v="3.1833594102241234"/>
        <n v="6.4969189849906059E-2"/>
        <n v="0.33170626662578601"/>
        <n v="0.54835550228858376"/>
        <n v="2.3315534863501317"/>
        <n v="2.3387725409419811"/>
        <n v="4.7187516626404005"/>
        <n v="4.0282899382418487"/>
        <n v="2.0757090576395218"/>
        <n v="3.5229272129780638"/>
        <n v="1.9018158904737317"/>
        <n v="1.0168531451353084"/>
        <n v="1.495612959726081"/>
        <n v="1.0398401323899191"/>
        <n v="2.1952525432803855"/>
        <n v="0.74614268357797686"/>
        <n v="4.9062476248253066"/>
        <n v="1.6992398552898018"/>
        <n v="3.7841618898195253"/>
        <n v="1.7760256787581377"/>
        <n v="4.5316125795279518"/>
        <n v="3.632153378220583"/>
        <n v="6.6568009037256877"/>
        <n v="2.1404456038380961"/>
        <n v="1.5419819239702803"/>
        <n v="3.5555954474017168"/>
        <n v="0.70341123645996273"/>
        <n v="5.0795599571541654"/>
        <n v="0.50311290899484606"/>
        <n v="4.2873001822733068"/>
        <n v="6.7262620038875456"/>
        <n v="0.76073776061171605"/>
        <n v="0.46993528856138067"/>
        <n v="3.1871223326108957"/>
        <n v="2.6203651380907198"/>
        <n v="5.4010151092531924"/>
        <n v="0.50954364018150478"/>
        <n v="3.6922764369094794"/>
        <n v="1.6200025923488417"/>
        <n v="4.4306841681754872"/>
        <n v="2.9536791535293974"/>
        <n v="5.9545204298358918"/>
        <n v="4.2623853550799815"/>
        <n v="4.9840380119331762"/>
        <n v="5.8564179810118535"/>
        <n v="1.0024406150133012"/>
        <n v="0.70002855780199902"/>
        <n v="1.8645731108930303"/>
        <n v="2.6328918883959762"/>
        <n v="3.4250278622319246"/>
        <n v="5.2268761360236375"/>
        <n v="3.2978947175239726"/>
        <n v="0.1453359125477163"/>
        <n v="0.7780593492054596"/>
        <n v="1.1361762576001575"/>
        <n v="2.5766000371204449"/>
        <n v="3.1260242036446506"/>
        <n v="5.8812537441399027"/>
        <n v="5.2782344506390834E-2"/>
        <n v="0.58040722845751924"/>
        <n v="4.6631547449217461"/>
        <n v="5.0295846708044625"/>
        <n v="5.4557550186086541"/>
        <n v="3.1639928383764575"/>
        <n v="0.32934965991937909"/>
        <n v="2.6926091485283665"/>
        <n v="4.8440292927584627"/>
        <n v="4.4971058091901019"/>
        <n v="1.1882652049261553"/>
        <n v="4.113831579794609"/>
        <n v="4.3845944737785203"/>
        <n v="2.0917000561364674"/>
        <n v="3.5267317215725131"/>
        <n v="3.9388237554380674"/>
        <n v="6.1225566596624068"/>
        <n v="2.7008676667881129"/>
        <n v="2.7366153691056652"/>
        <n v="1.9655548463363794"/>
        <n v="1.5997934313911752"/>
        <n v="2.8052739135385543"/>
        <n v="3.2197448674675626"/>
        <n v="4.3892654967029934"/>
        <n v="1.6391441743988253"/>
        <n v="2.6125429357839871"/>
        <n v="3.2314002098536512"/>
        <n v="2.5166362120099461"/>
        <n v="1.6056591828314153"/>
        <n v="0.88432103010992091"/>
        <n v="2.4988408393212906"/>
        <n v="1.1628871691391516"/>
        <n v="4.0306002012206141"/>
        <n v="3.1193263351747431"/>
        <n v="2.392036122522184"/>
        <n v="3.8271621950603305"/>
        <n v="1.3646132153163444"/>
        <n v="2.6568197836545773"/>
        <n v="2.5301712763106647"/>
        <n v="2.3744002946835976"/>
        <n v="2.3414725156836727"/>
        <n v="0.35906429130607898"/>
        <n v="1.3171073127852964"/>
        <n v="5.6280607496118105"/>
        <n v="3.2597703300314613"/>
        <n v="0.56358187193954978"/>
        <n v="5.1930707737971717"/>
        <n v="0.89909664349677765"/>
        <n v="0.69192530491284143"/>
        <n v="3.1943271297753784"/>
        <n v="3.0589109551243747"/>
        <n v="4.0675089825743704"/>
        <n v="0.92465393868862311"/>
        <n v="5.4834282825182115"/>
        <n v="5.5112868883230828"/>
        <n v="4.0326621253585575"/>
        <n v="5.7824542180070289"/>
        <n v="3.2390650756280599"/>
        <n v="5.9218642088199297E-2"/>
        <n v="0.18050939524883039"/>
        <n v="0.24129694652010569"/>
        <n v="0.58910599041144429"/>
        <n v="2.3670626183905696"/>
        <n v="3.8388396361950643"/>
        <n v="4.8515755584999507"/>
        <n v="2.1993469251912598"/>
        <n v="1.4883032458382965"/>
        <n v="4.0103611502710645"/>
        <n v="1.1483813541564167"/>
        <n v="4.3003700004799281"/>
        <n v="4.0833288023426579"/>
        <n v="5.9730414886235792"/>
        <n v="0.81312511787694464"/>
        <n v="1.4906667552760631"/>
        <n v="3.0619124756135561"/>
        <n v="4.1121023979702676"/>
        <n v="1.2607673659467571"/>
        <n v="5.4812682213070101"/>
        <n v="5.1660175021068726"/>
        <n v="3.1466917078245027"/>
        <n v="0.61637289689254393"/>
        <n v="1.4289564651423323"/>
        <n v="4.4674717444724479"/>
        <n v="1.4883647376707512"/>
        <n v="3.3154154190266607"/>
        <n v="4.7644227174661724"/>
        <n v="0.21865616654366785"/>
        <n v="3.2142406232656255"/>
        <n v="2.6561221453544568"/>
        <n v="1.4329588178075108"/>
        <n v="1.7677984286952921"/>
        <n v="2.7984754158484293"/>
        <n v="3.524633904784289"/>
        <n v="1.0977266648204846"/>
        <n v="3.490892853284556"/>
        <n v="2.2748945954516162"/>
        <n v="3.5309959229607153"/>
        <n v="1.1425851479570908"/>
        <n v="4.7603072802073951"/>
        <n v="4.2899528735156069"/>
        <n v="6.0842966305177416E-2"/>
        <n v="2.1155889252116351"/>
        <n v="0.95078377496964661"/>
        <n v="2.3301689279905053"/>
        <n v="1.8273591618225127"/>
        <n v="3.2875310779023321"/>
        <n v="3.1367500905020793"/>
        <n v="3.090655943189716"/>
        <n v="1.8700349166920576"/>
        <n v="1.6392479953491492"/>
        <n v="4.5204031348089275"/>
        <n v="4.6778152838168241"/>
        <n v="2.0672864979144689"/>
        <n v="4.7896761314254848"/>
        <n v="3.3653660318011647"/>
        <n v="3.6258542776887253"/>
        <n v="4.484332294160879"/>
        <n v="1.5235627657945232"/>
        <n v="2.4405302226132335"/>
        <n v="0.43896324203781595"/>
        <n v="1.7896275188395365"/>
        <n v="4.2794514269647976"/>
        <n v="2.4876988959861008"/>
        <n v="1.5689902947024399"/>
        <n v="4.2639958893531889"/>
        <n v="4.9322564286368982"/>
        <n v="3.6870605722138579"/>
        <n v="3.2269339952803602"/>
        <n v="5.0087335253952734"/>
        <n v="4.7567059808239707"/>
        <n v="3.6393823255642674"/>
        <n v="2.0265013926859687"/>
        <n v="2.1018321605490855"/>
        <n v="0.64212688688301889"/>
        <n v="0.74490822616794417"/>
        <n v="1.7190827473854475"/>
        <n v="1.7268190962295162"/>
        <n v="2.7736660656091048"/>
        <n v="0.4209415477496618"/>
        <n v="1.7268865190609439"/>
        <n v="3.3584737868897596"/>
        <n v="2.1704975496271222"/>
        <n v="0.43739106237463027"/>
        <n v="0.91475069149253829"/>
        <n v="1.759397137744156"/>
        <n v="3.3403967961077687"/>
        <n v="2.4367456791156838"/>
        <n v="0.15780474073615766"/>
        <n v="3.1855105648509809"/>
        <n v="1.0546684060647304"/>
        <n v="2.7234522355169539"/>
        <n v="1.2927838869198705"/>
        <n v="0.33588751971687714"/>
        <n v="1.5519198234906986"/>
        <n v="1.9278874044102607"/>
        <n v="2.3460828768107123E-2"/>
        <n v="5.1447901639194472E-2"/>
        <n v="2.5147309722611868"/>
        <n v="1.0022962035985334"/>
        <n v="4.7872541237684985"/>
        <n v="0.6781843179040502"/>
        <n v="2.6478801420892348"/>
        <n v="5.0501032372942305"/>
        <n v="9.6000758032013956E-3"/>
        <n v="0.36078836730839903"/>
        <n v="1.020158812044438"/>
        <n v="3.0194331159372485"/>
        <n v="2.3972073431375764"/>
        <n v="1.6428629727470352"/>
        <n v="1.4303173796294593"/>
        <n v="0.20733672638874062"/>
        <n v="7.0231166964223535"/>
        <n v="2.0241748953870622"/>
        <n v="2.9210525068538013E-2"/>
        <n v="0.87800826593367431"/>
        <n v="1.3606814328824575"/>
        <n v="2.5955654665885151"/>
        <n v="2.3342598994944117"/>
        <n v="1.7586187212793993"/>
        <n v="0.10888380769988859"/>
        <n v="2.4800229962319853"/>
        <n v="3.2465254403730799"/>
        <n v="3.8124337661054226"/>
        <n v="4.9578804611889176"/>
        <n v="1.7096349714756469"/>
        <n v="2.9278509436574924"/>
        <n v="1.9489660261725321"/>
        <n v="2.6353053609340806"/>
        <n v="0.15231129969570581"/>
        <n v="0.19930273906870796"/>
        <n v="0.44139107068518668"/>
        <n v="3.1998835501840963"/>
        <n v="3.9184242960757758"/>
        <n v="1.9631811847541789"/>
        <n v="0.49032708903932004"/>
        <n v="0.21940802570015494"/>
        <n v="6.8680976366364124E-2"/>
        <n v="2.4052987208531129"/>
        <n v="1.9301419787415859"/>
        <n v="2.0964136406919169"/>
        <n v="0.66822614552156778"/>
        <n v="0.27444189521195561"/>
        <n v="0.83898625296988194"/>
        <n v="0.10924639956222061"/>
        <n v="1.5708410121168526"/>
        <n v="2.6961655009618783"/>
        <n v="1.0592092780307794"/>
        <n v="0.19056194912368118"/>
        <n v="1.5046454928673105"/>
        <n v="1.033082161563744"/>
        <n v="1.2211139499434944"/>
        <n v="0.47854679816404389"/>
        <n v="2.1210920747619197"/>
        <n v="3.4189452529929989"/>
        <n v="3.7733100757503317"/>
        <n v="3.6886988175085857"/>
        <n v="0.3986150499276509"/>
        <n v="0.4513945865915226"/>
        <n v="1.5539500311418497"/>
        <n v="3.1827371421057822"/>
        <n v="1.5997527148163315"/>
        <n v="3.7956802581058837"/>
        <n v="0.63356632820956582"/>
        <n v="3.5922582419603604"/>
        <n v="1.2206299255132269"/>
        <n v="3.4623783740320038"/>
        <n v="3.7794827721692174E-2"/>
        <n v="2.0579553120492116"/>
        <n v="5.06138811141295"/>
        <n v="1.4973871015127171"/>
        <n v="2.7547564685668755"/>
        <n v="0.76030054209543763"/>
        <n v="3.9548440005023964"/>
        <n v="3.7949203717956208"/>
        <n v="1.1838929745548559"/>
        <n v="4.7612070418098273"/>
        <n v="1.904930786382887"/>
        <n v="4.9367097864001028"/>
        <n v="2.2199824748122508"/>
        <n v="4.9898594946191279"/>
        <n v="0.87988166582795513"/>
        <n v="2.3807825306655781"/>
        <n v="0.91992043107455668"/>
        <n v="3.7888683720706395"/>
        <n v="1.6042295043502193"/>
        <n v="0.92580012809812728"/>
        <n v="0.79554343056641141"/>
        <n v="0.9214306945407732"/>
        <n v="2.7724801244512207"/>
        <n v="2.5384972935690371"/>
        <n v="0.18542476860294305"/>
        <n v="2.655629312636429"/>
        <n v="1.7236165709101914"/>
        <n v="1.023267145815564"/>
        <n v="3.0107695349366494"/>
        <n v="1.3234049497698266"/>
        <n v="2.0911079897421598"/>
        <n v="1.8819791159566404"/>
        <n v="1.2743206913835243"/>
        <n v="4.5903071091230068"/>
        <n v="0.61314047185822274"/>
        <n v="0.32605969400552853"/>
        <n v="0.53824113355800818"/>
        <n v="1.4744724147470052"/>
        <n v="2.5143791290784674"/>
        <n v="6.6906399945449824"/>
        <n v="3.6858677532876416"/>
        <n v="1.4490776012705411"/>
        <n v="3.078018467365252"/>
        <n v="5.5225692047180504"/>
        <n v="3.142648527023193"/>
        <n v="3.726524083180291"/>
        <n v="0.68830643005019854"/>
        <n v="2.335312921413728"/>
        <n v="0.42701491679911496"/>
        <n v="1.2728211671071326"/>
        <n v="1.0861501588328235"/>
        <n v="2.4342650861017696"/>
        <n v="4.3674643400987305"/>
        <n v="2.0372484523769092"/>
        <n v="0.56867071785596346"/>
        <n v="0.21645353924564459"/>
        <n v="2.0479512952274672"/>
        <n v="1.7165581138651465"/>
        <n v="1.3001803169782713"/>
        <n v="1.5878423134427198"/>
        <n v="4.3572624105648536"/>
        <n v="0.15629380162590956"/>
        <n v="1.8860519702035454"/>
        <n v="2.8520399203386662"/>
        <n v="1.6678643016527457"/>
        <n v="2.9140714851159708"/>
        <n v="1.3522732145432692"/>
        <n v="1.4273955395352251"/>
        <n v="2.4423190211212433"/>
        <n v="4.0816928843372864"/>
        <n v="3.2925178164938242"/>
        <n v="5.8288330381429505"/>
        <n v="4.0979676146213766"/>
        <n v="1.2113014271167333"/>
        <n v="0.40184026753597152"/>
        <n v="2.147486319465882"/>
        <n v="1.1480301421129908"/>
        <n v="1.0767416200585871"/>
        <n v="2.5118204417714396"/>
        <n v="1.7778214320793697"/>
        <n v="6.4569864038827554"/>
        <n v="2.9430649086918272"/>
        <n v="2.4690339182690479"/>
        <n v="0.52854817444023716"/>
        <n v="2.2174083100159518"/>
        <n v="3.3184096622093895"/>
        <n v="3.9456184424412615"/>
        <n v="0.78730390085630675"/>
        <n v="0.87421318906719059"/>
        <n v="2.1865077573623508"/>
        <n v="5.0380943336961304"/>
        <n v="2.0667678643398824"/>
        <n v="5.2098144299828713"/>
        <n v="0.88970548994793019"/>
        <n v="0.99160713469710471"/>
        <n v="1.3507360752769777"/>
        <n v="0.83451569103085887"/>
        <n v="1.67344237496455"/>
        <n v="1.6693518497507651"/>
        <n v="1.748127546046109"/>
        <n v="2.0936888085555059"/>
        <n v="1.1057141879067436"/>
        <n v="0.12386385443379905"/>
        <n v="1.481011432935025"/>
        <n v="1.4693543876255801"/>
        <n v="0.47164637490402045"/>
        <n v="2.7311727477381842"/>
        <n v="1.1180387516117114"/>
        <n v="2.9673351609937106"/>
        <n v="0.57468109261874489"/>
        <n v="0.58881794961334433"/>
        <n v="5.5348172726853733"/>
        <n v="2.5090094021333025"/>
        <n v="0.45382622454835209"/>
        <n v="1.0241377104577567"/>
        <n v="7.3823168980760547"/>
        <n v="0.73195622338740329"/>
        <n v="0.59447973798614318"/>
        <n v="1.1960131422245912"/>
        <n v="3.3494276935543805"/>
        <n v="2.2768889960786476"/>
        <n v="2.2265866831757162"/>
        <n v="2.8615543848039877"/>
        <n v="0.37432170627581174"/>
        <n v="2.0385429430767465"/>
        <n v="0.81710280702989924"/>
        <n v="3.8277803325710922"/>
        <n v="4.8556403405747837"/>
        <n v="4.324211405890952"/>
        <n v="0.11082136775863348"/>
        <n v="0.6259696019614418"/>
        <n v="0.23570711038840203"/>
        <n v="1.1271077951992685"/>
        <n v="0.96505017698713669"/>
        <n v="0.12242042672263079"/>
        <n v="2.3162564518193092"/>
        <n v="2.6238410004656214"/>
        <n v="1.1441805651185704"/>
        <n v="0.71278680563986296"/>
        <n v="3.5001222050854217"/>
        <n v="3.8556407139873285"/>
        <n v="4.8654836863194042"/>
        <n v="0.51773216194327998"/>
        <n v="1.6080002577956352"/>
        <n v="1.7405650561130026"/>
        <n v="2.8460049491832899"/>
        <n v="1.3621924298713162"/>
        <n v="5.6619319118083249"/>
        <n v="1.2873593937578292"/>
        <n v="3.6374950500650538"/>
        <n v="3.3167379883012909"/>
        <n v="6.1391377679319827E-2"/>
        <n v="1.2761233799690015"/>
        <n v="1.6219490453247845"/>
        <n v="1.2207220808351"/>
        <n v="1.1840651753659208"/>
        <n v="1.8977852032729325"/>
        <n v="3.3635763990511297E-2"/>
        <n v="2.2036214554150995"/>
        <n v="6.113680343730528"/>
        <n v="1.7584803023607951"/>
        <n v="2.6604720754572564"/>
        <n v="0.31667954424263184"/>
        <n v="1.4520041201032257"/>
        <n v="1.0408531554308396"/>
        <n v="2.2537135052074446"/>
        <n v="3.2602152354599898"/>
        <n v="0.99780379407542874"/>
        <n v="1.746755401837009E-3"/>
        <n v="1.100405063849986"/>
        <n v="2.2435539680767969"/>
        <n v="2.5929832919318079"/>
        <n v="2.4240590739233592"/>
        <n v="0.55649281422953822"/>
        <n v="0.2006200186836905"/>
        <n v="1.5638029900532178"/>
        <n v="1.0859009446455408"/>
        <n v="3.8725913052968761"/>
        <n v="2.0815160688935621"/>
        <n v="1.2509648513805505"/>
        <n v="5.1657508673878283"/>
        <n v="3.753239457039812"/>
        <n v="2.2620453748752363"/>
        <n v="4.6053933361243526"/>
        <n v="1.4893225698514674"/>
        <n v="1.7203235075115275"/>
        <n v="4.611350559944821"/>
        <n v="7.6796872272832994E-2"/>
        <n v="0.94220067221334003"/>
        <n v="1.5109168563531887"/>
        <n v="2.4903288715916863"/>
        <n v="4.8767697954903051"/>
        <n v="1.6420292010004416"/>
        <n v="4.4561332995484391E-2"/>
        <n v="2.8473366806456202"/>
        <n v="1.055337718871856"/>
        <n v="2.9103574297954937"/>
        <n v="1.7714453322904309"/>
        <n v="0.89904902035030954"/>
        <n v="2.7281270957771588"/>
        <n v="5.7547235814851261"/>
        <n v="1.4203274680791669"/>
        <n v="0.13001957766054498"/>
        <n v="3.5014382065518039"/>
        <n v="0.86220290103828312"/>
        <n v="0.50658318119836143"/>
        <n v="3.615705748819654"/>
        <n v="1.6829283469239482"/>
        <n v="0.72412122325662576"/>
        <n v="1.3189386630925526"/>
        <n v="3.1165833012697193"/>
        <n v="1.2760439689977261"/>
        <n v="1.4005381795727889"/>
        <n v="1.0177157934413872"/>
        <n v="6.7164464379005864"/>
        <n v="0.20807361367418206"/>
        <n v="9.198952341991566"/>
        <n v="7.1636658866233195E-3"/>
        <n v="2.0770392173890579"/>
        <n v="0.36881795493290104"/>
        <n v="13.397490361213322"/>
        <n v="4.5328240868589758"/>
        <n v="1.2734761742810647"/>
        <n v="3.194723823195087"/>
        <n v="3.649707305602651"/>
        <n v="1.6730528472248534"/>
        <n v="0.84180864541030587"/>
        <n v="1.0320729940161284"/>
        <n v="0.62492584543710183"/>
        <n v="1.4318544468027725"/>
        <n v="5.6710664734095317"/>
        <n v="0.3340975696685522"/>
        <n v="3.6543751698630902"/>
        <n v="3.3580569919411616"/>
        <n v="3.7598223384056948"/>
        <n v="2.9287057406565258"/>
        <n v="4.8700837711202549"/>
        <n v="6.6320351280937304"/>
        <n v="7.0994122320316784"/>
        <n v="3.9541360557938936"/>
        <n v="4.7501864396975124"/>
        <n v="5.7224234104160239"/>
        <n v="0.60981561374240512"/>
        <n v="6.0368185156111531"/>
        <n v="2.4591730780111938"/>
        <n v="1.4008451079389252"/>
        <n v="1.6141158780132459"/>
        <n v="1.0010712570647524"/>
        <n v="1.524842522846876"/>
        <n v="4.3061307095930452"/>
        <n v="1.5436144980032198"/>
        <n v="2.5705402099481263"/>
        <n v="6.9274632815878947"/>
        <n v="3.4418340391565954"/>
        <n v="1.8435826213330442"/>
        <n v="0.58049122140576725"/>
        <n v="4.0746785785871831"/>
        <n v="2.7977875461247557"/>
        <n v="2.073555913807192"/>
        <n v="0.62915752368164002"/>
        <n v="0.80437289857024941"/>
        <n v="2.6964696245971713"/>
        <n v="2.5618950111690224"/>
        <n v="1.1392593707440086"/>
        <n v="4.3413800782716008"/>
        <n v="6.5535184926016816"/>
        <n v="1.077955000804671"/>
        <n v="0.70514169524481929"/>
        <n v="3.6163658183527807"/>
        <n v="1.3410292013419345"/>
        <n v="1.2860803059836903"/>
        <n v="6.4702105885418995"/>
        <n v="2.3414814464058971"/>
        <n v="4.2462451902805247"/>
        <n v="1.0967922885021257"/>
        <n v="0.34446607757974451"/>
        <n v="1.0101398120965592"/>
        <n v="6.5708059616026881"/>
        <n v="2.6013264667012703"/>
        <n v="0.34040858015326991"/>
        <n v="2.9546446374459796"/>
        <n v="0.67209895316042112"/>
        <n v="4.4306658312213472"/>
        <n v="1.5642469591432926"/>
        <n v="1.0792853845387913"/>
        <n v="2.4162594219137192"/>
        <n v="3.4218748070487424"/>
        <n v="1.1858376073022914"/>
        <n v="1.1972999956198216"/>
        <n v="2.1882103216256077"/>
        <n v="0.35318329284256339"/>
        <n v="7.2015437022293138"/>
        <n v="5.4515292832601112"/>
        <n v="3.8996484470104118"/>
        <n v="6.1974956411475706"/>
        <n v="10.494686360008174"/>
        <n v="0.60526940422502384"/>
        <n v="7.1271535355958022"/>
        <n v="2.987878173025782"/>
        <n v="1.1893524636586748"/>
        <n v="0.61735903239874601"/>
        <n v="9.7840531289274448"/>
        <n v="1.9360495182993664"/>
        <n v="4.4467060378464307"/>
        <n v="3.1499769443590493"/>
        <n v="6.1084628601851181"/>
        <n v="5.2093960931672703"/>
        <n v="3.1525589596848556"/>
        <n v="1.734274264417475E-2"/>
        <n v="5.8107207570085748"/>
        <n v="0.47722272363370849"/>
        <n v="4.6739716663078585"/>
        <n v="0.36899334222905811"/>
        <n v="3.8673526143267876"/>
        <n v="0.69364161849710981"/>
        <n v="3.5705826290094276"/>
        <n v="4.3526769558986791"/>
        <n v="3.6735261432741377"/>
        <n v="2.6906764300732204"/>
        <n v="1.0416546664792752"/>
        <n v="0.35993378981397256"/>
        <n v="6.3136460956742205E-2"/>
        <n v="3.0431362102846524"/>
        <n v="0.81319514453607433"/>
        <n v="8.3821410456668541"/>
        <n v="3.0231724180941786"/>
        <n v="6.1686586164703519"/>
        <n v="3.9699830549503696"/>
        <n v="0.41503396786385499"/>
        <n v="6.1135490499325034"/>
        <n v="0.31553209340864607"/>
        <n v="5.1559185908753147"/>
        <n v="0.10419864727827066"/>
        <n v="0.82775005047256656"/>
        <n v="2.895609954613025"/>
        <n v="2.5596941595895659"/>
        <n v="0.77829551203713543"/>
        <n v="2.2482716590168974"/>
        <n v="2.4784514897551349"/>
        <n v="6.7694835663244772"/>
        <n v="1.1526357519672976E-2"/>
        <n v="0.86172784711288364"/>
        <n v="2.5637351825849382"/>
        <n v="4.1372745300885061"/>
        <n v="3.9504433486520676"/>
        <n v="2.6153282793069432"/>
        <n v="0.25641833653710394"/>
        <n v="2.1778245441418322"/>
        <n v="3.5915766420892989"/>
        <n v="4.5105694238174454"/>
        <n v="0.54958222720309968"/>
        <n v="0.74509146223465883"/>
        <n v="2.6096782786420141"/>
        <n v="1.8762315446782938"/>
        <n v="0.85272801345955773"/>
        <n v="4.7687677034195648"/>
        <n v="0.68215382451534856"/>
        <n v="5.5609353264155423"/>
        <n v="1.13231695667086"/>
        <n v="5.894365055367853"/>
        <n v="3.1483003597832058"/>
        <n v="0.86005918389016334"/>
        <n v="0.28661658173242982"/>
        <n v="0.76110112432242194"/>
        <n v="1.465514077010603"/>
        <n v="1.7616570829959604"/>
        <n v="1.9464597991900048"/>
        <n v="4.072845755513152E-2"/>
        <n v="6.5229495572291132"/>
        <n v="1.9846119263846274"/>
        <n v="0.3136699855426906"/>
        <n v="1.7924609557773852E-2"/>
        <n v="2.0014368072006623"/>
        <n v="3.305510685360185"/>
        <n v="3.3691856337289257"/>
        <n v="3.9582474742879013E-3"/>
        <n v="5.3516533159976687"/>
        <n v="5.975461560763164"/>
        <n v="3.8263453005585397"/>
        <n v="6.2165754737395256"/>
        <n v="6.6763865183773614"/>
        <n v="2.5708383583889538"/>
        <n v="0.94831323856351368"/>
        <n v="2.1384874229353832"/>
        <n v="2.7172847241819746"/>
        <n v="6.3533431969146461"/>
        <n v="0.14960123772648368"/>
        <n v="1.548406316570945"/>
        <n v="6.0544890432996139"/>
        <n v="3.1229594075049856"/>
        <n v="4.9514095744030904"/>
        <n v="1.7481974933697859"/>
        <n v="3.3021363586218642"/>
        <n v="1.1755920656663743"/>
        <n v="1.1072761559166457"/>
        <n v="0.40324937174917258"/>
        <n v="6.4895394792301957"/>
        <n v="2.4914069842941897"/>
        <n v="3.4192291302895903"/>
        <n v="1.6299200786044445"/>
        <n v="3.7380779217286322"/>
        <n v="3.3567480285211713"/>
        <n v="4.9665443348084128"/>
        <n v="6.4584114912230675"/>
        <n v="0.277823775091533"/>
        <n v="0.8459336482132942"/>
        <n v="1.7507894134123352"/>
        <n v="2.3542181806717193"/>
        <n v="5.2408792856047146"/>
        <n v="10.457379143934929"/>
        <n v="1.8428482175152798"/>
        <n v="2.6761146373136677"/>
        <n v="2.3297964732092344"/>
        <n v="0.97987900179680298"/>
        <n v="7.0659581613100721"/>
        <n v="9.2294887374723711"/>
        <n v="4.3971019210414974"/>
        <n v="1.4817838325662884"/>
        <n v="2.3631011784881863"/>
        <n v="2.3418144602583362"/>
        <n v="0.90519991736005989"/>
        <n v="5.5767715519298457"/>
        <n v="0.60334162723120632"/>
        <n v="4.9141233379725131"/>
        <n v="10.398882160396132"/>
        <n v="0.83131534818362929"/>
        <n v="0.16160761228218071"/>
        <n v="1.2037079395429242"/>
        <n v="2.5776902986487009"/>
        <n v="2.6117725237100302"/>
        <n v="1.9103946025380305"/>
        <n v="1.8245761692918097"/>
        <n v="3.7208686793505268"/>
        <n v="7.291783171620339"/>
        <n v="3.977125032492848"/>
        <n v="1.6655176167495103"/>
        <n v="3.8291302011545811"/>
        <n v="1.7059197724189326"/>
        <n v="1.2195839352194588"/>
        <n v="2.8057237371208386"/>
        <n v="10.396183795388209"/>
        <n v="1.3095602266602584"/>
        <n v="0.65417939802297431"/>
        <n v="4.6648263423215806"/>
        <n v="6.0844937548136819"/>
        <n v="1.5461075745011605"/>
        <n v="3.3858878263117056"/>
        <n v="3.1034715623695064"/>
        <n v="2.0071361223934465"/>
        <n v="3.3039885320671258"/>
        <n v="2.3407133827476492"/>
        <n v="0.4003975262972253"/>
        <n v="6.0171583489490219"/>
        <n v="7.2828635419378003"/>
        <n v="4.1646647319969938"/>
        <n v="5.7070082576286412"/>
        <n v="0.36718918745029999"/>
        <n v="1.9705527104977079"/>
        <n v="2.4388487784155815"/>
        <n v="6.6284447861616774E-2"/>
        <n v="4.2633515281217731"/>
        <n v="3.1356699321145376"/>
        <n v="0.75051699700258345"/>
        <n v="2.2394591494884168"/>
        <n v="8.8094499602002365"/>
        <n v="3.4828074389246138"/>
        <n v="0.30442100229005026"/>
        <n v="2.8005564886212824"/>
        <n v="4.5785936108653749"/>
        <n v="1.8457187686439187"/>
        <n v="7.8047024331640626"/>
        <n v="6.7519631922382279"/>
        <n v="2.0175880237290911"/>
        <n v="3.9929852702186803"/>
        <n v="4.2799011072524564"/>
        <n v="0.97208922802924858"/>
        <n v="4.376092867762047"/>
        <n v="0.68416936489094582"/>
        <n v="3.2096880001599568"/>
        <n v="1.158186580862631"/>
        <n v="2.0944914603636282"/>
        <n v="2.3608146206573566"/>
        <n v="0.11008415157627274"/>
        <n v="8.4183226965357125"/>
        <n v="6.0445387062566285"/>
        <n v="8.4325297589276733"/>
        <n v="2.8634762540993495"/>
        <n v="8.8639782754097904"/>
        <n v="4.2114299942414553"/>
        <n v="5.142169866680903"/>
        <n v="3.6214947687395735"/>
        <n v="6.7882890319740206"/>
        <n v="0.94021527083917067"/>
        <n v="3.610897113614512"/>
        <n v="1.5801142869994396"/>
        <n v="1.9164299028212655"/>
        <n v="3.4967385160630018"/>
        <n v="6.2793027920867068"/>
        <n v="4.5503515071550531"/>
        <n v="3.7539003426558728"/>
        <n v="4.1201415803401176"/>
        <n v="2.1257993887526032"/>
        <n v="2.2726562398756607"/>
        <n v="5.9746735409676468"/>
        <n v="0.50991927846107743"/>
        <n v="1.6192157163686525"/>
        <n v="0.24655021280888331"/>
        <n v="7.4443334428449841"/>
        <n v="1.1510069338147315"/>
        <n v="5.0532928307273437"/>
        <n v="1.9063978912171"/>
        <n v="0.30786362551217106"/>
        <n v="8.0832257700086707"/>
        <n v="1.3973578799047426"/>
        <n v="4.7767601815332235"/>
        <n v="2.1212869512574071"/>
        <n v="4.1984158914775911"/>
        <n v="6.0368742968340587"/>
        <n v="0.48963446629222152"/>
        <n v="1.907823960506037"/>
        <n v="3.8196227185192453"/>
        <n v="8.7947208252783966"/>
        <n v="4.6699793109416952"/>
        <n v="1.9234329552565865"/>
        <n v="4.5915016549443139"/>
        <n v="2.4660591170015365"/>
        <n v="3.6230805431388173"/>
        <n v="1.9463121640877139"/>
        <n v="0.87748937061844368"/>
        <n v="3.2085626074250606"/>
        <n v="9.242029038610502"/>
        <n v="10.408736241969089"/>
        <n v="4.1066077649561832"/>
        <n v="1.8587884230115841"/>
        <n v="6.1201177088981087"/>
        <n v="1.4331988802787621"/>
        <n v="2.0621195071325773"/>
        <n v="1.3652684005240674"/>
        <n v="0.19069054987652434"/>
        <n v="2.5792930083544721"/>
        <n v="9.4082191139091512E-2"/>
        <n v="0.82703445757725791"/>
        <n v="9.4687010881120486"/>
        <n v="4.1538031574363483"/>
        <n v="3.7635744527928368"/>
        <n v="3.4148686703768099"/>
        <n v="1.7680976189107938"/>
        <n v="5.0754258173117024E-2"/>
        <n v="2.0645379071833703"/>
        <n v="7.3300927794140627"/>
        <n v="2.132676879934353"/>
        <n v="1.5432675704703878"/>
        <n v="1.7692266433732478"/>
        <n v="3.5572480263840931"/>
        <n v="3.1608685306814639"/>
        <n v="0.552331919953435"/>
        <n v="5.6573668403996846"/>
        <n v="9.4707394750256316E-2"/>
        <n v="2.7360484926970901"/>
        <n v="3.0098715069935862"/>
        <n v="7.7360892858675104E-2"/>
        <n v="1.6572027141362893"/>
        <n v="1.4279112789690001"/>
        <n v="0.56731891606943152"/>
        <n v="5.928789742920241"/>
        <n v="0.30918150883065565"/>
        <n v="0.77309154079856279"/>
        <n v="5.1474689150618413"/>
        <n v="3.1672008774845204"/>
        <n v="3.9003982578448024"/>
        <n v="1.3067995919859821"/>
        <n v="0.58979254128780378"/>
        <n v="2.8156408093082597"/>
        <n v="2.0865045111237186"/>
        <n v="4.1514339101470394"/>
        <n v="1.3312972224000716"/>
        <n v="5.6903799494961493"/>
        <n v="2.3570873101164196"/>
        <n v="9.5394132549525565"/>
        <n v="1.859990492208129"/>
        <n v="2.9420384932561636"/>
        <n v="3.0975920841636655"/>
        <n v="7.7739303101148574"/>
        <n v="4.5013849286504959"/>
        <n v="1.9129274477009179"/>
        <n v="0.54784021249558978"/>
        <n v="0.55995141244428226"/>
        <n v="4.7188845233330321"/>
        <n v="2.4994843044666384"/>
        <n v="1.4414658212683744"/>
        <n v="6.9751645723621802"/>
        <n v="2.5453155108188437"/>
        <n v="4.5503884756439215"/>
        <n v="5.9162749196539872"/>
        <n v="4.5121367159772312"/>
        <n v="0.4793603353581582"/>
        <n v="3.8983773375108872"/>
        <n v="2.0829866201215048"/>
        <n v="1.028164512498088"/>
        <n v="2.8430240020536561"/>
        <n v="6.4601019592146436"/>
        <n v="4.0206232192121538"/>
        <n v="6.9692812129386317"/>
        <n v="4.7520447251268276"/>
        <n v="1.5564631857820914"/>
        <n v="9.5159869533128578"/>
        <n v="2.2154078616981088"/>
        <n v="0.63721784209958243"/>
        <n v="4.3651874035756411"/>
        <n v="4.7120418848167551"/>
        <n v="2.3814823058090369"/>
        <n v="2.0498713284231065"/>
        <n v="1.7204015744549086"/>
        <n v="4.5383269322546189"/>
        <n v="6.6073373658717447"/>
        <n v="2.738132995031191"/>
        <n v="0.48029077062870779"/>
        <n v="0.79365079365079816"/>
        <n v="7.151176333566271"/>
        <n v="2.5877768836559256"/>
        <n v="6.788002600055715"/>
        <n v="2.8880256713393049"/>
        <n v="10.089986597740765"/>
        <n v="4.1926204444041746"/>
        <n v="9.8979859999522208"/>
        <n v="7.5168287210172062"/>
        <n v="3.0374570519171233"/>
        <n v="6.5213138273593329E-3"/>
        <n v="0.3118389776915208"/>
        <n v="1.8848700967906244"/>
        <n v="8.947941831272793"/>
        <n v="0.32286723439294657"/>
        <n v="1.3930523717157421"/>
        <n v="0.1649448736869531"/>
        <n v="5.039119753927463"/>
        <n v="0.94959195538425645"/>
        <n v="8.0700105720662574"/>
        <n v="4.8863351346421346"/>
        <n v="6.5458534801511554"/>
        <n v="2.5480972869340364"/>
        <n v="3.1191500741497125"/>
        <n v="11.754560623694225"/>
        <n v="19.916344432240511"/>
        <n v="4.0347739821692077"/>
        <n v="15.343425280037055"/>
        <n v="5.3354237932345008"/>
        <n v="2.3093413435000922"/>
        <n v="5.1062931898507147"/>
        <n v="5.2543984783642435"/>
        <n v="2.1192629987443254"/>
        <n v="8.6700433158389316"/>
        <n v="13.109007564253595"/>
        <n v="17.631431354606367"/>
        <n v="0.25031289111389587"/>
        <n v="8.8976269946504409"/>
        <n v="3.8612320719894742"/>
        <n v="6.5123551659160537"/>
        <n v="6.0983239925984147"/>
        <n v="13.226310555476633"/>
        <n v="16.043738442946385"/>
        <n v="13.343857104256454"/>
        <n v="4.4490534821546301"/>
        <n v="9.8764751295908262"/>
        <n v="6.7205848877224543"/>
        <n v="5.0052041475079463"/>
        <n v="6.7191558876302198"/>
        <n v="18.652394634589324"/>
        <n v="11.298859081958984"/>
        <n v="16.911883352158537"/>
        <n v="1.9257983141573836"/>
        <n v="8.382288946910359"/>
        <n v="14.979009478194397"/>
        <n v="12.991947374390383"/>
        <n v="3.4446953767878883"/>
        <n v="0.5242136794807809"/>
        <n v="2.0238354305610708"/>
        <n v="9.3278463648833974"/>
        <n v="5.5810261695750532"/>
        <n v="13.461647969933379"/>
        <n v="5.3090563145794256"/>
        <n v="5.4107315266701166"/>
        <n v="0.91928989287613527"/>
        <n v="0.70391827072821"/>
        <n v="7.8442255214837333"/>
        <n v="8.2864408925098605"/>
        <n v="3.2896093968038227"/>
        <n v="0.73433688494546578"/>
        <n v="7.0330231121496709"/>
        <n v="6.6149421443381815"/>
        <n v="8.1675307402079209"/>
        <n v="0.2515613071175497"/>
        <n v="1.9285860446081566"/>
        <n v="6.9281957711709792"/>
        <n v="16.413245110497655"/>
        <n v="6.5267108426669775"/>
        <n v="2.4053040037004676"/>
        <n v="2.9457251062482457"/>
        <n v="5.6146720909584955"/>
        <n v="2.5990911548512576"/>
        <n v="6.8457285786084121"/>
        <n v="7.454714352066885"/>
        <n v="0.16034474119356631"/>
        <n v="8.2748033528508866"/>
        <n v="2.0138188792446226"/>
        <n v="2.5014468522924669"/>
        <n v="3.6410923276983054"/>
        <n v="1.5765392605431976"/>
        <n v="11.64028575430733"/>
        <n v="3.0319252481993266"/>
        <n v="14.85804871018879"/>
        <n v="4.0302479318939808"/>
        <n v="11.412435696712146"/>
        <n v="0.64147893726640293"/>
        <n v="1.6619985934087558"/>
        <n v="6.8235735635111165"/>
        <n v="8.5979016214743194"/>
        <n v="14.737342182168939"/>
        <n v="4.1975189922107781"/>
        <n v="4.8152295632698792"/>
        <n v="6.6818563608453525"/>
        <n v="5.5880441845354119"/>
        <n v="8.5802218894523872"/>
        <n v="9.2760143844726528"/>
        <n v="7.2867614932763685"/>
        <n v="9.1746201118422377"/>
        <n v="1.1099215826218982"/>
        <n v="9.0198015725989045"/>
        <n v="4.5886495286411986"/>
        <n v="2.36789446379604"/>
        <n v="17.833987374168238"/>
        <n v="7.9523251270027364"/>
        <n v="2.6483181505823481"/>
        <n v="3.9637961368746826"/>
        <n v="3.4663570478847903"/>
        <n v="10.344414375730214"/>
        <n v="1.225518677762776"/>
        <n v="14.009203276861809"/>
        <n v="2.8548025280872662"/>
        <n v="3.988183161004434"/>
        <n v="3.1466386186344142"/>
        <n v="4.8058956873085208"/>
        <n v="5.5692762590050986"/>
        <n v="7.2130321605508456"/>
        <n v="6.8324422573066546"/>
        <n v="5.8834802606362597"/>
        <n v="0.13736760293532971"/>
        <n v="18.823592666272372"/>
        <n v="2.1814113056102631"/>
        <n v="3.7500234728559891"/>
        <n v="0.32594583306851638"/>
        <n v="6.4044911361688568"/>
        <n v="12.676918056858508"/>
        <n v="4.3339739926930205"/>
        <n v="12.566662974157715"/>
        <n v="1.9748984865263941"/>
        <n v="3.3251047277079566"/>
        <n v="6.9849660768699824"/>
        <n v="7.6488483268144298"/>
        <n v="1.8376863952223839"/>
        <n v="6.3287241515352699"/>
        <n v="7.099139090664516"/>
        <n v="9.0173638516179953"/>
        <n v="8.1531722481277349"/>
        <n v="13.837722009313062"/>
        <n v="8.1827260088895883"/>
        <n v="10.103626943005182"/>
        <n v="4.5164341451879935"/>
        <n v="4.6609647751920429"/>
        <n v="9.2534184949723599"/>
        <n v="0.50571199883576856"/>
        <n v="8.7455611528615105"/>
        <n v="7.7985678887089529"/>
        <n v="1.4478117569292051"/>
        <n v="5.3675467955869642"/>
        <n v="0.83727441601680552"/>
        <n v="7.4923636646627347"/>
        <n v="23.28461452638626"/>
        <n v="8.0415768581010774"/>
        <n v="1.5643669920402929"/>
        <n v="11.211755233494365"/>
        <n v="11.316923620195665"/>
        <n v="8.9389054844084193"/>
        <n v="6.1805742399200545"/>
        <n v="4.2502004811547671"/>
        <n v="14.440175233281893"/>
        <n v="1.0964421570821163"/>
        <n v="22.022593504643481"/>
        <n v="14.526760913726635"/>
        <n v="6.2534465644645376"/>
        <n v="4.9944544274303775"/>
        <n v="3.8211832796219145"/>
        <n v="13.666755817063386"/>
        <n v="2.7152139358053216"/>
        <n v="4.9512285467341588"/>
        <n v="1.0317773080643438"/>
        <n v="15.022692259649418"/>
        <n v="8.910303439975598"/>
        <n v="5.7456753898120061"/>
        <n v="7.2698740380822882"/>
        <n v="4.0490435296058598"/>
        <n v="9.7089441257701328"/>
        <n v="12.033741926980362"/>
        <n v="11.375410728324633"/>
        <n v="9.6550540025672671"/>
        <n v="2.1006281507207301"/>
        <n v="5.0969650279148899"/>
        <n v="15.373371199465424"/>
        <n v="12.844917383223386"/>
        <n v="10.592748422224975"/>
        <n v="0.57179817107154629"/>
        <n v="9.8625387750136913"/>
        <n v="16.379275629615911"/>
        <n v="7.7658535130176762"/>
        <n v="7.3925721793187407"/>
        <n v="12.363045388449546"/>
        <n v="0.11819922444718865"/>
        <n v="1.5239125699953007"/>
        <n v="3.7284826209926263"/>
        <n v="5.013771702240537"/>
        <n v="19.404711734714962"/>
        <n v="25.260055478502082"/>
        <n v="3.1501852420281766"/>
        <n v="18.072919220146748"/>
        <n v="3.8762165146646965"/>
        <n v="6.5052994678420282"/>
        <n v="1.4896859789716246"/>
        <n v="5.8957165365871438"/>
        <n v="0.72140158021299305"/>
        <n v="15.651812011781274"/>
        <n v="0.5091536364142224"/>
        <n v="15.180742098760513"/>
        <n v="3.185541170673893"/>
        <n v="15.382158484780732"/>
        <n v="16.038160092509308"/>
        <n v="1.6803647827066015"/>
        <n v="9.2743277171118379"/>
        <n v="1.2642260469809961"/>
        <n v="2.7256999373943995"/>
        <n v="4.4784752649921096"/>
        <n v="7.6370423399468246"/>
        <n v="9.9871364525533082"/>
        <n v="8.0683538827601051"/>
        <n v="11.621799080761644"/>
        <n v="10.149788466669206"/>
        <n v="9.0936544486806739"/>
        <n v="12.618756283658982"/>
        <n v="6.3336595703972973"/>
        <n v="1.2512727993384785"/>
        <n v="4.9024661154144811"/>
        <n v="11.03586270586425"/>
        <n v="1.5417480640310235"/>
        <n v="8.0398065003327073"/>
        <n v="0.21889695270583373"/>
        <n v="3.4239388329334335"/>
        <n v="4.1846916998327295"/>
        <n v="11.37059045681209"/>
        <n v="14.669798593807041"/>
        <n v="7.2380090094770093"/>
        <n v="8.7938563469357085"/>
        <n v="18.426120950359383"/>
        <n v="9.8041003662669528"/>
        <n v="21.687284731403743"/>
        <n v="1.3988399863527883"/>
        <n v="6.1056650879318557"/>
        <n v="4.6805612906497531"/>
        <n v="7.8044449749699822"/>
        <n v="6.0682800789823288"/>
        <n v="1.3686521827582048"/>
        <n v="2.1021021021020982"/>
        <n v="0.30219818129130266"/>
        <n v="0.35444853600342724"/>
        <n v="14.797016421474691"/>
        <n v="0.86696728978485682"/>
        <n v="5.4424573182303062"/>
        <n v="7.1219410940523229"/>
        <n v="1.4969733326062047"/>
        <n v="1.4376772526886261"/>
        <n v="1.6431381624623844"/>
        <n v="21.485741189131016"/>
        <n v="8.3184036341011893"/>
        <n v="4.9580893995961421"/>
        <n v="5.5475301823030687"/>
        <n v="4.9237941024840488"/>
        <n v="6.0488191519029995"/>
        <n v="12.857120542338984"/>
        <n v="12.108493091168643"/>
        <n v="10.395513893027127"/>
        <n v="6.8397062710738945"/>
        <n v="7.7465681413157839"/>
        <n v="5.6132144423329979"/>
        <n v="1.980323796349889"/>
        <n v="7.0235599961486361"/>
        <n v="0.96986975236179029"/>
        <n v="12.379104387108507"/>
        <n v="0.18512378426171577"/>
        <n v="5.8932327791128607"/>
        <n v="3.2817279438833169"/>
        <n v="4.6259892405384155"/>
        <n v="0.32145468592636078"/>
        <n v="5.0023338526977419"/>
        <n v="13.309338414610238"/>
        <n v="6.336645255365692"/>
        <n v="11.455892597048955"/>
        <n v="15.26245129179083"/>
        <n v="2.1183760857330247"/>
        <n v="2.3785563460162518"/>
        <n v="4.0176830061110396"/>
        <n v="8.2450766940969569"/>
        <n v="1.1552480385494466"/>
        <n v="8.9630058760241678"/>
        <n v="12.766780003766891"/>
        <n v="26.338760157349189"/>
        <n v="5.7692307692307656"/>
        <n v="5.5820510513212795"/>
        <n v="9.2950469471906132"/>
        <n v="2.6855779272682772"/>
        <n v="3.2472637116768519"/>
        <n v="6.0210598261389654"/>
        <n v="0.32112455894929814"/>
        <n v="25.744823742908984"/>
        <n v="6.1852933368728493"/>
        <n v="3.6614136592788804"/>
        <n v="37.878087568253569"/>
        <n v="2.6682066897670205"/>
        <n v="2.9757655897117927"/>
        <n v="0.54902050400197255"/>
        <n v="16.357481918311752"/>
        <n v="14.715046494836864"/>
        <n v="1.2401099826047965"/>
        <n v="7.2490615707112473"/>
        <n v="2.3854554328594895"/>
        <n v="4.3315371710740731"/>
        <n v="8.8682576750014288"/>
        <n v="3.588058066283216"/>
        <n v="1.8935656672073622"/>
        <n v="10.594546267322304"/>
        <n v="2.0835071907424432"/>
        <n v="17.188800479408727"/>
        <n v="4.6809016832213199"/>
        <n v="9.0053666153098497"/>
        <n v="15.540908702987652"/>
        <n v="11.298013077516545"/>
        <n v="4.31669600573741"/>
        <n v="5.5165453413214856"/>
        <n v="1.4707493268914711"/>
        <n v="5.2056122586378653"/>
        <n v="1.3988431313806358"/>
        <n v="18.478626725008407"/>
        <n v="26.251757481851314"/>
        <n v="22.689977762441536"/>
        <n v="2.9088722534519738"/>
        <n v="12.777136998590285"/>
        <n v="5.8461982571461242"/>
        <n v="9.2753677178211937"/>
        <n v="2.1852699908854389"/>
        <n v="2.1063814402598662"/>
        <n v="6.3611201759793152"/>
        <n v="7.3439091480187093"/>
        <n v="5.5219137837999925"/>
        <n v="24.359653771418472"/>
        <n v="0.37125960227888982"/>
        <n v="1.4243067496345454"/>
        <n v="7.3942531820071222"/>
        <n v="0.46037078511882146"/>
        <n v="2.8001355092695417"/>
        <n v="1.4865472662061348"/>
        <n v="3.1852585787403145"/>
        <n v="1.657713856639522"/>
        <n v="12.88274305065614"/>
        <n v="14.787349912278987"/>
        <n v="6.5497847815426642"/>
        <n v="1.2011891139720885"/>
        <n v="8.3577035554871415"/>
        <n v="19.536236124572536"/>
        <n v="5.3236307927996851"/>
        <n v="15.056275217668293"/>
        <n v="6.740414589473942"/>
        <n v="2.9336078229541891"/>
        <n v="15.798615680185279"/>
        <n v="8.0430698964996523"/>
        <n v="1.5726446400230816"/>
        <n v="1.9066887376616966"/>
        <n v="2.7522226090031521"/>
        <n v="12.045296672213814"/>
        <n v="9.8085213908247528"/>
        <n v="10.870332107040266"/>
        <n v="3.0656164904986469"/>
        <n v="5.0439980792990466"/>
        <n v="4.2870263383995582"/>
        <n v="13.096729833760659"/>
        <n v="24.164885323851639"/>
        <n v="21.695719214786038"/>
        <n v="1.2862198946853589"/>
        <n v="9.3596465026213629"/>
        <n v="7.1009121833372966"/>
        <n v="2.4763255739212795"/>
        <n v="2.1716775889765323"/>
        <n v="0.36457507755712365"/>
        <n v="1.2090663134142352"/>
        <n v="6.4866074939950042"/>
        <n v="5.9348818542116151"/>
        <n v="8.6060224975415078"/>
        <n v="9.4238997721105342"/>
        <n v="7.9682330882425152"/>
        <n v="7.6945798257273639"/>
        <n v="7.9703787325680606"/>
        <n v="8.9992465137611326"/>
        <n v="9.1024778664533628"/>
        <n v="6.0909415322201959"/>
        <n v="8.0992723913059415"/>
        <n v="9.1167970335722561"/>
        <n v="8.7151474432938532"/>
        <n v="9.2414033457249136"/>
        <n v="8.297263590345537"/>
        <n v="8.4817860450586888"/>
        <n v="7.1095846807604151"/>
        <n v="8.8241229488466875"/>
        <n v="8.5578846878349104"/>
        <n v="8.1746591443347469"/>
        <n v="6.9250262471426005"/>
        <n v="8.7955171172573436"/>
        <n v="7.2353920479704392"/>
        <n v="9.2171247974028887"/>
        <n v="7.6783316120471108"/>
        <n v="8.6623417270611576"/>
        <n v="8.9117135892792678"/>
        <n v="8.7968480190675429"/>
        <n v="8.5439464628456765"/>
        <n v="7.7870742068151548"/>
        <n v="8.8792881407000923"/>
        <n v="9.3561385231576928"/>
        <n v="7.9141071904348532"/>
        <n v="7.9967958350762789"/>
        <n v="8.4805576096586002"/>
        <n v="6.6725400748112866"/>
        <n v="7.9756859492369285"/>
        <n v="7.1600634777592624"/>
        <n v="7.7986371409217936"/>
        <n v="8.1020875529791514"/>
        <n v="8.3094836112371055"/>
        <n v="8.5485186689053965"/>
        <n v="6.8526632686518276"/>
        <n v="6.6690559388346307"/>
        <n v="8.4945151612387697"/>
        <n v="10.030085939261907"/>
        <n v="9.2305290407845391"/>
        <n v="8.8645618025860617"/>
        <n v="7.6881039505799"/>
        <n v="9.0739362256712166"/>
        <n v="7.7086645566816481"/>
        <n v="8.5094729291729081"/>
        <n v="9.6994798690040387"/>
        <n v="8.208599018443957"/>
        <n v="8.0970201377809445"/>
        <n v="8.0509373287448689"/>
        <n v="9.4828210463303133"/>
        <n v="7.7908154734388431"/>
        <n v="8.0819271910817356"/>
        <n v="7.6178334534301531"/>
        <n v="7.3971181983183278"/>
        <n v="8.5509718593050614"/>
        <n v="8.402652170673953"/>
        <n v="8.5981144400354914"/>
        <n v="9.4768121836969001"/>
        <n v="7.9645062050329933"/>
        <n v="7.9085667134900461"/>
        <n v="7.8437275369085917"/>
        <n v="8.2119691592216402"/>
        <n v="7.6912851957744746"/>
        <n v="7.7893416773733497"/>
        <n v="7.2844734870680439"/>
        <n v="8.2935633086215059"/>
        <n v="7.6096396406384574"/>
        <n v="8.9609163144465676"/>
        <n v="9.0283867821884858"/>
        <n v="7.8549366410544303"/>
        <n v="7.9853954419645445"/>
        <n v="8.9356029009474298"/>
        <n v="10.146066554209476"/>
        <n v="8.5326812729811667"/>
        <n v="8.0593911815471557"/>
        <n v="7.8407832796147465"/>
        <n v="7.5642059025800705"/>
        <n v="7.667647851795496"/>
        <n v="8.2053409804403987"/>
        <n v="7.7673425065884798"/>
        <n v="7.0360105309607279"/>
        <n v="8.3637056739971598"/>
        <n v="7.3264038196349439"/>
        <n v="6.6260635291364016"/>
        <n v="7.5904012301565835"/>
        <n v="8.2528404920583718"/>
        <n v="9.4758288393111521"/>
        <n v="7.6907171323567409"/>
        <n v="8.7171473013137373"/>
        <n v="7.1369581286735029"/>
        <n v="7.5659147461944896"/>
        <n v="6.6412896945676385"/>
        <n v="8.0323333791127958"/>
        <n v="1.0267248900940353"/>
        <n v="0.42724480067793896"/>
        <n v="0.19648459567876722"/>
        <n v="2.0784460884417304E-2"/>
        <n v="1.933777745326049"/>
        <n v="2.5386683499492113"/>
        <n v="0.9032631113413887"/>
        <n v="0.64195164574979391"/>
        <n v="0.76949300080830374"/>
        <n v="0.94050318009086387"/>
        <n v="0.41043613872190016"/>
        <n v="0.57819771541390819"/>
        <n v="0.53662313882468171"/>
        <n v="1.9783003593433872"/>
        <n v="0.99128091301486898"/>
        <n v="1.4577267625438686"/>
        <n v="0.90535721569916083"/>
        <n v="0.52699528032339504"/>
        <n v="8.0573324914586159E-2"/>
        <n v="2.1049518231390554"/>
        <n v="0.34644431982190554"/>
        <n v="0.65051642280926703"/>
        <n v="1.267072568701664"/>
        <n v="2.345675786319652"/>
        <n v="0.94753169678986093"/>
        <n v="0.52418814332983388"/>
        <n v="0.23345152824024934"/>
        <n v="0.71233617535468829"/>
        <n v="0.46309369176031689"/>
        <n v="1.3069479908614452"/>
        <n v="0.81690291904259371"/>
        <n v="0.40167791853792917"/>
        <n v="0.54178473789968606"/>
        <n v="0.70241721511393562"/>
        <n v="0.39341070622484392"/>
        <n v="0.34251077502427851"/>
        <n v="1.9426214870464122"/>
        <n v="0.15548962183134513"/>
        <n v="2.5201786614063924"/>
        <n v="0.48915578810824523"/>
        <n v="0.34758696079185025"/>
        <n v="1.3105707880669089"/>
        <n v="1.4292897575839913"/>
        <n v="1.3003158389893168"/>
        <n v="1.8760464815255617"/>
        <n v="0.27096590752359395"/>
        <n v="0.61695023728583687"/>
        <n v="0.87789844272851902"/>
        <n v="1.2168542262021884"/>
        <n v="0.8994255680887735"/>
        <n v="0.61460538737693848"/>
        <n v="4.0297303643807316"/>
        <n v="0.55332856477595616"/>
        <n v="2.2848030692274088"/>
        <n v="1.9557396222584098"/>
        <n v="2.2918452496859194"/>
        <n v="0.8758776175622679"/>
        <n v="2.2069329042460182"/>
        <n v="0.55428642763490055"/>
        <n v="0.72148010572183074"/>
        <n v="3.4920808750051324"/>
        <n v="1.7094195836661923"/>
        <n v="1.3931538875224609"/>
        <n v="0.37251729290337449"/>
        <n v="1.3432654525120609"/>
        <n v="1.3169769888306997"/>
        <n v="1.5558366916058619"/>
        <n v="0.49231603075846819"/>
        <n v="1.1987385326039368"/>
        <n v="0.45167633187523459"/>
        <n v="1.2930609021814234"/>
        <n v="0.60020556723443663"/>
        <n v="2.148893966550224"/>
        <n v="0.59298750503204345"/>
        <n v="0.44657829241170249"/>
        <n v="7.5687351708066772E-2"/>
        <n v="1.3253499497325647"/>
        <n v="1.4573824145457335"/>
        <n v="0.2657397656057281"/>
        <n v="2.1980468741871566"/>
        <n v="0.43497909840696541"/>
        <n v="1.9749141711139073"/>
        <n v="0.34701563705409461"/>
        <n v="0.5070611761617686"/>
        <n v="2.1787090919686638"/>
        <n v="1.0619387837016503"/>
        <n v="0.35483572328608254"/>
        <n v="0.23342548179825914"/>
        <n v="0.66503175232118961"/>
        <n v="2.361264705536112"/>
        <n v="6.4012581097982094E-2"/>
        <n v="0.40002458212159325"/>
        <n v="1.1553229222266255"/>
        <n v="0.61505886266975529"/>
        <n v="1.8798020616375719"/>
        <n v="1.7869146790782976E-2"/>
        <n v="0.60879021140689082"/>
        <n v="1.1456720053886973"/>
        <n v="2.1772449101601192"/>
        <n v="1.3185521122029003"/>
        <n v="2.0370394453186567"/>
        <n v="0.3282306919795438"/>
        <n v="1.7318319498716841"/>
        <n v="2.8503149790896276"/>
        <n v="1.2740674842727324"/>
        <n v="2.8856395855524299"/>
        <n v="0.22792025591528461"/>
        <n v="1.8451953031392303"/>
        <n v="1.5342118033521246"/>
        <n v="3.4543009925749746"/>
        <n v="1.6835607589182497"/>
        <n v="0.15396216929554291"/>
        <n v="1.7184433488104895"/>
        <n v="0.13696900036126927"/>
        <n v="2.6470872379480217"/>
        <n v="0.38469088490622633"/>
        <n v="1.9009013734143578"/>
        <n v="3.6731814758385597"/>
        <n v="2.1922235725399446"/>
        <n v="3.6270482851247463"/>
        <n v="2.1874117130817865"/>
        <n v="0.24067589732602646"/>
        <n v="2.3823982574917331"/>
        <n v="1.0635451902669897"/>
        <n v="0.50865261253520611"/>
        <n v="0.11457445870912376"/>
        <n v="0.16414153193198827"/>
        <n v="0.11867007070144381"/>
        <n v="1.0720073643839063"/>
        <n v="2.6491829689517759"/>
        <n v="3.243986796916039"/>
        <n v="1.580833735774442"/>
        <n v="0.43452702722661973"/>
        <n v="2.19304265758017"/>
        <n v="1.7488227919613268"/>
        <n v="5.8439341567714704"/>
        <n v="1.8160692708621844"/>
        <n v="2.7480054798936226"/>
        <n v="1.1933373116204187"/>
        <n v="1.9932684442826742"/>
        <n v="3.1347921176707358"/>
        <n v="7.8516734154488677E-2"/>
        <n v="4.2853615558149034"/>
        <n v="0.2230308721680922"/>
        <n v="3.0663762619947277"/>
        <n v="1.0749619482496151"/>
        <n v="4.5861310692737148E-2"/>
        <n v="3.3144700018333211"/>
        <n v="0.65891384157336552"/>
        <n v="1.0175537807057453"/>
        <n v="0.21468516999455078"/>
        <n v="1.5856322062307897"/>
        <n v="0.94267594085748474"/>
        <n v="0.5553216932333207"/>
        <n v="2.3130267052045692"/>
        <n v="1.539720447212783"/>
        <n v="1.3600632407296558"/>
        <n v="0.34392388027985932"/>
        <n v="0.26678829748960031"/>
        <n v="5.3149458944465451"/>
        <n v="0.21405064430417772"/>
        <n v="0.19985942549133345"/>
        <n v="1.9329779204984128"/>
        <n v="2.1887660921055829"/>
        <n v="0.88744603467190708"/>
        <n v="0.22805714193488172"/>
        <n v="1.6630513376717282"/>
        <n v="4.7661942087918359"/>
        <n v="0.44234018835892597"/>
        <n v="1.0108512392397431"/>
        <n v="1.9418421790368556"/>
        <n v="2.0135730414362421"/>
        <n v="0.67909033480732739"/>
        <n v="0.58090402510972317"/>
        <n v="1.0739603750438449"/>
        <n v="2.068845436246745"/>
        <n v="1.213332713495423"/>
        <n v="1.9309996010574697E-2"/>
        <n v="3.8462302036760558"/>
        <n v="0.36505328203564302"/>
        <n v="1.3883242398609175"/>
        <n v="0.27048454728613158"/>
        <n v="2.8374049888239972"/>
        <n v="1.3625506483961667"/>
        <n v="4.1546471863438974"/>
        <n v="4.8672272950886661"/>
        <n v="8.4095885962652911E-2"/>
        <n v="1.5977344325445255"/>
        <n v="0.29390045928707093"/>
        <n v="1.8603494608891231"/>
        <n v="5.4833972736035644E-2"/>
        <n v="0.56003224974640531"/>
        <n v="0.26664045316589235"/>
        <n v="2.9844801378780406"/>
        <n v="3.9659440184162396"/>
        <n v="3.3854162707359943"/>
        <n v="1.8449303868849454"/>
        <n v="2.1423864867625477"/>
        <n v="2.5702392450830347"/>
        <n v="0.14825869669805208"/>
        <n v="2.8141424511122657"/>
        <n v="3.3580367565219782"/>
        <n v="0.53235678708336143"/>
        <n v="2.8808733883044573"/>
        <n v="2.251172537556239"/>
        <n v="0.36812924708491185"/>
        <n v="0.96739622858412999"/>
        <n v="2.3106888229979154"/>
        <n v="2.3515068365948247E-2"/>
        <n v="2.4089892846444352"/>
        <n v="2.4115032282637374"/>
        <n v="2.2595922944524767"/>
        <n v="2.5081872175745845"/>
        <n v="2.2351200994629039"/>
        <n v="1.9784195331068919"/>
        <n v="3.4519914845885638E-2"/>
        <n v="2.297282800263599"/>
        <n v="4.0241367165463053"/>
        <n v="0.43213200536399304"/>
        <n v="0.68098621176821661"/>
        <n v="2.7064890883010353"/>
        <n v="2.7472977772111848"/>
        <n v="2.6696413945536612"/>
        <n v="7.0811245364701333E-2"/>
        <n v="0.1117351950866517"/>
        <n v="3.5766129438956082"/>
        <n v="0.81315056576189293"/>
        <n v="0.34312085896718403"/>
        <n v="2.7019063704800077"/>
        <n v="2.8733648143810036"/>
        <n v="2.9256817925663543"/>
        <n v="2.3411986569155023"/>
        <n v="0.2357981453749419"/>
        <n v="3.9821664742801848"/>
        <n v="2.6007562482707676"/>
        <n v="2.5458249254718472"/>
        <n v="0.31138690382849621"/>
        <n v="0.71913554998624729"/>
        <n v="0.27761665744763708"/>
        <n v="1.9458785318763989"/>
        <n v="6.2274763932310346"/>
        <n v="2.7242707442431202"/>
        <n v="0.13913199587091393"/>
        <n v="3.0698605198426807"/>
        <n v="4.0660597315797276"/>
        <n v="2.1598192804275511"/>
        <n v="0.99307285241181797"/>
        <n v="1.263441584078812"/>
        <n v="0.58721080705979012"/>
        <n v="3.7197717077324395"/>
        <n v="0.11961857050183757"/>
        <n v="2.2348852231534906"/>
        <n v="0.63004964038891065"/>
        <n v="0.30048016334291466"/>
        <n v="1.2706623442679177"/>
        <n v="6.8342773818355754E-2"/>
        <n v="0.42607737998519468"/>
        <n v="2.9909312870596501"/>
        <n v="1.904001850301883"/>
        <n v="0.97794478426358344"/>
        <n v="6.7482520230716242E-2"/>
        <n v="0.53384601829489642"/>
        <n v="0.66169038499891719"/>
        <n v="1.5269346774941763"/>
        <n v="5.45565135650725"/>
        <n v="1.7454101197432921"/>
        <n v="1.1515363668186662"/>
        <n v="2.0742481199414491"/>
        <n v="2.8928696397439402"/>
        <n v="2.0407383316224683"/>
        <n v="2.0051148191755828"/>
        <n v="0.32671930809570848"/>
        <n v="1.8873583737098496"/>
        <n v="0.94243181282021371"/>
        <n v="2.4738806743472215"/>
        <n v="1.5530002065291404"/>
        <n v="0.50663363635957137"/>
        <n v="0.67543033090543447"/>
        <n v="0.55469622066875768"/>
        <n v="1.8603826059090416"/>
        <n v="0.32656861717297025"/>
        <n v="6.1883550747693246"/>
        <n v="1.5696891701223787"/>
        <n v="3.5492574509895869"/>
        <n v="0.40625045831504331"/>
        <n v="0.69205992195800103"/>
        <n v="0.77407320877859231"/>
        <n v="0.67237732294572505"/>
        <n v="1.0158663780926998"/>
        <n v="2.5894814658845697"/>
        <n v="4.6121040778186656E-2"/>
        <n v="0.52343720880674882"/>
        <n v="1.5595619953545028"/>
        <n v="2.8155464550787634"/>
        <n v="0.26193382771538454"/>
        <n v="1.4602293001182236"/>
        <n v="1.0698260009130418"/>
        <n v="1.7917669132416769"/>
        <n v="2.3418655273883395"/>
        <n v="3.4517630001476216"/>
        <n v="1.6299523299751044"/>
        <n v="1.9966465492793093"/>
        <n v="0.59979538104219654"/>
        <n v="1.9786342324864092"/>
        <n v="3.1947217512310915"/>
        <n v="0.36203769206478609"/>
        <n v="3.4338460141231373"/>
        <n v="0.67708408470258363"/>
        <n v="5.1622480354217304"/>
        <n v="1.195526417277285"/>
        <n v="1.4915914964418333"/>
        <n v="5.4018106617145003"/>
        <n v="2.0083833475046191"/>
        <n v="0.75446045832835906"/>
        <n v="2.4487436129611369"/>
        <n v="4.6374487858706326"/>
        <n v="0.30596377058680851"/>
        <n v="1.9261240695745294"/>
        <n v="3.3184184308107669"/>
        <n v="0.61973165208397041"/>
        <n v="0.68325680191003213"/>
        <n v="1.9519445779282674"/>
        <n v="7.3105298457411063"/>
        <n v="1.2282924329127869"/>
        <n v="6.5788041403265982"/>
        <n v="0.50828738666513973"/>
        <n v="0.42540815716270458"/>
        <n v="3.9610425010491257"/>
        <n v="1.6994899462254218"/>
        <n v="1.8067262991224606"/>
        <n v="8.2873501350505308E-2"/>
        <n v="0.87226833745586685"/>
        <n v="0.96734972021767296"/>
        <n v="3.3656224847961069"/>
        <n v="4.795278589302197"/>
        <n v="5.1334954996132875"/>
        <n v="1.7479871817069077"/>
        <n v="0.16810109075480945"/>
        <n v="2.4364706750206371"/>
        <n v="2.8942134553006276"/>
        <n v="9.5274993847335718E-2"/>
        <n v="3.5686014102380663"/>
        <n v="0.87735627821067164"/>
        <n v="1.3563519376831492"/>
        <n v="1.6360302206059545"/>
        <n v="2.3141399701105425"/>
        <n v="2.7272197692270583"/>
        <n v="0.32326725965466041"/>
        <n v="3.2148315008576427"/>
        <n v="1.5375452649615666"/>
        <n v="1.4339921388656058"/>
        <n v="1.6079894312581764"/>
        <n v="2.0197103324505088"/>
        <n v="1.7180740923134887"/>
        <n v="1.6587736480622839"/>
        <n v="0.51695748653670792"/>
        <n v="1.5538287456817241"/>
        <n v="2.8844018463986107"/>
        <n v="0.80629670550885302"/>
        <n v="2.2939097387232623"/>
        <n v="0.94503869032429677"/>
        <n v="1.3822605771370577"/>
        <n v="1.7962895763947051"/>
        <n v="4.852429795224479"/>
        <n v="1.4425250776437322"/>
        <n v="1.4127914922088374"/>
        <n v="0.99183242988380937"/>
        <n v="4.6008759047736651"/>
        <n v="0.93830751890327269"/>
        <n v="3.3897332734009114"/>
        <n v="0.41648981485360459"/>
        <n v="0.86501320792354186"/>
        <n v="4.5146505323237118"/>
        <n v="0.2311427939308775"/>
        <n v="0.53779336423333368"/>
        <n v="1.5629233401196743"/>
        <n v="3.1017922737780044"/>
        <n v="3.0510331965707844"/>
        <n v="0.48496248663519143"/>
        <n v="3.4568340199279213"/>
        <n v="2.0047790596163448"/>
        <n v="5.06284391665314"/>
        <n v="2.821026523749619"/>
        <n v="0.7964765485319707"/>
        <n v="0.17539305178127335"/>
        <n v="0.10160397839270138"/>
        <n v="4.1436471105218073"/>
        <n v="1.6064034338007942"/>
        <n v="1.6031615930136645"/>
        <n v="3.0088259011382035"/>
        <n v="0.25862816082080181"/>
        <n v="2.6595893065623444"/>
        <n v="1.4104398956090871"/>
        <n v="3.000970972567822"/>
        <n v="3.0528139387728097"/>
        <n v="0.91972473807918131"/>
        <n v="0.13261465794943214"/>
        <n v="9.6848733524278572"/>
        <n v="2.7489145978326706"/>
        <n v="2.9259526220543308"/>
        <n v="4.0823406961952173"/>
        <n v="2.605745455355748"/>
        <n v="3.6764290067798098"/>
        <n v="2.8287514382392578"/>
        <n v="2.8807118929583364"/>
        <n v="5.968090760064154"/>
        <n v="2.4868326418491509"/>
        <n v="3.0176631067473654"/>
        <n v="2.5834183230046128"/>
        <n v="1.3234074407822833E-2"/>
        <n v="3.8883630342117996"/>
        <n v="1.8425791478862312"/>
        <n v="6.9357559142764122"/>
        <n v="5.7440374782503794"/>
        <n v="0.91043638157599849"/>
        <n v="4.7057293071336392"/>
        <n v="4.4888791905383751"/>
        <n v="6.0457598165301221"/>
        <n v="0.30221520421429349"/>
        <n v="0.63711425616212147"/>
        <n v="1.6658044756059893"/>
        <n v="6.2967682292917964"/>
        <n v="5.9677788377528902"/>
        <n v="5.8026332031105916"/>
        <n v="0.23233772260660168"/>
        <n v="4.5899400852830556"/>
        <n v="0.33315405046313823"/>
        <n v="1.5094914009827165"/>
        <n v="4.919255889321839"/>
        <n v="3.4175585778205329"/>
        <n v="1.8749361673774292"/>
        <n v="2.6158756088282784"/>
        <n v="0.63156471664209912"/>
        <n v="2.4196115969002001"/>
        <n v="3.8858556784113594"/>
        <n v="3.9089988079328739"/>
        <n v="5.1998198851568667"/>
        <n v="4.0981277320829621"/>
        <n v="2.1499468355958515"/>
        <n v="2.2949277552200907E-2"/>
        <n v="3.4119142015372859"/>
        <n v="7.2360503771134441"/>
        <n v="4.5399647573603632"/>
        <n v="0.68457886005225377"/>
        <n v="2.8429585426010089"/>
        <n v="2.1856108725489989"/>
        <n v="5.0251344242156177"/>
        <n v="1.7070945883053805"/>
        <n v="1.9436453291746907"/>
        <n v="1.9939560854204512"/>
        <n v="0.72268526678921285"/>
        <n v="2.155875936332122"/>
        <n v="5.8259313082810893"/>
        <n v="4.1897432038556577"/>
        <n v="3.1041912114091534"/>
        <n v="0.6972009738131365"/>
        <n v="2.8207149467045953"/>
        <n v="3.5908621349501124"/>
        <n v="1.0157696840451247"/>
        <n v="0.31571724100084825"/>
        <n v="5.5383937216382266"/>
        <n v="6.4801793599465682"/>
        <n v="5.845024174629323"/>
        <n v="2.3038286784150377"/>
        <n v="2.3011824311669393"/>
        <n v="1.061477278904408"/>
        <n v="1.1536813139770954"/>
        <n v="3.4937774366316225"/>
        <n v="1.1173725008241324"/>
        <n v="1.8747265010893663"/>
        <n v="0.55862947693337106"/>
        <n v="9.4660227917560694E-2"/>
        <n v="3.5485242504891135"/>
        <n v="1.2821848745361433"/>
        <n v="3.5613059394501074"/>
        <n v="5.1278777097307824"/>
        <n v="0.31220908509438638"/>
        <n v="3.6341025286721029"/>
        <n v="1.7952989080140702"/>
        <n v="7.8703986192588946"/>
        <n v="1.5994211911762479"/>
        <n v="1.5628390768682392"/>
        <n v="2.7181398678671189"/>
        <n v="2.5805094596539386"/>
        <n v="0.57722692838418521"/>
        <n v="0.54991377225478044"/>
        <n v="7.3740774573818406"/>
        <n v="3.302173989034312"/>
        <n v="1.8570128167502344"/>
        <n v="2.3644110996109076"/>
        <n v="1.7386257629433439"/>
        <n v="1.7418670095059283"/>
        <n v="4.0912049240397002"/>
        <n v="1.9883872313629722"/>
        <n v="3.9941091013753511"/>
        <n v="3.2746945181479146"/>
        <n v="2.5784757719224625"/>
        <n v="0.80950541991104774"/>
        <n v="2.39728595476419"/>
        <n v="1.89999750396470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0">
  <r>
    <x v="0"/>
    <x v="0"/>
    <x v="0"/>
    <n v="50.805999999999997"/>
  </r>
  <r>
    <x v="0"/>
    <x v="0"/>
    <x v="0"/>
    <n v="51.805999999999997"/>
  </r>
  <r>
    <x v="0"/>
    <x v="0"/>
    <x v="0"/>
    <n v="50.805999999999997"/>
  </r>
  <r>
    <x v="0"/>
    <x v="0"/>
    <x v="0"/>
    <n v="51.805999999999997"/>
  </r>
  <r>
    <x v="0"/>
    <x v="0"/>
    <x v="0"/>
    <n v="49.805999999999997"/>
  </r>
  <r>
    <x v="0"/>
    <x v="0"/>
    <x v="0"/>
    <n v="52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0.805999999999997"/>
  </r>
  <r>
    <x v="0"/>
    <x v="0"/>
    <x v="0"/>
    <n v="52.805999999999997"/>
  </r>
  <r>
    <x v="0"/>
    <x v="0"/>
    <x v="0"/>
    <n v="51.805999999999997"/>
  </r>
  <r>
    <x v="0"/>
    <x v="0"/>
    <x v="0"/>
    <n v="52.805999999999997"/>
  </r>
  <r>
    <x v="0"/>
    <x v="0"/>
    <x v="0"/>
    <n v="50.805999999999997"/>
  </r>
  <r>
    <x v="0"/>
    <x v="0"/>
    <x v="0"/>
    <n v="52.805999999999997"/>
  </r>
  <r>
    <x v="0"/>
    <x v="0"/>
    <x v="0"/>
    <n v="49.805999999999997"/>
  </r>
  <r>
    <x v="0"/>
    <x v="0"/>
    <x v="0"/>
    <n v="51.805999999999997"/>
  </r>
  <r>
    <x v="0"/>
    <x v="0"/>
    <x v="0"/>
    <n v="50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2.805999999999997"/>
  </r>
  <r>
    <x v="0"/>
    <x v="0"/>
    <x v="0"/>
    <n v="52.805999999999997"/>
  </r>
  <r>
    <x v="0"/>
    <x v="0"/>
    <x v="0"/>
    <n v="51.805999999999997"/>
  </r>
  <r>
    <x v="0"/>
    <x v="0"/>
    <x v="0"/>
    <n v="52.805999999999997"/>
  </r>
  <r>
    <x v="0"/>
    <x v="0"/>
    <x v="0"/>
    <n v="52.805999999999997"/>
  </r>
  <r>
    <x v="0"/>
    <x v="0"/>
    <x v="0"/>
    <n v="50.805999999999997"/>
  </r>
  <r>
    <x v="0"/>
    <x v="0"/>
    <x v="0"/>
    <n v="50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49.805999999999997"/>
  </r>
  <r>
    <x v="0"/>
    <x v="0"/>
    <x v="0"/>
    <n v="50.805999999999997"/>
  </r>
  <r>
    <x v="0"/>
    <x v="0"/>
    <x v="0"/>
    <n v="51.805999999999997"/>
  </r>
  <r>
    <x v="0"/>
    <x v="0"/>
    <x v="0"/>
    <n v="49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2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2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2.805999999999997"/>
  </r>
  <r>
    <x v="0"/>
    <x v="0"/>
    <x v="0"/>
    <n v="50.805999999999997"/>
  </r>
  <r>
    <x v="0"/>
    <x v="0"/>
    <x v="0"/>
    <n v="50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0.805999999999997"/>
  </r>
  <r>
    <x v="0"/>
    <x v="0"/>
    <x v="0"/>
    <n v="51.805999999999997"/>
  </r>
  <r>
    <x v="0"/>
    <x v="0"/>
    <x v="0"/>
    <n v="51.805999999999997"/>
  </r>
  <r>
    <x v="0"/>
    <x v="0"/>
    <x v="0"/>
    <n v="50.805999999999997"/>
  </r>
  <r>
    <x v="0"/>
    <x v="0"/>
    <x v="0"/>
    <n v="50.805999999999997"/>
  </r>
  <r>
    <x v="0"/>
    <x v="0"/>
    <x v="0"/>
    <n v="50.805999999999997"/>
  </r>
  <r>
    <x v="0"/>
    <x v="0"/>
    <x v="0"/>
    <n v="51.805999999999997"/>
  </r>
  <r>
    <x v="0"/>
    <x v="0"/>
    <x v="0"/>
    <n v="52.805999999999997"/>
  </r>
  <r>
    <x v="0"/>
    <x v="0"/>
    <x v="0"/>
    <n v="51.805999999999997"/>
  </r>
  <r>
    <x v="0"/>
    <x v="0"/>
    <x v="0"/>
    <n v="50.805999999999997"/>
  </r>
  <r>
    <x v="0"/>
    <x v="0"/>
    <x v="0"/>
    <n v="53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0.805999999999997"/>
  </r>
  <r>
    <x v="0"/>
    <x v="0"/>
    <x v="0"/>
    <n v="51.805999999999997"/>
  </r>
  <r>
    <x v="0"/>
    <x v="0"/>
    <x v="0"/>
    <n v="50.805999999999997"/>
  </r>
  <r>
    <x v="0"/>
    <x v="0"/>
    <x v="0"/>
    <n v="52.805999999999997"/>
  </r>
  <r>
    <x v="0"/>
    <x v="0"/>
    <x v="0"/>
    <n v="51.805999999999997"/>
  </r>
  <r>
    <x v="0"/>
    <x v="0"/>
    <x v="0"/>
    <n v="51.805999999999997"/>
  </r>
  <r>
    <x v="0"/>
    <x v="0"/>
    <x v="0"/>
    <n v="51.805999999999997"/>
  </r>
  <r>
    <x v="0"/>
    <x v="0"/>
    <x v="0"/>
    <n v="52.805999999999997"/>
  </r>
  <r>
    <x v="0"/>
    <x v="0"/>
    <x v="0"/>
    <n v="51.805999999999997"/>
  </r>
  <r>
    <x v="0"/>
    <x v="0"/>
    <x v="0"/>
    <n v="50.805999999999997"/>
  </r>
  <r>
    <x v="0"/>
    <x v="0"/>
    <x v="0"/>
    <n v="51.805999999999997"/>
  </r>
  <r>
    <x v="0"/>
    <x v="0"/>
    <x v="0"/>
    <n v="50.805999999999997"/>
  </r>
  <r>
    <x v="0"/>
    <x v="0"/>
    <x v="0"/>
    <n v="51.805999999999997"/>
  </r>
  <r>
    <x v="0"/>
    <x v="0"/>
    <x v="0"/>
    <n v="53.805999999999997"/>
  </r>
  <r>
    <x v="0"/>
    <x v="0"/>
    <x v="0"/>
    <n v="50.805999999999997"/>
  </r>
  <r>
    <x v="0"/>
    <x v="0"/>
    <x v="0"/>
    <n v="53.805999999999997"/>
  </r>
  <r>
    <x v="0"/>
    <x v="0"/>
    <x v="0"/>
    <n v="51.805999999999997"/>
  </r>
  <r>
    <x v="0"/>
    <x v="0"/>
    <x v="0"/>
    <n v="50.805999999999997"/>
  </r>
  <r>
    <x v="0"/>
    <x v="0"/>
    <x v="0"/>
    <n v="52.805999999999997"/>
  </r>
  <r>
    <x v="0"/>
    <x v="0"/>
    <x v="0"/>
    <n v="51.805999999999997"/>
  </r>
  <r>
    <x v="0"/>
    <x v="0"/>
    <x v="0"/>
    <n v="52.805999999999997"/>
  </r>
  <r>
    <x v="0"/>
    <x v="0"/>
    <x v="0"/>
    <n v="50.805999999999997"/>
  </r>
  <r>
    <x v="0"/>
    <x v="0"/>
    <x v="0"/>
    <n v="51.805999999999997"/>
  </r>
  <r>
    <x v="0"/>
    <x v="0"/>
    <x v="0"/>
    <n v="52.805999999999997"/>
  </r>
  <r>
    <x v="0"/>
    <x v="0"/>
    <x v="0"/>
    <n v="50.805999999999997"/>
  </r>
  <r>
    <x v="0"/>
    <x v="0"/>
    <x v="0"/>
    <n v="50.805999999999997"/>
  </r>
  <r>
    <x v="0"/>
    <x v="0"/>
    <x v="0"/>
    <n v="50.805999999999997"/>
  </r>
  <r>
    <x v="0"/>
    <x v="1"/>
    <x v="0"/>
    <n v="318.36799999999999"/>
  </r>
  <r>
    <x v="0"/>
    <x v="1"/>
    <x v="0"/>
    <n v="316.36799999999999"/>
  </r>
  <r>
    <x v="0"/>
    <x v="1"/>
    <x v="0"/>
    <n v="311.36799999999999"/>
  </r>
  <r>
    <x v="0"/>
    <x v="1"/>
    <x v="0"/>
    <n v="319.36799999999999"/>
  </r>
  <r>
    <x v="0"/>
    <x v="1"/>
    <x v="0"/>
    <n v="316.36799999999999"/>
  </r>
  <r>
    <x v="0"/>
    <x v="1"/>
    <x v="0"/>
    <n v="320.36799999999999"/>
  </r>
  <r>
    <x v="0"/>
    <x v="1"/>
    <x v="0"/>
    <n v="318.36799999999999"/>
  </r>
  <r>
    <x v="0"/>
    <x v="1"/>
    <x v="0"/>
    <n v="314.36799999999999"/>
  </r>
  <r>
    <x v="0"/>
    <x v="1"/>
    <x v="0"/>
    <n v="311.36799999999999"/>
  </r>
  <r>
    <x v="0"/>
    <x v="1"/>
    <x v="0"/>
    <n v="315.36799999999999"/>
  </r>
  <r>
    <x v="0"/>
    <x v="1"/>
    <x v="0"/>
    <n v="315.36799999999999"/>
  </r>
  <r>
    <x v="0"/>
    <x v="1"/>
    <x v="0"/>
    <n v="314.36799999999999"/>
  </r>
  <r>
    <x v="0"/>
    <x v="1"/>
    <x v="0"/>
    <n v="319.36799999999999"/>
  </r>
  <r>
    <x v="0"/>
    <x v="1"/>
    <x v="0"/>
    <n v="314.36799999999999"/>
  </r>
  <r>
    <x v="0"/>
    <x v="1"/>
    <x v="0"/>
    <n v="313.36799999999999"/>
  </r>
  <r>
    <x v="0"/>
    <x v="1"/>
    <x v="0"/>
    <n v="318.36799999999999"/>
  </r>
  <r>
    <x v="0"/>
    <x v="1"/>
    <x v="0"/>
    <n v="315.36799999999999"/>
  </r>
  <r>
    <x v="0"/>
    <x v="1"/>
    <x v="0"/>
    <n v="314.36799999999999"/>
  </r>
  <r>
    <x v="0"/>
    <x v="1"/>
    <x v="0"/>
    <n v="316.36799999999999"/>
  </r>
  <r>
    <x v="0"/>
    <x v="1"/>
    <x v="0"/>
    <n v="314.36799999999999"/>
  </r>
  <r>
    <x v="0"/>
    <x v="1"/>
    <x v="0"/>
    <n v="316.36799999999999"/>
  </r>
  <r>
    <x v="0"/>
    <x v="1"/>
    <x v="0"/>
    <n v="316.36799999999999"/>
  </r>
  <r>
    <x v="0"/>
    <x v="1"/>
    <x v="0"/>
    <n v="315.36799999999999"/>
  </r>
  <r>
    <x v="0"/>
    <x v="1"/>
    <x v="0"/>
    <n v="315.36799999999999"/>
  </r>
  <r>
    <x v="0"/>
    <x v="1"/>
    <x v="0"/>
    <n v="316.36799999999999"/>
  </r>
  <r>
    <x v="0"/>
    <x v="1"/>
    <x v="0"/>
    <n v="315.36799999999999"/>
  </r>
  <r>
    <x v="0"/>
    <x v="1"/>
    <x v="0"/>
    <n v="316.36799999999999"/>
  </r>
  <r>
    <x v="0"/>
    <x v="1"/>
    <x v="0"/>
    <n v="315.36799999999999"/>
  </r>
  <r>
    <x v="0"/>
    <x v="1"/>
    <x v="0"/>
    <n v="314.36799999999999"/>
  </r>
  <r>
    <x v="0"/>
    <x v="1"/>
    <x v="0"/>
    <n v="316.36799999999999"/>
  </r>
  <r>
    <x v="0"/>
    <x v="1"/>
    <x v="0"/>
    <n v="321.36799999999999"/>
  </r>
  <r>
    <x v="0"/>
    <x v="1"/>
    <x v="0"/>
    <n v="315.36799999999999"/>
  </r>
  <r>
    <x v="0"/>
    <x v="1"/>
    <x v="0"/>
    <n v="312.36799999999999"/>
  </r>
  <r>
    <x v="0"/>
    <x v="1"/>
    <x v="0"/>
    <n v="315.36799999999999"/>
  </r>
  <r>
    <x v="0"/>
    <x v="1"/>
    <x v="0"/>
    <n v="313.36799999999999"/>
  </r>
  <r>
    <x v="0"/>
    <x v="1"/>
    <x v="0"/>
    <n v="315.36799999999999"/>
  </r>
  <r>
    <x v="0"/>
    <x v="1"/>
    <x v="0"/>
    <n v="317.36799999999999"/>
  </r>
  <r>
    <x v="0"/>
    <x v="1"/>
    <x v="0"/>
    <n v="318.36799999999999"/>
  </r>
  <r>
    <x v="0"/>
    <x v="1"/>
    <x v="0"/>
    <n v="317.36799999999999"/>
  </r>
  <r>
    <x v="0"/>
    <x v="1"/>
    <x v="0"/>
    <n v="312.36799999999999"/>
  </r>
  <r>
    <x v="0"/>
    <x v="1"/>
    <x v="0"/>
    <n v="314.36799999999999"/>
  </r>
  <r>
    <x v="0"/>
    <x v="1"/>
    <x v="0"/>
    <n v="313.36799999999999"/>
  </r>
  <r>
    <x v="0"/>
    <x v="1"/>
    <x v="0"/>
    <n v="318.36799999999999"/>
  </r>
  <r>
    <x v="0"/>
    <x v="1"/>
    <x v="0"/>
    <n v="315.36799999999999"/>
  </r>
  <r>
    <x v="0"/>
    <x v="1"/>
    <x v="0"/>
    <n v="316.36799999999999"/>
  </r>
  <r>
    <x v="0"/>
    <x v="1"/>
    <x v="0"/>
    <n v="313.36799999999999"/>
  </r>
  <r>
    <x v="0"/>
    <x v="1"/>
    <x v="0"/>
    <n v="317.36799999999999"/>
  </r>
  <r>
    <x v="0"/>
    <x v="1"/>
    <x v="0"/>
    <n v="314.36799999999999"/>
  </r>
  <r>
    <x v="0"/>
    <x v="1"/>
    <x v="0"/>
    <n v="314.36799999999999"/>
  </r>
  <r>
    <x v="0"/>
    <x v="1"/>
    <x v="0"/>
    <n v="319.36799999999999"/>
  </r>
  <r>
    <x v="0"/>
    <x v="1"/>
    <x v="0"/>
    <n v="316.36799999999999"/>
  </r>
  <r>
    <x v="0"/>
    <x v="1"/>
    <x v="0"/>
    <n v="317.36799999999999"/>
  </r>
  <r>
    <x v="0"/>
    <x v="1"/>
    <x v="0"/>
    <n v="314.36799999999999"/>
  </r>
  <r>
    <x v="0"/>
    <x v="1"/>
    <x v="0"/>
    <n v="313.36799999999999"/>
  </r>
  <r>
    <x v="0"/>
    <x v="1"/>
    <x v="0"/>
    <n v="316.36799999999999"/>
  </r>
  <r>
    <x v="0"/>
    <x v="1"/>
    <x v="0"/>
    <n v="318.36799999999999"/>
  </r>
  <r>
    <x v="0"/>
    <x v="1"/>
    <x v="0"/>
    <n v="313.36799999999999"/>
  </r>
  <r>
    <x v="0"/>
    <x v="1"/>
    <x v="0"/>
    <n v="320.36799999999999"/>
  </r>
  <r>
    <x v="0"/>
    <x v="1"/>
    <x v="0"/>
    <n v="316.36799999999999"/>
  </r>
  <r>
    <x v="0"/>
    <x v="1"/>
    <x v="0"/>
    <n v="314.36799999999999"/>
  </r>
  <r>
    <x v="0"/>
    <x v="1"/>
    <x v="0"/>
    <n v="316.36799999999999"/>
  </r>
  <r>
    <x v="0"/>
    <x v="1"/>
    <x v="0"/>
    <n v="316.36799999999999"/>
  </r>
  <r>
    <x v="0"/>
    <x v="1"/>
    <x v="0"/>
    <n v="319.36799999999999"/>
  </r>
  <r>
    <x v="0"/>
    <x v="1"/>
    <x v="0"/>
    <n v="314.36799999999999"/>
  </r>
  <r>
    <x v="0"/>
    <x v="1"/>
    <x v="0"/>
    <n v="311.36799999999999"/>
  </r>
  <r>
    <x v="0"/>
    <x v="1"/>
    <x v="0"/>
    <n v="316.36799999999999"/>
  </r>
  <r>
    <x v="0"/>
    <x v="1"/>
    <x v="0"/>
    <n v="316.36799999999999"/>
  </r>
  <r>
    <x v="0"/>
    <x v="1"/>
    <x v="0"/>
    <n v="314.36799999999999"/>
  </r>
  <r>
    <x v="0"/>
    <x v="1"/>
    <x v="0"/>
    <n v="314.36799999999999"/>
  </r>
  <r>
    <x v="0"/>
    <x v="1"/>
    <x v="0"/>
    <n v="315.36799999999999"/>
  </r>
  <r>
    <x v="0"/>
    <x v="1"/>
    <x v="0"/>
    <n v="317.36799999999999"/>
  </r>
  <r>
    <x v="0"/>
    <x v="1"/>
    <x v="0"/>
    <n v="316.36799999999999"/>
  </r>
  <r>
    <x v="0"/>
    <x v="1"/>
    <x v="0"/>
    <n v="314.36799999999999"/>
  </r>
  <r>
    <x v="0"/>
    <x v="1"/>
    <x v="0"/>
    <n v="314.36799999999999"/>
  </r>
  <r>
    <x v="0"/>
    <x v="1"/>
    <x v="0"/>
    <n v="315.36799999999999"/>
  </r>
  <r>
    <x v="0"/>
    <x v="1"/>
    <x v="0"/>
    <n v="316.36799999999999"/>
  </r>
  <r>
    <x v="0"/>
    <x v="1"/>
    <x v="0"/>
    <n v="320.36799999999999"/>
  </r>
  <r>
    <x v="0"/>
    <x v="1"/>
    <x v="0"/>
    <n v="313.36799999999999"/>
  </r>
  <r>
    <x v="0"/>
    <x v="1"/>
    <x v="0"/>
    <n v="315.36799999999999"/>
  </r>
  <r>
    <x v="0"/>
    <x v="1"/>
    <x v="0"/>
    <n v="317.36799999999999"/>
  </r>
  <r>
    <x v="0"/>
    <x v="1"/>
    <x v="0"/>
    <n v="317.36799999999999"/>
  </r>
  <r>
    <x v="0"/>
    <x v="1"/>
    <x v="0"/>
    <n v="316.36799999999999"/>
  </r>
  <r>
    <x v="0"/>
    <x v="1"/>
    <x v="0"/>
    <n v="316.36799999999999"/>
  </r>
  <r>
    <x v="0"/>
    <x v="1"/>
    <x v="0"/>
    <n v="314.36799999999999"/>
  </r>
  <r>
    <x v="0"/>
    <x v="1"/>
    <x v="0"/>
    <n v="316.36799999999999"/>
  </r>
  <r>
    <x v="0"/>
    <x v="1"/>
    <x v="0"/>
    <n v="312.36799999999999"/>
  </r>
  <r>
    <x v="0"/>
    <x v="1"/>
    <x v="0"/>
    <n v="316.36799999999999"/>
  </r>
  <r>
    <x v="0"/>
    <x v="1"/>
    <x v="0"/>
    <n v="316.36799999999999"/>
  </r>
  <r>
    <x v="0"/>
    <x v="1"/>
    <x v="0"/>
    <n v="312.36799999999999"/>
  </r>
  <r>
    <x v="0"/>
    <x v="1"/>
    <x v="0"/>
    <n v="316.36799999999999"/>
  </r>
  <r>
    <x v="0"/>
    <x v="1"/>
    <x v="0"/>
    <n v="314.36799999999999"/>
  </r>
  <r>
    <x v="0"/>
    <x v="1"/>
    <x v="0"/>
    <n v="314.36799999999999"/>
  </r>
  <r>
    <x v="0"/>
    <x v="1"/>
    <x v="0"/>
    <n v="316.36799999999999"/>
  </r>
  <r>
    <x v="0"/>
    <x v="1"/>
    <x v="0"/>
    <n v="317.36799999999999"/>
  </r>
  <r>
    <x v="0"/>
    <x v="1"/>
    <x v="0"/>
    <n v="313.36799999999999"/>
  </r>
  <r>
    <x v="0"/>
    <x v="1"/>
    <x v="0"/>
    <n v="316.36799999999999"/>
  </r>
  <r>
    <x v="0"/>
    <x v="1"/>
    <x v="0"/>
    <n v="316.36799999999999"/>
  </r>
  <r>
    <x v="0"/>
    <x v="1"/>
    <x v="0"/>
    <n v="316.36799999999999"/>
  </r>
  <r>
    <x v="0"/>
    <x v="1"/>
    <x v="0"/>
    <n v="312.36799999999999"/>
  </r>
  <r>
    <x v="0"/>
    <x v="1"/>
    <x v="0"/>
    <n v="320.36799999999999"/>
  </r>
  <r>
    <x v="0"/>
    <x v="2"/>
    <x v="0"/>
    <n v="971.82799999999997"/>
  </r>
  <r>
    <x v="0"/>
    <x v="2"/>
    <x v="0"/>
    <n v="969.82799999999997"/>
  </r>
  <r>
    <x v="0"/>
    <x v="2"/>
    <x v="0"/>
    <n v="975.82799999999997"/>
  </r>
  <r>
    <x v="0"/>
    <x v="2"/>
    <x v="0"/>
    <n v="972.82799999999997"/>
  </r>
  <r>
    <x v="0"/>
    <x v="2"/>
    <x v="0"/>
    <n v="968.82799999999997"/>
  </r>
  <r>
    <x v="0"/>
    <x v="2"/>
    <x v="0"/>
    <n v="967.82799999999997"/>
  </r>
  <r>
    <x v="0"/>
    <x v="2"/>
    <x v="0"/>
    <n v="970.82799999999997"/>
  </r>
  <r>
    <x v="0"/>
    <x v="2"/>
    <x v="0"/>
    <n v="969.82799999999997"/>
  </r>
  <r>
    <x v="0"/>
    <x v="2"/>
    <x v="0"/>
    <n v="966.82799999999997"/>
  </r>
  <r>
    <x v="0"/>
    <x v="2"/>
    <x v="0"/>
    <n v="970.82799999999997"/>
  </r>
  <r>
    <x v="0"/>
    <x v="2"/>
    <x v="0"/>
    <n v="965.82799999999997"/>
  </r>
  <r>
    <x v="0"/>
    <x v="2"/>
    <x v="0"/>
    <n v="968.82799999999997"/>
  </r>
  <r>
    <x v="0"/>
    <x v="2"/>
    <x v="0"/>
    <n v="971.82799999999997"/>
  </r>
  <r>
    <x v="0"/>
    <x v="2"/>
    <x v="0"/>
    <n v="969.82799999999997"/>
  </r>
  <r>
    <x v="0"/>
    <x v="2"/>
    <x v="0"/>
    <n v="965.82799999999997"/>
  </r>
  <r>
    <x v="0"/>
    <x v="2"/>
    <x v="0"/>
    <n v="964.82799999999997"/>
  </r>
  <r>
    <x v="0"/>
    <x v="2"/>
    <x v="0"/>
    <n v="967.82799999999997"/>
  </r>
  <r>
    <x v="0"/>
    <x v="2"/>
    <x v="0"/>
    <n v="967.82799999999997"/>
  </r>
  <r>
    <x v="0"/>
    <x v="2"/>
    <x v="0"/>
    <n v="966.82799999999997"/>
  </r>
  <r>
    <x v="0"/>
    <x v="2"/>
    <x v="0"/>
    <n v="963.82799999999997"/>
  </r>
  <r>
    <x v="0"/>
    <x v="2"/>
    <x v="0"/>
    <n v="965.82799999999997"/>
  </r>
  <r>
    <x v="0"/>
    <x v="2"/>
    <x v="0"/>
    <n v="964.82799999999997"/>
  </r>
  <r>
    <x v="0"/>
    <x v="2"/>
    <x v="0"/>
    <n v="968.82799999999997"/>
  </r>
  <r>
    <x v="0"/>
    <x v="2"/>
    <x v="0"/>
    <n v="963.82799999999997"/>
  </r>
  <r>
    <x v="0"/>
    <x v="2"/>
    <x v="0"/>
    <n v="971.82799999999997"/>
  </r>
  <r>
    <x v="0"/>
    <x v="2"/>
    <x v="0"/>
    <n v="973.82799999999997"/>
  </r>
  <r>
    <x v="0"/>
    <x v="2"/>
    <x v="0"/>
    <n v="969.82799999999997"/>
  </r>
  <r>
    <x v="0"/>
    <x v="2"/>
    <x v="0"/>
    <n v="967.82799999999997"/>
  </r>
  <r>
    <x v="0"/>
    <x v="2"/>
    <x v="0"/>
    <n v="969.82799999999997"/>
  </r>
  <r>
    <x v="0"/>
    <x v="2"/>
    <x v="0"/>
    <n v="974.82799999999997"/>
  </r>
  <r>
    <x v="0"/>
    <x v="2"/>
    <x v="0"/>
    <n v="967.82799999999997"/>
  </r>
  <r>
    <x v="0"/>
    <x v="2"/>
    <x v="0"/>
    <n v="967.82799999999997"/>
  </r>
  <r>
    <x v="0"/>
    <x v="2"/>
    <x v="0"/>
    <n v="968.82799999999997"/>
  </r>
  <r>
    <x v="0"/>
    <x v="2"/>
    <x v="0"/>
    <n v="972.82799999999997"/>
  </r>
  <r>
    <x v="0"/>
    <x v="2"/>
    <x v="0"/>
    <n v="976.82799999999997"/>
  </r>
  <r>
    <x v="0"/>
    <x v="2"/>
    <x v="0"/>
    <n v="975.82799999999997"/>
  </r>
  <r>
    <x v="0"/>
    <x v="2"/>
    <x v="0"/>
    <n v="977.82799999999997"/>
  </r>
  <r>
    <x v="0"/>
    <x v="2"/>
    <x v="0"/>
    <n v="967.82799999999997"/>
  </r>
  <r>
    <x v="0"/>
    <x v="2"/>
    <x v="0"/>
    <n v="967.82799999999997"/>
  </r>
  <r>
    <x v="0"/>
    <x v="2"/>
    <x v="0"/>
    <n v="968.82799999999997"/>
  </r>
  <r>
    <x v="0"/>
    <x v="2"/>
    <x v="0"/>
    <n v="968.82799999999997"/>
  </r>
  <r>
    <x v="0"/>
    <x v="2"/>
    <x v="0"/>
    <n v="971.82799999999997"/>
  </r>
  <r>
    <x v="0"/>
    <x v="2"/>
    <x v="0"/>
    <n v="968.82799999999997"/>
  </r>
  <r>
    <x v="0"/>
    <x v="2"/>
    <x v="0"/>
    <n v="969.82799999999997"/>
  </r>
  <r>
    <x v="0"/>
    <x v="2"/>
    <x v="0"/>
    <n v="963.82799999999997"/>
  </r>
  <r>
    <x v="0"/>
    <x v="2"/>
    <x v="0"/>
    <n v="974.82799999999997"/>
  </r>
  <r>
    <x v="0"/>
    <x v="2"/>
    <x v="0"/>
    <n v="973.82799999999997"/>
  </r>
  <r>
    <x v="0"/>
    <x v="2"/>
    <x v="0"/>
    <n v="968.82799999999997"/>
  </r>
  <r>
    <x v="0"/>
    <x v="2"/>
    <x v="0"/>
    <n v="959.82799999999997"/>
  </r>
  <r>
    <x v="0"/>
    <x v="2"/>
    <x v="0"/>
    <n v="970.82799999999997"/>
  </r>
  <r>
    <x v="0"/>
    <x v="2"/>
    <x v="0"/>
    <n v="968.82799999999997"/>
  </r>
  <r>
    <x v="0"/>
    <x v="2"/>
    <x v="0"/>
    <n v="969.82799999999997"/>
  </r>
  <r>
    <x v="0"/>
    <x v="2"/>
    <x v="0"/>
    <n v="967.82799999999997"/>
  </r>
  <r>
    <x v="0"/>
    <x v="2"/>
    <x v="0"/>
    <n v="969.82799999999997"/>
  </r>
  <r>
    <x v="0"/>
    <x v="2"/>
    <x v="0"/>
    <n v="968.82799999999997"/>
  </r>
  <r>
    <x v="0"/>
    <x v="2"/>
    <x v="0"/>
    <n v="969.82799999999997"/>
  </r>
  <r>
    <x v="0"/>
    <x v="2"/>
    <x v="0"/>
    <n v="967.82799999999997"/>
  </r>
  <r>
    <x v="0"/>
    <x v="2"/>
    <x v="0"/>
    <n v="967.82799999999997"/>
  </r>
  <r>
    <x v="0"/>
    <x v="2"/>
    <x v="0"/>
    <n v="973.82799999999997"/>
  </r>
  <r>
    <x v="0"/>
    <x v="2"/>
    <x v="0"/>
    <n v="965.82799999999997"/>
  </r>
  <r>
    <x v="0"/>
    <x v="2"/>
    <x v="0"/>
    <n v="971.82799999999997"/>
  </r>
  <r>
    <x v="0"/>
    <x v="2"/>
    <x v="0"/>
    <n v="967.82799999999997"/>
  </r>
  <r>
    <x v="0"/>
    <x v="2"/>
    <x v="0"/>
    <n v="970.82799999999997"/>
  </r>
  <r>
    <x v="0"/>
    <x v="2"/>
    <x v="0"/>
    <n v="970.82799999999997"/>
  </r>
  <r>
    <x v="0"/>
    <x v="2"/>
    <x v="0"/>
    <n v="970.82799999999997"/>
  </r>
  <r>
    <x v="0"/>
    <x v="2"/>
    <x v="0"/>
    <n v="966.82799999999997"/>
  </r>
  <r>
    <x v="0"/>
    <x v="2"/>
    <x v="0"/>
    <n v="966.82799999999997"/>
  </r>
  <r>
    <x v="0"/>
    <x v="2"/>
    <x v="0"/>
    <n v="972.82799999999997"/>
  </r>
  <r>
    <x v="0"/>
    <x v="2"/>
    <x v="0"/>
    <n v="966.82799999999997"/>
  </r>
  <r>
    <x v="0"/>
    <x v="2"/>
    <x v="0"/>
    <n v="970.82799999999997"/>
  </r>
  <r>
    <x v="0"/>
    <x v="2"/>
    <x v="0"/>
    <n v="971.82799999999997"/>
  </r>
  <r>
    <x v="0"/>
    <x v="2"/>
    <x v="0"/>
    <n v="969.82799999999997"/>
  </r>
  <r>
    <x v="0"/>
    <x v="2"/>
    <x v="0"/>
    <n v="967.82799999999997"/>
  </r>
  <r>
    <x v="0"/>
    <x v="2"/>
    <x v="0"/>
    <n v="969.82799999999997"/>
  </r>
  <r>
    <x v="0"/>
    <x v="2"/>
    <x v="0"/>
    <n v="970.82799999999997"/>
  </r>
  <r>
    <x v="0"/>
    <x v="2"/>
    <x v="0"/>
    <n v="961.82799999999997"/>
  </r>
  <r>
    <x v="0"/>
    <x v="2"/>
    <x v="0"/>
    <n v="967.82799999999997"/>
  </r>
  <r>
    <x v="0"/>
    <x v="2"/>
    <x v="0"/>
    <n v="967.82799999999997"/>
  </r>
  <r>
    <x v="0"/>
    <x v="2"/>
    <x v="0"/>
    <n v="969.82799999999997"/>
  </r>
  <r>
    <x v="0"/>
    <x v="2"/>
    <x v="0"/>
    <n v="964.82799999999997"/>
  </r>
  <r>
    <x v="0"/>
    <x v="2"/>
    <x v="0"/>
    <n v="974.82799999999997"/>
  </r>
  <r>
    <x v="0"/>
    <x v="2"/>
    <x v="0"/>
    <n v="970.82799999999997"/>
  </r>
  <r>
    <x v="0"/>
    <x v="2"/>
    <x v="0"/>
    <n v="968.82799999999997"/>
  </r>
  <r>
    <x v="0"/>
    <x v="2"/>
    <x v="0"/>
    <n v="972.82799999999997"/>
  </r>
  <r>
    <x v="0"/>
    <x v="2"/>
    <x v="0"/>
    <n v="972.82799999999997"/>
  </r>
  <r>
    <x v="0"/>
    <x v="2"/>
    <x v="0"/>
    <n v="966.82799999999997"/>
  </r>
  <r>
    <x v="0"/>
    <x v="2"/>
    <x v="0"/>
    <n v="974.82799999999997"/>
  </r>
  <r>
    <x v="0"/>
    <x v="2"/>
    <x v="0"/>
    <n v="962.82799999999997"/>
  </r>
  <r>
    <x v="0"/>
    <x v="2"/>
    <x v="0"/>
    <n v="967.82799999999997"/>
  </r>
  <r>
    <x v="0"/>
    <x v="2"/>
    <x v="0"/>
    <n v="964.82799999999997"/>
  </r>
  <r>
    <x v="0"/>
    <x v="2"/>
    <x v="0"/>
    <n v="968.82799999999997"/>
  </r>
  <r>
    <x v="0"/>
    <x v="2"/>
    <x v="0"/>
    <n v="965.82799999999997"/>
  </r>
  <r>
    <x v="0"/>
    <x v="2"/>
    <x v="0"/>
    <n v="966.82799999999997"/>
  </r>
  <r>
    <x v="0"/>
    <x v="2"/>
    <x v="0"/>
    <n v="968.82799999999997"/>
  </r>
  <r>
    <x v="0"/>
    <x v="2"/>
    <x v="0"/>
    <n v="965.82799999999997"/>
  </r>
  <r>
    <x v="0"/>
    <x v="2"/>
    <x v="0"/>
    <n v="973.82799999999997"/>
  </r>
  <r>
    <x v="0"/>
    <x v="2"/>
    <x v="0"/>
    <n v="968.82799999999997"/>
  </r>
  <r>
    <x v="0"/>
    <x v="2"/>
    <x v="0"/>
    <n v="970.82799999999997"/>
  </r>
  <r>
    <x v="0"/>
    <x v="2"/>
    <x v="0"/>
    <n v="964.82799999999997"/>
  </r>
  <r>
    <x v="0"/>
    <x v="2"/>
    <x v="0"/>
    <n v="967.82799999999997"/>
  </r>
  <r>
    <x v="1"/>
    <x v="0"/>
    <x v="0"/>
    <n v="51.805999999999997"/>
  </r>
  <r>
    <x v="1"/>
    <x v="0"/>
    <x v="0"/>
    <n v="50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0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0.805999999999997"/>
  </r>
  <r>
    <x v="1"/>
    <x v="0"/>
    <x v="0"/>
    <n v="51.805999999999997"/>
  </r>
  <r>
    <x v="1"/>
    <x v="0"/>
    <x v="0"/>
    <n v="50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2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2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2.805999999999997"/>
  </r>
  <r>
    <x v="1"/>
    <x v="0"/>
    <x v="0"/>
    <n v="52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0.805999999999997"/>
  </r>
  <r>
    <x v="1"/>
    <x v="0"/>
    <x v="0"/>
    <n v="51.805999999999997"/>
  </r>
  <r>
    <x v="1"/>
    <x v="0"/>
    <x v="0"/>
    <n v="51.805999999999997"/>
  </r>
  <r>
    <x v="1"/>
    <x v="0"/>
    <x v="0"/>
    <n v="50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0.805999999999997"/>
  </r>
  <r>
    <x v="1"/>
    <x v="0"/>
    <x v="0"/>
    <n v="52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2.805999999999997"/>
  </r>
  <r>
    <x v="1"/>
    <x v="0"/>
    <x v="0"/>
    <n v="50.805999999999997"/>
  </r>
  <r>
    <x v="1"/>
    <x v="0"/>
    <x v="0"/>
    <n v="51.805999999999997"/>
  </r>
  <r>
    <x v="1"/>
    <x v="0"/>
    <x v="0"/>
    <n v="51.805999999999997"/>
  </r>
  <r>
    <x v="1"/>
    <x v="0"/>
    <x v="0"/>
    <n v="50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0"/>
    <x v="0"/>
    <n v="51.805999999999997"/>
  </r>
  <r>
    <x v="1"/>
    <x v="1"/>
    <x v="0"/>
    <n v="316.36799999999999"/>
  </r>
  <r>
    <x v="1"/>
    <x v="1"/>
    <x v="0"/>
    <n v="314.36799999999999"/>
  </r>
  <r>
    <x v="1"/>
    <x v="1"/>
    <x v="0"/>
    <n v="315.36799999999999"/>
  </r>
  <r>
    <x v="1"/>
    <x v="1"/>
    <x v="0"/>
    <n v="314.36799999999999"/>
  </r>
  <r>
    <x v="1"/>
    <x v="1"/>
    <x v="0"/>
    <n v="315.36799999999999"/>
  </r>
  <r>
    <x v="1"/>
    <x v="1"/>
    <x v="0"/>
    <n v="313.36799999999999"/>
  </r>
  <r>
    <x v="1"/>
    <x v="1"/>
    <x v="0"/>
    <n v="315.36799999999999"/>
  </r>
  <r>
    <x v="1"/>
    <x v="1"/>
    <x v="0"/>
    <n v="314.36799999999999"/>
  </r>
  <r>
    <x v="1"/>
    <x v="1"/>
    <x v="0"/>
    <n v="317.36799999999999"/>
  </r>
  <r>
    <x v="1"/>
    <x v="1"/>
    <x v="0"/>
    <n v="314.36799999999999"/>
  </r>
  <r>
    <x v="1"/>
    <x v="1"/>
    <x v="0"/>
    <n v="316.36799999999999"/>
  </r>
  <r>
    <x v="1"/>
    <x v="1"/>
    <x v="0"/>
    <n v="314.36799999999999"/>
  </r>
  <r>
    <x v="1"/>
    <x v="1"/>
    <x v="0"/>
    <n v="313.36799999999999"/>
  </r>
  <r>
    <x v="1"/>
    <x v="1"/>
    <x v="0"/>
    <n v="314.36799999999999"/>
  </r>
  <r>
    <x v="1"/>
    <x v="1"/>
    <x v="0"/>
    <n v="317.36799999999999"/>
  </r>
  <r>
    <x v="1"/>
    <x v="1"/>
    <x v="0"/>
    <n v="316.36799999999999"/>
  </r>
  <r>
    <x v="1"/>
    <x v="1"/>
    <x v="0"/>
    <n v="314.36799999999999"/>
  </r>
  <r>
    <x v="1"/>
    <x v="1"/>
    <x v="0"/>
    <n v="314.36799999999999"/>
  </r>
  <r>
    <x v="1"/>
    <x v="1"/>
    <x v="0"/>
    <n v="313.36799999999999"/>
  </r>
  <r>
    <x v="1"/>
    <x v="1"/>
    <x v="0"/>
    <n v="313.36799999999999"/>
  </r>
  <r>
    <x v="1"/>
    <x v="1"/>
    <x v="0"/>
    <n v="314.36799999999999"/>
  </r>
  <r>
    <x v="1"/>
    <x v="1"/>
    <x v="0"/>
    <n v="315.36799999999999"/>
  </r>
  <r>
    <x v="1"/>
    <x v="1"/>
    <x v="0"/>
    <n v="314.36799999999999"/>
  </r>
  <r>
    <x v="1"/>
    <x v="1"/>
    <x v="0"/>
    <n v="313.36799999999999"/>
  </r>
  <r>
    <x v="1"/>
    <x v="1"/>
    <x v="0"/>
    <n v="315.36799999999999"/>
  </r>
  <r>
    <x v="1"/>
    <x v="1"/>
    <x v="0"/>
    <n v="316.36799999999999"/>
  </r>
  <r>
    <x v="1"/>
    <x v="1"/>
    <x v="0"/>
    <n v="315.36799999999999"/>
  </r>
  <r>
    <x v="1"/>
    <x v="1"/>
    <x v="0"/>
    <n v="317.36799999999999"/>
  </r>
  <r>
    <x v="1"/>
    <x v="1"/>
    <x v="0"/>
    <n v="314.36799999999999"/>
  </r>
  <r>
    <x v="1"/>
    <x v="1"/>
    <x v="0"/>
    <n v="313.36799999999999"/>
  </r>
  <r>
    <x v="1"/>
    <x v="1"/>
    <x v="0"/>
    <n v="313.36799999999999"/>
  </r>
  <r>
    <x v="1"/>
    <x v="1"/>
    <x v="0"/>
    <n v="314.36799999999999"/>
  </r>
  <r>
    <x v="1"/>
    <x v="1"/>
    <x v="0"/>
    <n v="314.36799999999999"/>
  </r>
  <r>
    <x v="1"/>
    <x v="1"/>
    <x v="0"/>
    <n v="316.36799999999999"/>
  </r>
  <r>
    <x v="1"/>
    <x v="1"/>
    <x v="0"/>
    <n v="314.36799999999999"/>
  </r>
  <r>
    <x v="1"/>
    <x v="1"/>
    <x v="0"/>
    <n v="315.36799999999999"/>
  </r>
  <r>
    <x v="1"/>
    <x v="1"/>
    <x v="0"/>
    <n v="313.36799999999999"/>
  </r>
  <r>
    <x v="1"/>
    <x v="1"/>
    <x v="0"/>
    <n v="316.36799999999999"/>
  </r>
  <r>
    <x v="1"/>
    <x v="1"/>
    <x v="0"/>
    <n v="314.36799999999999"/>
  </r>
  <r>
    <x v="1"/>
    <x v="1"/>
    <x v="0"/>
    <n v="314.36799999999999"/>
  </r>
  <r>
    <x v="1"/>
    <x v="1"/>
    <x v="0"/>
    <n v="315.36799999999999"/>
  </r>
  <r>
    <x v="1"/>
    <x v="1"/>
    <x v="0"/>
    <n v="316.36799999999999"/>
  </r>
  <r>
    <x v="1"/>
    <x v="1"/>
    <x v="0"/>
    <n v="314.36799999999999"/>
  </r>
  <r>
    <x v="1"/>
    <x v="1"/>
    <x v="0"/>
    <n v="314.36799999999999"/>
  </r>
  <r>
    <x v="1"/>
    <x v="1"/>
    <x v="0"/>
    <n v="317.36799999999999"/>
  </r>
  <r>
    <x v="1"/>
    <x v="1"/>
    <x v="0"/>
    <n v="318.36799999999999"/>
  </r>
  <r>
    <x v="1"/>
    <x v="1"/>
    <x v="0"/>
    <n v="313.36799999999999"/>
  </r>
  <r>
    <x v="1"/>
    <x v="1"/>
    <x v="0"/>
    <n v="316.36799999999999"/>
  </r>
  <r>
    <x v="1"/>
    <x v="1"/>
    <x v="0"/>
    <n v="315.36799999999999"/>
  </r>
  <r>
    <x v="1"/>
    <x v="1"/>
    <x v="0"/>
    <n v="314.36799999999999"/>
  </r>
  <r>
    <x v="1"/>
    <x v="1"/>
    <x v="0"/>
    <n v="314.36799999999999"/>
  </r>
  <r>
    <x v="1"/>
    <x v="1"/>
    <x v="0"/>
    <n v="316.36799999999999"/>
  </r>
  <r>
    <x v="1"/>
    <x v="1"/>
    <x v="0"/>
    <n v="313.36799999999999"/>
  </r>
  <r>
    <x v="1"/>
    <x v="1"/>
    <x v="0"/>
    <n v="315.36799999999999"/>
  </r>
  <r>
    <x v="1"/>
    <x v="1"/>
    <x v="0"/>
    <n v="314.36799999999999"/>
  </r>
  <r>
    <x v="1"/>
    <x v="1"/>
    <x v="0"/>
    <n v="312.36799999999999"/>
  </r>
  <r>
    <x v="1"/>
    <x v="1"/>
    <x v="0"/>
    <n v="317.36799999999999"/>
  </r>
  <r>
    <x v="1"/>
    <x v="1"/>
    <x v="0"/>
    <n v="315.36799999999999"/>
  </r>
  <r>
    <x v="1"/>
    <x v="1"/>
    <x v="0"/>
    <n v="316.36799999999999"/>
  </r>
  <r>
    <x v="1"/>
    <x v="1"/>
    <x v="0"/>
    <n v="315.36799999999999"/>
  </r>
  <r>
    <x v="1"/>
    <x v="1"/>
    <x v="0"/>
    <n v="314.36799999999999"/>
  </r>
  <r>
    <x v="1"/>
    <x v="1"/>
    <x v="0"/>
    <n v="314.36799999999999"/>
  </r>
  <r>
    <x v="1"/>
    <x v="1"/>
    <x v="0"/>
    <n v="318.36799999999999"/>
  </r>
  <r>
    <x v="1"/>
    <x v="1"/>
    <x v="0"/>
    <n v="313.36799999999999"/>
  </r>
  <r>
    <x v="1"/>
    <x v="1"/>
    <x v="0"/>
    <n v="314.36799999999999"/>
  </r>
  <r>
    <x v="1"/>
    <x v="1"/>
    <x v="0"/>
    <n v="315.36799999999999"/>
  </r>
  <r>
    <x v="1"/>
    <x v="1"/>
    <x v="0"/>
    <n v="314.36799999999999"/>
  </r>
  <r>
    <x v="1"/>
    <x v="1"/>
    <x v="0"/>
    <n v="312.36799999999999"/>
  </r>
  <r>
    <x v="1"/>
    <x v="1"/>
    <x v="0"/>
    <n v="314.36799999999999"/>
  </r>
  <r>
    <x v="1"/>
    <x v="1"/>
    <x v="0"/>
    <n v="316.36799999999999"/>
  </r>
  <r>
    <x v="1"/>
    <x v="1"/>
    <x v="0"/>
    <n v="314.36799999999999"/>
  </r>
  <r>
    <x v="1"/>
    <x v="1"/>
    <x v="0"/>
    <n v="312.36799999999999"/>
  </r>
  <r>
    <x v="1"/>
    <x v="1"/>
    <x v="0"/>
    <n v="317.36799999999999"/>
  </r>
  <r>
    <x v="1"/>
    <x v="1"/>
    <x v="0"/>
    <n v="317.36799999999999"/>
  </r>
  <r>
    <x v="1"/>
    <x v="1"/>
    <x v="0"/>
    <n v="316.36799999999999"/>
  </r>
  <r>
    <x v="1"/>
    <x v="1"/>
    <x v="0"/>
    <n v="315.36799999999999"/>
  </r>
  <r>
    <x v="1"/>
    <x v="1"/>
    <x v="0"/>
    <n v="318.36799999999999"/>
  </r>
  <r>
    <x v="1"/>
    <x v="1"/>
    <x v="0"/>
    <n v="314.36799999999999"/>
  </r>
  <r>
    <x v="1"/>
    <x v="1"/>
    <x v="0"/>
    <n v="315.36799999999999"/>
  </r>
  <r>
    <x v="1"/>
    <x v="1"/>
    <x v="0"/>
    <n v="317.36799999999999"/>
  </r>
  <r>
    <x v="1"/>
    <x v="1"/>
    <x v="0"/>
    <n v="316.36799999999999"/>
  </r>
  <r>
    <x v="1"/>
    <x v="1"/>
    <x v="0"/>
    <n v="313.36799999999999"/>
  </r>
  <r>
    <x v="1"/>
    <x v="1"/>
    <x v="0"/>
    <n v="316.36799999999999"/>
  </r>
  <r>
    <x v="1"/>
    <x v="1"/>
    <x v="0"/>
    <n v="316.36799999999999"/>
  </r>
  <r>
    <x v="1"/>
    <x v="1"/>
    <x v="0"/>
    <n v="314.36799999999999"/>
  </r>
  <r>
    <x v="1"/>
    <x v="1"/>
    <x v="0"/>
    <n v="311.36799999999999"/>
  </r>
  <r>
    <x v="1"/>
    <x v="1"/>
    <x v="0"/>
    <n v="313.36799999999999"/>
  </r>
  <r>
    <x v="1"/>
    <x v="1"/>
    <x v="0"/>
    <n v="314.36799999999999"/>
  </r>
  <r>
    <x v="1"/>
    <x v="1"/>
    <x v="0"/>
    <n v="316.36799999999999"/>
  </r>
  <r>
    <x v="1"/>
    <x v="1"/>
    <x v="0"/>
    <n v="314.36799999999999"/>
  </r>
  <r>
    <x v="1"/>
    <x v="1"/>
    <x v="0"/>
    <n v="316.36799999999999"/>
  </r>
  <r>
    <x v="1"/>
    <x v="1"/>
    <x v="0"/>
    <n v="315.36799999999999"/>
  </r>
  <r>
    <x v="1"/>
    <x v="1"/>
    <x v="0"/>
    <n v="317.36799999999999"/>
  </r>
  <r>
    <x v="1"/>
    <x v="1"/>
    <x v="0"/>
    <n v="317.36799999999999"/>
  </r>
  <r>
    <x v="1"/>
    <x v="1"/>
    <x v="0"/>
    <n v="317.36799999999999"/>
  </r>
  <r>
    <x v="1"/>
    <x v="1"/>
    <x v="0"/>
    <n v="316.36799999999999"/>
  </r>
  <r>
    <x v="1"/>
    <x v="1"/>
    <x v="0"/>
    <n v="318.36799999999999"/>
  </r>
  <r>
    <x v="1"/>
    <x v="1"/>
    <x v="0"/>
    <n v="311.36799999999999"/>
  </r>
  <r>
    <x v="1"/>
    <x v="1"/>
    <x v="0"/>
    <n v="316.36799999999999"/>
  </r>
  <r>
    <x v="1"/>
    <x v="1"/>
    <x v="0"/>
    <n v="312.36799999999999"/>
  </r>
  <r>
    <x v="1"/>
    <x v="2"/>
    <x v="0"/>
    <n v="966.82799999999997"/>
  </r>
  <r>
    <x v="1"/>
    <x v="2"/>
    <x v="0"/>
    <n v="969.82799999999997"/>
  </r>
  <r>
    <x v="1"/>
    <x v="2"/>
    <x v="0"/>
    <n v="967.82799999999997"/>
  </r>
  <r>
    <x v="1"/>
    <x v="2"/>
    <x v="0"/>
    <n v="969.82799999999997"/>
  </r>
  <r>
    <x v="1"/>
    <x v="2"/>
    <x v="0"/>
    <n v="966.82799999999997"/>
  </r>
  <r>
    <x v="1"/>
    <x v="2"/>
    <x v="0"/>
    <n v="973.82799999999997"/>
  </r>
  <r>
    <x v="1"/>
    <x v="2"/>
    <x v="0"/>
    <n v="971.82799999999997"/>
  </r>
  <r>
    <x v="1"/>
    <x v="2"/>
    <x v="0"/>
    <n v="966.82799999999997"/>
  </r>
  <r>
    <x v="1"/>
    <x v="2"/>
    <x v="0"/>
    <n v="970.82799999999997"/>
  </r>
  <r>
    <x v="1"/>
    <x v="2"/>
    <x v="0"/>
    <n v="969.82799999999997"/>
  </r>
  <r>
    <x v="1"/>
    <x v="2"/>
    <x v="0"/>
    <n v="966.82799999999997"/>
  </r>
  <r>
    <x v="1"/>
    <x v="2"/>
    <x v="0"/>
    <n v="969.82799999999997"/>
  </r>
  <r>
    <x v="1"/>
    <x v="2"/>
    <x v="0"/>
    <n v="971.82799999999997"/>
  </r>
  <r>
    <x v="1"/>
    <x v="2"/>
    <x v="0"/>
    <n v="963.82799999999997"/>
  </r>
  <r>
    <x v="1"/>
    <x v="2"/>
    <x v="0"/>
    <n v="965.82799999999997"/>
  </r>
  <r>
    <x v="1"/>
    <x v="2"/>
    <x v="0"/>
    <n v="969.82799999999997"/>
  </r>
  <r>
    <x v="1"/>
    <x v="2"/>
    <x v="0"/>
    <n v="970.82799999999997"/>
  </r>
  <r>
    <x v="1"/>
    <x v="2"/>
    <x v="0"/>
    <n v="965.82799999999997"/>
  </r>
  <r>
    <x v="1"/>
    <x v="2"/>
    <x v="0"/>
    <n v="970.82799999999997"/>
  </r>
  <r>
    <x v="1"/>
    <x v="2"/>
    <x v="0"/>
    <n v="967.82799999999997"/>
  </r>
  <r>
    <x v="1"/>
    <x v="2"/>
    <x v="0"/>
    <n v="965.82799999999997"/>
  </r>
  <r>
    <x v="1"/>
    <x v="2"/>
    <x v="0"/>
    <n v="966.82799999999997"/>
  </r>
  <r>
    <x v="1"/>
    <x v="2"/>
    <x v="0"/>
    <n v="969.82799999999997"/>
  </r>
  <r>
    <x v="1"/>
    <x v="2"/>
    <x v="0"/>
    <n v="963.82799999999997"/>
  </r>
  <r>
    <x v="1"/>
    <x v="2"/>
    <x v="0"/>
    <n v="969.82799999999997"/>
  </r>
  <r>
    <x v="1"/>
    <x v="2"/>
    <x v="0"/>
    <n v="966.82799999999997"/>
  </r>
  <r>
    <x v="1"/>
    <x v="2"/>
    <x v="0"/>
    <n v="966.82799999999997"/>
  </r>
  <r>
    <x v="1"/>
    <x v="2"/>
    <x v="0"/>
    <n v="975.82799999999997"/>
  </r>
  <r>
    <x v="1"/>
    <x v="2"/>
    <x v="0"/>
    <n v="972.82799999999997"/>
  </r>
  <r>
    <x v="1"/>
    <x v="2"/>
    <x v="0"/>
    <n v="970.82799999999997"/>
  </r>
  <r>
    <x v="1"/>
    <x v="2"/>
    <x v="0"/>
    <n v="967.82799999999997"/>
  </r>
  <r>
    <x v="1"/>
    <x v="2"/>
    <x v="0"/>
    <n v="971.82799999999997"/>
  </r>
  <r>
    <x v="1"/>
    <x v="2"/>
    <x v="0"/>
    <n v="966.82799999999997"/>
  </r>
  <r>
    <x v="1"/>
    <x v="2"/>
    <x v="0"/>
    <n v="967.82799999999997"/>
  </r>
  <r>
    <x v="1"/>
    <x v="2"/>
    <x v="0"/>
    <n v="974.82799999999997"/>
  </r>
  <r>
    <x v="1"/>
    <x v="2"/>
    <x v="0"/>
    <n v="970.82799999999997"/>
  </r>
  <r>
    <x v="1"/>
    <x v="2"/>
    <x v="0"/>
    <n v="962.82799999999997"/>
  </r>
  <r>
    <x v="1"/>
    <x v="2"/>
    <x v="0"/>
    <n v="970.82799999999997"/>
  </r>
  <r>
    <x v="1"/>
    <x v="2"/>
    <x v="0"/>
    <n v="970.82799999999997"/>
  </r>
  <r>
    <x v="1"/>
    <x v="2"/>
    <x v="0"/>
    <n v="969.82799999999997"/>
  </r>
  <r>
    <x v="1"/>
    <x v="2"/>
    <x v="0"/>
    <n v="969.82799999999997"/>
  </r>
  <r>
    <x v="1"/>
    <x v="2"/>
    <x v="0"/>
    <n v="969.82799999999997"/>
  </r>
  <r>
    <x v="1"/>
    <x v="2"/>
    <x v="0"/>
    <n v="965.82799999999997"/>
  </r>
  <r>
    <x v="1"/>
    <x v="2"/>
    <x v="0"/>
    <n v="975.82799999999997"/>
  </r>
  <r>
    <x v="1"/>
    <x v="2"/>
    <x v="0"/>
    <n v="968.82799999999997"/>
  </r>
  <r>
    <x v="1"/>
    <x v="2"/>
    <x v="0"/>
    <n v="969.82799999999997"/>
  </r>
  <r>
    <x v="1"/>
    <x v="2"/>
    <x v="0"/>
    <n v="966.82799999999997"/>
  </r>
  <r>
    <x v="1"/>
    <x v="2"/>
    <x v="0"/>
    <n v="966.82799999999997"/>
  </r>
  <r>
    <x v="1"/>
    <x v="2"/>
    <x v="0"/>
    <n v="966.82799999999997"/>
  </r>
  <r>
    <x v="1"/>
    <x v="2"/>
    <x v="0"/>
    <n v="966.82799999999997"/>
  </r>
  <r>
    <x v="1"/>
    <x v="2"/>
    <x v="0"/>
    <n v="966.82799999999997"/>
  </r>
  <r>
    <x v="1"/>
    <x v="2"/>
    <x v="0"/>
    <n v="972.82799999999997"/>
  </r>
  <r>
    <x v="1"/>
    <x v="2"/>
    <x v="0"/>
    <n v="970.82799999999997"/>
  </r>
  <r>
    <x v="1"/>
    <x v="2"/>
    <x v="0"/>
    <n v="970.82799999999997"/>
  </r>
  <r>
    <x v="1"/>
    <x v="2"/>
    <x v="0"/>
    <n v="975.82799999999997"/>
  </r>
  <r>
    <x v="1"/>
    <x v="2"/>
    <x v="0"/>
    <n v="969.82799999999997"/>
  </r>
  <r>
    <x v="1"/>
    <x v="2"/>
    <x v="0"/>
    <n v="968.82799999999997"/>
  </r>
  <r>
    <x v="1"/>
    <x v="2"/>
    <x v="0"/>
    <n v="967.82799999999997"/>
  </r>
  <r>
    <x v="1"/>
    <x v="2"/>
    <x v="0"/>
    <n v="965.82799999999997"/>
  </r>
  <r>
    <x v="1"/>
    <x v="2"/>
    <x v="0"/>
    <n v="967.82799999999997"/>
  </r>
  <r>
    <x v="1"/>
    <x v="2"/>
    <x v="0"/>
    <n v="964.82799999999997"/>
  </r>
  <r>
    <x v="1"/>
    <x v="2"/>
    <x v="0"/>
    <n v="966.82799999999997"/>
  </r>
  <r>
    <x v="1"/>
    <x v="2"/>
    <x v="0"/>
    <n v="968.82799999999997"/>
  </r>
  <r>
    <x v="1"/>
    <x v="2"/>
    <x v="0"/>
    <n v="966.82799999999997"/>
  </r>
  <r>
    <x v="1"/>
    <x v="2"/>
    <x v="0"/>
    <n v="969.82799999999997"/>
  </r>
  <r>
    <x v="1"/>
    <x v="2"/>
    <x v="0"/>
    <n v="972.82799999999997"/>
  </r>
  <r>
    <x v="1"/>
    <x v="2"/>
    <x v="0"/>
    <n v="966.82799999999997"/>
  </r>
  <r>
    <x v="1"/>
    <x v="2"/>
    <x v="0"/>
    <n v="974.82799999999997"/>
  </r>
  <r>
    <x v="1"/>
    <x v="2"/>
    <x v="0"/>
    <n v="964.82799999999997"/>
  </r>
  <r>
    <x v="1"/>
    <x v="2"/>
    <x v="0"/>
    <n v="965.82799999999997"/>
  </r>
  <r>
    <x v="1"/>
    <x v="2"/>
    <x v="0"/>
    <n v="966.82799999999997"/>
  </r>
  <r>
    <x v="1"/>
    <x v="2"/>
    <x v="0"/>
    <n v="968.82799999999997"/>
  </r>
  <r>
    <x v="1"/>
    <x v="2"/>
    <x v="0"/>
    <n v="961.82799999999997"/>
  </r>
  <r>
    <x v="1"/>
    <x v="2"/>
    <x v="0"/>
    <n v="966.82799999999997"/>
  </r>
  <r>
    <x v="1"/>
    <x v="2"/>
    <x v="0"/>
    <n v="967.82799999999997"/>
  </r>
  <r>
    <x v="1"/>
    <x v="2"/>
    <x v="0"/>
    <n v="966.82799999999997"/>
  </r>
  <r>
    <x v="1"/>
    <x v="2"/>
    <x v="0"/>
    <n v="968.82799999999997"/>
  </r>
  <r>
    <x v="1"/>
    <x v="2"/>
    <x v="0"/>
    <n v="966.82799999999997"/>
  </r>
  <r>
    <x v="1"/>
    <x v="2"/>
    <x v="0"/>
    <n v="969.82799999999997"/>
  </r>
  <r>
    <x v="1"/>
    <x v="2"/>
    <x v="0"/>
    <n v="969.82799999999997"/>
  </r>
  <r>
    <x v="1"/>
    <x v="2"/>
    <x v="0"/>
    <n v="966.82799999999997"/>
  </r>
  <r>
    <x v="1"/>
    <x v="2"/>
    <x v="0"/>
    <n v="966.82799999999997"/>
  </r>
  <r>
    <x v="1"/>
    <x v="2"/>
    <x v="0"/>
    <n v="970.82799999999997"/>
  </r>
  <r>
    <x v="1"/>
    <x v="2"/>
    <x v="0"/>
    <n v="968.82799999999997"/>
  </r>
  <r>
    <x v="1"/>
    <x v="2"/>
    <x v="0"/>
    <n v="972.82799999999997"/>
  </r>
  <r>
    <x v="1"/>
    <x v="2"/>
    <x v="0"/>
    <n v="970.82799999999997"/>
  </r>
  <r>
    <x v="1"/>
    <x v="2"/>
    <x v="0"/>
    <n v="967.82799999999997"/>
  </r>
  <r>
    <x v="1"/>
    <x v="2"/>
    <x v="0"/>
    <n v="970.82799999999997"/>
  </r>
  <r>
    <x v="1"/>
    <x v="2"/>
    <x v="0"/>
    <n v="969.82799999999997"/>
  </r>
  <r>
    <x v="1"/>
    <x v="2"/>
    <x v="0"/>
    <n v="969.82799999999997"/>
  </r>
  <r>
    <x v="1"/>
    <x v="2"/>
    <x v="0"/>
    <n v="968.82799999999997"/>
  </r>
  <r>
    <x v="1"/>
    <x v="2"/>
    <x v="0"/>
    <n v="969.82799999999997"/>
  </r>
  <r>
    <x v="1"/>
    <x v="2"/>
    <x v="0"/>
    <n v="971.82799999999997"/>
  </r>
  <r>
    <x v="1"/>
    <x v="2"/>
    <x v="0"/>
    <n v="969.82799999999997"/>
  </r>
  <r>
    <x v="1"/>
    <x v="2"/>
    <x v="0"/>
    <n v="972.82799999999997"/>
  </r>
  <r>
    <x v="1"/>
    <x v="2"/>
    <x v="0"/>
    <n v="971.82799999999997"/>
  </r>
  <r>
    <x v="1"/>
    <x v="2"/>
    <x v="0"/>
    <n v="967.82799999999997"/>
  </r>
  <r>
    <x v="1"/>
    <x v="2"/>
    <x v="0"/>
    <n v="971.82799999999997"/>
  </r>
  <r>
    <x v="1"/>
    <x v="2"/>
    <x v="0"/>
    <n v="966.82799999999997"/>
  </r>
  <r>
    <x v="1"/>
    <x v="2"/>
    <x v="0"/>
    <n v="969.82799999999997"/>
  </r>
  <r>
    <x v="2"/>
    <x v="0"/>
    <x v="0"/>
    <n v="44.222000000000001"/>
  </r>
  <r>
    <x v="2"/>
    <x v="0"/>
    <x v="0"/>
    <n v="43.003"/>
  </r>
  <r>
    <x v="2"/>
    <x v="0"/>
    <x v="0"/>
    <n v="48.295000000000002"/>
  </r>
  <r>
    <x v="2"/>
    <x v="0"/>
    <x v="0"/>
    <n v="43.003"/>
  </r>
  <r>
    <x v="2"/>
    <x v="0"/>
    <x v="0"/>
    <n v="45.295000000000002"/>
  </r>
  <r>
    <x v="2"/>
    <x v="0"/>
    <x v="0"/>
    <n v="42.003"/>
  </r>
  <r>
    <x v="2"/>
    <x v="0"/>
    <x v="0"/>
    <n v="45.003"/>
  </r>
  <r>
    <x v="2"/>
    <x v="0"/>
    <x v="0"/>
    <n v="45.003"/>
  </r>
  <r>
    <x v="2"/>
    <x v="0"/>
    <x v="0"/>
    <n v="46.295000000000002"/>
  </r>
  <r>
    <x v="2"/>
    <x v="0"/>
    <x v="0"/>
    <n v="44.076000000000001"/>
  </r>
  <r>
    <x v="2"/>
    <x v="0"/>
    <x v="0"/>
    <n v="43.93"/>
  </r>
  <r>
    <x v="2"/>
    <x v="0"/>
    <x v="0"/>
    <n v="44.076000000000001"/>
  </r>
  <r>
    <x v="2"/>
    <x v="0"/>
    <x v="0"/>
    <n v="44.93"/>
  </r>
  <r>
    <x v="2"/>
    <x v="0"/>
    <x v="0"/>
    <n v="45.076000000000001"/>
  </r>
  <r>
    <x v="2"/>
    <x v="0"/>
    <x v="0"/>
    <n v="45.076000000000001"/>
  </r>
  <r>
    <x v="2"/>
    <x v="0"/>
    <x v="0"/>
    <n v="45.222000000000001"/>
  </r>
  <r>
    <x v="2"/>
    <x v="0"/>
    <x v="0"/>
    <n v="44.003"/>
  </r>
  <r>
    <x v="2"/>
    <x v="0"/>
    <x v="0"/>
    <n v="43.149000000000001"/>
  </r>
  <r>
    <x v="2"/>
    <x v="0"/>
    <x v="0"/>
    <n v="47.295000000000002"/>
  </r>
  <r>
    <x v="2"/>
    <x v="0"/>
    <x v="0"/>
    <n v="46.222000000000001"/>
  </r>
  <r>
    <x v="2"/>
    <x v="0"/>
    <x v="0"/>
    <n v="46.368000000000002"/>
  </r>
  <r>
    <x v="2"/>
    <x v="0"/>
    <x v="0"/>
    <n v="45.076000000000001"/>
  </r>
  <r>
    <x v="2"/>
    <x v="0"/>
    <x v="0"/>
    <n v="43.93"/>
  </r>
  <r>
    <x v="2"/>
    <x v="0"/>
    <x v="0"/>
    <n v="46.368000000000002"/>
  </r>
  <r>
    <x v="2"/>
    <x v="0"/>
    <x v="0"/>
    <n v="43.003"/>
  </r>
  <r>
    <x v="2"/>
    <x v="0"/>
    <x v="0"/>
    <n v="43.003"/>
  </r>
  <r>
    <x v="2"/>
    <x v="0"/>
    <x v="0"/>
    <n v="42.93"/>
  </r>
  <r>
    <x v="2"/>
    <x v="0"/>
    <x v="0"/>
    <n v="44.003"/>
  </r>
  <r>
    <x v="2"/>
    <x v="0"/>
    <x v="0"/>
    <n v="43.149000000000001"/>
  </r>
  <r>
    <x v="2"/>
    <x v="0"/>
    <x v="0"/>
    <n v="45.222000000000001"/>
  </r>
  <r>
    <x v="2"/>
    <x v="0"/>
    <x v="0"/>
    <n v="47.222000000000001"/>
  </r>
  <r>
    <x v="2"/>
    <x v="0"/>
    <x v="0"/>
    <n v="43.076000000000001"/>
  </r>
  <r>
    <x v="2"/>
    <x v="0"/>
    <x v="0"/>
    <n v="47.368000000000002"/>
  </r>
  <r>
    <x v="2"/>
    <x v="0"/>
    <x v="0"/>
    <n v="47.368000000000002"/>
  </r>
  <r>
    <x v="2"/>
    <x v="0"/>
    <x v="0"/>
    <n v="41.783999999999999"/>
  </r>
  <r>
    <x v="2"/>
    <x v="0"/>
    <x v="0"/>
    <n v="46.368000000000002"/>
  </r>
  <r>
    <x v="2"/>
    <x v="0"/>
    <x v="0"/>
    <n v="45.076000000000001"/>
  </r>
  <r>
    <x v="2"/>
    <x v="0"/>
    <x v="0"/>
    <n v="47.368000000000002"/>
  </r>
  <r>
    <x v="2"/>
    <x v="0"/>
    <x v="0"/>
    <n v="47.368000000000002"/>
  </r>
  <r>
    <x v="2"/>
    <x v="0"/>
    <x v="0"/>
    <n v="44.149000000000001"/>
  </r>
  <r>
    <x v="2"/>
    <x v="0"/>
    <x v="0"/>
    <n v="45.222000000000001"/>
  </r>
  <r>
    <x v="2"/>
    <x v="0"/>
    <x v="0"/>
    <n v="41.856999999999999"/>
  </r>
  <r>
    <x v="2"/>
    <x v="0"/>
    <x v="0"/>
    <n v="42.783999999999999"/>
  </r>
  <r>
    <x v="2"/>
    <x v="0"/>
    <x v="0"/>
    <n v="44.222000000000001"/>
  </r>
  <r>
    <x v="2"/>
    <x v="0"/>
    <x v="0"/>
    <n v="47.441000000000003"/>
  </r>
  <r>
    <x v="2"/>
    <x v="0"/>
    <x v="0"/>
    <n v="46.003"/>
  </r>
  <r>
    <x v="2"/>
    <x v="0"/>
    <x v="0"/>
    <n v="46.295000000000002"/>
  </r>
  <r>
    <x v="2"/>
    <x v="0"/>
    <x v="0"/>
    <n v="45.222000000000001"/>
  </r>
  <r>
    <x v="2"/>
    <x v="0"/>
    <x v="0"/>
    <n v="45.856999999999999"/>
  </r>
  <r>
    <x v="2"/>
    <x v="0"/>
    <x v="0"/>
    <n v="45.149000000000001"/>
  </r>
  <r>
    <x v="2"/>
    <x v="0"/>
    <x v="0"/>
    <n v="47.295000000000002"/>
  </r>
  <r>
    <x v="2"/>
    <x v="0"/>
    <x v="0"/>
    <n v="47.441000000000003"/>
  </r>
  <r>
    <x v="2"/>
    <x v="0"/>
    <x v="0"/>
    <n v="44.222000000000001"/>
  </r>
  <r>
    <x v="2"/>
    <x v="0"/>
    <x v="0"/>
    <n v="42.222000000000001"/>
  </r>
  <r>
    <x v="2"/>
    <x v="0"/>
    <x v="0"/>
    <n v="43.93"/>
  </r>
  <r>
    <x v="2"/>
    <x v="0"/>
    <x v="0"/>
    <n v="47.295000000000002"/>
  </r>
  <r>
    <x v="2"/>
    <x v="0"/>
    <x v="0"/>
    <n v="46.149000000000001"/>
  </r>
  <r>
    <x v="2"/>
    <x v="0"/>
    <x v="0"/>
    <n v="45.003"/>
  </r>
  <r>
    <x v="2"/>
    <x v="0"/>
    <x v="0"/>
    <n v="45.368000000000002"/>
  </r>
  <r>
    <x v="2"/>
    <x v="0"/>
    <x v="0"/>
    <n v="46.076000000000001"/>
  </r>
  <r>
    <x v="2"/>
    <x v="0"/>
    <x v="0"/>
    <n v="45.076000000000001"/>
  </r>
  <r>
    <x v="2"/>
    <x v="0"/>
    <x v="0"/>
    <n v="46.295000000000002"/>
  </r>
  <r>
    <x v="2"/>
    <x v="0"/>
    <x v="0"/>
    <n v="46.368000000000002"/>
  </r>
  <r>
    <x v="2"/>
    <x v="0"/>
    <x v="0"/>
    <n v="43.93"/>
  </r>
  <r>
    <x v="2"/>
    <x v="0"/>
    <x v="0"/>
    <n v="46.149000000000001"/>
  </r>
  <r>
    <x v="2"/>
    <x v="0"/>
    <x v="0"/>
    <n v="44.149000000000001"/>
  </r>
  <r>
    <x v="2"/>
    <x v="0"/>
    <x v="0"/>
    <n v="45.149000000000001"/>
  </r>
  <r>
    <x v="2"/>
    <x v="0"/>
    <x v="0"/>
    <n v="48.441000000000003"/>
  </r>
  <r>
    <x v="2"/>
    <x v="0"/>
    <x v="0"/>
    <n v="46.441000000000003"/>
  </r>
  <r>
    <x v="2"/>
    <x v="0"/>
    <x v="0"/>
    <n v="44.076000000000001"/>
  </r>
  <r>
    <x v="2"/>
    <x v="0"/>
    <x v="0"/>
    <n v="45.222000000000001"/>
  </r>
  <r>
    <x v="2"/>
    <x v="0"/>
    <x v="0"/>
    <n v="46.368000000000002"/>
  </r>
  <r>
    <x v="2"/>
    <x v="0"/>
    <x v="0"/>
    <n v="45.076000000000001"/>
  </r>
  <r>
    <x v="2"/>
    <x v="0"/>
    <x v="0"/>
    <n v="42.564999999999998"/>
  </r>
  <r>
    <x v="2"/>
    <x v="0"/>
    <x v="0"/>
    <n v="45.076000000000001"/>
  </r>
  <r>
    <x v="2"/>
    <x v="0"/>
    <x v="0"/>
    <n v="43.856999999999999"/>
  </r>
  <r>
    <x v="2"/>
    <x v="0"/>
    <x v="0"/>
    <n v="43.93"/>
  </r>
  <r>
    <x v="2"/>
    <x v="0"/>
    <x v="0"/>
    <n v="49.222000000000001"/>
  </r>
  <r>
    <x v="2"/>
    <x v="0"/>
    <x v="0"/>
    <n v="43.93"/>
  </r>
  <r>
    <x v="2"/>
    <x v="0"/>
    <x v="0"/>
    <n v="46.222000000000001"/>
  </r>
  <r>
    <x v="2"/>
    <x v="0"/>
    <x v="0"/>
    <n v="43.93"/>
  </r>
  <r>
    <x v="2"/>
    <x v="0"/>
    <x v="0"/>
    <n v="46.368000000000002"/>
  </r>
  <r>
    <x v="2"/>
    <x v="0"/>
    <x v="0"/>
    <n v="44.856999999999999"/>
  </r>
  <r>
    <x v="2"/>
    <x v="0"/>
    <x v="0"/>
    <n v="45.295000000000002"/>
  </r>
  <r>
    <x v="2"/>
    <x v="0"/>
    <x v="0"/>
    <n v="45.222000000000001"/>
  </r>
  <r>
    <x v="2"/>
    <x v="0"/>
    <x v="0"/>
    <n v="44.076000000000001"/>
  </r>
  <r>
    <x v="2"/>
    <x v="0"/>
    <x v="0"/>
    <n v="46.149000000000001"/>
  </r>
  <r>
    <x v="2"/>
    <x v="0"/>
    <x v="0"/>
    <n v="44.149000000000001"/>
  </r>
  <r>
    <x v="2"/>
    <x v="0"/>
    <x v="0"/>
    <n v="43.076000000000001"/>
  </r>
  <r>
    <x v="2"/>
    <x v="0"/>
    <x v="0"/>
    <n v="47.295000000000002"/>
  </r>
  <r>
    <x v="2"/>
    <x v="0"/>
    <x v="0"/>
    <n v="46.295000000000002"/>
  </r>
  <r>
    <x v="2"/>
    <x v="0"/>
    <x v="0"/>
    <n v="45.076000000000001"/>
  </r>
  <r>
    <x v="2"/>
    <x v="0"/>
    <x v="0"/>
    <n v="46.295000000000002"/>
  </r>
  <r>
    <x v="2"/>
    <x v="0"/>
    <x v="0"/>
    <n v="46.295000000000002"/>
  </r>
  <r>
    <x v="2"/>
    <x v="0"/>
    <x v="0"/>
    <n v="45.149000000000001"/>
  </r>
  <r>
    <x v="2"/>
    <x v="0"/>
    <x v="0"/>
    <n v="44.149000000000001"/>
  </r>
  <r>
    <x v="2"/>
    <x v="0"/>
    <x v="0"/>
    <n v="46.149000000000001"/>
  </r>
  <r>
    <x v="2"/>
    <x v="0"/>
    <x v="0"/>
    <n v="46.295000000000002"/>
  </r>
  <r>
    <x v="2"/>
    <x v="0"/>
    <x v="0"/>
    <n v="46.149000000000001"/>
  </r>
  <r>
    <x v="2"/>
    <x v="0"/>
    <x v="0"/>
    <n v="46.003"/>
  </r>
  <r>
    <x v="2"/>
    <x v="1"/>
    <x v="0"/>
    <n v="270.70600000000002"/>
  </r>
  <r>
    <x v="2"/>
    <x v="1"/>
    <x v="0"/>
    <n v="270.25599999999997"/>
  </r>
  <r>
    <x v="2"/>
    <x v="1"/>
    <x v="0"/>
    <n v="263.11500000000001"/>
  </r>
  <r>
    <x v="2"/>
    <x v="1"/>
    <x v="0"/>
    <n v="272.99799999999999"/>
  </r>
  <r>
    <x v="2"/>
    <x v="1"/>
    <x v="0"/>
    <n v="265.04899999999998"/>
  </r>
  <r>
    <x v="2"/>
    <x v="1"/>
    <x v="0"/>
    <n v="273.50200000000001"/>
  </r>
  <r>
    <x v="2"/>
    <x v="1"/>
    <x v="0"/>
    <n v="265.90300000000002"/>
  </r>
  <r>
    <x v="2"/>
    <x v="1"/>
    <x v="0"/>
    <n v="273.65499999999997"/>
  </r>
  <r>
    <x v="2"/>
    <x v="1"/>
    <x v="0"/>
    <n v="262.30799999999999"/>
  </r>
  <r>
    <x v="2"/>
    <x v="1"/>
    <x v="0"/>
    <n v="266.34100000000001"/>
  </r>
  <r>
    <x v="2"/>
    <x v="1"/>
    <x v="0"/>
    <n v="262.41399999999999"/>
  </r>
  <r>
    <x v="2"/>
    <x v="1"/>
    <x v="0"/>
    <n v="270.23899999999998"/>
  </r>
  <r>
    <x v="2"/>
    <x v="1"/>
    <x v="0"/>
    <n v="264.23899999999998"/>
  </r>
  <r>
    <x v="2"/>
    <x v="1"/>
    <x v="0"/>
    <n v="257.61500000000001"/>
  </r>
  <r>
    <x v="2"/>
    <x v="1"/>
    <x v="0"/>
    <n v="262.08499999999998"/>
  </r>
  <r>
    <x v="2"/>
    <x v="1"/>
    <x v="0"/>
    <n v="262.41800000000001"/>
  </r>
  <r>
    <x v="2"/>
    <x v="1"/>
    <x v="0"/>
    <n v="267.41399999999999"/>
  </r>
  <r>
    <x v="2"/>
    <x v="1"/>
    <x v="0"/>
    <n v="266.77199999999999"/>
  </r>
  <r>
    <x v="2"/>
    <x v="1"/>
    <x v="0"/>
    <n v="260.483"/>
  </r>
  <r>
    <x v="2"/>
    <x v="1"/>
    <x v="0"/>
    <n v="267.09300000000002"/>
  </r>
  <r>
    <x v="2"/>
    <x v="1"/>
    <x v="0"/>
    <n v="264.56"/>
  </r>
  <r>
    <x v="2"/>
    <x v="1"/>
    <x v="0"/>
    <n v="262.68799999999999"/>
  </r>
  <r>
    <x v="2"/>
    <x v="1"/>
    <x v="0"/>
    <n v="268.07100000000003"/>
  </r>
  <r>
    <x v="2"/>
    <x v="1"/>
    <x v="0"/>
    <n v="263.48700000000002"/>
  </r>
  <r>
    <x v="2"/>
    <x v="1"/>
    <x v="0"/>
    <n v="265.553"/>
  </r>
  <r>
    <x v="2"/>
    <x v="1"/>
    <x v="0"/>
    <n v="264.98700000000002"/>
  </r>
  <r>
    <x v="2"/>
    <x v="1"/>
    <x v="0"/>
    <n v="263.35599999999999"/>
  </r>
  <r>
    <x v="2"/>
    <x v="1"/>
    <x v="0"/>
    <n v="272.50900000000001"/>
  </r>
  <r>
    <x v="2"/>
    <x v="1"/>
    <x v="0"/>
    <n v="261.60399999999998"/>
  </r>
  <r>
    <x v="2"/>
    <x v="1"/>
    <x v="0"/>
    <n v="259.15499999999997"/>
  </r>
  <r>
    <x v="2"/>
    <x v="1"/>
    <x v="0"/>
    <n v="261.40699999999998"/>
  </r>
  <r>
    <x v="2"/>
    <x v="1"/>
    <x v="0"/>
    <n v="263.89100000000002"/>
  </r>
  <r>
    <x v="2"/>
    <x v="1"/>
    <x v="0"/>
    <n v="266.70600000000002"/>
  </r>
  <r>
    <x v="2"/>
    <x v="1"/>
    <x v="0"/>
    <n v="278.64299999999997"/>
  </r>
  <r>
    <x v="2"/>
    <x v="1"/>
    <x v="0"/>
    <n v="269.95"/>
  </r>
  <r>
    <x v="2"/>
    <x v="1"/>
    <x v="0"/>
    <n v="263.82299999999998"/>
  </r>
  <r>
    <x v="2"/>
    <x v="1"/>
    <x v="0"/>
    <n v="268.25700000000001"/>
  </r>
  <r>
    <x v="2"/>
    <x v="1"/>
    <x v="0"/>
    <n v="275.19799999999998"/>
  </r>
  <r>
    <x v="2"/>
    <x v="1"/>
    <x v="0"/>
    <n v="268.43599999999998"/>
  </r>
  <r>
    <x v="2"/>
    <x v="1"/>
    <x v="0"/>
    <n v="270.06400000000002"/>
  </r>
  <r>
    <x v="2"/>
    <x v="1"/>
    <x v="0"/>
    <n v="261.80200000000002"/>
  </r>
  <r>
    <x v="2"/>
    <x v="1"/>
    <x v="0"/>
    <n v="266.21699999999998"/>
  </r>
  <r>
    <x v="2"/>
    <x v="1"/>
    <x v="0"/>
    <n v="261.11500000000001"/>
  </r>
  <r>
    <x v="2"/>
    <x v="1"/>
    <x v="0"/>
    <n v="263.35199999999998"/>
  </r>
  <r>
    <x v="2"/>
    <x v="1"/>
    <x v="0"/>
    <n v="262.85500000000002"/>
  </r>
  <r>
    <x v="2"/>
    <x v="1"/>
    <x v="0"/>
    <n v="266.48700000000002"/>
  </r>
  <r>
    <x v="2"/>
    <x v="1"/>
    <x v="0"/>
    <n v="271.87400000000002"/>
  </r>
  <r>
    <x v="2"/>
    <x v="1"/>
    <x v="0"/>
    <n v="265.40699999999998"/>
  </r>
  <r>
    <x v="2"/>
    <x v="1"/>
    <x v="0"/>
    <n v="266.70600000000002"/>
  </r>
  <r>
    <x v="2"/>
    <x v="1"/>
    <x v="0"/>
    <n v="261.48700000000002"/>
  </r>
  <r>
    <x v="2"/>
    <x v="1"/>
    <x v="0"/>
    <n v="260.56400000000002"/>
  </r>
  <r>
    <x v="2"/>
    <x v="1"/>
    <x v="0"/>
    <n v="265.43599999999998"/>
  </r>
  <r>
    <x v="2"/>
    <x v="1"/>
    <x v="0"/>
    <n v="264.541"/>
  </r>
  <r>
    <x v="2"/>
    <x v="1"/>
    <x v="0"/>
    <n v="263.42500000000001"/>
  </r>
  <r>
    <x v="2"/>
    <x v="1"/>
    <x v="0"/>
    <n v="264.19499999999999"/>
  </r>
  <r>
    <x v="2"/>
    <x v="1"/>
    <x v="0"/>
    <n v="271.84500000000003"/>
  </r>
  <r>
    <x v="2"/>
    <x v="1"/>
    <x v="0"/>
    <n v="260.40699999999998"/>
  </r>
  <r>
    <x v="2"/>
    <x v="1"/>
    <x v="0"/>
    <n v="264.99799999999999"/>
  </r>
  <r>
    <x v="2"/>
    <x v="1"/>
    <x v="0"/>
    <n v="267.63299999999998"/>
  </r>
  <r>
    <x v="2"/>
    <x v="1"/>
    <x v="0"/>
    <n v="264.41000000000003"/>
  </r>
  <r>
    <x v="2"/>
    <x v="1"/>
    <x v="0"/>
    <n v="267.80399999999997"/>
  </r>
  <r>
    <x v="2"/>
    <x v="1"/>
    <x v="0"/>
    <n v="256.53100000000001"/>
  </r>
  <r>
    <x v="2"/>
    <x v="1"/>
    <x v="0"/>
    <n v="265.553"/>
  </r>
  <r>
    <x v="2"/>
    <x v="1"/>
    <x v="0"/>
    <n v="256.34100000000001"/>
  </r>
  <r>
    <x v="2"/>
    <x v="1"/>
    <x v="0"/>
    <n v="266.50900000000001"/>
  </r>
  <r>
    <x v="2"/>
    <x v="1"/>
    <x v="0"/>
    <n v="271.06400000000002"/>
  </r>
  <r>
    <x v="2"/>
    <x v="1"/>
    <x v="0"/>
    <n v="268.85199999999998"/>
  </r>
  <r>
    <x v="2"/>
    <x v="1"/>
    <x v="0"/>
    <n v="276.09300000000002"/>
  </r>
  <r>
    <x v="2"/>
    <x v="1"/>
    <x v="0"/>
    <n v="271.11"/>
  </r>
  <r>
    <x v="2"/>
    <x v="1"/>
    <x v="0"/>
    <n v="263.18799999999999"/>
  </r>
  <r>
    <x v="2"/>
    <x v="1"/>
    <x v="0"/>
    <n v="261.04899999999998"/>
  </r>
  <r>
    <x v="2"/>
    <x v="1"/>
    <x v="0"/>
    <n v="265.70600000000002"/>
  </r>
  <r>
    <x v="2"/>
    <x v="1"/>
    <x v="0"/>
    <n v="257.04899999999998"/>
  </r>
  <r>
    <x v="2"/>
    <x v="1"/>
    <x v="0"/>
    <n v="262.83"/>
  </r>
  <r>
    <x v="2"/>
    <x v="1"/>
    <x v="0"/>
    <n v="270.06400000000002"/>
  </r>
  <r>
    <x v="2"/>
    <x v="1"/>
    <x v="0"/>
    <n v="266.69900000000001"/>
  </r>
  <r>
    <x v="2"/>
    <x v="1"/>
    <x v="0"/>
    <n v="264.70600000000002"/>
  </r>
  <r>
    <x v="2"/>
    <x v="1"/>
    <x v="0"/>
    <n v="277.947"/>
  </r>
  <r>
    <x v="2"/>
    <x v="1"/>
    <x v="0"/>
    <n v="267.88400000000001"/>
  </r>
  <r>
    <x v="2"/>
    <x v="1"/>
    <x v="0"/>
    <n v="266.58199999999999"/>
  </r>
  <r>
    <x v="2"/>
    <x v="1"/>
    <x v="0"/>
    <n v="258.63299999999998"/>
  </r>
  <r>
    <x v="2"/>
    <x v="1"/>
    <x v="0"/>
    <n v="262.83"/>
  </r>
  <r>
    <x v="2"/>
    <x v="1"/>
    <x v="0"/>
    <n v="265.89600000000002"/>
  </r>
  <r>
    <x v="2"/>
    <x v="1"/>
    <x v="0"/>
    <n v="268.92399999999998"/>
  </r>
  <r>
    <x v="2"/>
    <x v="1"/>
    <x v="0"/>
    <n v="270.68"/>
  </r>
  <r>
    <x v="2"/>
    <x v="1"/>
    <x v="0"/>
    <n v="257.96899999999999"/>
  </r>
  <r>
    <x v="2"/>
    <x v="1"/>
    <x v="0"/>
    <n v="262.29300000000001"/>
  </r>
  <r>
    <x v="2"/>
    <x v="1"/>
    <x v="0"/>
    <n v="265.81200000000001"/>
  </r>
  <r>
    <x v="2"/>
    <x v="1"/>
    <x v="0"/>
    <n v="273.79399999999998"/>
  </r>
  <r>
    <x v="2"/>
    <x v="1"/>
    <x v="0"/>
    <n v="265.48700000000002"/>
  </r>
  <r>
    <x v="2"/>
    <x v="1"/>
    <x v="0"/>
    <n v="274.29000000000002"/>
  </r>
  <r>
    <x v="2"/>
    <x v="1"/>
    <x v="0"/>
    <n v="262.334"/>
  </r>
  <r>
    <x v="2"/>
    <x v="1"/>
    <x v="0"/>
    <n v="262.60399999999998"/>
  </r>
  <r>
    <x v="2"/>
    <x v="1"/>
    <x v="0"/>
    <n v="263.56"/>
  </r>
  <r>
    <x v="2"/>
    <x v="1"/>
    <x v="0"/>
    <n v="262.18799999999999"/>
  </r>
  <r>
    <x v="2"/>
    <x v="1"/>
    <x v="0"/>
    <n v="264.42500000000001"/>
  </r>
  <r>
    <x v="2"/>
    <x v="1"/>
    <x v="0"/>
    <n v="264.41399999999999"/>
  </r>
  <r>
    <x v="2"/>
    <x v="1"/>
    <x v="0"/>
    <n v="264.62599999999998"/>
  </r>
  <r>
    <x v="2"/>
    <x v="1"/>
    <x v="0"/>
    <n v="265.56"/>
  </r>
  <r>
    <x v="2"/>
    <x v="1"/>
    <x v="0"/>
    <n v="262.90699999999998"/>
  </r>
  <r>
    <x v="2"/>
    <x v="2"/>
    <x v="0"/>
    <n v="797.32"/>
  </r>
  <r>
    <x v="2"/>
    <x v="2"/>
    <x v="0"/>
    <n v="820.62300000000005"/>
  </r>
  <r>
    <x v="2"/>
    <x v="2"/>
    <x v="0"/>
    <n v="828.03300000000002"/>
  </r>
  <r>
    <x v="2"/>
    <x v="2"/>
    <x v="0"/>
    <n v="814.93600000000004"/>
  </r>
  <r>
    <x v="2"/>
    <x v="2"/>
    <x v="0"/>
    <n v="812.52"/>
  </r>
  <r>
    <x v="2"/>
    <x v="2"/>
    <x v="0"/>
    <n v="814.95500000000004"/>
  </r>
  <r>
    <x v="2"/>
    <x v="2"/>
    <x v="0"/>
    <n v="824.16899999999998"/>
  </r>
  <r>
    <x v="2"/>
    <x v="2"/>
    <x v="0"/>
    <n v="825.10500000000002"/>
  </r>
  <r>
    <x v="2"/>
    <x v="2"/>
    <x v="0"/>
    <n v="798.64499999999998"/>
  </r>
  <r>
    <x v="2"/>
    <x v="2"/>
    <x v="0"/>
    <n v="816.09799999999996"/>
  </r>
  <r>
    <x v="2"/>
    <x v="2"/>
    <x v="0"/>
    <n v="825.23500000000001"/>
  </r>
  <r>
    <x v="2"/>
    <x v="2"/>
    <x v="0"/>
    <n v="821.60400000000004"/>
  </r>
  <r>
    <x v="2"/>
    <x v="2"/>
    <x v="0"/>
    <n v="826.36800000000005"/>
  </r>
  <r>
    <x v="2"/>
    <x v="2"/>
    <x v="0"/>
    <n v="817.86"/>
  </r>
  <r>
    <x v="2"/>
    <x v="2"/>
    <x v="0"/>
    <n v="819.50900000000001"/>
  </r>
  <r>
    <x v="2"/>
    <x v="2"/>
    <x v="0"/>
    <n v="807.40300000000002"/>
  </r>
  <r>
    <x v="2"/>
    <x v="2"/>
    <x v="0"/>
    <n v="822.58600000000001"/>
  </r>
  <r>
    <x v="2"/>
    <x v="2"/>
    <x v="0"/>
    <n v="820.19100000000003"/>
  </r>
  <r>
    <x v="2"/>
    <x v="2"/>
    <x v="0"/>
    <n v="816.76800000000003"/>
  </r>
  <r>
    <x v="2"/>
    <x v="2"/>
    <x v="0"/>
    <n v="805.80200000000002"/>
  </r>
  <r>
    <x v="2"/>
    <x v="2"/>
    <x v="0"/>
    <n v="822.32799999999997"/>
  </r>
  <r>
    <x v="2"/>
    <x v="2"/>
    <x v="0"/>
    <n v="808.49800000000005"/>
  </r>
  <r>
    <x v="2"/>
    <x v="2"/>
    <x v="0"/>
    <n v="826.14700000000005"/>
  </r>
  <r>
    <x v="2"/>
    <x v="2"/>
    <x v="0"/>
    <n v="812.37699999999995"/>
  </r>
  <r>
    <x v="2"/>
    <x v="2"/>
    <x v="0"/>
    <n v="821.12900000000002"/>
  </r>
  <r>
    <x v="2"/>
    <x v="2"/>
    <x v="0"/>
    <n v="823.37699999999995"/>
  </r>
  <r>
    <x v="2"/>
    <x v="2"/>
    <x v="0"/>
    <n v="822.34"/>
  </r>
  <r>
    <x v="2"/>
    <x v="2"/>
    <x v="0"/>
    <n v="820.06600000000003"/>
  </r>
  <r>
    <x v="2"/>
    <x v="2"/>
    <x v="0"/>
    <n v="813.33500000000004"/>
  </r>
  <r>
    <x v="2"/>
    <x v="2"/>
    <x v="0"/>
    <n v="823.08399999999995"/>
  </r>
  <r>
    <x v="2"/>
    <x v="2"/>
    <x v="0"/>
    <n v="827.41399999999999"/>
  </r>
  <r>
    <x v="2"/>
    <x v="2"/>
    <x v="0"/>
    <n v="814.45699999999999"/>
  </r>
  <r>
    <x v="2"/>
    <x v="2"/>
    <x v="0"/>
    <n v="815.18899999999996"/>
  </r>
  <r>
    <x v="2"/>
    <x v="2"/>
    <x v="0"/>
    <n v="819.49800000000005"/>
  </r>
  <r>
    <x v="2"/>
    <x v="2"/>
    <x v="0"/>
    <n v="803.62199999999996"/>
  </r>
  <r>
    <x v="2"/>
    <x v="2"/>
    <x v="0"/>
    <n v="815.00199999999995"/>
  </r>
  <r>
    <x v="2"/>
    <x v="2"/>
    <x v="0"/>
    <n v="807.84199999999998"/>
  </r>
  <r>
    <x v="2"/>
    <x v="2"/>
    <x v="0"/>
    <n v="813.43700000000001"/>
  </r>
  <r>
    <x v="2"/>
    <x v="2"/>
    <x v="0"/>
    <n v="816.12300000000005"/>
  </r>
  <r>
    <x v="2"/>
    <x v="2"/>
    <x v="0"/>
    <n v="817.96900000000005"/>
  </r>
  <r>
    <x v="2"/>
    <x v="2"/>
    <x v="0"/>
    <n v="820.10699999999997"/>
  </r>
  <r>
    <x v="2"/>
    <x v="2"/>
    <x v="0"/>
    <n v="805.17600000000004"/>
  </r>
  <r>
    <x v="2"/>
    <x v="2"/>
    <x v="0"/>
    <n v="803.59199999999998"/>
  </r>
  <r>
    <x v="2"/>
    <x v="2"/>
    <x v="0"/>
    <n v="819.62300000000005"/>
  </r>
  <r>
    <x v="2"/>
    <x v="2"/>
    <x v="0"/>
    <n v="833.61199999999997"/>
  </r>
  <r>
    <x v="2"/>
    <x v="2"/>
    <x v="0"/>
    <n v="826.26900000000001"/>
  </r>
  <r>
    <x v="2"/>
    <x v="2"/>
    <x v="0"/>
    <n v="822.95100000000002"/>
  </r>
  <r>
    <x v="2"/>
    <x v="2"/>
    <x v="0"/>
    <n v="812.46299999999997"/>
  </r>
  <r>
    <x v="2"/>
    <x v="2"/>
    <x v="0"/>
    <n v="824.846"/>
  </r>
  <r>
    <x v="2"/>
    <x v="2"/>
    <x v="0"/>
    <n v="812.64400000000001"/>
  </r>
  <r>
    <x v="2"/>
    <x v="2"/>
    <x v="0"/>
    <n v="819.75699999999995"/>
  </r>
  <r>
    <x v="2"/>
    <x v="2"/>
    <x v="0"/>
    <n v="830.56"/>
  </r>
  <r>
    <x v="2"/>
    <x v="2"/>
    <x v="0"/>
    <n v="817.07"/>
  </r>
  <r>
    <x v="2"/>
    <x v="2"/>
    <x v="0"/>
    <n v="816.07799999999997"/>
  </r>
  <r>
    <x v="2"/>
    <x v="2"/>
    <x v="0"/>
    <n v="815.66899999999998"/>
  </r>
  <r>
    <x v="2"/>
    <x v="2"/>
    <x v="0"/>
    <n v="828.572"/>
  </r>
  <r>
    <x v="2"/>
    <x v="2"/>
    <x v="0"/>
    <n v="813.36800000000005"/>
  </r>
  <r>
    <x v="2"/>
    <x v="2"/>
    <x v="0"/>
    <n v="815.94399999999996"/>
  </r>
  <r>
    <x v="2"/>
    <x v="2"/>
    <x v="0"/>
    <n v="811.84500000000003"/>
  </r>
  <r>
    <x v="2"/>
    <x v="2"/>
    <x v="0"/>
    <n v="809.91"/>
  </r>
  <r>
    <x v="2"/>
    <x v="2"/>
    <x v="0"/>
    <n v="820.12900000000002"/>
  </r>
  <r>
    <x v="2"/>
    <x v="2"/>
    <x v="0"/>
    <n v="818.80100000000004"/>
  </r>
  <r>
    <x v="2"/>
    <x v="2"/>
    <x v="0"/>
    <n v="820.55200000000002"/>
  </r>
  <r>
    <x v="2"/>
    <x v="2"/>
    <x v="0"/>
    <n v="828.51700000000005"/>
  </r>
  <r>
    <x v="2"/>
    <x v="2"/>
    <x v="0"/>
    <n v="814.90300000000002"/>
  </r>
  <r>
    <x v="2"/>
    <x v="2"/>
    <x v="0"/>
    <n v="814.40800000000002"/>
  </r>
  <r>
    <x v="2"/>
    <x v="2"/>
    <x v="0"/>
    <n v="813.83500000000004"/>
  </r>
  <r>
    <x v="2"/>
    <x v="2"/>
    <x v="0"/>
    <n v="817.1"/>
  </r>
  <r>
    <x v="2"/>
    <x v="2"/>
    <x v="0"/>
    <n v="812.49099999999999"/>
  </r>
  <r>
    <x v="2"/>
    <x v="2"/>
    <x v="0"/>
    <n v="813.35500000000002"/>
  </r>
  <r>
    <x v="2"/>
    <x v="2"/>
    <x v="0"/>
    <n v="808.92600000000004"/>
  </r>
  <r>
    <x v="2"/>
    <x v="2"/>
    <x v="0"/>
    <n v="817.827"/>
  </r>
  <r>
    <x v="2"/>
    <x v="2"/>
    <x v="0"/>
    <n v="811.77300000000002"/>
  </r>
  <r>
    <x v="2"/>
    <x v="2"/>
    <x v="0"/>
    <n v="823.822"/>
  </r>
  <r>
    <x v="2"/>
    <x v="2"/>
    <x v="0"/>
    <n v="824.43299999999999"/>
  </r>
  <r>
    <x v="2"/>
    <x v="2"/>
    <x v="0"/>
    <n v="813.93399999999997"/>
  </r>
  <r>
    <x v="2"/>
    <x v="2"/>
    <x v="0"/>
    <n v="815.08799999999997"/>
  </r>
  <r>
    <x v="2"/>
    <x v="2"/>
    <x v="0"/>
    <n v="823.59299999999996"/>
  </r>
  <r>
    <x v="2"/>
    <x v="2"/>
    <x v="0"/>
    <n v="834.68799999999999"/>
  </r>
  <r>
    <x v="2"/>
    <x v="2"/>
    <x v="0"/>
    <n v="822.58600000000001"/>
  </r>
  <r>
    <x v="2"/>
    <x v="2"/>
    <x v="0"/>
    <n v="819.96500000000003"/>
  </r>
  <r>
    <x v="2"/>
    <x v="2"/>
    <x v="0"/>
    <n v="815.74400000000003"/>
  </r>
  <r>
    <x v="2"/>
    <x v="2"/>
    <x v="0"/>
    <n v="813.80899999999997"/>
  </r>
  <r>
    <x v="2"/>
    <x v="2"/>
    <x v="0"/>
    <n v="811.37400000000002"/>
  </r>
  <r>
    <x v="2"/>
    <x v="2"/>
    <x v="0"/>
    <n v="812.28300000000002"/>
  </r>
  <r>
    <x v="2"/>
    <x v="2"/>
    <x v="0"/>
    <n v="817.04100000000005"/>
  </r>
  <r>
    <x v="2"/>
    <x v="2"/>
    <x v="0"/>
    <n v="813.16099999999994"/>
  </r>
  <r>
    <x v="2"/>
    <x v="2"/>
    <x v="0"/>
    <n v="806.76400000000001"/>
  </r>
  <r>
    <x v="2"/>
    <x v="2"/>
    <x v="0"/>
    <n v="818.45299999999997"/>
  </r>
  <r>
    <x v="2"/>
    <x v="2"/>
    <x v="0"/>
    <n v="809.29200000000003"/>
  </r>
  <r>
    <x v="2"/>
    <x v="2"/>
    <x v="0"/>
    <n v="803.22199999999998"/>
  </r>
  <r>
    <x v="2"/>
    <x v="2"/>
    <x v="0"/>
    <n v="811.60400000000004"/>
  </r>
  <r>
    <x v="2"/>
    <x v="2"/>
    <x v="0"/>
    <n v="817.46400000000006"/>
  </r>
  <r>
    <x v="2"/>
    <x v="2"/>
    <x v="0"/>
    <n v="828.50800000000004"/>
  </r>
  <r>
    <x v="2"/>
    <x v="2"/>
    <x v="0"/>
    <n v="812.48599999999999"/>
  </r>
  <r>
    <x v="2"/>
    <x v="2"/>
    <x v="0"/>
    <n v="821.62199999999996"/>
  </r>
  <r>
    <x v="2"/>
    <x v="2"/>
    <x v="0"/>
    <n v="807.64099999999996"/>
  </r>
  <r>
    <x v="2"/>
    <x v="2"/>
    <x v="0"/>
    <n v="811.38900000000001"/>
  </r>
  <r>
    <x v="2"/>
    <x v="2"/>
    <x v="0"/>
    <n v="803.35299999999995"/>
  </r>
  <r>
    <x v="2"/>
    <x v="2"/>
    <x v="0"/>
    <n v="815.50400000000002"/>
  </r>
  <r>
    <x v="0"/>
    <x v="0"/>
    <x v="1"/>
    <n v="74.828000000000003"/>
  </r>
  <r>
    <x v="0"/>
    <x v="0"/>
    <x v="1"/>
    <n v="79.265000000000001"/>
  </r>
  <r>
    <x v="0"/>
    <x v="0"/>
    <x v="1"/>
    <n v="85.775999999999996"/>
  </r>
  <r>
    <x v="0"/>
    <x v="0"/>
    <x v="1"/>
    <n v="92.141000000000005"/>
  </r>
  <r>
    <x v="0"/>
    <x v="0"/>
    <x v="1"/>
    <n v="77.337999999999994"/>
  </r>
  <r>
    <x v="0"/>
    <x v="0"/>
    <x v="1"/>
    <n v="88.921999999999997"/>
  </r>
  <r>
    <x v="0"/>
    <x v="0"/>
    <x v="1"/>
    <n v="90.141000000000005"/>
  </r>
  <r>
    <x v="0"/>
    <x v="0"/>
    <x v="1"/>
    <n v="85.558000000000007"/>
  </r>
  <r>
    <x v="0"/>
    <x v="0"/>
    <x v="1"/>
    <n v="76.046999999999997"/>
  </r>
  <r>
    <x v="0"/>
    <x v="0"/>
    <x v="1"/>
    <n v="84.775999999999996"/>
  </r>
  <r>
    <x v="0"/>
    <x v="0"/>
    <x v="1"/>
    <n v="82.483999999999995"/>
  </r>
  <r>
    <x v="0"/>
    <x v="0"/>
    <x v="1"/>
    <n v="84.557000000000002"/>
  </r>
  <r>
    <x v="0"/>
    <x v="0"/>
    <x v="1"/>
    <n v="82.63"/>
  </r>
  <r>
    <x v="0"/>
    <x v="0"/>
    <x v="1"/>
    <n v="91.141000000000005"/>
  </r>
  <r>
    <x v="0"/>
    <x v="0"/>
    <x v="1"/>
    <n v="82.411000000000001"/>
  </r>
  <r>
    <x v="0"/>
    <x v="0"/>
    <x v="1"/>
    <n v="84.703000000000003"/>
  </r>
  <r>
    <x v="0"/>
    <x v="0"/>
    <x v="1"/>
    <n v="81.63"/>
  </r>
  <r>
    <x v="0"/>
    <x v="0"/>
    <x v="1"/>
    <n v="91.921999999999997"/>
  </r>
  <r>
    <x v="0"/>
    <x v="0"/>
    <x v="1"/>
    <n v="89.775999999999996"/>
  </r>
  <r>
    <x v="0"/>
    <x v="0"/>
    <x v="1"/>
    <n v="85.849000000000004"/>
  </r>
  <r>
    <x v="0"/>
    <x v="0"/>
    <x v="1"/>
    <n v="85.483999999999995"/>
  </r>
  <r>
    <x v="0"/>
    <x v="0"/>
    <x v="1"/>
    <n v="83.557000000000002"/>
  </r>
  <r>
    <x v="0"/>
    <x v="0"/>
    <x v="1"/>
    <n v="85.557000000000002"/>
  </r>
  <r>
    <x v="0"/>
    <x v="0"/>
    <x v="1"/>
    <n v="85.995000000000005"/>
  </r>
  <r>
    <x v="0"/>
    <x v="0"/>
    <x v="1"/>
    <n v="87.995000000000005"/>
  </r>
  <r>
    <x v="0"/>
    <x v="0"/>
    <x v="1"/>
    <n v="80.337999999999994"/>
  </r>
  <r>
    <x v="0"/>
    <x v="0"/>
    <x v="1"/>
    <n v="78.974000000000004"/>
  </r>
  <r>
    <x v="0"/>
    <x v="0"/>
    <x v="1"/>
    <n v="80.265000000000001"/>
  </r>
  <r>
    <x v="0"/>
    <x v="0"/>
    <x v="1"/>
    <n v="77.411000000000001"/>
  </r>
  <r>
    <x v="0"/>
    <x v="0"/>
    <x v="1"/>
    <n v="90.213999999999999"/>
  </r>
  <r>
    <x v="0"/>
    <x v="0"/>
    <x v="1"/>
    <n v="86.63"/>
  </r>
  <r>
    <x v="0"/>
    <x v="0"/>
    <x v="1"/>
    <n v="84.995000000000005"/>
  </r>
  <r>
    <x v="0"/>
    <x v="0"/>
    <x v="1"/>
    <n v="82.484999999999999"/>
  </r>
  <r>
    <x v="0"/>
    <x v="0"/>
    <x v="1"/>
    <n v="88.849000000000004"/>
  </r>
  <r>
    <x v="0"/>
    <x v="0"/>
    <x v="1"/>
    <n v="77.046999999999997"/>
  </r>
  <r>
    <x v="0"/>
    <x v="0"/>
    <x v="1"/>
    <n v="78.265000000000001"/>
  </r>
  <r>
    <x v="0"/>
    <x v="0"/>
    <x v="1"/>
    <n v="75.974000000000004"/>
  </r>
  <r>
    <x v="0"/>
    <x v="0"/>
    <x v="1"/>
    <n v="90.995000000000005"/>
  </r>
  <r>
    <x v="0"/>
    <x v="0"/>
    <x v="1"/>
    <n v="86.849000000000004"/>
  </r>
  <r>
    <x v="0"/>
    <x v="0"/>
    <x v="1"/>
    <n v="93.213999999999999"/>
  </r>
  <r>
    <x v="0"/>
    <x v="0"/>
    <x v="1"/>
    <n v="87.63"/>
  </r>
  <r>
    <x v="0"/>
    <x v="0"/>
    <x v="1"/>
    <n v="79.63"/>
  </r>
  <r>
    <x v="0"/>
    <x v="0"/>
    <x v="1"/>
    <n v="83.483999999999995"/>
  </r>
  <r>
    <x v="0"/>
    <x v="0"/>
    <x v="1"/>
    <n v="80.557000000000002"/>
  </r>
  <r>
    <x v="0"/>
    <x v="0"/>
    <x v="1"/>
    <n v="83.483999999999995"/>
  </r>
  <r>
    <x v="0"/>
    <x v="0"/>
    <x v="1"/>
    <n v="82.337999999999994"/>
  </r>
  <r>
    <x v="0"/>
    <x v="0"/>
    <x v="1"/>
    <n v="80.411000000000001"/>
  </r>
  <r>
    <x v="0"/>
    <x v="0"/>
    <x v="1"/>
    <n v="75.046000000000006"/>
  </r>
  <r>
    <x v="0"/>
    <x v="0"/>
    <x v="1"/>
    <n v="78.337999999999994"/>
  </r>
  <r>
    <x v="0"/>
    <x v="0"/>
    <x v="1"/>
    <n v="79.337999999999994"/>
  </r>
  <r>
    <x v="0"/>
    <x v="0"/>
    <x v="1"/>
    <n v="81.411000000000001"/>
  </r>
  <r>
    <x v="0"/>
    <x v="0"/>
    <x v="1"/>
    <n v="76.974000000000004"/>
  </r>
  <r>
    <x v="0"/>
    <x v="0"/>
    <x v="1"/>
    <n v="80.191999999999993"/>
  </r>
  <r>
    <x v="0"/>
    <x v="0"/>
    <x v="1"/>
    <n v="83.849000000000004"/>
  </r>
  <r>
    <x v="0"/>
    <x v="0"/>
    <x v="1"/>
    <n v="95.36"/>
  </r>
  <r>
    <x v="0"/>
    <x v="0"/>
    <x v="1"/>
    <n v="81.265000000000001"/>
  </r>
  <r>
    <x v="0"/>
    <x v="0"/>
    <x v="1"/>
    <n v="81.411000000000001"/>
  </r>
  <r>
    <x v="0"/>
    <x v="0"/>
    <x v="1"/>
    <n v="85.703000000000003"/>
  </r>
  <r>
    <x v="0"/>
    <x v="0"/>
    <x v="1"/>
    <n v="83.849000000000004"/>
  </r>
  <r>
    <x v="0"/>
    <x v="0"/>
    <x v="1"/>
    <n v="90.921999999999997"/>
  </r>
  <r>
    <x v="0"/>
    <x v="0"/>
    <x v="1"/>
    <n v="82.483999999999995"/>
  </r>
  <r>
    <x v="0"/>
    <x v="0"/>
    <x v="1"/>
    <n v="80.703000000000003"/>
  </r>
  <r>
    <x v="0"/>
    <x v="0"/>
    <x v="1"/>
    <n v="86.775999999999996"/>
  </r>
  <r>
    <x v="0"/>
    <x v="0"/>
    <x v="1"/>
    <n v="89.849000000000004"/>
  </r>
  <r>
    <x v="0"/>
    <x v="0"/>
    <x v="1"/>
    <n v="83.63"/>
  </r>
  <r>
    <x v="0"/>
    <x v="0"/>
    <x v="1"/>
    <n v="86.703000000000003"/>
  </r>
  <r>
    <x v="0"/>
    <x v="0"/>
    <x v="1"/>
    <n v="79.192999999999998"/>
  </r>
  <r>
    <x v="0"/>
    <x v="0"/>
    <x v="1"/>
    <n v="76.411000000000001"/>
  </r>
  <r>
    <x v="0"/>
    <x v="0"/>
    <x v="1"/>
    <n v="91.141000000000005"/>
  </r>
  <r>
    <x v="0"/>
    <x v="0"/>
    <x v="1"/>
    <n v="76.191999999999993"/>
  </r>
  <r>
    <x v="0"/>
    <x v="0"/>
    <x v="1"/>
    <n v="78.557000000000002"/>
  </r>
  <r>
    <x v="0"/>
    <x v="0"/>
    <x v="1"/>
    <n v="88.995000000000005"/>
  </r>
  <r>
    <x v="0"/>
    <x v="0"/>
    <x v="1"/>
    <n v="80.337999999999994"/>
  </r>
  <r>
    <x v="0"/>
    <x v="0"/>
    <x v="1"/>
    <n v="81.557000000000002"/>
  </r>
  <r>
    <x v="0"/>
    <x v="0"/>
    <x v="1"/>
    <n v="90.921999999999997"/>
  </r>
  <r>
    <x v="0"/>
    <x v="0"/>
    <x v="1"/>
    <n v="96.287000000000006"/>
  </r>
  <r>
    <x v="0"/>
    <x v="0"/>
    <x v="1"/>
    <n v="77.411000000000001"/>
  </r>
  <r>
    <x v="0"/>
    <x v="0"/>
    <x v="1"/>
    <n v="81.483999999999995"/>
  </r>
  <r>
    <x v="0"/>
    <x v="0"/>
    <x v="1"/>
    <n v="82.775999999999996"/>
  </r>
  <r>
    <x v="0"/>
    <x v="0"/>
    <x v="1"/>
    <n v="80.411000000000001"/>
  </r>
  <r>
    <x v="0"/>
    <x v="0"/>
    <x v="1"/>
    <n v="84.849000000000004"/>
  </r>
  <r>
    <x v="0"/>
    <x v="0"/>
    <x v="1"/>
    <n v="80.483999999999995"/>
  </r>
  <r>
    <x v="0"/>
    <x v="0"/>
    <x v="1"/>
    <n v="89.995000000000005"/>
  </r>
  <r>
    <x v="0"/>
    <x v="0"/>
    <x v="1"/>
    <n v="90.849000000000004"/>
  </r>
  <r>
    <x v="0"/>
    <x v="0"/>
    <x v="1"/>
    <n v="91.921999999999997"/>
  </r>
  <r>
    <x v="0"/>
    <x v="0"/>
    <x v="1"/>
    <n v="87.995000000000005"/>
  </r>
  <r>
    <x v="0"/>
    <x v="0"/>
    <x v="1"/>
    <n v="84.849000000000004"/>
  </r>
  <r>
    <x v="0"/>
    <x v="0"/>
    <x v="1"/>
    <n v="67.39"/>
  </r>
  <r>
    <x v="0"/>
    <x v="0"/>
    <x v="1"/>
    <n v="90.995000000000005"/>
  </r>
  <r>
    <x v="0"/>
    <x v="0"/>
    <x v="1"/>
    <n v="84.411000000000001"/>
  </r>
  <r>
    <x v="0"/>
    <x v="0"/>
    <x v="1"/>
    <n v="84.557000000000002"/>
  </r>
  <r>
    <x v="0"/>
    <x v="0"/>
    <x v="1"/>
    <n v="92.287000000000006"/>
  </r>
  <r>
    <x v="0"/>
    <x v="0"/>
    <x v="1"/>
    <n v="78.12"/>
  </r>
  <r>
    <x v="0"/>
    <x v="0"/>
    <x v="1"/>
    <n v="82.703000000000003"/>
  </r>
  <r>
    <x v="0"/>
    <x v="0"/>
    <x v="1"/>
    <n v="85.483999999999995"/>
  </r>
  <r>
    <x v="0"/>
    <x v="0"/>
    <x v="1"/>
    <n v="80.63"/>
  </r>
  <r>
    <x v="0"/>
    <x v="0"/>
    <x v="1"/>
    <n v="79.046999999999997"/>
  </r>
  <r>
    <x v="0"/>
    <x v="0"/>
    <x v="1"/>
    <n v="70.900999999999996"/>
  </r>
  <r>
    <x v="0"/>
    <x v="0"/>
    <x v="1"/>
    <n v="89.775999999999996"/>
  </r>
  <r>
    <x v="0"/>
    <x v="0"/>
    <x v="1"/>
    <n v="93.067999999999998"/>
  </r>
  <r>
    <x v="0"/>
    <x v="1"/>
    <x v="1"/>
    <n v="494.24"/>
  </r>
  <r>
    <x v="0"/>
    <x v="1"/>
    <x v="1"/>
    <n v="512.33799999999997"/>
  </r>
  <r>
    <x v="0"/>
    <x v="1"/>
    <x v="1"/>
    <n v="495.02800000000002"/>
  </r>
  <r>
    <x v="0"/>
    <x v="1"/>
    <x v="1"/>
    <n v="533.73"/>
  </r>
  <r>
    <x v="0"/>
    <x v="1"/>
    <x v="1"/>
    <n v="512.48400000000004"/>
  </r>
  <r>
    <x v="0"/>
    <x v="1"/>
    <x v="1"/>
    <n v="541.38099999999997"/>
  </r>
  <r>
    <x v="0"/>
    <x v="1"/>
    <x v="1"/>
    <n v="530.16899999999998"/>
  </r>
  <r>
    <x v="0"/>
    <x v="1"/>
    <x v="1"/>
    <n v="542.42600000000004"/>
  </r>
  <r>
    <x v="0"/>
    <x v="1"/>
    <x v="1"/>
    <n v="512.21199999999999"/>
  </r>
  <r>
    <x v="0"/>
    <x v="1"/>
    <x v="1"/>
    <n v="530.02"/>
  </r>
  <r>
    <x v="0"/>
    <x v="1"/>
    <x v="1"/>
    <n v="505.37799999999999"/>
  </r>
  <r>
    <x v="0"/>
    <x v="1"/>
    <x v="1"/>
    <n v="507.44499999999999"/>
  </r>
  <r>
    <x v="0"/>
    <x v="1"/>
    <x v="1"/>
    <n v="532.77700000000004"/>
  </r>
  <r>
    <x v="0"/>
    <x v="1"/>
    <x v="1"/>
    <n v="491.82"/>
  </r>
  <r>
    <x v="0"/>
    <x v="1"/>
    <x v="1"/>
    <n v="509.05700000000002"/>
  </r>
  <r>
    <x v="0"/>
    <x v="1"/>
    <x v="1"/>
    <n v="509.96"/>
  </r>
  <r>
    <x v="0"/>
    <x v="1"/>
    <x v="1"/>
    <n v="495.75099999999998"/>
  </r>
  <r>
    <x v="0"/>
    <x v="1"/>
    <x v="1"/>
    <n v="519.99699999999996"/>
  </r>
  <r>
    <x v="0"/>
    <x v="1"/>
    <x v="1"/>
    <n v="523.58000000000004"/>
  </r>
  <r>
    <x v="0"/>
    <x v="1"/>
    <x v="1"/>
    <n v="518.69200000000001"/>
  </r>
  <r>
    <x v="0"/>
    <x v="1"/>
    <x v="1"/>
    <n v="509.88200000000001"/>
  </r>
  <r>
    <x v="0"/>
    <x v="1"/>
    <x v="1"/>
    <n v="496.57100000000003"/>
  </r>
  <r>
    <x v="0"/>
    <x v="1"/>
    <x v="1"/>
    <n v="485.84300000000002"/>
  </r>
  <r>
    <x v="0"/>
    <x v="1"/>
    <x v="1"/>
    <n v="506.2"/>
  </r>
  <r>
    <x v="0"/>
    <x v="1"/>
    <x v="1"/>
    <n v="507.827"/>
  </r>
  <r>
    <x v="0"/>
    <x v="1"/>
    <x v="1"/>
    <n v="539.91099999999994"/>
  </r>
  <r>
    <x v="0"/>
    <x v="1"/>
    <x v="1"/>
    <n v="504.38499999999999"/>
  </r>
  <r>
    <x v="0"/>
    <x v="1"/>
    <x v="1"/>
    <n v="500.23099999999999"/>
  </r>
  <r>
    <x v="0"/>
    <x v="1"/>
    <x v="1"/>
    <n v="496.55500000000001"/>
  </r>
  <r>
    <x v="0"/>
    <x v="1"/>
    <x v="1"/>
    <n v="496.78399999999999"/>
  </r>
  <r>
    <x v="0"/>
    <x v="1"/>
    <x v="1"/>
    <n v="512.08600000000001"/>
  </r>
  <r>
    <x v="0"/>
    <x v="1"/>
    <x v="1"/>
    <n v="497.90499999999997"/>
  </r>
  <r>
    <x v="0"/>
    <x v="1"/>
    <x v="1"/>
    <n v="512.09400000000005"/>
  </r>
  <r>
    <x v="0"/>
    <x v="1"/>
    <x v="1"/>
    <n v="516.41899999999998"/>
  </r>
  <r>
    <x v="0"/>
    <x v="1"/>
    <x v="1"/>
    <n v="503.47"/>
  </r>
  <r>
    <x v="0"/>
    <x v="1"/>
    <x v="1"/>
    <n v="495.57900000000001"/>
  </r>
  <r>
    <x v="0"/>
    <x v="1"/>
    <x v="1"/>
    <n v="535.72900000000004"/>
  </r>
  <r>
    <x v="0"/>
    <x v="1"/>
    <x v="1"/>
    <n v="549.44200000000001"/>
  </r>
  <r>
    <x v="0"/>
    <x v="1"/>
    <x v="1"/>
    <n v="519.11900000000003"/>
  </r>
  <r>
    <x v="0"/>
    <x v="1"/>
    <x v="1"/>
    <n v="515.1"/>
  </r>
  <r>
    <x v="0"/>
    <x v="1"/>
    <x v="1"/>
    <n v="510.10599999999999"/>
  </r>
  <r>
    <x v="0"/>
    <x v="1"/>
    <x v="1"/>
    <n v="517.08600000000001"/>
  </r>
  <r>
    <x v="0"/>
    <x v="1"/>
    <x v="1"/>
    <n v="515.47799999999995"/>
  </r>
  <r>
    <x v="0"/>
    <x v="1"/>
    <x v="1"/>
    <n v="507.80500000000001"/>
  </r>
  <r>
    <x v="0"/>
    <x v="1"/>
    <x v="1"/>
    <n v="497.52499999999998"/>
  </r>
  <r>
    <x v="0"/>
    <x v="1"/>
    <x v="1"/>
    <n v="510.51799999999997"/>
  </r>
  <r>
    <x v="0"/>
    <x v="1"/>
    <x v="1"/>
    <n v="501.92500000000001"/>
  </r>
  <r>
    <x v="0"/>
    <x v="1"/>
    <x v="1"/>
    <n v="508.553"/>
  </r>
  <r>
    <x v="0"/>
    <x v="1"/>
    <x v="1"/>
    <n v="504.36500000000001"/>
  </r>
  <r>
    <x v="0"/>
    <x v="1"/>
    <x v="1"/>
    <n v="517.35500000000002"/>
  </r>
  <r>
    <x v="0"/>
    <x v="1"/>
    <x v="1"/>
    <n v="523.73500000000001"/>
  </r>
  <r>
    <x v="0"/>
    <x v="1"/>
    <x v="1"/>
    <n v="547.67100000000005"/>
  </r>
  <r>
    <x v="0"/>
    <x v="1"/>
    <x v="1"/>
    <n v="513.30899999999997"/>
  </r>
  <r>
    <x v="0"/>
    <x v="1"/>
    <x v="1"/>
    <n v="510.017"/>
  </r>
  <r>
    <x v="0"/>
    <x v="1"/>
    <x v="1"/>
    <n v="523.47299999999996"/>
  </r>
  <r>
    <x v="0"/>
    <x v="1"/>
    <x v="1"/>
    <n v="505.40699999999998"/>
  </r>
  <r>
    <x v="0"/>
    <x v="1"/>
    <x v="1"/>
    <n v="502.22399999999999"/>
  </r>
  <r>
    <x v="0"/>
    <x v="1"/>
    <x v="1"/>
    <n v="536.43799999999999"/>
  </r>
  <r>
    <x v="0"/>
    <x v="1"/>
    <x v="1"/>
    <n v="528.82399999999996"/>
  </r>
  <r>
    <x v="0"/>
    <x v="1"/>
    <x v="1"/>
    <n v="523.50900000000001"/>
  </r>
  <r>
    <x v="0"/>
    <x v="1"/>
    <x v="1"/>
    <n v="546.80200000000002"/>
  </r>
  <r>
    <x v="0"/>
    <x v="1"/>
    <x v="1"/>
    <n v="519.58199999999999"/>
  </r>
  <r>
    <x v="0"/>
    <x v="1"/>
    <x v="1"/>
    <n v="518.96299999999997"/>
  </r>
  <r>
    <x v="0"/>
    <x v="1"/>
    <x v="1"/>
    <n v="522.73199999999997"/>
  </r>
  <r>
    <x v="0"/>
    <x v="1"/>
    <x v="1"/>
    <n v="529.09299999999996"/>
  </r>
  <r>
    <x v="0"/>
    <x v="1"/>
    <x v="1"/>
    <n v="523.23699999999997"/>
  </r>
  <r>
    <x v="0"/>
    <x v="1"/>
    <x v="1"/>
    <n v="520.9"/>
  </r>
  <r>
    <x v="0"/>
    <x v="1"/>
    <x v="1"/>
    <n v="519.524"/>
  </r>
  <r>
    <x v="0"/>
    <x v="1"/>
    <x v="1"/>
    <n v="509.81"/>
  </r>
  <r>
    <x v="0"/>
    <x v="1"/>
    <x v="1"/>
    <n v="518.42200000000003"/>
  </r>
  <r>
    <x v="0"/>
    <x v="1"/>
    <x v="1"/>
    <n v="505.40100000000001"/>
  </r>
  <r>
    <x v="0"/>
    <x v="1"/>
    <x v="1"/>
    <n v="515.93799999999999"/>
  </r>
  <r>
    <x v="0"/>
    <x v="1"/>
    <x v="1"/>
    <n v="510.82600000000002"/>
  </r>
  <r>
    <x v="0"/>
    <x v="1"/>
    <x v="1"/>
    <n v="480.56099999999998"/>
  </r>
  <r>
    <x v="0"/>
    <x v="1"/>
    <x v="1"/>
    <n v="530.15700000000004"/>
  </r>
  <r>
    <x v="0"/>
    <x v="1"/>
    <x v="1"/>
    <n v="514.95000000000005"/>
  </r>
  <r>
    <x v="0"/>
    <x v="1"/>
    <x v="1"/>
    <n v="495.15899999999999"/>
  </r>
  <r>
    <x v="0"/>
    <x v="1"/>
    <x v="1"/>
    <n v="540.673"/>
  </r>
  <r>
    <x v="0"/>
    <x v="1"/>
    <x v="1"/>
    <n v="528.79700000000003"/>
  </r>
  <r>
    <x v="0"/>
    <x v="1"/>
    <x v="1"/>
    <n v="519.71799999999996"/>
  </r>
  <r>
    <x v="0"/>
    <x v="1"/>
    <x v="1"/>
    <n v="512.01700000000005"/>
  </r>
  <r>
    <x v="0"/>
    <x v="1"/>
    <x v="1"/>
    <n v="512.30899999999997"/>
  </r>
  <r>
    <x v="0"/>
    <x v="1"/>
    <x v="1"/>
    <n v="519.58000000000004"/>
  </r>
  <r>
    <x v="0"/>
    <x v="1"/>
    <x v="1"/>
    <n v="532.38"/>
  </r>
  <r>
    <x v="0"/>
    <x v="1"/>
    <x v="1"/>
    <n v="520.15200000000004"/>
  </r>
  <r>
    <x v="0"/>
    <x v="1"/>
    <x v="1"/>
    <n v="519.64099999999996"/>
  </r>
  <r>
    <x v="0"/>
    <x v="1"/>
    <x v="1"/>
    <n v="513.96600000000001"/>
  </r>
  <r>
    <x v="0"/>
    <x v="1"/>
    <x v="1"/>
    <n v="506.30099999999999"/>
  </r>
  <r>
    <x v="0"/>
    <x v="1"/>
    <x v="1"/>
    <n v="535.80399999999997"/>
  </r>
  <r>
    <x v="0"/>
    <x v="1"/>
    <x v="1"/>
    <n v="532.66200000000003"/>
  </r>
  <r>
    <x v="0"/>
    <x v="1"/>
    <x v="1"/>
    <n v="522.15899999999999"/>
  </r>
  <r>
    <x v="0"/>
    <x v="1"/>
    <x v="1"/>
    <n v="508.48099999999999"/>
  </r>
  <r>
    <x v="0"/>
    <x v="1"/>
    <x v="1"/>
    <n v="522.36800000000005"/>
  </r>
  <r>
    <x v="0"/>
    <x v="1"/>
    <x v="1"/>
    <n v="495.61599999999999"/>
  </r>
  <r>
    <x v="0"/>
    <x v="1"/>
    <x v="1"/>
    <n v="502.41899999999998"/>
  </r>
  <r>
    <x v="0"/>
    <x v="1"/>
    <x v="1"/>
    <n v="498.279"/>
  </r>
  <r>
    <x v="0"/>
    <x v="1"/>
    <x v="1"/>
    <n v="524.61300000000006"/>
  </r>
  <r>
    <x v="0"/>
    <x v="1"/>
    <x v="1"/>
    <n v="484.75099999999998"/>
  </r>
  <r>
    <x v="0"/>
    <x v="1"/>
    <x v="1"/>
    <n v="538.75699999999995"/>
  </r>
  <r>
    <x v="0"/>
    <x v="1"/>
    <x v="1"/>
    <n v="538.30100000000004"/>
  </r>
  <r>
    <x v="0"/>
    <x v="2"/>
    <x v="1"/>
    <n v="1583.5450000000001"/>
  </r>
  <r>
    <x v="0"/>
    <x v="2"/>
    <x v="1"/>
    <n v="1605.586"/>
  </r>
  <r>
    <x v="0"/>
    <x v="2"/>
    <x v="1"/>
    <n v="1571.1590000000001"/>
  </r>
  <r>
    <x v="0"/>
    <x v="2"/>
    <x v="1"/>
    <n v="1614.2470000000001"/>
  </r>
  <r>
    <x v="0"/>
    <x v="2"/>
    <x v="1"/>
    <n v="1602.6079999999999"/>
  </r>
  <r>
    <x v="0"/>
    <x v="2"/>
    <x v="1"/>
    <n v="1559.0740000000001"/>
  </r>
  <r>
    <x v="0"/>
    <x v="2"/>
    <x v="1"/>
    <n v="1582.675"/>
  </r>
  <r>
    <x v="0"/>
    <x v="2"/>
    <x v="1"/>
    <n v="1556.954"/>
  </r>
  <r>
    <x v="0"/>
    <x v="2"/>
    <x v="1"/>
    <n v="1561.335"/>
  </r>
  <r>
    <x v="0"/>
    <x v="2"/>
    <x v="1"/>
    <n v="1603.9870000000001"/>
  </r>
  <r>
    <x v="0"/>
    <x v="2"/>
    <x v="1"/>
    <n v="1569.7429999999999"/>
  </r>
  <r>
    <x v="0"/>
    <x v="2"/>
    <x v="1"/>
    <n v="1567.5909999999999"/>
  </r>
  <r>
    <x v="0"/>
    <x v="2"/>
    <x v="1"/>
    <n v="1572.0640000000001"/>
  </r>
  <r>
    <x v="0"/>
    <x v="2"/>
    <x v="1"/>
    <n v="1568.519"/>
  </r>
  <r>
    <x v="0"/>
    <x v="2"/>
    <x v="1"/>
    <n v="1576.799"/>
  </r>
  <r>
    <x v="0"/>
    <x v="2"/>
    <x v="1"/>
    <n v="1571.5239999999999"/>
  </r>
  <r>
    <x v="0"/>
    <x v="2"/>
    <x v="1"/>
    <n v="1600.6759999999999"/>
  </r>
  <r>
    <x v="0"/>
    <x v="2"/>
    <x v="1"/>
    <n v="1551.1959999999999"/>
  </r>
  <r>
    <x v="0"/>
    <x v="2"/>
    <x v="1"/>
    <n v="1590.192"/>
  </r>
  <r>
    <x v="0"/>
    <x v="2"/>
    <x v="1"/>
    <n v="1578.249"/>
  </r>
  <r>
    <x v="0"/>
    <x v="2"/>
    <x v="1"/>
    <n v="1539.922"/>
  </r>
  <r>
    <x v="0"/>
    <x v="2"/>
    <x v="1"/>
    <n v="1570.0150000000001"/>
  </r>
  <r>
    <x v="0"/>
    <x v="2"/>
    <x v="1"/>
    <n v="1616.5319999999999"/>
  </r>
  <r>
    <x v="0"/>
    <x v="2"/>
    <x v="1"/>
    <n v="1591.2950000000001"/>
  </r>
  <r>
    <x v="0"/>
    <x v="2"/>
    <x v="1"/>
    <n v="1592.9090000000001"/>
  </r>
  <r>
    <x v="0"/>
    <x v="2"/>
    <x v="1"/>
    <n v="1590.098"/>
  </r>
  <r>
    <x v="0"/>
    <x v="2"/>
    <x v="1"/>
    <n v="1544.413"/>
  </r>
  <r>
    <x v="0"/>
    <x v="2"/>
    <x v="1"/>
    <n v="1592.336"/>
  </r>
  <r>
    <x v="0"/>
    <x v="2"/>
    <x v="1"/>
    <n v="1593.288"/>
  </r>
  <r>
    <x v="0"/>
    <x v="2"/>
    <x v="1"/>
    <n v="1591.0630000000001"/>
  </r>
  <r>
    <x v="0"/>
    <x v="2"/>
    <x v="1"/>
    <n v="1612.579"/>
  </r>
  <r>
    <x v="0"/>
    <x v="2"/>
    <x v="1"/>
    <n v="1593.9680000000001"/>
  </r>
  <r>
    <x v="0"/>
    <x v="2"/>
    <x v="1"/>
    <n v="1583.6679999999999"/>
  </r>
  <r>
    <x v="0"/>
    <x v="2"/>
    <x v="1"/>
    <n v="1558.001"/>
  </r>
  <r>
    <x v="0"/>
    <x v="2"/>
    <x v="1"/>
    <n v="1597.76"/>
  </r>
  <r>
    <x v="0"/>
    <x v="2"/>
    <x v="1"/>
    <n v="1592.528"/>
  </r>
  <r>
    <x v="0"/>
    <x v="2"/>
    <x v="1"/>
    <n v="1600.2260000000001"/>
  </r>
  <r>
    <x v="0"/>
    <x v="2"/>
    <x v="1"/>
    <n v="1553.4880000000001"/>
  </r>
  <r>
    <x v="0"/>
    <x v="2"/>
    <x v="1"/>
    <n v="1613.3320000000001"/>
  </r>
  <r>
    <x v="0"/>
    <x v="2"/>
    <x v="1"/>
    <n v="1640.9110000000001"/>
  </r>
  <r>
    <x v="0"/>
    <x v="2"/>
    <x v="1"/>
    <n v="1577.45"/>
  </r>
  <r>
    <x v="0"/>
    <x v="2"/>
    <x v="1"/>
    <n v="1571.1890000000001"/>
  </r>
  <r>
    <x v="0"/>
    <x v="2"/>
    <x v="1"/>
    <n v="1593.9739999999999"/>
  </r>
  <r>
    <x v="0"/>
    <x v="2"/>
    <x v="1"/>
    <n v="1619.0719999999999"/>
  </r>
  <r>
    <x v="0"/>
    <x v="2"/>
    <x v="1"/>
    <n v="1568.8240000000001"/>
  </r>
  <r>
    <x v="0"/>
    <x v="2"/>
    <x v="1"/>
    <n v="1580.2059999999999"/>
  </r>
  <r>
    <x v="0"/>
    <x v="2"/>
    <x v="1"/>
    <n v="1581.3879999999999"/>
  </r>
  <r>
    <x v="0"/>
    <x v="2"/>
    <x v="1"/>
    <n v="1604.0709999999999"/>
  </r>
  <r>
    <x v="0"/>
    <x v="2"/>
    <x v="1"/>
    <n v="1552.915"/>
  </r>
  <r>
    <x v="0"/>
    <x v="2"/>
    <x v="1"/>
    <n v="1582.8810000000001"/>
  </r>
  <r>
    <x v="0"/>
    <x v="2"/>
    <x v="1"/>
    <n v="1546.05"/>
  </r>
  <r>
    <x v="0"/>
    <x v="2"/>
    <x v="1"/>
    <n v="1543.7"/>
  </r>
  <r>
    <x v="0"/>
    <x v="2"/>
    <x v="1"/>
    <n v="1620.6759999999999"/>
  </r>
  <r>
    <x v="0"/>
    <x v="2"/>
    <x v="1"/>
    <n v="1564.5070000000001"/>
  </r>
  <r>
    <x v="0"/>
    <x v="2"/>
    <x v="1"/>
    <n v="1582.729"/>
  </r>
  <r>
    <x v="0"/>
    <x v="2"/>
    <x v="1"/>
    <n v="1603.09"/>
  </r>
  <r>
    <x v="0"/>
    <x v="2"/>
    <x v="1"/>
    <n v="1622.6089999999999"/>
  </r>
  <r>
    <x v="0"/>
    <x v="2"/>
    <x v="1"/>
    <n v="1568.8240000000001"/>
  </r>
  <r>
    <x v="0"/>
    <x v="2"/>
    <x v="1"/>
    <n v="1594.3320000000001"/>
  </r>
  <r>
    <x v="0"/>
    <x v="2"/>
    <x v="1"/>
    <n v="1584.394"/>
  </r>
  <r>
    <x v="0"/>
    <x v="2"/>
    <x v="1"/>
    <n v="1574.1410000000001"/>
  </r>
  <r>
    <x v="0"/>
    <x v="2"/>
    <x v="1"/>
    <n v="1583.277"/>
  </r>
  <r>
    <x v="0"/>
    <x v="2"/>
    <x v="1"/>
    <n v="1570.1079999999999"/>
  </r>
  <r>
    <x v="0"/>
    <x v="2"/>
    <x v="1"/>
    <n v="1585.057"/>
  </r>
  <r>
    <x v="0"/>
    <x v="2"/>
    <x v="1"/>
    <n v="1595.8019999999999"/>
  </r>
  <r>
    <x v="0"/>
    <x v="2"/>
    <x v="1"/>
    <n v="1557.0530000000001"/>
  </r>
  <r>
    <x v="0"/>
    <x v="2"/>
    <x v="1"/>
    <n v="1545.2739999999999"/>
  </r>
  <r>
    <x v="0"/>
    <x v="2"/>
    <x v="1"/>
    <n v="1575.567"/>
  </r>
  <r>
    <x v="0"/>
    <x v="2"/>
    <x v="1"/>
    <n v="1570.789"/>
  </r>
  <r>
    <x v="0"/>
    <x v="2"/>
    <x v="1"/>
    <n v="1559.3309999999999"/>
  </r>
  <r>
    <x v="0"/>
    <x v="2"/>
    <x v="1"/>
    <n v="1552.962"/>
  </r>
  <r>
    <x v="0"/>
    <x v="2"/>
    <x v="1"/>
    <n v="1603.335"/>
  </r>
  <r>
    <x v="0"/>
    <x v="2"/>
    <x v="1"/>
    <n v="1589.434"/>
  </r>
  <r>
    <x v="0"/>
    <x v="2"/>
    <x v="1"/>
    <n v="1550.346"/>
  </r>
  <r>
    <x v="0"/>
    <x v="2"/>
    <x v="1"/>
    <n v="1576.4760000000001"/>
  </r>
  <r>
    <x v="0"/>
    <x v="2"/>
    <x v="1"/>
    <n v="1596.9949999999999"/>
  </r>
  <r>
    <x v="0"/>
    <x v="2"/>
    <x v="1"/>
    <n v="1620.758"/>
  </r>
  <r>
    <x v="0"/>
    <x v="2"/>
    <x v="1"/>
    <n v="1574.8019999999999"/>
  </r>
  <r>
    <x v="0"/>
    <x v="2"/>
    <x v="1"/>
    <n v="1594.548"/>
  </r>
  <r>
    <x v="0"/>
    <x v="2"/>
    <x v="1"/>
    <n v="1560.087"/>
  </r>
  <r>
    <x v="0"/>
    <x v="2"/>
    <x v="1"/>
    <n v="1577.4290000000001"/>
  </r>
  <r>
    <x v="0"/>
    <x v="2"/>
    <x v="1"/>
    <n v="1597.3320000000001"/>
  </r>
  <r>
    <x v="0"/>
    <x v="2"/>
    <x v="1"/>
    <n v="1608.769"/>
  </r>
  <r>
    <x v="0"/>
    <x v="2"/>
    <x v="1"/>
    <n v="1628.3710000000001"/>
  </r>
  <r>
    <x v="0"/>
    <x v="2"/>
    <x v="1"/>
    <n v="1579.028"/>
  </r>
  <r>
    <x v="0"/>
    <x v="2"/>
    <x v="1"/>
    <n v="1566.837"/>
  </r>
  <r>
    <x v="0"/>
    <x v="2"/>
    <x v="1"/>
    <n v="1629.703"/>
  </r>
  <r>
    <x v="0"/>
    <x v="2"/>
    <x v="1"/>
    <n v="1571.145"/>
  </r>
  <r>
    <x v="0"/>
    <x v="2"/>
    <x v="1"/>
    <n v="1590.8130000000001"/>
  </r>
  <r>
    <x v="0"/>
    <x v="2"/>
    <x v="1"/>
    <n v="1575.9259999999999"/>
  </r>
  <r>
    <x v="0"/>
    <x v="2"/>
    <x v="1"/>
    <n v="1559.6279999999999"/>
  </r>
  <r>
    <x v="0"/>
    <x v="2"/>
    <x v="1"/>
    <n v="1573.9090000000001"/>
  </r>
  <r>
    <x v="0"/>
    <x v="2"/>
    <x v="1"/>
    <n v="1600.7550000000001"/>
  </r>
  <r>
    <x v="0"/>
    <x v="2"/>
    <x v="1"/>
    <n v="1591.84"/>
  </r>
  <r>
    <x v="0"/>
    <x v="2"/>
    <x v="1"/>
    <n v="1609.577"/>
  </r>
  <r>
    <x v="0"/>
    <x v="2"/>
    <x v="1"/>
    <n v="1582.287"/>
  </r>
  <r>
    <x v="0"/>
    <x v="2"/>
    <x v="1"/>
    <n v="1588.472"/>
  </r>
  <r>
    <x v="0"/>
    <x v="2"/>
    <x v="1"/>
    <n v="1597.374"/>
  </r>
  <r>
    <x v="0"/>
    <x v="2"/>
    <x v="1"/>
    <n v="1582.9649999999999"/>
  </r>
  <r>
    <x v="0"/>
    <x v="2"/>
    <x v="1"/>
    <n v="1551.7170000000001"/>
  </r>
  <r>
    <x v="1"/>
    <x v="0"/>
    <x v="1"/>
    <n v="79.191999999999993"/>
  </r>
  <r>
    <x v="1"/>
    <x v="0"/>
    <x v="1"/>
    <n v="80.046999999999997"/>
  </r>
  <r>
    <x v="1"/>
    <x v="0"/>
    <x v="1"/>
    <n v="86.63"/>
  </r>
  <r>
    <x v="1"/>
    <x v="0"/>
    <x v="1"/>
    <n v="79.974000000000004"/>
  </r>
  <r>
    <x v="1"/>
    <x v="0"/>
    <x v="1"/>
    <n v="86.849000000000004"/>
  </r>
  <r>
    <x v="1"/>
    <x v="0"/>
    <x v="1"/>
    <n v="87.703000000000003"/>
  </r>
  <r>
    <x v="1"/>
    <x v="0"/>
    <x v="1"/>
    <n v="79.265000000000001"/>
  </r>
  <r>
    <x v="1"/>
    <x v="0"/>
    <x v="1"/>
    <n v="80.703000000000003"/>
  </r>
  <r>
    <x v="1"/>
    <x v="0"/>
    <x v="1"/>
    <n v="85.63"/>
  </r>
  <r>
    <x v="1"/>
    <x v="0"/>
    <x v="1"/>
    <n v="81.337999999999994"/>
  </r>
  <r>
    <x v="1"/>
    <x v="0"/>
    <x v="1"/>
    <n v="84.63"/>
  </r>
  <r>
    <x v="1"/>
    <x v="0"/>
    <x v="1"/>
    <n v="82.412000000000006"/>
  </r>
  <r>
    <x v="1"/>
    <x v="0"/>
    <x v="1"/>
    <n v="82.483999999999995"/>
  </r>
  <r>
    <x v="1"/>
    <x v="0"/>
    <x v="1"/>
    <n v="80.266000000000005"/>
  </r>
  <r>
    <x v="1"/>
    <x v="0"/>
    <x v="1"/>
    <n v="81.483999999999995"/>
  </r>
  <r>
    <x v="1"/>
    <x v="0"/>
    <x v="1"/>
    <n v="86.484999999999999"/>
  </r>
  <r>
    <x v="1"/>
    <x v="0"/>
    <x v="1"/>
    <n v="81.266000000000005"/>
  </r>
  <r>
    <x v="1"/>
    <x v="0"/>
    <x v="1"/>
    <n v="83.411000000000001"/>
  </r>
  <r>
    <x v="1"/>
    <x v="0"/>
    <x v="1"/>
    <n v="76.828000000000003"/>
  </r>
  <r>
    <x v="1"/>
    <x v="0"/>
    <x v="1"/>
    <n v="77.974000000000004"/>
  </r>
  <r>
    <x v="1"/>
    <x v="0"/>
    <x v="1"/>
    <n v="80.411000000000001"/>
  </r>
  <r>
    <x v="1"/>
    <x v="0"/>
    <x v="1"/>
    <n v="84.266000000000005"/>
  </r>
  <r>
    <x v="1"/>
    <x v="0"/>
    <x v="1"/>
    <n v="72.462999999999994"/>
  </r>
  <r>
    <x v="1"/>
    <x v="0"/>
    <x v="1"/>
    <n v="82.337999999999994"/>
  </r>
  <r>
    <x v="1"/>
    <x v="0"/>
    <x v="1"/>
    <n v="82.484999999999999"/>
  </r>
  <r>
    <x v="1"/>
    <x v="0"/>
    <x v="1"/>
    <n v="78.191999999999993"/>
  </r>
  <r>
    <x v="1"/>
    <x v="0"/>
    <x v="1"/>
    <n v="79.337999999999994"/>
  </r>
  <r>
    <x v="1"/>
    <x v="0"/>
    <x v="1"/>
    <n v="84.775999999999996"/>
  </r>
  <r>
    <x v="1"/>
    <x v="0"/>
    <x v="1"/>
    <n v="79.119"/>
  </r>
  <r>
    <x v="1"/>
    <x v="0"/>
    <x v="1"/>
    <n v="83.192999999999998"/>
  </r>
  <r>
    <x v="1"/>
    <x v="0"/>
    <x v="1"/>
    <n v="84.483999999999995"/>
  </r>
  <r>
    <x v="1"/>
    <x v="0"/>
    <x v="1"/>
    <n v="83.483999999999995"/>
  </r>
  <r>
    <x v="1"/>
    <x v="0"/>
    <x v="1"/>
    <n v="79.046999999999997"/>
  </r>
  <r>
    <x v="1"/>
    <x v="0"/>
    <x v="1"/>
    <n v="85.557000000000002"/>
  </r>
  <r>
    <x v="1"/>
    <x v="0"/>
    <x v="1"/>
    <n v="84.412000000000006"/>
  </r>
  <r>
    <x v="1"/>
    <x v="0"/>
    <x v="1"/>
    <n v="77.046000000000006"/>
  </r>
  <r>
    <x v="1"/>
    <x v="0"/>
    <x v="1"/>
    <n v="84.703000000000003"/>
  </r>
  <r>
    <x v="1"/>
    <x v="0"/>
    <x v="1"/>
    <n v="76.900999999999996"/>
  </r>
  <r>
    <x v="1"/>
    <x v="0"/>
    <x v="1"/>
    <n v="73.972999999999999"/>
  </r>
  <r>
    <x v="1"/>
    <x v="0"/>
    <x v="1"/>
    <n v="86.557000000000002"/>
  </r>
  <r>
    <x v="1"/>
    <x v="0"/>
    <x v="1"/>
    <n v="81.337999999999994"/>
  </r>
  <r>
    <x v="1"/>
    <x v="0"/>
    <x v="1"/>
    <n v="81.338999999999999"/>
  </r>
  <r>
    <x v="1"/>
    <x v="0"/>
    <x v="1"/>
    <n v="79.411000000000001"/>
  </r>
  <r>
    <x v="1"/>
    <x v="0"/>
    <x v="1"/>
    <n v="83.557000000000002"/>
  </r>
  <r>
    <x v="1"/>
    <x v="0"/>
    <x v="1"/>
    <n v="79.046999999999997"/>
  </r>
  <r>
    <x v="1"/>
    <x v="0"/>
    <x v="1"/>
    <n v="82.63"/>
  </r>
  <r>
    <x v="1"/>
    <x v="0"/>
    <x v="1"/>
    <n v="81.12"/>
  </r>
  <r>
    <x v="1"/>
    <x v="0"/>
    <x v="1"/>
    <n v="87.995000000000005"/>
  </r>
  <r>
    <x v="1"/>
    <x v="0"/>
    <x v="1"/>
    <n v="89.213999999999999"/>
  </r>
  <r>
    <x v="1"/>
    <x v="0"/>
    <x v="1"/>
    <n v="81.191999999999993"/>
  </r>
  <r>
    <x v="1"/>
    <x v="0"/>
    <x v="1"/>
    <n v="78.192999999999998"/>
  </r>
  <r>
    <x v="1"/>
    <x v="0"/>
    <x v="1"/>
    <n v="83.337999999999994"/>
  </r>
  <r>
    <x v="1"/>
    <x v="0"/>
    <x v="1"/>
    <n v="82.411000000000001"/>
  </r>
  <r>
    <x v="1"/>
    <x v="0"/>
    <x v="1"/>
    <n v="78.337999999999994"/>
  </r>
  <r>
    <x v="1"/>
    <x v="0"/>
    <x v="1"/>
    <n v="73.682000000000002"/>
  </r>
  <r>
    <x v="1"/>
    <x v="0"/>
    <x v="1"/>
    <n v="82.483999999999995"/>
  </r>
  <r>
    <x v="1"/>
    <x v="0"/>
    <x v="1"/>
    <n v="76.974000000000004"/>
  </r>
  <r>
    <x v="1"/>
    <x v="0"/>
    <x v="1"/>
    <n v="81.266000000000005"/>
  </r>
  <r>
    <x v="1"/>
    <x v="0"/>
    <x v="1"/>
    <n v="82.192999999999998"/>
  </r>
  <r>
    <x v="1"/>
    <x v="0"/>
    <x v="1"/>
    <n v="82.266000000000005"/>
  </r>
  <r>
    <x v="1"/>
    <x v="0"/>
    <x v="1"/>
    <n v="78.411000000000001"/>
  </r>
  <r>
    <x v="1"/>
    <x v="0"/>
    <x v="1"/>
    <n v="82.557000000000002"/>
  </r>
  <r>
    <x v="1"/>
    <x v="0"/>
    <x v="1"/>
    <n v="81.337999999999994"/>
  </r>
  <r>
    <x v="1"/>
    <x v="0"/>
    <x v="1"/>
    <n v="79.265000000000001"/>
  </r>
  <r>
    <x v="1"/>
    <x v="0"/>
    <x v="1"/>
    <n v="77.900999999999996"/>
  </r>
  <r>
    <x v="1"/>
    <x v="0"/>
    <x v="1"/>
    <n v="74.974000000000004"/>
  </r>
  <r>
    <x v="1"/>
    <x v="0"/>
    <x v="1"/>
    <n v="88.775999999999996"/>
  </r>
  <r>
    <x v="1"/>
    <x v="0"/>
    <x v="1"/>
    <n v="84.703000000000003"/>
  </r>
  <r>
    <x v="1"/>
    <x v="0"/>
    <x v="1"/>
    <n v="85.192999999999998"/>
  </r>
  <r>
    <x v="1"/>
    <x v="0"/>
    <x v="1"/>
    <n v="84.703000000000003"/>
  </r>
  <r>
    <x v="1"/>
    <x v="0"/>
    <x v="1"/>
    <n v="78.411000000000001"/>
  </r>
  <r>
    <x v="1"/>
    <x v="0"/>
    <x v="1"/>
    <n v="86.631"/>
  </r>
  <r>
    <x v="1"/>
    <x v="0"/>
    <x v="1"/>
    <n v="78.191999999999993"/>
  </r>
  <r>
    <x v="1"/>
    <x v="0"/>
    <x v="1"/>
    <n v="84.557000000000002"/>
  </r>
  <r>
    <x v="1"/>
    <x v="0"/>
    <x v="1"/>
    <n v="83.266000000000005"/>
  </r>
  <r>
    <x v="1"/>
    <x v="0"/>
    <x v="1"/>
    <n v="83.483999999999995"/>
  </r>
  <r>
    <x v="1"/>
    <x v="0"/>
    <x v="1"/>
    <n v="77.974000000000004"/>
  </r>
  <r>
    <x v="1"/>
    <x v="0"/>
    <x v="1"/>
    <n v="83.411000000000001"/>
  </r>
  <r>
    <x v="1"/>
    <x v="0"/>
    <x v="1"/>
    <n v="83.557000000000002"/>
  </r>
  <r>
    <x v="1"/>
    <x v="0"/>
    <x v="1"/>
    <n v="86.557000000000002"/>
  </r>
  <r>
    <x v="1"/>
    <x v="0"/>
    <x v="1"/>
    <n v="86.849000000000004"/>
  </r>
  <r>
    <x v="1"/>
    <x v="0"/>
    <x v="1"/>
    <n v="80.191999999999993"/>
  </r>
  <r>
    <x v="1"/>
    <x v="0"/>
    <x v="1"/>
    <n v="81.411000000000001"/>
  </r>
  <r>
    <x v="1"/>
    <x v="0"/>
    <x v="1"/>
    <n v="84.557000000000002"/>
  </r>
  <r>
    <x v="1"/>
    <x v="0"/>
    <x v="1"/>
    <n v="80.974000000000004"/>
  </r>
  <r>
    <x v="1"/>
    <x v="0"/>
    <x v="1"/>
    <n v="81.265000000000001"/>
  </r>
  <r>
    <x v="1"/>
    <x v="0"/>
    <x v="1"/>
    <n v="85.483999999999995"/>
  </r>
  <r>
    <x v="1"/>
    <x v="0"/>
    <x v="1"/>
    <n v="81.192999999999998"/>
  </r>
  <r>
    <x v="1"/>
    <x v="0"/>
    <x v="1"/>
    <n v="82.63"/>
  </r>
  <r>
    <x v="1"/>
    <x v="0"/>
    <x v="1"/>
    <n v="83.265000000000001"/>
  </r>
  <r>
    <x v="1"/>
    <x v="0"/>
    <x v="1"/>
    <n v="80.192999999999998"/>
  </r>
  <r>
    <x v="1"/>
    <x v="0"/>
    <x v="1"/>
    <n v="76.974000000000004"/>
  </r>
  <r>
    <x v="1"/>
    <x v="0"/>
    <x v="1"/>
    <n v="87.849000000000004"/>
  </r>
  <r>
    <x v="1"/>
    <x v="0"/>
    <x v="1"/>
    <n v="82.12"/>
  </r>
  <r>
    <x v="1"/>
    <x v="0"/>
    <x v="1"/>
    <n v="85.703000000000003"/>
  </r>
  <r>
    <x v="1"/>
    <x v="0"/>
    <x v="1"/>
    <n v="85.483999999999995"/>
  </r>
  <r>
    <x v="1"/>
    <x v="0"/>
    <x v="1"/>
    <n v="81.411000000000001"/>
  </r>
  <r>
    <x v="1"/>
    <x v="0"/>
    <x v="1"/>
    <n v="81.266000000000005"/>
  </r>
  <r>
    <x v="1"/>
    <x v="0"/>
    <x v="1"/>
    <n v="78.191999999999993"/>
  </r>
  <r>
    <x v="1"/>
    <x v="0"/>
    <x v="1"/>
    <n v="83.337999999999994"/>
  </r>
  <r>
    <x v="1"/>
    <x v="1"/>
    <x v="1"/>
    <n v="514.41"/>
  </r>
  <r>
    <x v="1"/>
    <x v="1"/>
    <x v="1"/>
    <n v="510.66500000000002"/>
  </r>
  <r>
    <x v="1"/>
    <x v="1"/>
    <x v="1"/>
    <n v="499.75400000000002"/>
  </r>
  <r>
    <x v="1"/>
    <x v="1"/>
    <x v="1"/>
    <n v="512.53099999999995"/>
  </r>
  <r>
    <x v="1"/>
    <x v="1"/>
    <x v="1"/>
    <n v="510.82299999999998"/>
  </r>
  <r>
    <x v="1"/>
    <x v="1"/>
    <x v="1"/>
    <n v="504.435"/>
  </r>
  <r>
    <x v="1"/>
    <x v="1"/>
    <x v="1"/>
    <n v="506.53100000000001"/>
  </r>
  <r>
    <x v="1"/>
    <x v="1"/>
    <x v="1"/>
    <n v="519.20399999999995"/>
  </r>
  <r>
    <x v="1"/>
    <x v="1"/>
    <x v="1"/>
    <n v="508.52499999999998"/>
  </r>
  <r>
    <x v="1"/>
    <x v="1"/>
    <x v="1"/>
    <n v="514.04200000000003"/>
  </r>
  <r>
    <x v="1"/>
    <x v="1"/>
    <x v="1"/>
    <n v="530.59699999999998"/>
  </r>
  <r>
    <x v="1"/>
    <x v="1"/>
    <x v="1"/>
    <n v="509.65199999999999"/>
  </r>
  <r>
    <x v="1"/>
    <x v="1"/>
    <x v="1"/>
    <n v="510.86700000000002"/>
  </r>
  <r>
    <x v="1"/>
    <x v="1"/>
    <x v="1"/>
    <n v="509.642"/>
  </r>
  <r>
    <x v="1"/>
    <x v="1"/>
    <x v="1"/>
    <n v="518.88400000000001"/>
  </r>
  <r>
    <x v="1"/>
    <x v="1"/>
    <x v="1"/>
    <n v="502.28399999999999"/>
  </r>
  <r>
    <x v="1"/>
    <x v="1"/>
    <x v="1"/>
    <n v="518.83500000000004"/>
  </r>
  <r>
    <x v="1"/>
    <x v="1"/>
    <x v="1"/>
    <n v="506.71699999999998"/>
  </r>
  <r>
    <x v="1"/>
    <x v="1"/>
    <x v="1"/>
    <n v="499.90800000000002"/>
  </r>
  <r>
    <x v="1"/>
    <x v="1"/>
    <x v="1"/>
    <n v="520.62800000000004"/>
  </r>
  <r>
    <x v="1"/>
    <x v="1"/>
    <x v="1"/>
    <n v="505.18299999999999"/>
  </r>
  <r>
    <x v="1"/>
    <x v="1"/>
    <x v="1"/>
    <n v="507.99200000000002"/>
  </r>
  <r>
    <x v="1"/>
    <x v="1"/>
    <x v="1"/>
    <n v="510.42200000000003"/>
  </r>
  <r>
    <x v="1"/>
    <x v="1"/>
    <x v="1"/>
    <n v="520.58900000000006"/>
  </r>
  <r>
    <x v="1"/>
    <x v="1"/>
    <x v="1"/>
    <n v="524.25"/>
  </r>
  <r>
    <x v="1"/>
    <x v="1"/>
    <x v="1"/>
    <n v="519.82000000000005"/>
  </r>
  <r>
    <x v="1"/>
    <x v="1"/>
    <x v="1"/>
    <n v="514.65200000000004"/>
  </r>
  <r>
    <x v="1"/>
    <x v="1"/>
    <x v="1"/>
    <n v="511.03500000000003"/>
  </r>
  <r>
    <x v="1"/>
    <x v="1"/>
    <x v="1"/>
    <n v="523.41499999999996"/>
  </r>
  <r>
    <x v="1"/>
    <x v="1"/>
    <x v="1"/>
    <n v="500.221"/>
  </r>
  <r>
    <x v="1"/>
    <x v="1"/>
    <x v="1"/>
    <n v="513.54600000000005"/>
  </r>
  <r>
    <x v="1"/>
    <x v="1"/>
    <x v="1"/>
    <n v="508.44200000000001"/>
  </r>
  <r>
    <x v="1"/>
    <x v="1"/>
    <x v="1"/>
    <n v="514.50199999999995"/>
  </r>
  <r>
    <x v="1"/>
    <x v="1"/>
    <x v="1"/>
    <n v="506.78300000000002"/>
  </r>
  <r>
    <x v="1"/>
    <x v="1"/>
    <x v="1"/>
    <n v="512.01300000000003"/>
  </r>
  <r>
    <x v="1"/>
    <x v="1"/>
    <x v="1"/>
    <n v="505.19900000000001"/>
  </r>
  <r>
    <x v="1"/>
    <x v="1"/>
    <x v="1"/>
    <n v="509.79399999999998"/>
  </r>
  <r>
    <x v="1"/>
    <x v="1"/>
    <x v="1"/>
    <n v="509.94400000000002"/>
  </r>
  <r>
    <x v="1"/>
    <x v="1"/>
    <x v="1"/>
    <n v="511.887"/>
  </r>
  <r>
    <x v="1"/>
    <x v="1"/>
    <x v="1"/>
    <n v="512.17100000000005"/>
  </r>
  <r>
    <x v="1"/>
    <x v="1"/>
    <x v="1"/>
    <n v="509.04"/>
  </r>
  <r>
    <x v="1"/>
    <x v="1"/>
    <x v="1"/>
    <n v="510.50299999999999"/>
  </r>
  <r>
    <x v="1"/>
    <x v="1"/>
    <x v="1"/>
    <n v="498.44799999999998"/>
  </r>
  <r>
    <x v="1"/>
    <x v="1"/>
    <x v="1"/>
    <n v="513.09"/>
  </r>
  <r>
    <x v="1"/>
    <x v="1"/>
    <x v="1"/>
    <n v="512.88300000000004"/>
  </r>
  <r>
    <x v="1"/>
    <x v="1"/>
    <x v="1"/>
    <n v="503.57600000000002"/>
  </r>
  <r>
    <x v="1"/>
    <x v="1"/>
    <x v="1"/>
    <n v="513.827"/>
  </r>
  <r>
    <x v="1"/>
    <x v="1"/>
    <x v="1"/>
    <n v="520.27"/>
  </r>
  <r>
    <x v="1"/>
    <x v="1"/>
    <x v="1"/>
    <n v="507.78699999999998"/>
  </r>
  <r>
    <x v="1"/>
    <x v="1"/>
    <x v="1"/>
    <n v="503.34"/>
  </r>
  <r>
    <x v="1"/>
    <x v="1"/>
    <x v="1"/>
    <n v="522.11900000000003"/>
  </r>
  <r>
    <x v="1"/>
    <x v="1"/>
    <x v="1"/>
    <n v="508.20299999999997"/>
  </r>
  <r>
    <x v="1"/>
    <x v="1"/>
    <x v="1"/>
    <n v="504.91500000000002"/>
  </r>
  <r>
    <x v="1"/>
    <x v="1"/>
    <x v="1"/>
    <n v="495.96899999999999"/>
  </r>
  <r>
    <x v="1"/>
    <x v="1"/>
    <x v="1"/>
    <n v="495.74"/>
  </r>
  <r>
    <x v="1"/>
    <x v="1"/>
    <x v="1"/>
    <n v="509.62099999999998"/>
  </r>
  <r>
    <x v="1"/>
    <x v="1"/>
    <x v="1"/>
    <n v="504.70400000000001"/>
  </r>
  <r>
    <x v="1"/>
    <x v="1"/>
    <x v="1"/>
    <n v="501.37799999999999"/>
  </r>
  <r>
    <x v="1"/>
    <x v="1"/>
    <x v="1"/>
    <n v="515.00900000000001"/>
  </r>
  <r>
    <x v="1"/>
    <x v="1"/>
    <x v="1"/>
    <n v="523.05700000000002"/>
  </r>
  <r>
    <x v="1"/>
    <x v="1"/>
    <x v="1"/>
    <n v="508.62700000000001"/>
  </r>
  <r>
    <x v="1"/>
    <x v="1"/>
    <x v="1"/>
    <n v="521.59100000000001"/>
  </r>
  <r>
    <x v="1"/>
    <x v="1"/>
    <x v="1"/>
    <n v="521.68600000000004"/>
  </r>
  <r>
    <x v="1"/>
    <x v="1"/>
    <x v="1"/>
    <n v="503.98099999999999"/>
  </r>
  <r>
    <x v="1"/>
    <x v="1"/>
    <x v="1"/>
    <n v="518.46199999999999"/>
  </r>
  <r>
    <x v="1"/>
    <x v="1"/>
    <x v="1"/>
    <n v="504.05700000000002"/>
  </r>
  <r>
    <x v="1"/>
    <x v="1"/>
    <x v="1"/>
    <n v="508.13099999999997"/>
  </r>
  <r>
    <x v="1"/>
    <x v="1"/>
    <x v="1"/>
    <n v="523.88599999999997"/>
  </r>
  <r>
    <x v="1"/>
    <x v="1"/>
    <x v="1"/>
    <n v="514.70399999999995"/>
  </r>
  <r>
    <x v="1"/>
    <x v="1"/>
    <x v="1"/>
    <n v="524.45000000000005"/>
  </r>
  <r>
    <x v="1"/>
    <x v="1"/>
    <x v="1"/>
    <n v="503.48500000000001"/>
  </r>
  <r>
    <x v="1"/>
    <x v="1"/>
    <x v="1"/>
    <n v="497.44799999999998"/>
  </r>
  <r>
    <x v="1"/>
    <x v="1"/>
    <x v="1"/>
    <n v="523.25800000000004"/>
  </r>
  <r>
    <x v="1"/>
    <x v="1"/>
    <x v="1"/>
    <n v="506.60500000000002"/>
  </r>
  <r>
    <x v="1"/>
    <x v="1"/>
    <x v="1"/>
    <n v="499.84899999999999"/>
  </r>
  <r>
    <x v="1"/>
    <x v="1"/>
    <x v="1"/>
    <n v="500.995"/>
  </r>
  <r>
    <x v="1"/>
    <x v="1"/>
    <x v="1"/>
    <n v="504.89100000000002"/>
  </r>
  <r>
    <x v="1"/>
    <x v="1"/>
    <x v="1"/>
    <n v="502.15100000000001"/>
  </r>
  <r>
    <x v="1"/>
    <x v="1"/>
    <x v="1"/>
    <n v="518.72400000000005"/>
  </r>
  <r>
    <x v="1"/>
    <x v="1"/>
    <x v="1"/>
    <n v="511.13200000000001"/>
  </r>
  <r>
    <x v="1"/>
    <x v="1"/>
    <x v="1"/>
    <n v="511.87799999999999"/>
  </r>
  <r>
    <x v="1"/>
    <x v="1"/>
    <x v="1"/>
    <n v="514.13199999999995"/>
  </r>
  <r>
    <x v="1"/>
    <x v="1"/>
    <x v="1"/>
    <n v="505.74299999999999"/>
  </r>
  <r>
    <x v="1"/>
    <x v="1"/>
    <x v="1"/>
    <n v="511.608"/>
  </r>
  <r>
    <x v="1"/>
    <x v="1"/>
    <x v="1"/>
    <n v="511.63099999999997"/>
  </r>
  <r>
    <x v="1"/>
    <x v="1"/>
    <x v="1"/>
    <n v="506.565"/>
  </r>
  <r>
    <x v="1"/>
    <x v="1"/>
    <x v="1"/>
    <n v="513.67399999999998"/>
  </r>
  <r>
    <x v="1"/>
    <x v="1"/>
    <x v="1"/>
    <n v="509.87799999999999"/>
  </r>
  <r>
    <x v="1"/>
    <x v="1"/>
    <x v="1"/>
    <n v="512.71799999999996"/>
  </r>
  <r>
    <x v="1"/>
    <x v="1"/>
    <x v="1"/>
    <n v="490.85300000000001"/>
  </r>
  <r>
    <x v="1"/>
    <x v="1"/>
    <x v="1"/>
    <n v="503.33499999999998"/>
  </r>
  <r>
    <x v="1"/>
    <x v="1"/>
    <x v="1"/>
    <n v="513.976"/>
  </r>
  <r>
    <x v="1"/>
    <x v="1"/>
    <x v="1"/>
    <n v="508.05700000000002"/>
  </r>
  <r>
    <x v="1"/>
    <x v="1"/>
    <x v="1"/>
    <n v="496.024"/>
  </r>
  <r>
    <x v="1"/>
    <x v="1"/>
    <x v="1"/>
    <n v="498.19299999999998"/>
  </r>
  <r>
    <x v="1"/>
    <x v="1"/>
    <x v="1"/>
    <n v="502.92200000000003"/>
  </r>
  <r>
    <x v="1"/>
    <x v="1"/>
    <x v="1"/>
    <n v="507.34899999999999"/>
  </r>
  <r>
    <x v="1"/>
    <x v="1"/>
    <x v="1"/>
    <n v="501.96199999999999"/>
  </r>
  <r>
    <x v="1"/>
    <x v="1"/>
    <x v="1"/>
    <n v="521.41"/>
  </r>
  <r>
    <x v="1"/>
    <x v="1"/>
    <x v="1"/>
    <n v="503.77300000000002"/>
  </r>
  <r>
    <x v="1"/>
    <x v="2"/>
    <x v="1"/>
    <n v="1607.0740000000001"/>
  </r>
  <r>
    <x v="1"/>
    <x v="2"/>
    <x v="1"/>
    <n v="1611.146"/>
  </r>
  <r>
    <x v="1"/>
    <x v="2"/>
    <x v="1"/>
    <n v="1600.7280000000001"/>
  </r>
  <r>
    <x v="1"/>
    <x v="2"/>
    <x v="1"/>
    <n v="1596.027"/>
  </r>
  <r>
    <x v="1"/>
    <x v="2"/>
    <x v="1"/>
    <n v="1604.471"/>
  </r>
  <r>
    <x v="1"/>
    <x v="2"/>
    <x v="1"/>
    <n v="1620.9059999999999"/>
  </r>
  <r>
    <x v="1"/>
    <x v="2"/>
    <x v="1"/>
    <n v="1598.229"/>
  </r>
  <r>
    <x v="1"/>
    <x v="2"/>
    <x v="1"/>
    <n v="1601.799"/>
  </r>
  <r>
    <x v="1"/>
    <x v="2"/>
    <x v="1"/>
    <n v="1575.5630000000001"/>
  </r>
  <r>
    <x v="1"/>
    <x v="2"/>
    <x v="1"/>
    <n v="1596.01"/>
  </r>
  <r>
    <x v="1"/>
    <x v="2"/>
    <x v="1"/>
    <n v="1573.7760000000001"/>
  </r>
  <r>
    <x v="1"/>
    <x v="2"/>
    <x v="1"/>
    <n v="1595.4870000000001"/>
  </r>
  <r>
    <x v="1"/>
    <x v="2"/>
    <x v="1"/>
    <n v="1604.6510000000001"/>
  </r>
  <r>
    <x v="1"/>
    <x v="2"/>
    <x v="1"/>
    <n v="1607.2239999999999"/>
  </r>
  <r>
    <x v="1"/>
    <x v="2"/>
    <x v="1"/>
    <n v="1585.7429999999999"/>
  </r>
  <r>
    <x v="1"/>
    <x v="2"/>
    <x v="1"/>
    <n v="1618.5709999999999"/>
  </r>
  <r>
    <x v="1"/>
    <x v="2"/>
    <x v="1"/>
    <n v="1581.4110000000001"/>
  </r>
  <r>
    <x v="1"/>
    <x v="2"/>
    <x v="1"/>
    <n v="1595.3309999999999"/>
  </r>
  <r>
    <x v="1"/>
    <x v="2"/>
    <x v="1"/>
    <n v="1596.751"/>
  </r>
  <r>
    <x v="1"/>
    <x v="2"/>
    <x v="1"/>
    <n v="1602.2159999999999"/>
  </r>
  <r>
    <x v="1"/>
    <x v="2"/>
    <x v="1"/>
    <n v="1590.058"/>
  </r>
  <r>
    <x v="1"/>
    <x v="2"/>
    <x v="1"/>
    <n v="1597.9469999999999"/>
  </r>
  <r>
    <x v="1"/>
    <x v="2"/>
    <x v="1"/>
    <n v="1621.5909999999999"/>
  </r>
  <r>
    <x v="1"/>
    <x v="2"/>
    <x v="1"/>
    <n v="1588.7239999999999"/>
  </r>
  <r>
    <x v="1"/>
    <x v="2"/>
    <x v="1"/>
    <n v="1603.0889999999999"/>
  </r>
  <r>
    <x v="1"/>
    <x v="2"/>
    <x v="1"/>
    <n v="1607.4549999999999"/>
  </r>
  <r>
    <x v="1"/>
    <x v="2"/>
    <x v="1"/>
    <n v="1581.633"/>
  </r>
  <r>
    <x v="1"/>
    <x v="2"/>
    <x v="1"/>
    <n v="1580.297"/>
  </r>
  <r>
    <x v="1"/>
    <x v="2"/>
    <x v="1"/>
    <n v="1605.58"/>
  </r>
  <r>
    <x v="1"/>
    <x v="2"/>
    <x v="1"/>
    <n v="1591.2650000000001"/>
  </r>
  <r>
    <x v="1"/>
    <x v="2"/>
    <x v="1"/>
    <n v="1596.278"/>
  </r>
  <r>
    <x v="1"/>
    <x v="2"/>
    <x v="1"/>
    <n v="1596.123"/>
  </r>
  <r>
    <x v="1"/>
    <x v="2"/>
    <x v="1"/>
    <n v="1621.02"/>
  </r>
  <r>
    <x v="1"/>
    <x v="2"/>
    <x v="1"/>
    <n v="1604.87"/>
  </r>
  <r>
    <x v="1"/>
    <x v="2"/>
    <x v="1"/>
    <n v="1590.2470000000001"/>
  </r>
  <r>
    <x v="1"/>
    <x v="2"/>
    <x v="1"/>
    <n v="1606.9169999999999"/>
  </r>
  <r>
    <x v="1"/>
    <x v="2"/>
    <x v="1"/>
    <n v="1578.6220000000001"/>
  </r>
  <r>
    <x v="1"/>
    <x v="2"/>
    <x v="1"/>
    <n v="1603.0540000000001"/>
  </r>
  <r>
    <x v="1"/>
    <x v="2"/>
    <x v="1"/>
    <n v="1596.8779999999999"/>
  </r>
  <r>
    <x v="1"/>
    <x v="2"/>
    <x v="1"/>
    <n v="1587.88"/>
  </r>
  <r>
    <x v="1"/>
    <x v="2"/>
    <x v="1"/>
    <n v="1594.1010000000001"/>
  </r>
  <r>
    <x v="1"/>
    <x v="2"/>
    <x v="1"/>
    <n v="1608.4159999999999"/>
  </r>
  <r>
    <x v="1"/>
    <x v="2"/>
    <x v="1"/>
    <n v="1613.626"/>
  </r>
  <r>
    <x v="1"/>
    <x v="2"/>
    <x v="1"/>
    <n v="1575.127"/>
  </r>
  <r>
    <x v="1"/>
    <x v="2"/>
    <x v="1"/>
    <n v="1598.6420000000001"/>
  </r>
  <r>
    <x v="1"/>
    <x v="2"/>
    <x v="1"/>
    <n v="1596.8820000000001"/>
  </r>
  <r>
    <x v="1"/>
    <x v="2"/>
    <x v="1"/>
    <n v="1602.864"/>
  </r>
  <r>
    <x v="1"/>
    <x v="2"/>
    <x v="1"/>
    <n v="1615.338"/>
  </r>
  <r>
    <x v="1"/>
    <x v="2"/>
    <x v="1"/>
    <n v="1613.0650000000001"/>
  </r>
  <r>
    <x v="1"/>
    <x v="2"/>
    <x v="1"/>
    <n v="1601.0350000000001"/>
  </r>
  <r>
    <x v="1"/>
    <x v="2"/>
    <x v="1"/>
    <n v="1594.681"/>
  </r>
  <r>
    <x v="1"/>
    <x v="2"/>
    <x v="1"/>
    <n v="1582.126"/>
  </r>
  <r>
    <x v="1"/>
    <x v="2"/>
    <x v="1"/>
    <n v="1607.28"/>
  </r>
  <r>
    <x v="1"/>
    <x v="2"/>
    <x v="1"/>
    <n v="1607.847"/>
  </r>
  <r>
    <x v="1"/>
    <x v="2"/>
    <x v="1"/>
    <n v="1610.7940000000001"/>
  </r>
  <r>
    <x v="1"/>
    <x v="2"/>
    <x v="1"/>
    <n v="1609.943"/>
  </r>
  <r>
    <x v="1"/>
    <x v="2"/>
    <x v="1"/>
    <n v="1596.4159999999999"/>
  </r>
  <r>
    <x v="1"/>
    <x v="2"/>
    <x v="1"/>
    <n v="1577.8779999999999"/>
  </r>
  <r>
    <x v="1"/>
    <x v="2"/>
    <x v="1"/>
    <n v="1609.944"/>
  </r>
  <r>
    <x v="1"/>
    <x v="2"/>
    <x v="1"/>
    <n v="1581.1179999999999"/>
  </r>
  <r>
    <x v="1"/>
    <x v="2"/>
    <x v="1"/>
    <n v="1601.63"/>
  </r>
  <r>
    <x v="1"/>
    <x v="2"/>
    <x v="1"/>
    <n v="1607.0029999999999"/>
  </r>
  <r>
    <x v="1"/>
    <x v="2"/>
    <x v="1"/>
    <n v="1618.106"/>
  </r>
  <r>
    <x v="1"/>
    <x v="2"/>
    <x v="1"/>
    <n v="1596.0609999999999"/>
  </r>
  <r>
    <x v="1"/>
    <x v="2"/>
    <x v="1"/>
    <n v="1588.0029999999999"/>
  </r>
  <r>
    <x v="1"/>
    <x v="2"/>
    <x v="1"/>
    <n v="1603.877"/>
  </r>
  <r>
    <x v="1"/>
    <x v="2"/>
    <x v="1"/>
    <n v="1618.7860000000001"/>
  </r>
  <r>
    <x v="1"/>
    <x v="2"/>
    <x v="1"/>
    <n v="1600.5940000000001"/>
  </r>
  <r>
    <x v="1"/>
    <x v="2"/>
    <x v="1"/>
    <n v="1597.771"/>
  </r>
  <r>
    <x v="1"/>
    <x v="2"/>
    <x v="1"/>
    <n v="1590.402"/>
  </r>
  <r>
    <x v="1"/>
    <x v="2"/>
    <x v="1"/>
    <n v="1607.028"/>
  </r>
  <r>
    <x v="1"/>
    <x v="2"/>
    <x v="1"/>
    <n v="1581.038"/>
  </r>
  <r>
    <x v="1"/>
    <x v="2"/>
    <x v="1"/>
    <n v="1592.52"/>
  </r>
  <r>
    <x v="1"/>
    <x v="2"/>
    <x v="1"/>
    <n v="1590.287"/>
  </r>
  <r>
    <x v="1"/>
    <x v="2"/>
    <x v="1"/>
    <n v="1588.6869999999999"/>
  </r>
  <r>
    <x v="1"/>
    <x v="2"/>
    <x v="1"/>
    <n v="1576.778"/>
  </r>
  <r>
    <x v="1"/>
    <x v="2"/>
    <x v="1"/>
    <n v="1594.374"/>
  </r>
  <r>
    <x v="1"/>
    <x v="2"/>
    <x v="1"/>
    <n v="1598.1690000000001"/>
  </r>
  <r>
    <x v="1"/>
    <x v="2"/>
    <x v="1"/>
    <n v="1599.826"/>
  </r>
  <r>
    <x v="1"/>
    <x v="2"/>
    <x v="1"/>
    <n v="1593.7049999999999"/>
  </r>
  <r>
    <x v="1"/>
    <x v="2"/>
    <x v="1"/>
    <n v="1572.3520000000001"/>
  </r>
  <r>
    <x v="1"/>
    <x v="2"/>
    <x v="1"/>
    <n v="1583.481"/>
  </r>
  <r>
    <x v="1"/>
    <x v="2"/>
    <x v="1"/>
    <n v="1593.7819999999999"/>
  </r>
  <r>
    <x v="1"/>
    <x v="2"/>
    <x v="1"/>
    <n v="1609.798"/>
  </r>
  <r>
    <x v="1"/>
    <x v="2"/>
    <x v="1"/>
    <n v="1592.67"/>
  </r>
  <r>
    <x v="1"/>
    <x v="2"/>
    <x v="1"/>
    <n v="1599.8969999999999"/>
  </r>
  <r>
    <x v="1"/>
    <x v="2"/>
    <x v="1"/>
    <n v="1581.6510000000001"/>
  </r>
  <r>
    <x v="1"/>
    <x v="2"/>
    <x v="1"/>
    <n v="1587.616"/>
  </r>
  <r>
    <x v="1"/>
    <x v="2"/>
    <x v="1"/>
    <n v="1603.356"/>
  </r>
  <r>
    <x v="1"/>
    <x v="2"/>
    <x v="1"/>
    <n v="1591.9380000000001"/>
  </r>
  <r>
    <x v="1"/>
    <x v="2"/>
    <x v="1"/>
    <n v="1618.9369999999999"/>
  </r>
  <r>
    <x v="1"/>
    <x v="2"/>
    <x v="1"/>
    <n v="1592.682"/>
  </r>
  <r>
    <x v="1"/>
    <x v="2"/>
    <x v="1"/>
    <n v="1598.239"/>
  </r>
  <r>
    <x v="1"/>
    <x v="2"/>
    <x v="1"/>
    <n v="1604.5229999999999"/>
  </r>
  <r>
    <x v="1"/>
    <x v="2"/>
    <x v="1"/>
    <n v="1617.412"/>
  </r>
  <r>
    <x v="1"/>
    <x v="2"/>
    <x v="1"/>
    <n v="1577.653"/>
  </r>
  <r>
    <x v="1"/>
    <x v="2"/>
    <x v="1"/>
    <n v="1600.357"/>
  </r>
  <r>
    <x v="1"/>
    <x v="2"/>
    <x v="1"/>
    <n v="1613.0029999999999"/>
  </r>
  <r>
    <x v="1"/>
    <x v="2"/>
    <x v="1"/>
    <n v="1591.9680000000001"/>
  </r>
  <r>
    <x v="1"/>
    <x v="2"/>
    <x v="1"/>
    <n v="1607.971"/>
  </r>
  <r>
    <x v="2"/>
    <x v="0"/>
    <x v="1"/>
    <n v="82.266000000000005"/>
  </r>
  <r>
    <x v="2"/>
    <x v="0"/>
    <x v="1"/>
    <n v="71.316999999999993"/>
  </r>
  <r>
    <x v="2"/>
    <x v="0"/>
    <x v="1"/>
    <n v="66.462999999999994"/>
  </r>
  <r>
    <x v="2"/>
    <x v="0"/>
    <x v="1"/>
    <n v="76.608999999999995"/>
  </r>
  <r>
    <x v="2"/>
    <x v="0"/>
    <x v="1"/>
    <n v="69.097999999999999"/>
  </r>
  <r>
    <x v="2"/>
    <x v="0"/>
    <x v="1"/>
    <n v="84.191999999999993"/>
  </r>
  <r>
    <x v="2"/>
    <x v="0"/>
    <x v="1"/>
    <n v="77.900999999999996"/>
  </r>
  <r>
    <x v="2"/>
    <x v="0"/>
    <x v="1"/>
    <n v="75.828000000000003"/>
  </r>
  <r>
    <x v="2"/>
    <x v="0"/>
    <x v="1"/>
    <n v="84.12"/>
  </r>
  <r>
    <x v="2"/>
    <x v="0"/>
    <x v="1"/>
    <n v="78.046000000000006"/>
  </r>
  <r>
    <x v="2"/>
    <x v="0"/>
    <x v="1"/>
    <n v="87.266000000000005"/>
  </r>
  <r>
    <x v="2"/>
    <x v="0"/>
    <x v="1"/>
    <n v="70.462999999999994"/>
  </r>
  <r>
    <x v="2"/>
    <x v="0"/>
    <x v="1"/>
    <n v="67.754000000000005"/>
  </r>
  <r>
    <x v="2"/>
    <x v="0"/>
    <x v="1"/>
    <n v="79.900000000000006"/>
  </r>
  <r>
    <x v="2"/>
    <x v="0"/>
    <x v="1"/>
    <n v="87.483999999999995"/>
  </r>
  <r>
    <x v="2"/>
    <x v="0"/>
    <x v="1"/>
    <n v="76.608999999999995"/>
  </r>
  <r>
    <x v="2"/>
    <x v="0"/>
    <x v="1"/>
    <n v="82.900999999999996"/>
  </r>
  <r>
    <x v="2"/>
    <x v="0"/>
    <x v="1"/>
    <n v="74.826999999999998"/>
  </r>
  <r>
    <x v="2"/>
    <x v="0"/>
    <x v="1"/>
    <n v="75.119"/>
  </r>
  <r>
    <x v="2"/>
    <x v="0"/>
    <x v="1"/>
    <n v="70.39"/>
  </r>
  <r>
    <x v="2"/>
    <x v="0"/>
    <x v="1"/>
    <n v="68.680999999999997"/>
  </r>
  <r>
    <x v="2"/>
    <x v="0"/>
    <x v="1"/>
    <n v="70.316999999999993"/>
  </r>
  <r>
    <x v="2"/>
    <x v="0"/>
    <x v="1"/>
    <n v="83.411000000000001"/>
  </r>
  <r>
    <x v="2"/>
    <x v="0"/>
    <x v="1"/>
    <n v="72.536000000000001"/>
  </r>
  <r>
    <x v="2"/>
    <x v="0"/>
    <x v="1"/>
    <n v="74.680999999999997"/>
  </r>
  <r>
    <x v="2"/>
    <x v="0"/>
    <x v="1"/>
    <n v="75.900999999999996"/>
  </r>
  <r>
    <x v="2"/>
    <x v="0"/>
    <x v="1"/>
    <n v="74.682000000000002"/>
  </r>
  <r>
    <x v="2"/>
    <x v="0"/>
    <x v="1"/>
    <n v="67.171000000000006"/>
  </r>
  <r>
    <x v="2"/>
    <x v="0"/>
    <x v="1"/>
    <n v="82.900999999999996"/>
  </r>
  <r>
    <x v="2"/>
    <x v="0"/>
    <x v="1"/>
    <n v="71.608999999999995"/>
  </r>
  <r>
    <x v="2"/>
    <x v="0"/>
    <x v="1"/>
    <n v="68.171000000000006"/>
  </r>
  <r>
    <x v="2"/>
    <x v="0"/>
    <x v="1"/>
    <n v="81.265000000000001"/>
  </r>
  <r>
    <x v="2"/>
    <x v="0"/>
    <x v="1"/>
    <n v="73.536000000000001"/>
  </r>
  <r>
    <x v="2"/>
    <x v="0"/>
    <x v="1"/>
    <n v="69.316999999999993"/>
  </r>
  <r>
    <x v="2"/>
    <x v="0"/>
    <x v="1"/>
    <n v="78.046000000000006"/>
  </r>
  <r>
    <x v="2"/>
    <x v="0"/>
    <x v="1"/>
    <n v="70.536000000000001"/>
  </r>
  <r>
    <x v="2"/>
    <x v="0"/>
    <x v="1"/>
    <n v="77.046000000000006"/>
  </r>
  <r>
    <x v="2"/>
    <x v="0"/>
    <x v="1"/>
    <n v="87.483999999999995"/>
  </r>
  <r>
    <x v="2"/>
    <x v="0"/>
    <x v="1"/>
    <n v="77.900999999999996"/>
  </r>
  <r>
    <x v="2"/>
    <x v="0"/>
    <x v="1"/>
    <n v="80.12"/>
  </r>
  <r>
    <x v="2"/>
    <x v="0"/>
    <x v="1"/>
    <n v="75.828000000000003"/>
  </r>
  <r>
    <x v="2"/>
    <x v="0"/>
    <x v="1"/>
    <n v="78.119"/>
  </r>
  <r>
    <x v="2"/>
    <x v="0"/>
    <x v="1"/>
    <n v="72.900000000000006"/>
  </r>
  <r>
    <x v="2"/>
    <x v="0"/>
    <x v="1"/>
    <n v="75.828000000000003"/>
  </r>
  <r>
    <x v="2"/>
    <x v="0"/>
    <x v="1"/>
    <n v="84.411000000000001"/>
  </r>
  <r>
    <x v="2"/>
    <x v="0"/>
    <x v="1"/>
    <n v="70.244"/>
  </r>
  <r>
    <x v="2"/>
    <x v="0"/>
    <x v="1"/>
    <n v="75.682000000000002"/>
  </r>
  <r>
    <x v="2"/>
    <x v="0"/>
    <x v="1"/>
    <n v="75.900999999999996"/>
  </r>
  <r>
    <x v="2"/>
    <x v="0"/>
    <x v="1"/>
    <n v="75.608999999999995"/>
  </r>
  <r>
    <x v="2"/>
    <x v="0"/>
    <x v="1"/>
    <n v="78.974000000000004"/>
  </r>
  <r>
    <x v="2"/>
    <x v="0"/>
    <x v="1"/>
    <n v="80.265000000000001"/>
  </r>
  <r>
    <x v="2"/>
    <x v="0"/>
    <x v="1"/>
    <n v="70.316999999999993"/>
  </r>
  <r>
    <x v="2"/>
    <x v="0"/>
    <x v="1"/>
    <n v="86.483999999999995"/>
  </r>
  <r>
    <x v="2"/>
    <x v="0"/>
    <x v="1"/>
    <n v="86.900999999999996"/>
  </r>
  <r>
    <x v="2"/>
    <x v="0"/>
    <x v="1"/>
    <n v="82.411000000000001"/>
  </r>
  <r>
    <x v="2"/>
    <x v="0"/>
    <x v="1"/>
    <n v="79.119"/>
  </r>
  <r>
    <x v="2"/>
    <x v="0"/>
    <x v="1"/>
    <n v="74.462999999999994"/>
  </r>
  <r>
    <x v="2"/>
    <x v="0"/>
    <x v="1"/>
    <n v="74.754999999999995"/>
  </r>
  <r>
    <x v="2"/>
    <x v="0"/>
    <x v="1"/>
    <n v="76.608999999999995"/>
  </r>
  <r>
    <x v="2"/>
    <x v="0"/>
    <x v="1"/>
    <n v="73.682000000000002"/>
  </r>
  <r>
    <x v="2"/>
    <x v="0"/>
    <x v="1"/>
    <n v="79.900999999999996"/>
  </r>
  <r>
    <x v="2"/>
    <x v="0"/>
    <x v="1"/>
    <n v="78.191999999999993"/>
  </r>
  <r>
    <x v="2"/>
    <x v="0"/>
    <x v="1"/>
    <n v="74.536000000000001"/>
  </r>
  <r>
    <x v="2"/>
    <x v="0"/>
    <x v="1"/>
    <n v="87.483999999999995"/>
  </r>
  <r>
    <x v="2"/>
    <x v="0"/>
    <x v="1"/>
    <n v="68.462999999999994"/>
  </r>
  <r>
    <x v="2"/>
    <x v="0"/>
    <x v="1"/>
    <n v="85.265000000000001"/>
  </r>
  <r>
    <x v="2"/>
    <x v="0"/>
    <x v="1"/>
    <n v="73.536000000000001"/>
  </r>
  <r>
    <x v="2"/>
    <x v="0"/>
    <x v="1"/>
    <n v="73.682000000000002"/>
  </r>
  <r>
    <x v="2"/>
    <x v="0"/>
    <x v="1"/>
    <n v="77.828000000000003"/>
  </r>
  <r>
    <x v="2"/>
    <x v="0"/>
    <x v="1"/>
    <n v="82.119"/>
  </r>
  <r>
    <x v="2"/>
    <x v="0"/>
    <x v="1"/>
    <n v="75.462999999999994"/>
  </r>
  <r>
    <x v="2"/>
    <x v="0"/>
    <x v="1"/>
    <n v="77.680999999999997"/>
  </r>
  <r>
    <x v="2"/>
    <x v="0"/>
    <x v="1"/>
    <n v="85.557000000000002"/>
  </r>
  <r>
    <x v="2"/>
    <x v="0"/>
    <x v="1"/>
    <n v="77.828000000000003"/>
  </r>
  <r>
    <x v="2"/>
    <x v="0"/>
    <x v="1"/>
    <n v="86.12"/>
  </r>
  <r>
    <x v="2"/>
    <x v="0"/>
    <x v="1"/>
    <n v="79.828000000000003"/>
  </r>
  <r>
    <x v="2"/>
    <x v="0"/>
    <x v="1"/>
    <n v="73.608999999999995"/>
  </r>
  <r>
    <x v="2"/>
    <x v="0"/>
    <x v="1"/>
    <n v="81.337999999999994"/>
  </r>
  <r>
    <x v="2"/>
    <x v="0"/>
    <x v="1"/>
    <n v="77.754999999999995"/>
  </r>
  <r>
    <x v="2"/>
    <x v="0"/>
    <x v="1"/>
    <n v="76.900000000000006"/>
  </r>
  <r>
    <x v="2"/>
    <x v="0"/>
    <x v="1"/>
    <n v="78.462999999999994"/>
  </r>
  <r>
    <x v="2"/>
    <x v="0"/>
    <x v="1"/>
    <n v="71.39"/>
  </r>
  <r>
    <x v="2"/>
    <x v="0"/>
    <x v="1"/>
    <n v="82.191999999999993"/>
  </r>
  <r>
    <x v="2"/>
    <x v="0"/>
    <x v="1"/>
    <n v="73.608999999999995"/>
  </r>
  <r>
    <x v="2"/>
    <x v="0"/>
    <x v="1"/>
    <n v="69.39"/>
  </r>
  <r>
    <x v="2"/>
    <x v="0"/>
    <x v="1"/>
    <n v="82.191999999999993"/>
  </r>
  <r>
    <x v="2"/>
    <x v="0"/>
    <x v="1"/>
    <n v="73.536000000000001"/>
  </r>
  <r>
    <x v="2"/>
    <x v="0"/>
    <x v="1"/>
    <n v="81.337999999999994"/>
  </r>
  <r>
    <x v="2"/>
    <x v="0"/>
    <x v="1"/>
    <n v="83.046999999999997"/>
  </r>
  <r>
    <x v="2"/>
    <x v="0"/>
    <x v="1"/>
    <n v="71.536000000000001"/>
  </r>
  <r>
    <x v="2"/>
    <x v="0"/>
    <x v="1"/>
    <n v="79.191999999999993"/>
  </r>
  <r>
    <x v="2"/>
    <x v="0"/>
    <x v="1"/>
    <n v="81.046999999999997"/>
  </r>
  <r>
    <x v="2"/>
    <x v="0"/>
    <x v="1"/>
    <n v="74.608999999999995"/>
  </r>
  <r>
    <x v="2"/>
    <x v="0"/>
    <x v="1"/>
    <n v="73.39"/>
  </r>
  <r>
    <x v="2"/>
    <x v="0"/>
    <x v="1"/>
    <n v="75.119"/>
  </r>
  <r>
    <x v="2"/>
    <x v="0"/>
    <x v="1"/>
    <n v="77.754999999999995"/>
  </r>
  <r>
    <x v="2"/>
    <x v="0"/>
    <x v="1"/>
    <n v="71.316999999999993"/>
  </r>
  <r>
    <x v="2"/>
    <x v="0"/>
    <x v="1"/>
    <n v="69.462999999999994"/>
  </r>
  <r>
    <x v="2"/>
    <x v="0"/>
    <x v="1"/>
    <n v="83.191999999999993"/>
  </r>
  <r>
    <x v="2"/>
    <x v="0"/>
    <x v="1"/>
    <n v="77.900999999999996"/>
  </r>
  <r>
    <x v="2"/>
    <x v="1"/>
    <x v="1"/>
    <n v="458.56799999999998"/>
  </r>
  <r>
    <x v="2"/>
    <x v="1"/>
    <x v="1"/>
    <n v="464.88499999999999"/>
  </r>
  <r>
    <x v="2"/>
    <x v="1"/>
    <x v="1"/>
    <n v="464.83"/>
  </r>
  <r>
    <x v="2"/>
    <x v="1"/>
    <x v="1"/>
    <n v="455.85"/>
  </r>
  <r>
    <x v="2"/>
    <x v="1"/>
    <x v="1"/>
    <n v="470.86"/>
  </r>
  <r>
    <x v="2"/>
    <x v="1"/>
    <x v="1"/>
    <n v="452.93599999999998"/>
  </r>
  <r>
    <x v="2"/>
    <x v="1"/>
    <x v="1"/>
    <n v="472.00599999999997"/>
  </r>
  <r>
    <x v="2"/>
    <x v="1"/>
    <x v="1"/>
    <n v="455.38299999999998"/>
  </r>
  <r>
    <x v="2"/>
    <x v="1"/>
    <x v="1"/>
    <n v="455.31900000000002"/>
  </r>
  <r>
    <x v="2"/>
    <x v="1"/>
    <x v="1"/>
    <n v="433.98"/>
  </r>
  <r>
    <x v="2"/>
    <x v="1"/>
    <x v="1"/>
    <n v="469.78699999999998"/>
  </r>
  <r>
    <x v="2"/>
    <x v="1"/>
    <x v="1"/>
    <n v="460.08800000000002"/>
  </r>
  <r>
    <x v="2"/>
    <x v="1"/>
    <x v="1"/>
    <n v="453.35700000000003"/>
  </r>
  <r>
    <x v="2"/>
    <x v="1"/>
    <x v="1"/>
    <n v="494.50599999999997"/>
  </r>
  <r>
    <x v="2"/>
    <x v="1"/>
    <x v="1"/>
    <n v="454.67200000000003"/>
  </r>
  <r>
    <x v="2"/>
    <x v="1"/>
    <x v="1"/>
    <n v="460.73899999999998"/>
  </r>
  <r>
    <x v="2"/>
    <x v="1"/>
    <x v="1"/>
    <n v="452.58699999999999"/>
  </r>
  <r>
    <x v="2"/>
    <x v="1"/>
    <x v="1"/>
    <n v="473.87200000000001"/>
  </r>
  <r>
    <x v="2"/>
    <x v="1"/>
    <x v="1"/>
    <n v="447.80399999999997"/>
  </r>
  <r>
    <x v="2"/>
    <x v="1"/>
    <x v="1"/>
    <n v="468.43"/>
  </r>
  <r>
    <x v="2"/>
    <x v="1"/>
    <x v="1"/>
    <n v="471.49200000000002"/>
  </r>
  <r>
    <x v="2"/>
    <x v="1"/>
    <x v="1"/>
    <n v="456.29199999999997"/>
  </r>
  <r>
    <x v="2"/>
    <x v="1"/>
    <x v="1"/>
    <n v="448.85"/>
  </r>
  <r>
    <x v="2"/>
    <x v="1"/>
    <x v="1"/>
    <n v="454.28800000000001"/>
  </r>
  <r>
    <x v="2"/>
    <x v="1"/>
    <x v="1"/>
    <n v="476.22899999999998"/>
  </r>
  <r>
    <x v="2"/>
    <x v="1"/>
    <x v="1"/>
    <n v="436.791"/>
  </r>
  <r>
    <x v="2"/>
    <x v="1"/>
    <x v="1"/>
    <n v="478.7"/>
  </r>
  <r>
    <x v="2"/>
    <x v="1"/>
    <x v="1"/>
    <n v="457.49299999999999"/>
  </r>
  <r>
    <x v="2"/>
    <x v="1"/>
    <x v="1"/>
    <n v="460.88499999999999"/>
  </r>
  <r>
    <x v="2"/>
    <x v="1"/>
    <x v="1"/>
    <n v="456.923"/>
  </r>
  <r>
    <x v="2"/>
    <x v="1"/>
    <x v="1"/>
    <n v="463.221"/>
  </r>
  <r>
    <x v="2"/>
    <x v="1"/>
    <x v="1"/>
    <n v="462.46300000000002"/>
  </r>
  <r>
    <x v="2"/>
    <x v="1"/>
    <x v="1"/>
    <n v="457.44"/>
  </r>
  <r>
    <x v="2"/>
    <x v="1"/>
    <x v="1"/>
    <n v="468.86"/>
  </r>
  <r>
    <x v="2"/>
    <x v="1"/>
    <x v="1"/>
    <n v="470.34100000000001"/>
  </r>
  <r>
    <x v="2"/>
    <x v="1"/>
    <x v="1"/>
    <n v="463.30099999999999"/>
  </r>
  <r>
    <x v="2"/>
    <x v="1"/>
    <x v="1"/>
    <n v="461.28800000000001"/>
  </r>
  <r>
    <x v="2"/>
    <x v="1"/>
    <x v="1"/>
    <n v="474.61200000000002"/>
  </r>
  <r>
    <x v="2"/>
    <x v="1"/>
    <x v="1"/>
    <n v="476.36700000000002"/>
  </r>
  <r>
    <x v="2"/>
    <x v="1"/>
    <x v="1"/>
    <n v="436.75"/>
  </r>
  <r>
    <x v="2"/>
    <x v="1"/>
    <x v="1"/>
    <n v="455.64100000000002"/>
  </r>
  <r>
    <x v="2"/>
    <x v="1"/>
    <x v="1"/>
    <n v="465.48500000000001"/>
  </r>
  <r>
    <x v="2"/>
    <x v="1"/>
    <x v="1"/>
    <n v="466.113"/>
  </r>
  <r>
    <x v="2"/>
    <x v="1"/>
    <x v="1"/>
    <n v="445.32600000000002"/>
  </r>
  <r>
    <x v="2"/>
    <x v="1"/>
    <x v="1"/>
    <n v="464.32499999999999"/>
  </r>
  <r>
    <x v="2"/>
    <x v="1"/>
    <x v="1"/>
    <n v="485.488"/>
  </r>
  <r>
    <x v="2"/>
    <x v="1"/>
    <x v="1"/>
    <n v="463.97300000000001"/>
  </r>
  <r>
    <x v="2"/>
    <x v="1"/>
    <x v="1"/>
    <n v="441.92500000000001"/>
  </r>
  <r>
    <x v="2"/>
    <x v="1"/>
    <x v="1"/>
    <n v="443.29700000000003"/>
  </r>
  <r>
    <x v="2"/>
    <x v="1"/>
    <x v="1"/>
    <n v="457.71899999999999"/>
  </r>
  <r>
    <x v="2"/>
    <x v="1"/>
    <x v="1"/>
    <n v="452.22899999999998"/>
  </r>
  <r>
    <x v="2"/>
    <x v="1"/>
    <x v="1"/>
    <n v="465.55099999999999"/>
  </r>
  <r>
    <x v="2"/>
    <x v="1"/>
    <x v="1"/>
    <n v="463.66"/>
  </r>
  <r>
    <x v="2"/>
    <x v="1"/>
    <x v="1"/>
    <n v="463.488"/>
  </r>
  <r>
    <x v="2"/>
    <x v="1"/>
    <x v="1"/>
    <n v="466.86"/>
  </r>
  <r>
    <x v="2"/>
    <x v="1"/>
    <x v="1"/>
    <n v="457.846"/>
  </r>
  <r>
    <x v="2"/>
    <x v="1"/>
    <x v="1"/>
    <n v="468.32"/>
  </r>
  <r>
    <x v="2"/>
    <x v="1"/>
    <x v="1"/>
    <n v="487.82400000000001"/>
  </r>
  <r>
    <x v="2"/>
    <x v="1"/>
    <x v="1"/>
    <n v="466.19799999999998"/>
  </r>
  <r>
    <x v="2"/>
    <x v="1"/>
    <x v="1"/>
    <n v="470.51799999999997"/>
  </r>
  <r>
    <x v="2"/>
    <x v="1"/>
    <x v="1"/>
    <n v="459.45499999999998"/>
  </r>
  <r>
    <x v="2"/>
    <x v="1"/>
    <x v="1"/>
    <n v="451.44499999999999"/>
  </r>
  <r>
    <x v="2"/>
    <x v="1"/>
    <x v="1"/>
    <n v="453.28199999999998"/>
  </r>
  <r>
    <x v="2"/>
    <x v="1"/>
    <x v="1"/>
    <n v="468.56"/>
  </r>
  <r>
    <x v="2"/>
    <x v="1"/>
    <x v="1"/>
    <n v="473.435"/>
  </r>
  <r>
    <x v="2"/>
    <x v="1"/>
    <x v="1"/>
    <n v="462.61599999999999"/>
  </r>
  <r>
    <x v="2"/>
    <x v="1"/>
    <x v="1"/>
    <n v="457.99200000000002"/>
  </r>
  <r>
    <x v="2"/>
    <x v="1"/>
    <x v="1"/>
    <n v="453.01499999999999"/>
  </r>
  <r>
    <x v="2"/>
    <x v="1"/>
    <x v="1"/>
    <n v="447.95"/>
  </r>
  <r>
    <x v="2"/>
    <x v="1"/>
    <x v="1"/>
    <n v="470.19200000000001"/>
  </r>
  <r>
    <x v="2"/>
    <x v="1"/>
    <x v="1"/>
    <n v="469.37799999999999"/>
  </r>
  <r>
    <x v="2"/>
    <x v="1"/>
    <x v="1"/>
    <n v="460.56299999999999"/>
  </r>
  <r>
    <x v="2"/>
    <x v="1"/>
    <x v="1"/>
    <n v="457.08300000000003"/>
  </r>
  <r>
    <x v="2"/>
    <x v="1"/>
    <x v="1"/>
    <n v="465.27600000000001"/>
  </r>
  <r>
    <x v="2"/>
    <x v="1"/>
    <x v="1"/>
    <n v="453.08"/>
  </r>
  <r>
    <x v="2"/>
    <x v="1"/>
    <x v="1"/>
    <n v="476.45100000000002"/>
  </r>
  <r>
    <x v="2"/>
    <x v="1"/>
    <x v="1"/>
    <n v="467.73599999999999"/>
  </r>
  <r>
    <x v="2"/>
    <x v="1"/>
    <x v="1"/>
    <n v="463.80200000000002"/>
  </r>
  <r>
    <x v="2"/>
    <x v="1"/>
    <x v="1"/>
    <n v="435.50299999999999"/>
  </r>
  <r>
    <x v="2"/>
    <x v="1"/>
    <x v="1"/>
    <n v="441.43200000000002"/>
  </r>
  <r>
    <x v="2"/>
    <x v="1"/>
    <x v="1"/>
    <n v="447.86900000000003"/>
  </r>
  <r>
    <x v="2"/>
    <x v="1"/>
    <x v="1"/>
    <n v="480.11099999999999"/>
  </r>
  <r>
    <x v="2"/>
    <x v="1"/>
    <x v="1"/>
    <n v="451.279"/>
  </r>
  <r>
    <x v="2"/>
    <x v="1"/>
    <x v="1"/>
    <n v="466.017"/>
  </r>
  <r>
    <x v="2"/>
    <x v="1"/>
    <x v="1"/>
    <n v="437.81099999999998"/>
  </r>
  <r>
    <x v="2"/>
    <x v="1"/>
    <x v="1"/>
    <n v="458.35199999999998"/>
  </r>
  <r>
    <x v="2"/>
    <x v="1"/>
    <x v="1"/>
    <n v="453.72500000000002"/>
  </r>
  <r>
    <x v="2"/>
    <x v="1"/>
    <x v="1"/>
    <n v="451.18299999999999"/>
  </r>
  <r>
    <x v="2"/>
    <x v="1"/>
    <x v="1"/>
    <n v="469.697"/>
  </r>
  <r>
    <x v="2"/>
    <x v="1"/>
    <x v="1"/>
    <n v="436.70299999999997"/>
  </r>
  <r>
    <x v="2"/>
    <x v="1"/>
    <x v="1"/>
    <n v="450.601"/>
  </r>
  <r>
    <x v="2"/>
    <x v="1"/>
    <x v="1"/>
    <n v="457.79599999999999"/>
  </r>
  <r>
    <x v="2"/>
    <x v="1"/>
    <x v="1"/>
    <n v="471.423"/>
  </r>
  <r>
    <x v="2"/>
    <x v="1"/>
    <x v="1"/>
    <n v="462.88499999999999"/>
  </r>
  <r>
    <x v="2"/>
    <x v="1"/>
    <x v="1"/>
    <n v="471.72899999999998"/>
  </r>
  <r>
    <x v="2"/>
    <x v="1"/>
    <x v="1"/>
    <n v="450.02800000000002"/>
  </r>
  <r>
    <x v="2"/>
    <x v="1"/>
    <x v="1"/>
    <n v="462.15499999999997"/>
  </r>
  <r>
    <x v="2"/>
    <x v="1"/>
    <x v="1"/>
    <n v="445.83699999999999"/>
  </r>
  <r>
    <x v="2"/>
    <x v="1"/>
    <x v="1"/>
    <n v="485.96600000000001"/>
  </r>
  <r>
    <x v="2"/>
    <x v="1"/>
    <x v="1"/>
    <n v="451.58600000000001"/>
  </r>
  <r>
    <x v="2"/>
    <x v="2"/>
    <x v="1"/>
    <n v="1424.627"/>
  </r>
  <r>
    <x v="2"/>
    <x v="2"/>
    <x v="1"/>
    <n v="1416.05"/>
  </r>
  <r>
    <x v="2"/>
    <x v="2"/>
    <x v="1"/>
    <n v="1407.2349999999999"/>
  </r>
  <r>
    <x v="2"/>
    <x v="2"/>
    <x v="1"/>
    <n v="1409.7070000000001"/>
  </r>
  <r>
    <x v="2"/>
    <x v="2"/>
    <x v="1"/>
    <n v="1383.251"/>
  </r>
  <r>
    <x v="2"/>
    <x v="2"/>
    <x v="1"/>
    <n v="1375.0909999999999"/>
  </r>
  <r>
    <x v="2"/>
    <x v="2"/>
    <x v="1"/>
    <n v="1397.3779999999999"/>
  </r>
  <r>
    <x v="2"/>
    <x v="2"/>
    <x v="1"/>
    <n v="1419.11"/>
  </r>
  <r>
    <x v="2"/>
    <x v="2"/>
    <x v="1"/>
    <n v="1399.2329999999999"/>
  </r>
  <r>
    <x v="2"/>
    <x v="2"/>
    <x v="1"/>
    <n v="1423.3869999999999"/>
  </r>
  <r>
    <x v="2"/>
    <x v="2"/>
    <x v="1"/>
    <n v="1415.8109999999999"/>
  </r>
  <r>
    <x v="2"/>
    <x v="2"/>
    <x v="1"/>
    <n v="1418.2"/>
  </r>
  <r>
    <x v="2"/>
    <x v="2"/>
    <x v="1"/>
    <n v="1402.4739999999999"/>
  </r>
  <r>
    <x v="2"/>
    <x v="2"/>
    <x v="1"/>
    <n v="1438.4570000000001"/>
  </r>
  <r>
    <x v="2"/>
    <x v="2"/>
    <x v="1"/>
    <n v="1424.117"/>
  </r>
  <r>
    <x v="2"/>
    <x v="2"/>
    <x v="1"/>
    <n v="1430.8579999999999"/>
  </r>
  <r>
    <x v="2"/>
    <x v="2"/>
    <x v="1"/>
    <n v="1397.3489999999999"/>
  </r>
  <r>
    <x v="2"/>
    <x v="2"/>
    <x v="1"/>
    <n v="1417.47"/>
  </r>
  <r>
    <x v="2"/>
    <x v="2"/>
    <x v="1"/>
    <n v="1411.1369999999999"/>
  </r>
  <r>
    <x v="2"/>
    <x v="2"/>
    <x v="1"/>
    <n v="1440.318"/>
  </r>
  <r>
    <x v="2"/>
    <x v="2"/>
    <x v="1"/>
    <n v="1405.1320000000001"/>
  </r>
  <r>
    <x v="2"/>
    <x v="2"/>
    <x v="1"/>
    <n v="1400.8869999999999"/>
  </r>
  <r>
    <x v="2"/>
    <x v="2"/>
    <x v="1"/>
    <n v="1428.095"/>
  </r>
  <r>
    <x v="2"/>
    <x v="2"/>
    <x v="1"/>
    <n v="1377.684"/>
  </r>
  <r>
    <x v="2"/>
    <x v="2"/>
    <x v="1"/>
    <n v="1423.4880000000001"/>
  </r>
  <r>
    <x v="2"/>
    <x v="2"/>
    <x v="1"/>
    <n v="1417.43"/>
  </r>
  <r>
    <x v="2"/>
    <x v="2"/>
    <x v="1"/>
    <n v="1406.7159999999999"/>
  </r>
  <r>
    <x v="2"/>
    <x v="2"/>
    <x v="1"/>
    <n v="1420.116"/>
  </r>
  <r>
    <x v="2"/>
    <x v="2"/>
    <x v="1"/>
    <n v="1416.56"/>
  </r>
  <r>
    <x v="2"/>
    <x v="2"/>
    <x v="1"/>
    <n v="1428.672"/>
  </r>
  <r>
    <x v="2"/>
    <x v="2"/>
    <x v="1"/>
    <n v="1398.575"/>
  </r>
  <r>
    <x v="2"/>
    <x v="2"/>
    <x v="1"/>
    <n v="1404.3589999999999"/>
  </r>
  <r>
    <x v="2"/>
    <x v="2"/>
    <x v="1"/>
    <n v="1402.402"/>
  </r>
  <r>
    <x v="2"/>
    <x v="2"/>
    <x v="1"/>
    <n v="1400.165"/>
  </r>
  <r>
    <x v="2"/>
    <x v="2"/>
    <x v="1"/>
    <n v="1415.569"/>
  </r>
  <r>
    <x v="2"/>
    <x v="2"/>
    <x v="1"/>
    <n v="1414.846"/>
  </r>
  <r>
    <x v="2"/>
    <x v="2"/>
    <x v="1"/>
    <n v="1383.1310000000001"/>
  </r>
  <r>
    <x v="2"/>
    <x v="2"/>
    <x v="1"/>
    <n v="1407.8109999999999"/>
  </r>
  <r>
    <x v="2"/>
    <x v="2"/>
    <x v="1"/>
    <n v="1375.3389999999999"/>
  </r>
  <r>
    <x v="2"/>
    <x v="2"/>
    <x v="1"/>
    <n v="1416.931"/>
  </r>
  <r>
    <x v="2"/>
    <x v="2"/>
    <x v="1"/>
    <n v="1405.116"/>
  </r>
  <r>
    <x v="2"/>
    <x v="2"/>
    <x v="1"/>
    <n v="1391.76"/>
  </r>
  <r>
    <x v="2"/>
    <x v="2"/>
    <x v="1"/>
    <n v="1390.1310000000001"/>
  </r>
  <r>
    <x v="2"/>
    <x v="2"/>
    <x v="1"/>
    <n v="1428.576"/>
  </r>
  <r>
    <x v="2"/>
    <x v="2"/>
    <x v="1"/>
    <n v="1436.9580000000001"/>
  </r>
  <r>
    <x v="2"/>
    <x v="2"/>
    <x v="1"/>
    <n v="1413.8309999999999"/>
  </r>
  <r>
    <x v="2"/>
    <x v="2"/>
    <x v="1"/>
    <n v="1418.7529999999999"/>
  </r>
  <r>
    <x v="2"/>
    <x v="2"/>
    <x v="1"/>
    <n v="1422.4880000000001"/>
  </r>
  <r>
    <x v="2"/>
    <x v="2"/>
    <x v="1"/>
    <n v="1427.3689999999999"/>
  </r>
  <r>
    <x v="2"/>
    <x v="2"/>
    <x v="1"/>
    <n v="1422.797"/>
  </r>
  <r>
    <x v="2"/>
    <x v="2"/>
    <x v="1"/>
    <n v="1401.3869999999999"/>
  </r>
  <r>
    <x v="2"/>
    <x v="2"/>
    <x v="1"/>
    <n v="1469.2049999999999"/>
  </r>
  <r>
    <x v="2"/>
    <x v="2"/>
    <x v="1"/>
    <n v="1402.241"/>
  </r>
  <r>
    <x v="2"/>
    <x v="2"/>
    <x v="1"/>
    <n v="1442.9690000000001"/>
  </r>
  <r>
    <x v="2"/>
    <x v="2"/>
    <x v="1"/>
    <n v="1438.126"/>
  </r>
  <r>
    <x v="2"/>
    <x v="2"/>
    <x v="1"/>
    <n v="1443.0730000000001"/>
  </r>
  <r>
    <x v="2"/>
    <x v="2"/>
    <x v="1"/>
    <n v="1422.4590000000001"/>
  </r>
  <r>
    <x v="2"/>
    <x v="2"/>
    <x v="1"/>
    <n v="1441.82"/>
  </r>
  <r>
    <x v="2"/>
    <x v="2"/>
    <x v="1"/>
    <n v="1417.8589999999999"/>
  </r>
  <r>
    <x v="2"/>
    <x v="2"/>
    <x v="1"/>
    <n v="1399.9"/>
  </r>
  <r>
    <x v="2"/>
    <x v="2"/>
    <x v="1"/>
    <n v="1461.02"/>
  </r>
  <r>
    <x v="2"/>
    <x v="2"/>
    <x v="1"/>
    <n v="1434.5219999999999"/>
  </r>
  <r>
    <x v="2"/>
    <x v="2"/>
    <x v="1"/>
    <n v="1429.921"/>
  </r>
  <r>
    <x v="2"/>
    <x v="2"/>
    <x v="1"/>
    <n v="1404.7670000000001"/>
  </r>
  <r>
    <x v="2"/>
    <x v="2"/>
    <x v="1"/>
    <n v="1391.3109999999999"/>
  </r>
  <r>
    <x v="2"/>
    <x v="2"/>
    <x v="1"/>
    <n v="1391.672"/>
  </r>
  <r>
    <x v="2"/>
    <x v="2"/>
    <x v="1"/>
    <n v="1432.2840000000001"/>
  </r>
  <r>
    <x v="2"/>
    <x v="2"/>
    <x v="1"/>
    <n v="1416.9760000000001"/>
  </r>
  <r>
    <x v="2"/>
    <x v="2"/>
    <x v="1"/>
    <n v="1393.298"/>
  </r>
  <r>
    <x v="2"/>
    <x v="2"/>
    <x v="1"/>
    <n v="1403.66"/>
  </r>
  <r>
    <x v="2"/>
    <x v="2"/>
    <x v="1"/>
    <n v="1428.471"/>
  </r>
  <r>
    <x v="2"/>
    <x v="2"/>
    <x v="1"/>
    <n v="1418.5139999999999"/>
  </r>
  <r>
    <x v="2"/>
    <x v="2"/>
    <x v="1"/>
    <n v="1380.338"/>
  </r>
  <r>
    <x v="2"/>
    <x v="2"/>
    <x v="1"/>
    <n v="1418.4110000000001"/>
  </r>
  <r>
    <x v="2"/>
    <x v="2"/>
    <x v="1"/>
    <n v="1416.325"/>
  </r>
  <r>
    <x v="2"/>
    <x v="2"/>
    <x v="1"/>
    <n v="1411.068"/>
  </r>
  <r>
    <x v="2"/>
    <x v="2"/>
    <x v="1"/>
    <n v="1391.557"/>
  </r>
  <r>
    <x v="2"/>
    <x v="2"/>
    <x v="1"/>
    <n v="1430.8530000000001"/>
  </r>
  <r>
    <x v="2"/>
    <x v="2"/>
    <x v="1"/>
    <n v="1406.2629999999999"/>
  </r>
  <r>
    <x v="2"/>
    <x v="2"/>
    <x v="1"/>
    <n v="1441.6890000000001"/>
  </r>
  <r>
    <x v="2"/>
    <x v="2"/>
    <x v="1"/>
    <n v="1416.16"/>
  </r>
  <r>
    <x v="2"/>
    <x v="2"/>
    <x v="1"/>
    <n v="1382.693"/>
  </r>
  <r>
    <x v="2"/>
    <x v="2"/>
    <x v="1"/>
    <n v="1405.124"/>
  </r>
  <r>
    <x v="2"/>
    <x v="2"/>
    <x v="1"/>
    <n v="1417.1859999999999"/>
  </r>
  <r>
    <x v="2"/>
    <x v="2"/>
    <x v="1"/>
    <n v="1441.404"/>
  </r>
  <r>
    <x v="2"/>
    <x v="2"/>
    <x v="1"/>
    <n v="1395.184"/>
  </r>
  <r>
    <x v="2"/>
    <x v="2"/>
    <x v="1"/>
    <n v="1415.021"/>
  </r>
  <r>
    <x v="2"/>
    <x v="2"/>
    <x v="1"/>
    <n v="1413.299"/>
  </r>
  <r>
    <x v="2"/>
    <x v="2"/>
    <x v="1"/>
    <n v="1400.6849999999999"/>
  </r>
  <r>
    <x v="2"/>
    <x v="2"/>
    <x v="1"/>
    <n v="1444.0989999999999"/>
  </r>
  <r>
    <x v="2"/>
    <x v="2"/>
    <x v="1"/>
    <n v="1409.098"/>
  </r>
  <r>
    <x v="2"/>
    <x v="2"/>
    <x v="1"/>
    <n v="1415.663"/>
  </r>
  <r>
    <x v="2"/>
    <x v="2"/>
    <x v="1"/>
    <n v="1393.896"/>
  </r>
  <r>
    <x v="2"/>
    <x v="2"/>
    <x v="1"/>
    <n v="1418.7260000000001"/>
  </r>
  <r>
    <x v="2"/>
    <x v="2"/>
    <x v="1"/>
    <n v="1437.0129999999999"/>
  </r>
  <r>
    <x v="2"/>
    <x v="2"/>
    <x v="1"/>
    <n v="1410.252"/>
  </r>
  <r>
    <x v="2"/>
    <x v="2"/>
    <x v="1"/>
    <n v="1401.4680000000001"/>
  </r>
  <r>
    <x v="2"/>
    <x v="2"/>
    <x v="1"/>
    <n v="1394.029"/>
  </r>
  <r>
    <x v="2"/>
    <x v="2"/>
    <x v="1"/>
    <n v="1379.9549999999999"/>
  </r>
  <r>
    <x v="2"/>
    <x v="2"/>
    <x v="1"/>
    <n v="1428.84"/>
  </r>
  <r>
    <x v="0"/>
    <x v="0"/>
    <x v="2"/>
    <n v="110.57899999999999"/>
  </r>
  <r>
    <x v="0"/>
    <x v="0"/>
    <x v="2"/>
    <n v="122.747"/>
  </r>
  <r>
    <x v="0"/>
    <x v="0"/>
    <x v="2"/>
    <n v="113.309"/>
  </r>
  <r>
    <x v="0"/>
    <x v="0"/>
    <x v="2"/>
    <n v="113.309"/>
  </r>
  <r>
    <x v="0"/>
    <x v="0"/>
    <x v="2"/>
    <n v="114.017"/>
  </r>
  <r>
    <x v="0"/>
    <x v="0"/>
    <x v="2"/>
    <n v="104.72499999999999"/>
  </r>
  <r>
    <x v="0"/>
    <x v="0"/>
    <x v="2"/>
    <n v="115.309"/>
  </r>
  <r>
    <x v="0"/>
    <x v="0"/>
    <x v="2"/>
    <n v="126.331"/>
  </r>
  <r>
    <x v="0"/>
    <x v="0"/>
    <x v="2"/>
    <n v="111.309"/>
  </r>
  <r>
    <x v="0"/>
    <x v="0"/>
    <x v="2"/>
    <n v="118.38200000000001"/>
  </r>
  <r>
    <x v="0"/>
    <x v="0"/>
    <x v="2"/>
    <n v="100.43300000000001"/>
  </r>
  <r>
    <x v="0"/>
    <x v="0"/>
    <x v="2"/>
    <n v="118.38200000000001"/>
  </r>
  <r>
    <x v="0"/>
    <x v="0"/>
    <x v="2"/>
    <n v="124.747"/>
  </r>
  <r>
    <x v="0"/>
    <x v="0"/>
    <x v="2"/>
    <n v="114.38200000000001"/>
  </r>
  <r>
    <x v="0"/>
    <x v="0"/>
    <x v="2"/>
    <n v="120.309"/>
  </r>
  <r>
    <x v="0"/>
    <x v="0"/>
    <x v="2"/>
    <n v="106.017"/>
  </r>
  <r>
    <x v="0"/>
    <x v="0"/>
    <x v="2"/>
    <n v="112.236"/>
  </r>
  <r>
    <x v="0"/>
    <x v="0"/>
    <x v="2"/>
    <n v="109.652"/>
  </r>
  <r>
    <x v="0"/>
    <x v="0"/>
    <x v="2"/>
    <n v="111.09"/>
  </r>
  <r>
    <x v="0"/>
    <x v="0"/>
    <x v="2"/>
    <n v="117.309"/>
  </r>
  <r>
    <x v="0"/>
    <x v="0"/>
    <x v="2"/>
    <n v="107.652"/>
  </r>
  <r>
    <x v="0"/>
    <x v="0"/>
    <x v="2"/>
    <n v="114.163"/>
  </r>
  <r>
    <x v="0"/>
    <x v="0"/>
    <x v="2"/>
    <n v="123.601"/>
  </r>
  <r>
    <x v="0"/>
    <x v="0"/>
    <x v="2"/>
    <n v="135.33099999999999"/>
  </r>
  <r>
    <x v="0"/>
    <x v="0"/>
    <x v="2"/>
    <n v="106.28700000000001"/>
  </r>
  <r>
    <x v="0"/>
    <x v="0"/>
    <x v="2"/>
    <n v="123.82"/>
  </r>
  <r>
    <x v="0"/>
    <x v="0"/>
    <x v="2"/>
    <n v="122.67400000000001"/>
  </r>
  <r>
    <x v="0"/>
    <x v="0"/>
    <x v="2"/>
    <n v="111.871"/>
  </r>
  <r>
    <x v="0"/>
    <x v="0"/>
    <x v="2"/>
    <n v="116.67400000000001"/>
  </r>
  <r>
    <x v="0"/>
    <x v="0"/>
    <x v="2"/>
    <n v="108.652"/>
  </r>
  <r>
    <x v="0"/>
    <x v="0"/>
    <x v="2"/>
    <n v="116.944"/>
  </r>
  <r>
    <x v="0"/>
    <x v="0"/>
    <x v="2"/>
    <n v="112.017"/>
  </r>
  <r>
    <x v="0"/>
    <x v="0"/>
    <x v="2"/>
    <n v="130.96600000000001"/>
  </r>
  <r>
    <x v="0"/>
    <x v="0"/>
    <x v="2"/>
    <n v="128.03899999999999"/>
  </r>
  <r>
    <x v="0"/>
    <x v="0"/>
    <x v="2"/>
    <n v="123.82"/>
  </r>
  <r>
    <x v="0"/>
    <x v="0"/>
    <x v="2"/>
    <n v="133.55000000000001"/>
  </r>
  <r>
    <x v="0"/>
    <x v="0"/>
    <x v="2"/>
    <n v="124.82"/>
  </r>
  <r>
    <x v="0"/>
    <x v="0"/>
    <x v="2"/>
    <n v="130.11199999999999"/>
  </r>
  <r>
    <x v="0"/>
    <x v="0"/>
    <x v="2"/>
    <n v="108.57899999999999"/>
  </r>
  <r>
    <x v="0"/>
    <x v="0"/>
    <x v="2"/>
    <n v="111.09"/>
  </r>
  <r>
    <x v="0"/>
    <x v="0"/>
    <x v="2"/>
    <n v="115.38200000000001"/>
  </r>
  <r>
    <x v="0"/>
    <x v="0"/>
    <x v="2"/>
    <n v="112.163"/>
  </r>
  <r>
    <x v="0"/>
    <x v="0"/>
    <x v="2"/>
    <n v="117.601"/>
  </r>
  <r>
    <x v="0"/>
    <x v="0"/>
    <x v="2"/>
    <n v="122.52800000000001"/>
  </r>
  <r>
    <x v="0"/>
    <x v="0"/>
    <x v="2"/>
    <n v="111.017"/>
  </r>
  <r>
    <x v="0"/>
    <x v="0"/>
    <x v="2"/>
    <n v="120.309"/>
  </r>
  <r>
    <x v="0"/>
    <x v="0"/>
    <x v="2"/>
    <n v="118.163"/>
  </r>
  <r>
    <x v="0"/>
    <x v="0"/>
    <x v="2"/>
    <n v="119.67400000000001"/>
  </r>
  <r>
    <x v="0"/>
    <x v="0"/>
    <x v="2"/>
    <n v="118.309"/>
  </r>
  <r>
    <x v="0"/>
    <x v="0"/>
    <x v="2"/>
    <n v="114.09"/>
  </r>
  <r>
    <x v="0"/>
    <x v="0"/>
    <x v="2"/>
    <n v="122.09"/>
  </r>
  <r>
    <x v="0"/>
    <x v="0"/>
    <x v="2"/>
    <n v="115.52800000000001"/>
  </r>
  <r>
    <x v="0"/>
    <x v="0"/>
    <x v="2"/>
    <n v="119.601"/>
  </r>
  <r>
    <x v="0"/>
    <x v="0"/>
    <x v="2"/>
    <n v="110.163"/>
  </r>
  <r>
    <x v="0"/>
    <x v="0"/>
    <x v="2"/>
    <n v="117.52800000000001"/>
  </r>
  <r>
    <x v="0"/>
    <x v="0"/>
    <x v="2"/>
    <n v="116.236"/>
  </r>
  <r>
    <x v="0"/>
    <x v="0"/>
    <x v="2"/>
    <n v="136.185"/>
  </r>
  <r>
    <x v="0"/>
    <x v="0"/>
    <x v="2"/>
    <n v="124.893"/>
  </r>
  <r>
    <x v="0"/>
    <x v="0"/>
    <x v="2"/>
    <n v="103.36"/>
  </r>
  <r>
    <x v="0"/>
    <x v="0"/>
    <x v="2"/>
    <n v="129.03899999999999"/>
  </r>
  <r>
    <x v="0"/>
    <x v="0"/>
    <x v="2"/>
    <n v="104.57899999999999"/>
  </r>
  <r>
    <x v="0"/>
    <x v="0"/>
    <x v="2"/>
    <n v="121.455"/>
  </r>
  <r>
    <x v="0"/>
    <x v="0"/>
    <x v="2"/>
    <n v="125.11199999999999"/>
  </r>
  <r>
    <x v="0"/>
    <x v="0"/>
    <x v="2"/>
    <n v="109.09"/>
  </r>
  <r>
    <x v="0"/>
    <x v="0"/>
    <x v="2"/>
    <n v="131.452"/>
  </r>
  <r>
    <x v="0"/>
    <x v="0"/>
    <x v="2"/>
    <n v="123.601"/>
  </r>
  <r>
    <x v="0"/>
    <x v="0"/>
    <x v="2"/>
    <n v="112.017"/>
  </r>
  <r>
    <x v="0"/>
    <x v="0"/>
    <x v="2"/>
    <n v="123.67400000000001"/>
  </r>
  <r>
    <x v="0"/>
    <x v="0"/>
    <x v="2"/>
    <n v="124.039"/>
  </r>
  <r>
    <x v="0"/>
    <x v="0"/>
    <x v="2"/>
    <n v="119.38200000000001"/>
  </r>
  <r>
    <x v="0"/>
    <x v="0"/>
    <x v="2"/>
    <n v="115.09"/>
  </r>
  <r>
    <x v="0"/>
    <x v="0"/>
    <x v="2"/>
    <n v="110.017"/>
  </r>
  <r>
    <x v="0"/>
    <x v="0"/>
    <x v="2"/>
    <n v="115.455"/>
  </r>
  <r>
    <x v="0"/>
    <x v="0"/>
    <x v="2"/>
    <n v="115.017"/>
  </r>
  <r>
    <x v="0"/>
    <x v="0"/>
    <x v="2"/>
    <n v="120.747"/>
  </r>
  <r>
    <x v="0"/>
    <x v="0"/>
    <x v="2"/>
    <n v="145.20699999999999"/>
  </r>
  <r>
    <x v="0"/>
    <x v="0"/>
    <x v="2"/>
    <n v="106.28700000000001"/>
  </r>
  <r>
    <x v="0"/>
    <x v="0"/>
    <x v="2"/>
    <n v="113.236"/>
  </r>
  <r>
    <x v="0"/>
    <x v="0"/>
    <x v="2"/>
    <n v="116.309"/>
  </r>
  <r>
    <x v="0"/>
    <x v="0"/>
    <x v="2"/>
    <n v="120.67400000000001"/>
  </r>
  <r>
    <x v="0"/>
    <x v="0"/>
    <x v="2"/>
    <n v="133.477"/>
  </r>
  <r>
    <x v="0"/>
    <x v="0"/>
    <x v="2"/>
    <n v="119.163"/>
  </r>
  <r>
    <x v="0"/>
    <x v="0"/>
    <x v="2"/>
    <n v="118.52800000000001"/>
  </r>
  <r>
    <x v="0"/>
    <x v="0"/>
    <x v="2"/>
    <n v="133.74700000000001"/>
  </r>
  <r>
    <x v="0"/>
    <x v="0"/>
    <x v="2"/>
    <n v="135.404"/>
  </r>
  <r>
    <x v="0"/>
    <x v="0"/>
    <x v="2"/>
    <n v="112.236"/>
  </r>
  <r>
    <x v="0"/>
    <x v="0"/>
    <x v="2"/>
    <n v="109.72499999999999"/>
  </r>
  <r>
    <x v="0"/>
    <x v="0"/>
    <x v="2"/>
    <n v="110.798"/>
  </r>
  <r>
    <x v="0"/>
    <x v="0"/>
    <x v="2"/>
    <n v="105.72499999999999"/>
  </r>
  <r>
    <x v="0"/>
    <x v="0"/>
    <x v="2"/>
    <n v="107.43300000000001"/>
  </r>
  <r>
    <x v="0"/>
    <x v="0"/>
    <x v="2"/>
    <n v="102.36"/>
  </r>
  <r>
    <x v="0"/>
    <x v="0"/>
    <x v="2"/>
    <n v="112.163"/>
  </r>
  <r>
    <x v="0"/>
    <x v="0"/>
    <x v="2"/>
    <n v="111.871"/>
  </r>
  <r>
    <x v="0"/>
    <x v="0"/>
    <x v="2"/>
    <n v="111.52800000000001"/>
  </r>
  <r>
    <x v="0"/>
    <x v="0"/>
    <x v="2"/>
    <n v="120.67400000000001"/>
  </r>
  <r>
    <x v="0"/>
    <x v="0"/>
    <x v="2"/>
    <n v="119.944"/>
  </r>
  <r>
    <x v="0"/>
    <x v="0"/>
    <x v="2"/>
    <n v="102.506"/>
  </r>
  <r>
    <x v="0"/>
    <x v="0"/>
    <x v="2"/>
    <n v="103.43300000000001"/>
  </r>
  <r>
    <x v="0"/>
    <x v="0"/>
    <x v="2"/>
    <n v="120.52800000000001"/>
  </r>
  <r>
    <x v="0"/>
    <x v="0"/>
    <x v="2"/>
    <n v="108.944"/>
  </r>
  <r>
    <x v="0"/>
    <x v="1"/>
    <x v="2"/>
    <n v="702.56299999999999"/>
  </r>
  <r>
    <x v="0"/>
    <x v="1"/>
    <x v="2"/>
    <n v="678.61199999999997"/>
  </r>
  <r>
    <x v="0"/>
    <x v="1"/>
    <x v="2"/>
    <n v="694.56399999999996"/>
  </r>
  <r>
    <x v="0"/>
    <x v="1"/>
    <x v="2"/>
    <n v="713.60799999999995"/>
  </r>
  <r>
    <x v="0"/>
    <x v="1"/>
    <x v="2"/>
    <n v="670.29"/>
  </r>
  <r>
    <x v="0"/>
    <x v="1"/>
    <x v="2"/>
    <n v="663.28499999999997"/>
  </r>
  <r>
    <x v="0"/>
    <x v="1"/>
    <x v="2"/>
    <n v="719.447"/>
  </r>
  <r>
    <x v="0"/>
    <x v="1"/>
    <x v="2"/>
    <n v="726.22"/>
  </r>
  <r>
    <x v="0"/>
    <x v="1"/>
    <x v="2"/>
    <n v="694.23800000000006"/>
  </r>
  <r>
    <x v="0"/>
    <x v="1"/>
    <x v="2"/>
    <n v="747.22699999999998"/>
  </r>
  <r>
    <x v="0"/>
    <x v="1"/>
    <x v="2"/>
    <n v="724.53899999999999"/>
  </r>
  <r>
    <x v="0"/>
    <x v="1"/>
    <x v="2"/>
    <n v="713.29"/>
  </r>
  <r>
    <x v="0"/>
    <x v="1"/>
    <x v="2"/>
    <n v="708.154"/>
  </r>
  <r>
    <x v="0"/>
    <x v="1"/>
    <x v="2"/>
    <n v="703.28300000000002"/>
  </r>
  <r>
    <x v="0"/>
    <x v="1"/>
    <x v="2"/>
    <n v="744.80499999999995"/>
  </r>
  <r>
    <x v="0"/>
    <x v="1"/>
    <x v="2"/>
    <n v="715.87699999999995"/>
  </r>
  <r>
    <x v="0"/>
    <x v="1"/>
    <x v="2"/>
    <n v="739.91800000000001"/>
  </r>
  <r>
    <x v="0"/>
    <x v="1"/>
    <x v="2"/>
    <n v="697.91099999999994"/>
  </r>
  <r>
    <x v="0"/>
    <x v="1"/>
    <x v="2"/>
    <n v="693.51"/>
  </r>
  <r>
    <x v="0"/>
    <x v="1"/>
    <x v="2"/>
    <n v="712.96699999999998"/>
  </r>
  <r>
    <x v="0"/>
    <x v="1"/>
    <x v="2"/>
    <n v="750.34900000000005"/>
  </r>
  <r>
    <x v="0"/>
    <x v="1"/>
    <x v="2"/>
    <n v="757.42200000000003"/>
  </r>
  <r>
    <x v="0"/>
    <x v="1"/>
    <x v="2"/>
    <n v="682.08199999999999"/>
  </r>
  <r>
    <x v="0"/>
    <x v="1"/>
    <x v="2"/>
    <n v="668.35900000000004"/>
  </r>
  <r>
    <x v="0"/>
    <x v="1"/>
    <x v="2"/>
    <n v="728.19200000000001"/>
  </r>
  <r>
    <x v="0"/>
    <x v="1"/>
    <x v="2"/>
    <n v="716.77200000000005"/>
  </r>
  <r>
    <x v="0"/>
    <x v="1"/>
    <x v="2"/>
    <n v="684.12300000000005"/>
  </r>
  <r>
    <x v="0"/>
    <x v="1"/>
    <x v="2"/>
    <n v="692.00599999999997"/>
  </r>
  <r>
    <x v="0"/>
    <x v="1"/>
    <x v="2"/>
    <n v="704.89200000000005"/>
  </r>
  <r>
    <x v="0"/>
    <x v="1"/>
    <x v="2"/>
    <n v="728.221"/>
  </r>
  <r>
    <x v="0"/>
    <x v="1"/>
    <x v="2"/>
    <n v="698.024"/>
  </r>
  <r>
    <x v="0"/>
    <x v="1"/>
    <x v="2"/>
    <n v="698.50900000000001"/>
  </r>
  <r>
    <x v="0"/>
    <x v="1"/>
    <x v="2"/>
    <n v="697.35"/>
  </r>
  <r>
    <x v="0"/>
    <x v="1"/>
    <x v="2"/>
    <n v="667.09100000000001"/>
  </r>
  <r>
    <x v="0"/>
    <x v="1"/>
    <x v="2"/>
    <n v="706.57600000000002"/>
  </r>
  <r>
    <x v="0"/>
    <x v="1"/>
    <x v="2"/>
    <n v="710.59799999999996"/>
  </r>
  <r>
    <x v="0"/>
    <x v="1"/>
    <x v="2"/>
    <n v="737.16200000000003"/>
  </r>
  <r>
    <x v="0"/>
    <x v="1"/>
    <x v="2"/>
    <n v="713.97199999999998"/>
  </r>
  <r>
    <x v="0"/>
    <x v="1"/>
    <x v="2"/>
    <n v="725.41"/>
  </r>
  <r>
    <x v="0"/>
    <x v="1"/>
    <x v="2"/>
    <n v="743.99599999999998"/>
  </r>
  <r>
    <x v="0"/>
    <x v="1"/>
    <x v="2"/>
    <n v="705.48800000000006"/>
  </r>
  <r>
    <x v="0"/>
    <x v="1"/>
    <x v="2"/>
    <n v="697.62199999999996"/>
  </r>
  <r>
    <x v="0"/>
    <x v="1"/>
    <x v="2"/>
    <n v="697.10699999999997"/>
  </r>
  <r>
    <x v="0"/>
    <x v="1"/>
    <x v="2"/>
    <n v="708.58100000000002"/>
  </r>
  <r>
    <x v="0"/>
    <x v="1"/>
    <x v="2"/>
    <n v="718.68100000000004"/>
  </r>
  <r>
    <x v="0"/>
    <x v="1"/>
    <x v="2"/>
    <n v="727.49"/>
  </r>
  <r>
    <x v="0"/>
    <x v="1"/>
    <x v="2"/>
    <n v="696.721"/>
  </r>
  <r>
    <x v="0"/>
    <x v="1"/>
    <x v="2"/>
    <n v="706.51300000000003"/>
  </r>
  <r>
    <x v="0"/>
    <x v="1"/>
    <x v="2"/>
    <n v="697.23"/>
  </r>
  <r>
    <x v="0"/>
    <x v="1"/>
    <x v="2"/>
    <n v="750.84900000000005"/>
  </r>
  <r>
    <x v="0"/>
    <x v="1"/>
    <x v="2"/>
    <n v="746.00099999999998"/>
  </r>
  <r>
    <x v="0"/>
    <x v="1"/>
    <x v="2"/>
    <n v="713.94"/>
  </r>
  <r>
    <x v="0"/>
    <x v="1"/>
    <x v="2"/>
    <n v="664.60199999999998"/>
  </r>
  <r>
    <x v="0"/>
    <x v="1"/>
    <x v="2"/>
    <n v="726.25599999999997"/>
  </r>
  <r>
    <x v="0"/>
    <x v="1"/>
    <x v="2"/>
    <n v="728.51300000000003"/>
  </r>
  <r>
    <x v="0"/>
    <x v="1"/>
    <x v="2"/>
    <n v="721.84799999999996"/>
  </r>
  <r>
    <x v="0"/>
    <x v="1"/>
    <x v="2"/>
    <n v="690.26099999999997"/>
  </r>
  <r>
    <x v="0"/>
    <x v="1"/>
    <x v="2"/>
    <n v="701.80600000000004"/>
  </r>
  <r>
    <x v="0"/>
    <x v="1"/>
    <x v="2"/>
    <n v="676.053"/>
  </r>
  <r>
    <x v="0"/>
    <x v="1"/>
    <x v="2"/>
    <n v="739.21"/>
  </r>
  <r>
    <x v="0"/>
    <x v="1"/>
    <x v="2"/>
    <n v="723.01800000000003"/>
  </r>
  <r>
    <x v="0"/>
    <x v="1"/>
    <x v="2"/>
    <n v="703.01400000000001"/>
  </r>
  <r>
    <x v="0"/>
    <x v="1"/>
    <x v="2"/>
    <n v="703.78"/>
  </r>
  <r>
    <x v="0"/>
    <x v="1"/>
    <x v="2"/>
    <n v="679.49699999999996"/>
  </r>
  <r>
    <x v="0"/>
    <x v="1"/>
    <x v="2"/>
    <n v="694.74300000000005"/>
  </r>
  <r>
    <x v="0"/>
    <x v="1"/>
    <x v="2"/>
    <n v="723.17399999999998"/>
  </r>
  <r>
    <x v="0"/>
    <x v="1"/>
    <x v="2"/>
    <n v="718.28499999999997"/>
  </r>
  <r>
    <x v="0"/>
    <x v="1"/>
    <x v="2"/>
    <n v="714.08299999999997"/>
  </r>
  <r>
    <x v="0"/>
    <x v="1"/>
    <x v="2"/>
    <n v="700.38499999999999"/>
  </r>
  <r>
    <x v="0"/>
    <x v="1"/>
    <x v="2"/>
    <n v="759.56"/>
  </r>
  <r>
    <x v="0"/>
    <x v="1"/>
    <x v="2"/>
    <n v="744.803"/>
  </r>
  <r>
    <x v="0"/>
    <x v="1"/>
    <x v="2"/>
    <n v="741.59199999999998"/>
  </r>
  <r>
    <x v="0"/>
    <x v="1"/>
    <x v="2"/>
    <n v="725.05200000000002"/>
  </r>
  <r>
    <x v="0"/>
    <x v="1"/>
    <x v="2"/>
    <n v="729.87900000000002"/>
  </r>
  <r>
    <x v="0"/>
    <x v="1"/>
    <x v="2"/>
    <n v="700.38099999999997"/>
  </r>
  <r>
    <x v="0"/>
    <x v="1"/>
    <x v="2"/>
    <n v="707.71299999999997"/>
  </r>
  <r>
    <x v="0"/>
    <x v="1"/>
    <x v="2"/>
    <n v="728.68499999999995"/>
  </r>
  <r>
    <x v="0"/>
    <x v="1"/>
    <x v="2"/>
    <n v="752.48199999999997"/>
  </r>
  <r>
    <x v="0"/>
    <x v="1"/>
    <x v="2"/>
    <n v="655.98"/>
  </r>
  <r>
    <x v="0"/>
    <x v="1"/>
    <x v="2"/>
    <n v="704.57500000000005"/>
  </r>
  <r>
    <x v="0"/>
    <x v="1"/>
    <x v="2"/>
    <n v="738.92600000000004"/>
  </r>
  <r>
    <x v="0"/>
    <x v="1"/>
    <x v="2"/>
    <n v="719.66800000000001"/>
  </r>
  <r>
    <x v="0"/>
    <x v="1"/>
    <x v="2"/>
    <n v="735.67899999999997"/>
  </r>
  <r>
    <x v="0"/>
    <x v="1"/>
    <x v="2"/>
    <n v="677.37300000000005"/>
  </r>
  <r>
    <x v="0"/>
    <x v="1"/>
    <x v="2"/>
    <n v="759.73099999999999"/>
  </r>
  <r>
    <x v="0"/>
    <x v="1"/>
    <x v="2"/>
    <n v="707.202"/>
  </r>
  <r>
    <x v="0"/>
    <x v="1"/>
    <x v="2"/>
    <n v="674.76"/>
  </r>
  <r>
    <x v="0"/>
    <x v="1"/>
    <x v="2"/>
    <n v="721.02700000000004"/>
  </r>
  <r>
    <x v="0"/>
    <x v="1"/>
    <x v="2"/>
    <n v="716.94799999999998"/>
  </r>
  <r>
    <x v="0"/>
    <x v="1"/>
    <x v="2"/>
    <n v="715.85900000000004"/>
  </r>
  <r>
    <x v="0"/>
    <x v="1"/>
    <x v="2"/>
    <n v="706.44"/>
  </r>
  <r>
    <x v="0"/>
    <x v="1"/>
    <x v="2"/>
    <n v="696.221"/>
  </r>
  <r>
    <x v="0"/>
    <x v="1"/>
    <x v="2"/>
    <n v="722.41300000000001"/>
  </r>
  <r>
    <x v="0"/>
    <x v="1"/>
    <x v="2"/>
    <n v="694.15599999999995"/>
  </r>
  <r>
    <x v="0"/>
    <x v="1"/>
    <x v="2"/>
    <n v="729.553"/>
  </r>
  <r>
    <x v="0"/>
    <x v="1"/>
    <x v="2"/>
    <n v="697.673"/>
  </r>
  <r>
    <x v="0"/>
    <x v="1"/>
    <x v="2"/>
    <n v="679.75400000000002"/>
  </r>
  <r>
    <x v="0"/>
    <x v="1"/>
    <x v="2"/>
    <n v="724.97799999999995"/>
  </r>
  <r>
    <x v="0"/>
    <x v="1"/>
    <x v="2"/>
    <n v="736.67100000000005"/>
  </r>
  <r>
    <x v="0"/>
    <x v="1"/>
    <x v="2"/>
    <n v="709.14800000000002"/>
  </r>
  <r>
    <x v="0"/>
    <x v="2"/>
    <x v="2"/>
    <n v="2219.34"/>
  </r>
  <r>
    <x v="0"/>
    <x v="2"/>
    <x v="2"/>
    <n v="2265.0369999999998"/>
  </r>
  <r>
    <x v="0"/>
    <x v="2"/>
    <x v="2"/>
    <n v="2148.3539999999998"/>
  </r>
  <r>
    <x v="0"/>
    <x v="2"/>
    <x v="2"/>
    <n v="2204.4989999999998"/>
  </r>
  <r>
    <x v="0"/>
    <x v="2"/>
    <x v="2"/>
    <n v="2227.0720000000001"/>
  </r>
  <r>
    <x v="0"/>
    <x v="2"/>
    <x v="2"/>
    <n v="2243.1950000000002"/>
  </r>
  <r>
    <x v="0"/>
    <x v="2"/>
    <x v="2"/>
    <n v="2137.962"/>
  </r>
  <r>
    <x v="0"/>
    <x v="2"/>
    <x v="2"/>
    <n v="2202.4699999999998"/>
  </r>
  <r>
    <x v="0"/>
    <x v="2"/>
    <x v="2"/>
    <n v="2252.9299999999998"/>
  </r>
  <r>
    <x v="0"/>
    <x v="2"/>
    <x v="2"/>
    <n v="2246.6840000000002"/>
  </r>
  <r>
    <x v="0"/>
    <x v="2"/>
    <x v="2"/>
    <n v="2186.13"/>
  </r>
  <r>
    <x v="0"/>
    <x v="2"/>
    <x v="2"/>
    <n v="2238.011"/>
  </r>
  <r>
    <x v="0"/>
    <x v="2"/>
    <x v="2"/>
    <n v="2230.518"/>
  </r>
  <r>
    <x v="0"/>
    <x v="2"/>
    <x v="2"/>
    <n v="2240.4259999999999"/>
  </r>
  <r>
    <x v="0"/>
    <x v="2"/>
    <x v="2"/>
    <n v="2212.2730000000001"/>
  </r>
  <r>
    <x v="0"/>
    <x v="2"/>
    <x v="2"/>
    <n v="2221.8319999999999"/>
  </r>
  <r>
    <x v="0"/>
    <x v="2"/>
    <x v="2"/>
    <n v="2264.7950000000001"/>
  </r>
  <r>
    <x v="0"/>
    <x v="2"/>
    <x v="2"/>
    <n v="2207.6930000000002"/>
  </r>
  <r>
    <x v="0"/>
    <x v="2"/>
    <x v="2"/>
    <n v="2148.7020000000002"/>
  </r>
  <r>
    <x v="0"/>
    <x v="2"/>
    <x v="2"/>
    <n v="2196.924"/>
  </r>
  <r>
    <x v="0"/>
    <x v="2"/>
    <x v="2"/>
    <n v="2270.703"/>
  </r>
  <r>
    <x v="0"/>
    <x v="2"/>
    <x v="2"/>
    <n v="2147.4580000000001"/>
  </r>
  <r>
    <x v="0"/>
    <x v="2"/>
    <x v="2"/>
    <n v="2202.8910000000001"/>
  </r>
  <r>
    <x v="0"/>
    <x v="2"/>
    <x v="2"/>
    <n v="2191.8780000000002"/>
  </r>
  <r>
    <x v="0"/>
    <x v="2"/>
    <x v="2"/>
    <n v="2189.8690000000001"/>
  </r>
  <r>
    <x v="0"/>
    <x v="2"/>
    <x v="2"/>
    <n v="2159.636"/>
  </r>
  <r>
    <x v="0"/>
    <x v="2"/>
    <x v="2"/>
    <n v="2225.3180000000002"/>
  </r>
  <r>
    <x v="0"/>
    <x v="2"/>
    <x v="2"/>
    <n v="2219.5810000000001"/>
  </r>
  <r>
    <x v="0"/>
    <x v="2"/>
    <x v="2"/>
    <n v="2194.3690000000001"/>
  </r>
  <r>
    <x v="0"/>
    <x v="2"/>
    <x v="2"/>
    <n v="2221.8000000000002"/>
  </r>
  <r>
    <x v="0"/>
    <x v="2"/>
    <x v="2"/>
    <n v="2150.962"/>
  </r>
  <r>
    <x v="0"/>
    <x v="2"/>
    <x v="2"/>
    <n v="2186.096"/>
  </r>
  <r>
    <x v="0"/>
    <x v="2"/>
    <x v="2"/>
    <n v="2168.7350000000001"/>
  </r>
  <r>
    <x v="0"/>
    <x v="2"/>
    <x v="2"/>
    <n v="2238.98"/>
  </r>
  <r>
    <x v="0"/>
    <x v="2"/>
    <x v="2"/>
    <n v="2286.1680000000001"/>
  </r>
  <r>
    <x v="0"/>
    <x v="2"/>
    <x v="2"/>
    <n v="2226.3270000000002"/>
  </r>
  <r>
    <x v="0"/>
    <x v="2"/>
    <x v="2"/>
    <n v="2192.7399999999998"/>
  </r>
  <r>
    <x v="0"/>
    <x v="2"/>
    <x v="2"/>
    <n v="2078.0039999999999"/>
  </r>
  <r>
    <x v="0"/>
    <x v="2"/>
    <x v="2"/>
    <n v="2278.1179999999999"/>
  </r>
  <r>
    <x v="0"/>
    <x v="2"/>
    <x v="2"/>
    <n v="2157.567"/>
  </r>
  <r>
    <x v="0"/>
    <x v="2"/>
    <x v="2"/>
    <n v="2124.3429999999998"/>
  </r>
  <r>
    <x v="0"/>
    <x v="2"/>
    <x v="2"/>
    <n v="2139.846"/>
  </r>
  <r>
    <x v="0"/>
    <x v="2"/>
    <x v="2"/>
    <n v="2237.181"/>
  </r>
  <r>
    <x v="0"/>
    <x v="2"/>
    <x v="2"/>
    <n v="2220.3829999999998"/>
  </r>
  <r>
    <x v="0"/>
    <x v="2"/>
    <x v="2"/>
    <n v="2232.3910000000001"/>
  </r>
  <r>
    <x v="0"/>
    <x v="2"/>
    <x v="2"/>
    <n v="2209.4059999999999"/>
  </r>
  <r>
    <x v="0"/>
    <x v="2"/>
    <x v="2"/>
    <n v="2217.9189999999999"/>
  </r>
  <r>
    <x v="0"/>
    <x v="2"/>
    <x v="2"/>
    <n v="2223.433"/>
  </r>
  <r>
    <x v="0"/>
    <x v="2"/>
    <x v="2"/>
    <n v="2237.8649999999998"/>
  </r>
  <r>
    <x v="0"/>
    <x v="2"/>
    <x v="2"/>
    <n v="2231.77"/>
  </r>
  <r>
    <x v="0"/>
    <x v="2"/>
    <x v="2"/>
    <n v="2197.5540000000001"/>
  </r>
  <r>
    <x v="0"/>
    <x v="2"/>
    <x v="2"/>
    <n v="2290.9340000000002"/>
  </r>
  <r>
    <x v="0"/>
    <x v="2"/>
    <x v="2"/>
    <n v="2138.4"/>
  </r>
  <r>
    <x v="0"/>
    <x v="2"/>
    <x v="2"/>
    <n v="2247.9459999999999"/>
  </r>
  <r>
    <x v="0"/>
    <x v="2"/>
    <x v="2"/>
    <n v="2226.4009999999998"/>
  </r>
  <r>
    <x v="0"/>
    <x v="2"/>
    <x v="2"/>
    <n v="2221.0990000000002"/>
  </r>
  <r>
    <x v="0"/>
    <x v="2"/>
    <x v="2"/>
    <n v="2120.3020000000001"/>
  </r>
  <r>
    <x v="0"/>
    <x v="2"/>
    <x v="2"/>
    <n v="2238.9140000000002"/>
  </r>
  <r>
    <x v="0"/>
    <x v="2"/>
    <x v="2"/>
    <n v="2234.4050000000002"/>
  </r>
  <r>
    <x v="0"/>
    <x v="2"/>
    <x v="2"/>
    <n v="2233.9899999999998"/>
  </r>
  <r>
    <x v="0"/>
    <x v="2"/>
    <x v="2"/>
    <n v="2220.4180000000001"/>
  </r>
  <r>
    <x v="0"/>
    <x v="2"/>
    <x v="2"/>
    <n v="2272.319"/>
  </r>
  <r>
    <x v="0"/>
    <x v="2"/>
    <x v="2"/>
    <n v="2237.578"/>
  </r>
  <r>
    <x v="0"/>
    <x v="2"/>
    <x v="2"/>
    <n v="2219.1309999999999"/>
  </r>
  <r>
    <x v="0"/>
    <x v="2"/>
    <x v="2"/>
    <n v="2214.0749999999998"/>
  </r>
  <r>
    <x v="0"/>
    <x v="2"/>
    <x v="2"/>
    <n v="2216.9839999999999"/>
  </r>
  <r>
    <x v="0"/>
    <x v="2"/>
    <x v="2"/>
    <n v="2238.06"/>
  </r>
  <r>
    <x v="0"/>
    <x v="2"/>
    <x v="2"/>
    <n v="2199.2840000000001"/>
  </r>
  <r>
    <x v="0"/>
    <x v="2"/>
    <x v="2"/>
    <n v="2198.7179999999998"/>
  </r>
  <r>
    <x v="0"/>
    <x v="2"/>
    <x v="2"/>
    <n v="2149.41"/>
  </r>
  <r>
    <x v="0"/>
    <x v="2"/>
    <x v="2"/>
    <n v="2158.8130000000001"/>
  </r>
  <r>
    <x v="0"/>
    <x v="2"/>
    <x v="2"/>
    <n v="2167.1770000000001"/>
  </r>
  <r>
    <x v="0"/>
    <x v="2"/>
    <x v="2"/>
    <n v="2136.902"/>
  </r>
  <r>
    <x v="0"/>
    <x v="2"/>
    <x v="2"/>
    <n v="2144.0250000000001"/>
  </r>
  <r>
    <x v="0"/>
    <x v="2"/>
    <x v="2"/>
    <n v="2080.6640000000002"/>
  </r>
  <r>
    <x v="0"/>
    <x v="2"/>
    <x v="2"/>
    <n v="2226.8960000000002"/>
  </r>
  <r>
    <x v="0"/>
    <x v="2"/>
    <x v="2"/>
    <n v="2196.5700000000002"/>
  </r>
  <r>
    <x v="0"/>
    <x v="2"/>
    <x v="2"/>
    <n v="2246.652"/>
  </r>
  <r>
    <x v="0"/>
    <x v="2"/>
    <x v="2"/>
    <n v="2137.7510000000002"/>
  </r>
  <r>
    <x v="0"/>
    <x v="2"/>
    <x v="2"/>
    <n v="2148.654"/>
  </r>
  <r>
    <x v="0"/>
    <x v="2"/>
    <x v="2"/>
    <n v="2162.654"/>
  </r>
  <r>
    <x v="0"/>
    <x v="2"/>
    <x v="2"/>
    <n v="2159.9259999999999"/>
  </r>
  <r>
    <x v="0"/>
    <x v="2"/>
    <x v="2"/>
    <n v="2264.3969999999999"/>
  </r>
  <r>
    <x v="0"/>
    <x v="2"/>
    <x v="2"/>
    <n v="2199.5639999999999"/>
  </r>
  <r>
    <x v="0"/>
    <x v="2"/>
    <x v="2"/>
    <n v="2206.9209999999998"/>
  </r>
  <r>
    <x v="0"/>
    <x v="2"/>
    <x v="2"/>
    <n v="2173.9050000000002"/>
  </r>
  <r>
    <x v="0"/>
    <x v="2"/>
    <x v="2"/>
    <n v="2255.279"/>
  </r>
  <r>
    <x v="0"/>
    <x v="2"/>
    <x v="2"/>
    <n v="2254.0529999999999"/>
  </r>
  <r>
    <x v="0"/>
    <x v="2"/>
    <x v="2"/>
    <n v="2176.3180000000002"/>
  </r>
  <r>
    <x v="0"/>
    <x v="2"/>
    <x v="2"/>
    <n v="2137.6509999999998"/>
  </r>
  <r>
    <x v="0"/>
    <x v="2"/>
    <x v="2"/>
    <n v="2172.8029999999999"/>
  </r>
  <r>
    <x v="0"/>
    <x v="2"/>
    <x v="2"/>
    <n v="2207.5309999999999"/>
  </r>
  <r>
    <x v="0"/>
    <x v="2"/>
    <x v="2"/>
    <n v="2226.5709999999999"/>
  </r>
  <r>
    <x v="0"/>
    <x v="2"/>
    <x v="2"/>
    <n v="2228.326"/>
  </r>
  <r>
    <x v="0"/>
    <x v="2"/>
    <x v="2"/>
    <n v="2134.8620000000001"/>
  </r>
  <r>
    <x v="0"/>
    <x v="2"/>
    <x v="2"/>
    <n v="2221.337"/>
  </r>
  <r>
    <x v="0"/>
    <x v="2"/>
    <x v="2"/>
    <n v="2155.8310000000001"/>
  </r>
  <r>
    <x v="0"/>
    <x v="2"/>
    <x v="2"/>
    <n v="2199.0459999999998"/>
  </r>
  <r>
    <x v="0"/>
    <x v="2"/>
    <x v="2"/>
    <n v="2207.9540000000002"/>
  </r>
  <r>
    <x v="0"/>
    <x v="2"/>
    <x v="2"/>
    <n v="2210.7710000000002"/>
  </r>
  <r>
    <x v="1"/>
    <x v="0"/>
    <x v="2"/>
    <n v="126.96599999999999"/>
  </r>
  <r>
    <x v="1"/>
    <x v="0"/>
    <x v="2"/>
    <n v="113.09"/>
  </r>
  <r>
    <x v="1"/>
    <x v="0"/>
    <x v="2"/>
    <n v="109.871"/>
  </r>
  <r>
    <x v="1"/>
    <x v="0"/>
    <x v="2"/>
    <n v="112.72499999999999"/>
  </r>
  <r>
    <x v="1"/>
    <x v="0"/>
    <x v="2"/>
    <n v="103.36"/>
  </r>
  <r>
    <x v="1"/>
    <x v="0"/>
    <x v="2"/>
    <n v="114.09"/>
  </r>
  <r>
    <x v="1"/>
    <x v="0"/>
    <x v="2"/>
    <n v="119.52800000000001"/>
  </r>
  <r>
    <x v="1"/>
    <x v="0"/>
    <x v="2"/>
    <n v="115.871"/>
  </r>
  <r>
    <x v="1"/>
    <x v="0"/>
    <x v="2"/>
    <n v="115.236"/>
  </r>
  <r>
    <x v="1"/>
    <x v="0"/>
    <x v="2"/>
    <n v="111.09"/>
  </r>
  <r>
    <x v="1"/>
    <x v="0"/>
    <x v="2"/>
    <n v="116.163"/>
  </r>
  <r>
    <x v="1"/>
    <x v="0"/>
    <x v="2"/>
    <n v="112.017"/>
  </r>
  <r>
    <x v="1"/>
    <x v="0"/>
    <x v="2"/>
    <n v="109.798"/>
  </r>
  <r>
    <x v="1"/>
    <x v="0"/>
    <x v="2"/>
    <n v="109.57899999999999"/>
  </r>
  <r>
    <x v="1"/>
    <x v="0"/>
    <x v="2"/>
    <n v="116.944"/>
  </r>
  <r>
    <x v="1"/>
    <x v="0"/>
    <x v="2"/>
    <n v="110.09"/>
  </r>
  <r>
    <x v="1"/>
    <x v="0"/>
    <x v="2"/>
    <n v="119.09"/>
  </r>
  <r>
    <x v="1"/>
    <x v="0"/>
    <x v="2"/>
    <n v="102.28700000000001"/>
  </r>
  <r>
    <x v="1"/>
    <x v="0"/>
    <x v="2"/>
    <n v="111.944"/>
  </r>
  <r>
    <x v="1"/>
    <x v="0"/>
    <x v="2"/>
    <n v="115.309"/>
  </r>
  <r>
    <x v="1"/>
    <x v="0"/>
    <x v="2"/>
    <n v="117.236"/>
  </r>
  <r>
    <x v="1"/>
    <x v="0"/>
    <x v="2"/>
    <n v="109.798"/>
  </r>
  <r>
    <x v="1"/>
    <x v="0"/>
    <x v="2"/>
    <n v="112.09"/>
  </r>
  <r>
    <x v="1"/>
    <x v="0"/>
    <x v="2"/>
    <n v="114.017"/>
  </r>
  <r>
    <x v="1"/>
    <x v="0"/>
    <x v="2"/>
    <n v="106.28700000000001"/>
  </r>
  <r>
    <x v="1"/>
    <x v="0"/>
    <x v="2"/>
    <n v="111.652"/>
  </r>
  <r>
    <x v="1"/>
    <x v="0"/>
    <x v="2"/>
    <n v="113.236"/>
  </r>
  <r>
    <x v="1"/>
    <x v="0"/>
    <x v="2"/>
    <n v="107.72499999999999"/>
  </r>
  <r>
    <x v="1"/>
    <x v="0"/>
    <x v="2"/>
    <n v="120.38200000000001"/>
  </r>
  <r>
    <x v="1"/>
    <x v="0"/>
    <x v="2"/>
    <n v="113.09"/>
  </r>
  <r>
    <x v="1"/>
    <x v="0"/>
    <x v="2"/>
    <n v="120.236"/>
  </r>
  <r>
    <x v="1"/>
    <x v="0"/>
    <x v="2"/>
    <n v="108.871"/>
  </r>
  <r>
    <x v="1"/>
    <x v="0"/>
    <x v="2"/>
    <n v="113.236"/>
  </r>
  <r>
    <x v="1"/>
    <x v="0"/>
    <x v="2"/>
    <n v="119.601"/>
  </r>
  <r>
    <x v="1"/>
    <x v="0"/>
    <x v="2"/>
    <n v="111.017"/>
  </r>
  <r>
    <x v="1"/>
    <x v="0"/>
    <x v="2"/>
    <n v="114.09"/>
  </r>
  <r>
    <x v="1"/>
    <x v="0"/>
    <x v="2"/>
    <n v="105.57899999999999"/>
  </r>
  <r>
    <x v="1"/>
    <x v="0"/>
    <x v="2"/>
    <n v="117.38200000000001"/>
  </r>
  <r>
    <x v="1"/>
    <x v="0"/>
    <x v="2"/>
    <n v="102.28700000000001"/>
  </r>
  <r>
    <x v="1"/>
    <x v="0"/>
    <x v="2"/>
    <n v="110.017"/>
  </r>
  <r>
    <x v="1"/>
    <x v="0"/>
    <x v="2"/>
    <n v="107.72499999999999"/>
  </r>
  <r>
    <x v="1"/>
    <x v="0"/>
    <x v="2"/>
    <n v="108.57899999999999"/>
  </r>
  <r>
    <x v="1"/>
    <x v="0"/>
    <x v="2"/>
    <n v="120.38200000000001"/>
  </r>
  <r>
    <x v="1"/>
    <x v="0"/>
    <x v="2"/>
    <n v="117.163"/>
  </r>
  <r>
    <x v="1"/>
    <x v="0"/>
    <x v="2"/>
    <n v="115.236"/>
  </r>
  <r>
    <x v="1"/>
    <x v="0"/>
    <x v="2"/>
    <n v="106.28700000000001"/>
  </r>
  <r>
    <x v="1"/>
    <x v="0"/>
    <x v="2"/>
    <n v="109.871"/>
  </r>
  <r>
    <x v="1"/>
    <x v="0"/>
    <x v="2"/>
    <n v="106.506"/>
  </r>
  <r>
    <x v="1"/>
    <x v="0"/>
    <x v="2"/>
    <n v="110.871"/>
  </r>
  <r>
    <x v="1"/>
    <x v="0"/>
    <x v="2"/>
    <n v="123.601"/>
  </r>
  <r>
    <x v="1"/>
    <x v="0"/>
    <x v="2"/>
    <n v="108.72499999999999"/>
  </r>
  <r>
    <x v="1"/>
    <x v="0"/>
    <x v="2"/>
    <n v="109.236"/>
  </r>
  <r>
    <x v="1"/>
    <x v="0"/>
    <x v="2"/>
    <n v="120.747"/>
  </r>
  <r>
    <x v="1"/>
    <x v="0"/>
    <x v="2"/>
    <n v="113.871"/>
  </r>
  <r>
    <x v="1"/>
    <x v="0"/>
    <x v="2"/>
    <n v="118.163"/>
  </r>
  <r>
    <x v="1"/>
    <x v="0"/>
    <x v="2"/>
    <n v="113.163"/>
  </r>
  <r>
    <x v="1"/>
    <x v="0"/>
    <x v="2"/>
    <n v="112.944"/>
  </r>
  <r>
    <x v="1"/>
    <x v="0"/>
    <x v="2"/>
    <n v="125.67400000000001"/>
  </r>
  <r>
    <x v="1"/>
    <x v="0"/>
    <x v="2"/>
    <n v="118.309"/>
  </r>
  <r>
    <x v="1"/>
    <x v="0"/>
    <x v="2"/>
    <n v="116.871"/>
  </r>
  <r>
    <x v="1"/>
    <x v="0"/>
    <x v="2"/>
    <n v="113.944"/>
  </r>
  <r>
    <x v="1"/>
    <x v="0"/>
    <x v="2"/>
    <n v="107.871"/>
  </r>
  <r>
    <x v="1"/>
    <x v="0"/>
    <x v="2"/>
    <n v="106.57899999999999"/>
  </r>
  <r>
    <x v="1"/>
    <x v="0"/>
    <x v="2"/>
    <n v="106.506"/>
  </r>
  <r>
    <x v="1"/>
    <x v="0"/>
    <x v="2"/>
    <n v="117.017"/>
  </r>
  <r>
    <x v="1"/>
    <x v="0"/>
    <x v="2"/>
    <n v="102.506"/>
  </r>
  <r>
    <x v="1"/>
    <x v="0"/>
    <x v="2"/>
    <n v="110.871"/>
  </r>
  <r>
    <x v="1"/>
    <x v="0"/>
    <x v="2"/>
    <n v="102.506"/>
  </r>
  <r>
    <x v="1"/>
    <x v="0"/>
    <x v="2"/>
    <n v="107.652"/>
  </r>
  <r>
    <x v="1"/>
    <x v="0"/>
    <x v="2"/>
    <n v="105.506"/>
  </r>
  <r>
    <x v="1"/>
    <x v="0"/>
    <x v="2"/>
    <n v="119.017"/>
  </r>
  <r>
    <x v="1"/>
    <x v="0"/>
    <x v="2"/>
    <n v="113.163"/>
  </r>
  <r>
    <x v="1"/>
    <x v="0"/>
    <x v="2"/>
    <n v="107.57899999999999"/>
  </r>
  <r>
    <x v="1"/>
    <x v="0"/>
    <x v="2"/>
    <n v="101.214"/>
  </r>
  <r>
    <x v="1"/>
    <x v="0"/>
    <x v="2"/>
    <n v="110.652"/>
  </r>
  <r>
    <x v="1"/>
    <x v="0"/>
    <x v="2"/>
    <n v="113.017"/>
  </r>
  <r>
    <x v="1"/>
    <x v="0"/>
    <x v="2"/>
    <n v="121.52800000000001"/>
  </r>
  <r>
    <x v="1"/>
    <x v="0"/>
    <x v="2"/>
    <n v="115.09"/>
  </r>
  <r>
    <x v="1"/>
    <x v="0"/>
    <x v="2"/>
    <n v="112.944"/>
  </r>
  <r>
    <x v="1"/>
    <x v="0"/>
    <x v="2"/>
    <n v="110.017"/>
  </r>
  <r>
    <x v="1"/>
    <x v="0"/>
    <x v="2"/>
    <n v="114.944"/>
  </r>
  <r>
    <x v="1"/>
    <x v="0"/>
    <x v="2"/>
    <n v="114.309"/>
  </r>
  <r>
    <x v="1"/>
    <x v="0"/>
    <x v="2"/>
    <n v="104.28700000000001"/>
  </r>
  <r>
    <x v="1"/>
    <x v="0"/>
    <x v="2"/>
    <n v="117.017"/>
  </r>
  <r>
    <x v="1"/>
    <x v="0"/>
    <x v="2"/>
    <n v="117.309"/>
  </r>
  <r>
    <x v="1"/>
    <x v="0"/>
    <x v="2"/>
    <n v="110.72499999999999"/>
  </r>
  <r>
    <x v="1"/>
    <x v="0"/>
    <x v="2"/>
    <n v="112.017"/>
  </r>
  <r>
    <x v="1"/>
    <x v="0"/>
    <x v="2"/>
    <n v="106.798"/>
  </r>
  <r>
    <x v="1"/>
    <x v="0"/>
    <x v="2"/>
    <n v="104.14100000000001"/>
  </r>
  <r>
    <x v="1"/>
    <x v="0"/>
    <x v="2"/>
    <n v="111.09"/>
  </r>
  <r>
    <x v="1"/>
    <x v="0"/>
    <x v="2"/>
    <n v="113.871"/>
  </r>
  <r>
    <x v="1"/>
    <x v="0"/>
    <x v="2"/>
    <n v="118.163"/>
  </r>
  <r>
    <x v="1"/>
    <x v="0"/>
    <x v="2"/>
    <n v="118.38200000000001"/>
  </r>
  <r>
    <x v="1"/>
    <x v="0"/>
    <x v="2"/>
    <n v="113.236"/>
  </r>
  <r>
    <x v="1"/>
    <x v="0"/>
    <x v="2"/>
    <n v="109.944"/>
  </r>
  <r>
    <x v="1"/>
    <x v="0"/>
    <x v="2"/>
    <n v="108.798"/>
  </r>
  <r>
    <x v="1"/>
    <x v="0"/>
    <x v="2"/>
    <n v="104.36"/>
  </r>
  <r>
    <x v="1"/>
    <x v="0"/>
    <x v="2"/>
    <n v="116.236"/>
  </r>
  <r>
    <x v="1"/>
    <x v="0"/>
    <x v="2"/>
    <n v="115.09"/>
  </r>
  <r>
    <x v="1"/>
    <x v="0"/>
    <x v="2"/>
    <n v="110.017"/>
  </r>
  <r>
    <x v="1"/>
    <x v="1"/>
    <x v="2"/>
    <n v="693.21199999999999"/>
  </r>
  <r>
    <x v="1"/>
    <x v="1"/>
    <x v="2"/>
    <n v="697.53599999999994"/>
  </r>
  <r>
    <x v="1"/>
    <x v="1"/>
    <x v="2"/>
    <n v="700.49099999999999"/>
  </r>
  <r>
    <x v="1"/>
    <x v="1"/>
    <x v="2"/>
    <n v="690.66300000000001"/>
  </r>
  <r>
    <x v="1"/>
    <x v="1"/>
    <x v="2"/>
    <n v="681.31899999999996"/>
  </r>
  <r>
    <x v="1"/>
    <x v="1"/>
    <x v="2"/>
    <n v="717.46600000000001"/>
  </r>
  <r>
    <x v="1"/>
    <x v="1"/>
    <x v="2"/>
    <n v="715.15099999999995"/>
  </r>
  <r>
    <x v="1"/>
    <x v="1"/>
    <x v="2"/>
    <n v="707.601"/>
  </r>
  <r>
    <x v="1"/>
    <x v="1"/>
    <x v="2"/>
    <n v="700.71900000000005"/>
  </r>
  <r>
    <x v="1"/>
    <x v="1"/>
    <x v="2"/>
    <n v="699.49099999999999"/>
  </r>
  <r>
    <x v="1"/>
    <x v="1"/>
    <x v="2"/>
    <n v="701.48"/>
  </r>
  <r>
    <x v="1"/>
    <x v="1"/>
    <x v="2"/>
    <n v="688.60400000000004"/>
  </r>
  <r>
    <x v="1"/>
    <x v="1"/>
    <x v="2"/>
    <n v="732.54"/>
  </r>
  <r>
    <x v="1"/>
    <x v="1"/>
    <x v="2"/>
    <n v="700.41800000000001"/>
  </r>
  <r>
    <x v="1"/>
    <x v="1"/>
    <x v="2"/>
    <n v="683.81200000000001"/>
  </r>
  <r>
    <x v="1"/>
    <x v="1"/>
    <x v="2"/>
    <n v="698.65099999999995"/>
  </r>
  <r>
    <x v="1"/>
    <x v="1"/>
    <x v="2"/>
    <n v="711.79"/>
  </r>
  <r>
    <x v="1"/>
    <x v="1"/>
    <x v="2"/>
    <n v="688.65300000000002"/>
  </r>
  <r>
    <x v="1"/>
    <x v="1"/>
    <x v="2"/>
    <n v="695.22"/>
  </r>
  <r>
    <x v="1"/>
    <x v="1"/>
    <x v="2"/>
    <n v="696.43299999999999"/>
  </r>
  <r>
    <x v="1"/>
    <x v="1"/>
    <x v="2"/>
    <n v="698.73299999999995"/>
  </r>
  <r>
    <x v="1"/>
    <x v="1"/>
    <x v="2"/>
    <n v="691.01700000000005"/>
  </r>
  <r>
    <x v="1"/>
    <x v="1"/>
    <x v="2"/>
    <n v="680.60199999999998"/>
  </r>
  <r>
    <x v="1"/>
    <x v="1"/>
    <x v="2"/>
    <n v="684.57600000000002"/>
  </r>
  <r>
    <x v="1"/>
    <x v="1"/>
    <x v="2"/>
    <n v="677.74"/>
  </r>
  <r>
    <x v="1"/>
    <x v="1"/>
    <x v="2"/>
    <n v="714.23599999999999"/>
  </r>
  <r>
    <x v="1"/>
    <x v="1"/>
    <x v="2"/>
    <n v="719.53099999999995"/>
  </r>
  <r>
    <x v="1"/>
    <x v="1"/>
    <x v="2"/>
    <n v="687.19899999999996"/>
  </r>
  <r>
    <x v="1"/>
    <x v="1"/>
    <x v="2"/>
    <n v="706.38199999999995"/>
  </r>
  <r>
    <x v="1"/>
    <x v="1"/>
    <x v="2"/>
    <n v="716.21799999999996"/>
  </r>
  <r>
    <x v="1"/>
    <x v="1"/>
    <x v="2"/>
    <n v="694.86500000000001"/>
  </r>
  <r>
    <x v="1"/>
    <x v="1"/>
    <x v="2"/>
    <n v="691.09"/>
  </r>
  <r>
    <x v="1"/>
    <x v="1"/>
    <x v="2"/>
    <n v="687.61900000000003"/>
  </r>
  <r>
    <x v="1"/>
    <x v="1"/>
    <x v="2"/>
    <n v="693.84799999999996"/>
  </r>
  <r>
    <x v="1"/>
    <x v="1"/>
    <x v="2"/>
    <n v="696.34199999999998"/>
  </r>
  <r>
    <x v="1"/>
    <x v="1"/>
    <x v="2"/>
    <n v="691.99800000000005"/>
  </r>
  <r>
    <x v="1"/>
    <x v="1"/>
    <x v="2"/>
    <n v="697.58900000000006"/>
  </r>
  <r>
    <x v="1"/>
    <x v="1"/>
    <x v="2"/>
    <n v="705.35900000000004"/>
  </r>
  <r>
    <x v="1"/>
    <x v="1"/>
    <x v="2"/>
    <n v="682.88199999999995"/>
  </r>
  <r>
    <x v="1"/>
    <x v="1"/>
    <x v="2"/>
    <n v="690.85599999999999"/>
  </r>
  <r>
    <x v="1"/>
    <x v="1"/>
    <x v="2"/>
    <n v="711.71"/>
  </r>
  <r>
    <x v="1"/>
    <x v="1"/>
    <x v="2"/>
    <n v="702.97699999999998"/>
  </r>
  <r>
    <x v="1"/>
    <x v="1"/>
    <x v="2"/>
    <n v="692.71799999999996"/>
  </r>
  <r>
    <x v="1"/>
    <x v="1"/>
    <x v="2"/>
    <n v="706.38199999999995"/>
  </r>
  <r>
    <x v="1"/>
    <x v="1"/>
    <x v="2"/>
    <n v="688.65499999999997"/>
  </r>
  <r>
    <x v="1"/>
    <x v="1"/>
    <x v="2"/>
    <n v="696.69600000000003"/>
  </r>
  <r>
    <x v="1"/>
    <x v="1"/>
    <x v="2"/>
    <n v="690.06200000000001"/>
  </r>
  <r>
    <x v="1"/>
    <x v="1"/>
    <x v="2"/>
    <n v="676.28599999999994"/>
  </r>
  <r>
    <x v="1"/>
    <x v="1"/>
    <x v="2"/>
    <n v="670.75199999999995"/>
  </r>
  <r>
    <x v="1"/>
    <x v="1"/>
    <x v="2"/>
    <n v="700.63400000000001"/>
  </r>
  <r>
    <x v="1"/>
    <x v="1"/>
    <x v="2"/>
    <n v="673.61199999999997"/>
  </r>
  <r>
    <x v="1"/>
    <x v="1"/>
    <x v="2"/>
    <n v="717.25"/>
  </r>
  <r>
    <x v="1"/>
    <x v="1"/>
    <x v="2"/>
    <n v="694.18499999999995"/>
  </r>
  <r>
    <x v="1"/>
    <x v="1"/>
    <x v="2"/>
    <n v="687.71"/>
  </r>
  <r>
    <x v="1"/>
    <x v="1"/>
    <x v="2"/>
    <n v="694.899"/>
  </r>
  <r>
    <x v="1"/>
    <x v="1"/>
    <x v="2"/>
    <n v="686.10400000000004"/>
  </r>
  <r>
    <x v="1"/>
    <x v="1"/>
    <x v="2"/>
    <n v="690.03599999999994"/>
  </r>
  <r>
    <x v="1"/>
    <x v="1"/>
    <x v="2"/>
    <n v="683.17700000000002"/>
  </r>
  <r>
    <x v="1"/>
    <x v="1"/>
    <x v="2"/>
    <n v="716.75"/>
  </r>
  <r>
    <x v="1"/>
    <x v="1"/>
    <x v="2"/>
    <n v="696.827"/>
  </r>
  <r>
    <x v="1"/>
    <x v="1"/>
    <x v="2"/>
    <n v="714.84500000000003"/>
  </r>
  <r>
    <x v="1"/>
    <x v="1"/>
    <x v="2"/>
    <n v="696.38900000000001"/>
  </r>
  <r>
    <x v="1"/>
    <x v="1"/>
    <x v="2"/>
    <n v="708.55"/>
  </r>
  <r>
    <x v="1"/>
    <x v="1"/>
    <x v="2"/>
    <n v="689.01700000000005"/>
  </r>
  <r>
    <x v="1"/>
    <x v="1"/>
    <x v="2"/>
    <n v="722.86800000000005"/>
  </r>
  <r>
    <x v="1"/>
    <x v="1"/>
    <x v="2"/>
    <n v="697.94399999999996"/>
  </r>
  <r>
    <x v="1"/>
    <x v="1"/>
    <x v="2"/>
    <n v="679.14800000000002"/>
  </r>
  <r>
    <x v="1"/>
    <x v="1"/>
    <x v="2"/>
    <n v="695.37"/>
  </r>
  <r>
    <x v="1"/>
    <x v="1"/>
    <x v="2"/>
    <n v="710.63400000000001"/>
  </r>
  <r>
    <x v="1"/>
    <x v="1"/>
    <x v="2"/>
    <n v="699.67399999999998"/>
  </r>
  <r>
    <x v="1"/>
    <x v="1"/>
    <x v="2"/>
    <n v="701.74699999999996"/>
  </r>
  <r>
    <x v="1"/>
    <x v="1"/>
    <x v="2"/>
    <n v="694.38599999999997"/>
  </r>
  <r>
    <x v="1"/>
    <x v="1"/>
    <x v="2"/>
    <n v="693.38800000000003"/>
  </r>
  <r>
    <x v="1"/>
    <x v="1"/>
    <x v="2"/>
    <n v="722.30100000000004"/>
  </r>
  <r>
    <x v="1"/>
    <x v="1"/>
    <x v="2"/>
    <n v="701.20500000000004"/>
  </r>
  <r>
    <x v="1"/>
    <x v="1"/>
    <x v="2"/>
    <n v="687.90800000000002"/>
  </r>
  <r>
    <x v="1"/>
    <x v="1"/>
    <x v="2"/>
    <n v="688.21"/>
  </r>
  <r>
    <x v="1"/>
    <x v="1"/>
    <x v="2"/>
    <n v="716.73199999999997"/>
  </r>
  <r>
    <x v="1"/>
    <x v="1"/>
    <x v="2"/>
    <n v="691.07500000000005"/>
  </r>
  <r>
    <x v="1"/>
    <x v="1"/>
    <x v="2"/>
    <n v="694.30499999999995"/>
  </r>
  <r>
    <x v="1"/>
    <x v="1"/>
    <x v="2"/>
    <n v="696.02499999999998"/>
  </r>
  <r>
    <x v="1"/>
    <x v="1"/>
    <x v="2"/>
    <n v="714.96299999999997"/>
  </r>
  <r>
    <x v="1"/>
    <x v="1"/>
    <x v="2"/>
    <n v="687.16300000000001"/>
  </r>
  <r>
    <x v="1"/>
    <x v="1"/>
    <x v="2"/>
    <n v="698.86500000000001"/>
  </r>
  <r>
    <x v="1"/>
    <x v="1"/>
    <x v="2"/>
    <n v="703.49800000000005"/>
  </r>
  <r>
    <x v="1"/>
    <x v="1"/>
    <x v="2"/>
    <n v="663.18700000000001"/>
  </r>
  <r>
    <x v="1"/>
    <x v="1"/>
    <x v="2"/>
    <n v="698.53099999999995"/>
  </r>
  <r>
    <x v="1"/>
    <x v="1"/>
    <x v="2"/>
    <n v="706.005"/>
  </r>
  <r>
    <x v="1"/>
    <x v="1"/>
    <x v="2"/>
    <n v="680.27200000000005"/>
  </r>
  <r>
    <x v="1"/>
    <x v="1"/>
    <x v="2"/>
    <n v="703.87199999999996"/>
  </r>
  <r>
    <x v="1"/>
    <x v="1"/>
    <x v="2"/>
    <n v="703.38199999999995"/>
  </r>
  <r>
    <x v="1"/>
    <x v="1"/>
    <x v="2"/>
    <n v="697.04200000000003"/>
  </r>
  <r>
    <x v="1"/>
    <x v="1"/>
    <x v="2"/>
    <n v="690.24699999999996"/>
  </r>
  <r>
    <x v="1"/>
    <x v="1"/>
    <x v="2"/>
    <n v="708.11500000000001"/>
  </r>
  <r>
    <x v="1"/>
    <x v="1"/>
    <x v="2"/>
    <n v="671.56700000000001"/>
  </r>
  <r>
    <x v="1"/>
    <x v="1"/>
    <x v="2"/>
    <n v="683.56500000000005"/>
  </r>
  <r>
    <x v="1"/>
    <x v="1"/>
    <x v="2"/>
    <n v="708.53099999999995"/>
  </r>
  <r>
    <x v="1"/>
    <x v="1"/>
    <x v="2"/>
    <n v="706.56399999999996"/>
  </r>
  <r>
    <x v="1"/>
    <x v="1"/>
    <x v="2"/>
    <n v="691.52599999999995"/>
  </r>
  <r>
    <x v="1"/>
    <x v="1"/>
    <x v="2"/>
    <n v="705.80499999999995"/>
  </r>
  <r>
    <x v="1"/>
    <x v="2"/>
    <x v="2"/>
    <n v="2145.9639999999999"/>
  </r>
  <r>
    <x v="1"/>
    <x v="2"/>
    <x v="2"/>
    <n v="2154.4920000000002"/>
  </r>
  <r>
    <x v="1"/>
    <x v="2"/>
    <x v="2"/>
    <n v="2188.0459999999998"/>
  </r>
  <r>
    <x v="1"/>
    <x v="2"/>
    <x v="2"/>
    <n v="2171.6779999999999"/>
  </r>
  <r>
    <x v="1"/>
    <x v="2"/>
    <x v="2"/>
    <n v="2208.6480000000001"/>
  </r>
  <r>
    <x v="1"/>
    <x v="2"/>
    <x v="2"/>
    <n v="2168.35"/>
  </r>
  <r>
    <x v="1"/>
    <x v="2"/>
    <x v="2"/>
    <n v="2206.6610000000001"/>
  </r>
  <r>
    <x v="1"/>
    <x v="2"/>
    <x v="2"/>
    <n v="2205.779"/>
  </r>
  <r>
    <x v="1"/>
    <x v="2"/>
    <x v="2"/>
    <n v="2145.4569999999999"/>
  </r>
  <r>
    <x v="1"/>
    <x v="2"/>
    <x v="2"/>
    <n v="2160.846"/>
  </r>
  <r>
    <x v="1"/>
    <x v="2"/>
    <x v="2"/>
    <n v="2175.1390000000001"/>
  </r>
  <r>
    <x v="1"/>
    <x v="2"/>
    <x v="2"/>
    <n v="2141.261"/>
  </r>
  <r>
    <x v="1"/>
    <x v="2"/>
    <x v="2"/>
    <n v="2193.7530000000002"/>
  </r>
  <r>
    <x v="1"/>
    <x v="2"/>
    <x v="2"/>
    <n v="2167.2339999999999"/>
  </r>
  <r>
    <x v="1"/>
    <x v="2"/>
    <x v="2"/>
    <n v="2144.9989999999998"/>
  </r>
  <r>
    <x v="1"/>
    <x v="2"/>
    <x v="2"/>
    <n v="2168.614"/>
  </r>
  <r>
    <x v="1"/>
    <x v="2"/>
    <x v="2"/>
    <n v="2126.645"/>
  </r>
  <r>
    <x v="1"/>
    <x v="2"/>
    <x v="2"/>
    <n v="2160.116"/>
  </r>
  <r>
    <x v="1"/>
    <x v="2"/>
    <x v="2"/>
    <n v="2167.567"/>
  </r>
  <r>
    <x v="1"/>
    <x v="2"/>
    <x v="2"/>
    <n v="2186.2139999999999"/>
  </r>
  <r>
    <x v="1"/>
    <x v="2"/>
    <x v="2"/>
    <n v="2157.578"/>
  </r>
  <r>
    <x v="1"/>
    <x v="2"/>
    <x v="2"/>
    <n v="2163.7040000000002"/>
  </r>
  <r>
    <x v="1"/>
    <x v="2"/>
    <x v="2"/>
    <n v="2167.23"/>
  </r>
  <r>
    <x v="1"/>
    <x v="2"/>
    <x v="2"/>
    <n v="2188.3119999999999"/>
  </r>
  <r>
    <x v="1"/>
    <x v="2"/>
    <x v="2"/>
    <n v="2162.453"/>
  </r>
  <r>
    <x v="1"/>
    <x v="2"/>
    <x v="2"/>
    <n v="2154.7249999999999"/>
  </r>
  <r>
    <x v="1"/>
    <x v="2"/>
    <x v="2"/>
    <n v="2148.069"/>
  </r>
  <r>
    <x v="1"/>
    <x v="2"/>
    <x v="2"/>
    <n v="2171.1750000000002"/>
  </r>
  <r>
    <x v="1"/>
    <x v="2"/>
    <x v="2"/>
    <n v="2159.3719999999998"/>
  </r>
  <r>
    <x v="1"/>
    <x v="2"/>
    <x v="2"/>
    <n v="2170.7190000000001"/>
  </r>
  <r>
    <x v="1"/>
    <x v="2"/>
    <x v="2"/>
    <n v="2151.5540000000001"/>
  </r>
  <r>
    <x v="1"/>
    <x v="2"/>
    <x v="2"/>
    <n v="2165.9169999999999"/>
  </r>
  <r>
    <x v="1"/>
    <x v="2"/>
    <x v="2"/>
    <n v="2168.6930000000002"/>
  </r>
  <r>
    <x v="1"/>
    <x v="2"/>
    <x v="2"/>
    <n v="2181.6640000000002"/>
  </r>
  <r>
    <x v="1"/>
    <x v="2"/>
    <x v="2"/>
    <n v="2161.346"/>
  </r>
  <r>
    <x v="1"/>
    <x v="2"/>
    <x v="2"/>
    <n v="2186.7240000000002"/>
  </r>
  <r>
    <x v="1"/>
    <x v="2"/>
    <x v="2"/>
    <n v="2146.9450000000002"/>
  </r>
  <r>
    <x v="1"/>
    <x v="2"/>
    <x v="2"/>
    <n v="2164.1280000000002"/>
  </r>
  <r>
    <x v="1"/>
    <x v="2"/>
    <x v="2"/>
    <n v="2159.9479999999999"/>
  </r>
  <r>
    <x v="1"/>
    <x v="2"/>
    <x v="2"/>
    <n v="2147.1120000000001"/>
  </r>
  <r>
    <x v="1"/>
    <x v="2"/>
    <x v="2"/>
    <n v="2181.4690000000001"/>
  </r>
  <r>
    <x v="1"/>
    <x v="2"/>
    <x v="2"/>
    <n v="2148.4499999999998"/>
  </r>
  <r>
    <x v="1"/>
    <x v="2"/>
    <x v="2"/>
    <n v="2175.002"/>
  </r>
  <r>
    <x v="1"/>
    <x v="2"/>
    <x v="2"/>
    <n v="2134.3969999999999"/>
  </r>
  <r>
    <x v="1"/>
    <x v="2"/>
    <x v="2"/>
    <n v="2154.7280000000001"/>
  </r>
  <r>
    <x v="1"/>
    <x v="2"/>
    <x v="2"/>
    <n v="2183.6819999999998"/>
  </r>
  <r>
    <x v="1"/>
    <x v="2"/>
    <x v="2"/>
    <n v="2166.17"/>
  </r>
  <r>
    <x v="1"/>
    <x v="2"/>
    <x v="2"/>
    <n v="2178.8890000000001"/>
  </r>
  <r>
    <x v="1"/>
    <x v="2"/>
    <x v="2"/>
    <n v="2109.3980000000001"/>
  </r>
  <r>
    <x v="1"/>
    <x v="2"/>
    <x v="2"/>
    <n v="2167.5129999999999"/>
  </r>
  <r>
    <x v="1"/>
    <x v="2"/>
    <x v="2"/>
    <n v="2159.9720000000002"/>
  </r>
  <r>
    <x v="1"/>
    <x v="2"/>
    <x v="2"/>
    <n v="2159.6959999999999"/>
  </r>
  <r>
    <x v="1"/>
    <x v="2"/>
    <x v="2"/>
    <n v="2165.1060000000002"/>
  </r>
  <r>
    <x v="1"/>
    <x v="2"/>
    <x v="2"/>
    <n v="2140.8919999999998"/>
  </r>
  <r>
    <x v="1"/>
    <x v="2"/>
    <x v="2"/>
    <n v="2144.5509999999999"/>
  </r>
  <r>
    <x v="1"/>
    <x v="2"/>
    <x v="2"/>
    <n v="2191.1660000000002"/>
  </r>
  <r>
    <x v="1"/>
    <x v="2"/>
    <x v="2"/>
    <n v="2175.5169999999998"/>
  </r>
  <r>
    <x v="1"/>
    <x v="2"/>
    <x v="2"/>
    <n v="2193.433"/>
  </r>
  <r>
    <x v="1"/>
    <x v="2"/>
    <x v="2"/>
    <n v="2161.52"/>
  </r>
  <r>
    <x v="1"/>
    <x v="2"/>
    <x v="2"/>
    <n v="2175.2689999999998"/>
  </r>
  <r>
    <x v="1"/>
    <x v="2"/>
    <x v="2"/>
    <n v="2192.5239999999999"/>
  </r>
  <r>
    <x v="1"/>
    <x v="2"/>
    <x v="2"/>
    <n v="2181.9079999999999"/>
  </r>
  <r>
    <x v="1"/>
    <x v="2"/>
    <x v="2"/>
    <n v="2173.9110000000001"/>
  </r>
  <r>
    <x v="1"/>
    <x v="2"/>
    <x v="2"/>
    <n v="2194.6439999999998"/>
  </r>
  <r>
    <x v="1"/>
    <x v="2"/>
    <x v="2"/>
    <n v="2152.9780000000001"/>
  </r>
  <r>
    <x v="1"/>
    <x v="2"/>
    <x v="2"/>
    <n v="2226.873"/>
  </r>
  <r>
    <x v="1"/>
    <x v="2"/>
    <x v="2"/>
    <n v="2186.6660000000002"/>
  </r>
  <r>
    <x v="1"/>
    <x v="2"/>
    <x v="2"/>
    <n v="2182.127"/>
  </r>
  <r>
    <x v="1"/>
    <x v="2"/>
    <x v="2"/>
    <n v="2190.9839999999999"/>
  </r>
  <r>
    <x v="1"/>
    <x v="2"/>
    <x v="2"/>
    <n v="2180.962"/>
  </r>
  <r>
    <x v="1"/>
    <x v="2"/>
    <x v="2"/>
    <n v="2137.3809999999999"/>
  </r>
  <r>
    <x v="1"/>
    <x v="2"/>
    <x v="2"/>
    <n v="2158.37"/>
  </r>
  <r>
    <x v="1"/>
    <x v="2"/>
    <x v="2"/>
    <n v="2163.674"/>
  </r>
  <r>
    <x v="1"/>
    <x v="2"/>
    <x v="2"/>
    <n v="2215.5549999999998"/>
  </r>
  <r>
    <x v="1"/>
    <x v="2"/>
    <x v="2"/>
    <n v="2159.056"/>
  </r>
  <r>
    <x v="1"/>
    <x v="2"/>
    <x v="2"/>
    <n v="2171.0929999999998"/>
  </r>
  <r>
    <x v="1"/>
    <x v="2"/>
    <x v="2"/>
    <n v="2189.8150000000001"/>
  </r>
  <r>
    <x v="1"/>
    <x v="2"/>
    <x v="2"/>
    <n v="2167.6559999999999"/>
  </r>
  <r>
    <x v="1"/>
    <x v="2"/>
    <x v="2"/>
    <n v="2172.4879999999998"/>
  </r>
  <r>
    <x v="1"/>
    <x v="2"/>
    <x v="2"/>
    <n v="2154.855"/>
  </r>
  <r>
    <x v="1"/>
    <x v="2"/>
    <x v="2"/>
    <n v="2183.681"/>
  </r>
  <r>
    <x v="1"/>
    <x v="2"/>
    <x v="2"/>
    <n v="2168.2399999999998"/>
  </r>
  <r>
    <x v="1"/>
    <x v="2"/>
    <x v="2"/>
    <n v="2144.9380000000001"/>
  </r>
  <r>
    <x v="1"/>
    <x v="2"/>
    <x v="2"/>
    <n v="2152.5940000000001"/>
  </r>
  <r>
    <x v="1"/>
    <x v="2"/>
    <x v="2"/>
    <n v="2148.6689999999999"/>
  </r>
  <r>
    <x v="1"/>
    <x v="2"/>
    <x v="2"/>
    <n v="2210.529"/>
  </r>
  <r>
    <x v="1"/>
    <x v="2"/>
    <x v="2"/>
    <n v="2172.123"/>
  </r>
  <r>
    <x v="1"/>
    <x v="2"/>
    <x v="2"/>
    <n v="2162.6239999999998"/>
  </r>
  <r>
    <x v="1"/>
    <x v="2"/>
    <x v="2"/>
    <n v="2177.7739999999999"/>
  </r>
  <r>
    <x v="1"/>
    <x v="2"/>
    <x v="2"/>
    <n v="2158.009"/>
  </r>
  <r>
    <x v="1"/>
    <x v="2"/>
    <x v="2"/>
    <n v="2145.6469999999999"/>
  </r>
  <r>
    <x v="1"/>
    <x v="2"/>
    <x v="2"/>
    <n v="2162.0970000000002"/>
  </r>
  <r>
    <x v="1"/>
    <x v="2"/>
    <x v="2"/>
    <n v="2174.5540000000001"/>
  </r>
  <r>
    <x v="1"/>
    <x v="2"/>
    <x v="2"/>
    <n v="2215.107"/>
  </r>
  <r>
    <x v="1"/>
    <x v="2"/>
    <x v="2"/>
    <n v="2188.2150000000001"/>
  </r>
  <r>
    <x v="1"/>
    <x v="2"/>
    <x v="2"/>
    <n v="2155.326"/>
  </r>
  <r>
    <x v="1"/>
    <x v="2"/>
    <x v="2"/>
    <n v="2143.7890000000002"/>
  </r>
  <r>
    <x v="1"/>
    <x v="2"/>
    <x v="2"/>
    <n v="2206.5230000000001"/>
  </r>
  <r>
    <x v="1"/>
    <x v="2"/>
    <x v="2"/>
    <n v="2198.56"/>
  </r>
  <r>
    <x v="1"/>
    <x v="2"/>
    <x v="2"/>
    <n v="2164.2840000000001"/>
  </r>
  <r>
    <x v="2"/>
    <x v="0"/>
    <x v="2"/>
    <n v="116.09"/>
  </r>
  <r>
    <x v="2"/>
    <x v="0"/>
    <x v="2"/>
    <n v="103.57899999999999"/>
  </r>
  <r>
    <x v="2"/>
    <x v="0"/>
    <x v="2"/>
    <n v="104.652"/>
  </r>
  <r>
    <x v="2"/>
    <x v="0"/>
    <x v="2"/>
    <n v="120.871"/>
  </r>
  <r>
    <x v="2"/>
    <x v="0"/>
    <x v="2"/>
    <n v="121.798"/>
  </r>
  <r>
    <x v="2"/>
    <x v="0"/>
    <x v="2"/>
    <n v="102.995"/>
  </r>
  <r>
    <x v="2"/>
    <x v="0"/>
    <x v="2"/>
    <n v="101.214"/>
  </r>
  <r>
    <x v="2"/>
    <x v="0"/>
    <x v="2"/>
    <n v="109.28700000000001"/>
  </r>
  <r>
    <x v="2"/>
    <x v="0"/>
    <x v="2"/>
    <n v="121.455"/>
  </r>
  <r>
    <x v="2"/>
    <x v="0"/>
    <x v="2"/>
    <n v="105.652"/>
  </r>
  <r>
    <x v="2"/>
    <x v="0"/>
    <x v="2"/>
    <n v="107.944"/>
  </r>
  <r>
    <x v="2"/>
    <x v="0"/>
    <x v="2"/>
    <n v="93.775999999999996"/>
  </r>
  <r>
    <x v="2"/>
    <x v="0"/>
    <x v="2"/>
    <n v="102.36"/>
  </r>
  <r>
    <x v="2"/>
    <x v="0"/>
    <x v="2"/>
    <n v="113.506"/>
  </r>
  <r>
    <x v="2"/>
    <x v="0"/>
    <x v="2"/>
    <n v="106.28700000000001"/>
  </r>
  <r>
    <x v="2"/>
    <x v="0"/>
    <x v="2"/>
    <n v="106.798"/>
  </r>
  <r>
    <x v="2"/>
    <x v="0"/>
    <x v="2"/>
    <n v="100.14100000000001"/>
  </r>
  <r>
    <x v="2"/>
    <x v="0"/>
    <x v="2"/>
    <n v="111.871"/>
  </r>
  <r>
    <x v="2"/>
    <x v="0"/>
    <x v="2"/>
    <n v="96.921999999999997"/>
  </r>
  <r>
    <x v="2"/>
    <x v="0"/>
    <x v="2"/>
    <n v="107.43300000000001"/>
  </r>
  <r>
    <x v="2"/>
    <x v="0"/>
    <x v="2"/>
    <n v="115.09"/>
  </r>
  <r>
    <x v="2"/>
    <x v="0"/>
    <x v="2"/>
    <n v="114.09"/>
  </r>
  <r>
    <x v="2"/>
    <x v="0"/>
    <x v="2"/>
    <n v="105.43300000000001"/>
  </r>
  <r>
    <x v="2"/>
    <x v="0"/>
    <x v="2"/>
    <n v="117.017"/>
  </r>
  <r>
    <x v="2"/>
    <x v="0"/>
    <x v="2"/>
    <n v="119.09"/>
  </r>
  <r>
    <x v="2"/>
    <x v="0"/>
    <x v="2"/>
    <n v="103.43300000000001"/>
  </r>
  <r>
    <x v="2"/>
    <x v="0"/>
    <x v="2"/>
    <n v="107.43300000000001"/>
  </r>
  <r>
    <x v="2"/>
    <x v="0"/>
    <x v="2"/>
    <n v="104.36"/>
  </r>
  <r>
    <x v="2"/>
    <x v="0"/>
    <x v="2"/>
    <n v="110.652"/>
  </r>
  <r>
    <x v="2"/>
    <x v="0"/>
    <x v="2"/>
    <n v="92.995000000000005"/>
  </r>
  <r>
    <x v="2"/>
    <x v="0"/>
    <x v="2"/>
    <n v="108.14100000000001"/>
  </r>
  <r>
    <x v="2"/>
    <x v="0"/>
    <x v="2"/>
    <n v="106.506"/>
  </r>
  <r>
    <x v="2"/>
    <x v="0"/>
    <x v="2"/>
    <n v="107.43300000000001"/>
  </r>
  <r>
    <x v="2"/>
    <x v="0"/>
    <x v="2"/>
    <n v="110.14100000000001"/>
  </r>
  <r>
    <x v="2"/>
    <x v="0"/>
    <x v="2"/>
    <n v="103.849"/>
  </r>
  <r>
    <x v="2"/>
    <x v="0"/>
    <x v="2"/>
    <n v="98.067999999999998"/>
  </r>
  <r>
    <x v="2"/>
    <x v="0"/>
    <x v="2"/>
    <n v="115.506"/>
  </r>
  <r>
    <x v="2"/>
    <x v="0"/>
    <x v="2"/>
    <n v="126.38200000000001"/>
  </r>
  <r>
    <x v="2"/>
    <x v="0"/>
    <x v="2"/>
    <n v="108.36"/>
  </r>
  <r>
    <x v="2"/>
    <x v="0"/>
    <x v="2"/>
    <n v="106.944"/>
  </r>
  <r>
    <x v="2"/>
    <x v="0"/>
    <x v="2"/>
    <n v="105.43300000000001"/>
  </r>
  <r>
    <x v="2"/>
    <x v="0"/>
    <x v="2"/>
    <n v="118.798"/>
  </r>
  <r>
    <x v="2"/>
    <x v="0"/>
    <x v="2"/>
    <n v="119.652"/>
  </r>
  <r>
    <x v="2"/>
    <x v="0"/>
    <x v="2"/>
    <n v="108.506"/>
  </r>
  <r>
    <x v="2"/>
    <x v="0"/>
    <x v="2"/>
    <n v="103.923"/>
  </r>
  <r>
    <x v="2"/>
    <x v="0"/>
    <x v="2"/>
    <n v="118.944"/>
  </r>
  <r>
    <x v="2"/>
    <x v="0"/>
    <x v="2"/>
    <n v="101.36"/>
  </r>
  <r>
    <x v="2"/>
    <x v="0"/>
    <x v="2"/>
    <n v="120.309"/>
  </r>
  <r>
    <x v="2"/>
    <x v="0"/>
    <x v="2"/>
    <n v="97.067999999999998"/>
  </r>
  <r>
    <x v="2"/>
    <x v="0"/>
    <x v="2"/>
    <n v="102.142"/>
  </r>
  <r>
    <x v="2"/>
    <x v="0"/>
    <x v="2"/>
    <n v="100.36"/>
  </r>
  <r>
    <x v="2"/>
    <x v="0"/>
    <x v="2"/>
    <n v="105.72499999999999"/>
  </r>
  <r>
    <x v="2"/>
    <x v="0"/>
    <x v="2"/>
    <n v="105.57899999999999"/>
  </r>
  <r>
    <x v="2"/>
    <x v="0"/>
    <x v="2"/>
    <n v="101.14100000000001"/>
  </r>
  <r>
    <x v="2"/>
    <x v="0"/>
    <x v="2"/>
    <n v="109.944"/>
  </r>
  <r>
    <x v="2"/>
    <x v="0"/>
    <x v="2"/>
    <n v="121.09"/>
  </r>
  <r>
    <x v="2"/>
    <x v="0"/>
    <x v="2"/>
    <n v="102.506"/>
  </r>
  <r>
    <x v="2"/>
    <x v="0"/>
    <x v="2"/>
    <n v="108.923"/>
  </r>
  <r>
    <x v="2"/>
    <x v="0"/>
    <x v="2"/>
    <n v="104.871"/>
  </r>
  <r>
    <x v="2"/>
    <x v="0"/>
    <x v="2"/>
    <n v="111.43300000000001"/>
  </r>
  <r>
    <x v="2"/>
    <x v="0"/>
    <x v="2"/>
    <n v="102.798"/>
  </r>
  <r>
    <x v="2"/>
    <x v="0"/>
    <x v="2"/>
    <n v="89.63"/>
  </r>
  <r>
    <x v="2"/>
    <x v="0"/>
    <x v="2"/>
    <n v="120.163"/>
  </r>
  <r>
    <x v="2"/>
    <x v="0"/>
    <x v="2"/>
    <n v="108.798"/>
  </r>
  <r>
    <x v="2"/>
    <x v="0"/>
    <x v="2"/>
    <n v="108.506"/>
  </r>
  <r>
    <x v="2"/>
    <x v="0"/>
    <x v="2"/>
    <n v="99.36"/>
  </r>
  <r>
    <x v="2"/>
    <x v="0"/>
    <x v="2"/>
    <n v="124.601"/>
  </r>
  <r>
    <x v="2"/>
    <x v="0"/>
    <x v="2"/>
    <n v="101.43300000000001"/>
  </r>
  <r>
    <x v="2"/>
    <x v="0"/>
    <x v="2"/>
    <n v="104.068"/>
  </r>
  <r>
    <x v="2"/>
    <x v="0"/>
    <x v="2"/>
    <n v="105.995"/>
  </r>
  <r>
    <x v="2"/>
    <x v="0"/>
    <x v="2"/>
    <n v="96.557000000000002"/>
  </r>
  <r>
    <x v="2"/>
    <x v="0"/>
    <x v="2"/>
    <n v="111.72499999999999"/>
  </r>
  <r>
    <x v="2"/>
    <x v="0"/>
    <x v="2"/>
    <n v="90.557000000000002"/>
  </r>
  <r>
    <x v="2"/>
    <x v="0"/>
    <x v="2"/>
    <n v="96.483999999999995"/>
  </r>
  <r>
    <x v="2"/>
    <x v="0"/>
    <x v="2"/>
    <n v="105.57899999999999"/>
  </r>
  <r>
    <x v="2"/>
    <x v="0"/>
    <x v="2"/>
    <n v="117.871"/>
  </r>
  <r>
    <x v="2"/>
    <x v="0"/>
    <x v="2"/>
    <n v="116.309"/>
  </r>
  <r>
    <x v="2"/>
    <x v="0"/>
    <x v="2"/>
    <n v="106.43300000000001"/>
  </r>
  <r>
    <x v="2"/>
    <x v="0"/>
    <x v="2"/>
    <n v="97.213999999999999"/>
  </r>
  <r>
    <x v="2"/>
    <x v="0"/>
    <x v="2"/>
    <n v="104.068"/>
  </r>
  <r>
    <x v="2"/>
    <x v="0"/>
    <x v="2"/>
    <n v="107.57899999999999"/>
  </r>
  <r>
    <x v="2"/>
    <x v="0"/>
    <x v="2"/>
    <n v="105.28700000000001"/>
  </r>
  <r>
    <x v="2"/>
    <x v="0"/>
    <x v="2"/>
    <n v="111.652"/>
  </r>
  <r>
    <x v="2"/>
    <x v="0"/>
    <x v="2"/>
    <n v="96.067999999999998"/>
  </r>
  <r>
    <x v="2"/>
    <x v="0"/>
    <x v="2"/>
    <n v="111.871"/>
  </r>
  <r>
    <x v="2"/>
    <x v="0"/>
    <x v="2"/>
    <n v="121.309"/>
  </r>
  <r>
    <x v="2"/>
    <x v="0"/>
    <x v="2"/>
    <n v="117.236"/>
  </r>
  <r>
    <x v="2"/>
    <x v="0"/>
    <x v="2"/>
    <n v="119.163"/>
  </r>
  <r>
    <x v="2"/>
    <x v="0"/>
    <x v="2"/>
    <n v="115.163"/>
  </r>
  <r>
    <x v="2"/>
    <x v="0"/>
    <x v="2"/>
    <n v="122.38200000000001"/>
  </r>
  <r>
    <x v="2"/>
    <x v="0"/>
    <x v="2"/>
    <n v="98.631"/>
  </r>
  <r>
    <x v="2"/>
    <x v="0"/>
    <x v="2"/>
    <n v="106.43300000000001"/>
  </r>
  <r>
    <x v="2"/>
    <x v="0"/>
    <x v="2"/>
    <n v="99.213999999999999"/>
  </r>
  <r>
    <x v="2"/>
    <x v="0"/>
    <x v="2"/>
    <n v="122.309"/>
  </r>
  <r>
    <x v="2"/>
    <x v="0"/>
    <x v="2"/>
    <n v="112.871"/>
  </r>
  <r>
    <x v="2"/>
    <x v="0"/>
    <x v="2"/>
    <n v="105.14100000000001"/>
  </r>
  <r>
    <x v="2"/>
    <x v="0"/>
    <x v="2"/>
    <n v="105.43300000000001"/>
  </r>
  <r>
    <x v="2"/>
    <x v="0"/>
    <x v="2"/>
    <n v="95.775999999999996"/>
  </r>
  <r>
    <x v="2"/>
    <x v="0"/>
    <x v="2"/>
    <n v="108.506"/>
  </r>
  <r>
    <x v="2"/>
    <x v="0"/>
    <x v="2"/>
    <n v="97.921999999999997"/>
  </r>
  <r>
    <x v="2"/>
    <x v="1"/>
    <x v="2"/>
    <n v="669.13"/>
  </r>
  <r>
    <x v="2"/>
    <x v="1"/>
    <x v="2"/>
    <n v="647.33399999999995"/>
  </r>
  <r>
    <x v="2"/>
    <x v="1"/>
    <x v="2"/>
    <n v="675.827"/>
  </r>
  <r>
    <x v="2"/>
    <x v="1"/>
    <x v="2"/>
    <n v="666.62300000000005"/>
  </r>
  <r>
    <x v="2"/>
    <x v="1"/>
    <x v="2"/>
    <n v="695.13400000000001"/>
  </r>
  <r>
    <x v="2"/>
    <x v="1"/>
    <x v="2"/>
    <n v="658.91099999999994"/>
  </r>
  <r>
    <x v="2"/>
    <x v="1"/>
    <x v="2"/>
    <n v="674.88699999999994"/>
  </r>
  <r>
    <x v="2"/>
    <x v="1"/>
    <x v="2"/>
    <n v="678.95500000000004"/>
  </r>
  <r>
    <x v="2"/>
    <x v="1"/>
    <x v="2"/>
    <n v="649.75"/>
  </r>
  <r>
    <x v="2"/>
    <x v="1"/>
    <x v="2"/>
    <n v="678.66"/>
  </r>
  <r>
    <x v="2"/>
    <x v="1"/>
    <x v="2"/>
    <n v="660.74599999999998"/>
  </r>
  <r>
    <x v="2"/>
    <x v="1"/>
    <x v="2"/>
    <n v="663.25"/>
  </r>
  <r>
    <x v="2"/>
    <x v="1"/>
    <x v="2"/>
    <n v="627.83199999999999"/>
  </r>
  <r>
    <x v="2"/>
    <x v="1"/>
    <x v="2"/>
    <n v="671.39700000000005"/>
  </r>
  <r>
    <x v="2"/>
    <x v="1"/>
    <x v="2"/>
    <n v="613.55899999999997"/>
  </r>
  <r>
    <x v="2"/>
    <x v="1"/>
    <x v="2"/>
    <n v="670.048"/>
  </r>
  <r>
    <x v="2"/>
    <x v="1"/>
    <x v="2"/>
    <n v="656.36699999999996"/>
  </r>
  <r>
    <x v="2"/>
    <x v="1"/>
    <x v="2"/>
    <n v="667.53800000000001"/>
  </r>
  <r>
    <x v="2"/>
    <x v="1"/>
    <x v="2"/>
    <n v="590.84199999999998"/>
  </r>
  <r>
    <x v="2"/>
    <x v="1"/>
    <x v="2"/>
    <n v="640.947"/>
  </r>
  <r>
    <x v="2"/>
    <x v="1"/>
    <x v="2"/>
    <n v="661.57500000000005"/>
  </r>
  <r>
    <x v="2"/>
    <x v="1"/>
    <x v="2"/>
    <n v="649.25800000000004"/>
  </r>
  <r>
    <x v="2"/>
    <x v="1"/>
    <x v="2"/>
    <n v="646.40800000000002"/>
  </r>
  <r>
    <x v="2"/>
    <x v="1"/>
    <x v="2"/>
    <n v="658.97500000000002"/>
  </r>
  <r>
    <x v="2"/>
    <x v="1"/>
    <x v="2"/>
    <n v="675.68799999999999"/>
  </r>
  <r>
    <x v="2"/>
    <x v="1"/>
    <x v="2"/>
    <n v="676.98699999999997"/>
  </r>
  <r>
    <x v="2"/>
    <x v="1"/>
    <x v="2"/>
    <n v="665.83900000000006"/>
  </r>
  <r>
    <x v="2"/>
    <x v="1"/>
    <x v="2"/>
    <n v="660.54200000000003"/>
  </r>
  <r>
    <x v="2"/>
    <x v="1"/>
    <x v="2"/>
    <n v="634.04300000000001"/>
  </r>
  <r>
    <x v="2"/>
    <x v="1"/>
    <x v="2"/>
    <n v="667.76900000000001"/>
  </r>
  <r>
    <x v="2"/>
    <x v="1"/>
    <x v="2"/>
    <n v="695.41300000000001"/>
  </r>
  <r>
    <x v="2"/>
    <x v="1"/>
    <x v="2"/>
    <n v="648.23199999999997"/>
  </r>
  <r>
    <x v="2"/>
    <x v="1"/>
    <x v="2"/>
    <n v="645.72199999999998"/>
  </r>
  <r>
    <x v="2"/>
    <x v="1"/>
    <x v="2"/>
    <n v="650.93600000000004"/>
  </r>
  <r>
    <x v="2"/>
    <x v="1"/>
    <x v="2"/>
    <n v="704.3"/>
  </r>
  <r>
    <x v="2"/>
    <x v="1"/>
    <x v="2"/>
    <n v="628.32899999999995"/>
  </r>
  <r>
    <x v="2"/>
    <x v="1"/>
    <x v="2"/>
    <n v="625.58699999999999"/>
  </r>
  <r>
    <x v="2"/>
    <x v="1"/>
    <x v="2"/>
    <n v="644.51499999999999"/>
  </r>
  <r>
    <x v="2"/>
    <x v="1"/>
    <x v="2"/>
    <n v="639.61699999999996"/>
  </r>
  <r>
    <x v="2"/>
    <x v="1"/>
    <x v="2"/>
    <n v="633.73500000000001"/>
  </r>
  <r>
    <x v="2"/>
    <x v="1"/>
    <x v="2"/>
    <n v="665.93899999999996"/>
  </r>
  <r>
    <x v="2"/>
    <x v="1"/>
    <x v="2"/>
    <n v="631.85599999999999"/>
  </r>
  <r>
    <x v="2"/>
    <x v="1"/>
    <x v="2"/>
    <n v="653.91899999999998"/>
  </r>
  <r>
    <x v="2"/>
    <x v="1"/>
    <x v="2"/>
    <n v="660.74400000000003"/>
  </r>
  <r>
    <x v="2"/>
    <x v="1"/>
    <x v="2"/>
    <n v="680.99199999999996"/>
  </r>
  <r>
    <x v="2"/>
    <x v="1"/>
    <x v="2"/>
    <n v="676.77499999999998"/>
  </r>
  <r>
    <x v="2"/>
    <x v="1"/>
    <x v="2"/>
    <n v="659.93700000000001"/>
  </r>
  <r>
    <x v="2"/>
    <x v="1"/>
    <x v="2"/>
    <n v="642.34"/>
  </r>
  <r>
    <x v="2"/>
    <x v="1"/>
    <x v="2"/>
    <n v="659.81500000000005"/>
  </r>
  <r>
    <x v="2"/>
    <x v="1"/>
    <x v="2"/>
    <n v="653.20899999999995"/>
  </r>
  <r>
    <x v="2"/>
    <x v="1"/>
    <x v="2"/>
    <n v="626.59299999999996"/>
  </r>
  <r>
    <x v="2"/>
    <x v="1"/>
    <x v="2"/>
    <n v="647.70699999999999"/>
  </r>
  <r>
    <x v="2"/>
    <x v="1"/>
    <x v="2"/>
    <n v="682.58399999999995"/>
  </r>
  <r>
    <x v="2"/>
    <x v="1"/>
    <x v="2"/>
    <n v="673.91200000000003"/>
  </r>
  <r>
    <x v="2"/>
    <x v="1"/>
    <x v="2"/>
    <n v="698.46"/>
  </r>
  <r>
    <x v="2"/>
    <x v="1"/>
    <x v="2"/>
    <n v="651.76499999999999"/>
  </r>
  <r>
    <x v="2"/>
    <x v="1"/>
    <x v="2"/>
    <n v="684.18700000000001"/>
  </r>
  <r>
    <x v="2"/>
    <x v="1"/>
    <x v="2"/>
    <n v="665.81100000000004"/>
  </r>
  <r>
    <x v="2"/>
    <x v="1"/>
    <x v="2"/>
    <n v="675.43299999999999"/>
  </r>
  <r>
    <x v="2"/>
    <x v="1"/>
    <x v="2"/>
    <n v="688.56700000000001"/>
  </r>
  <r>
    <x v="2"/>
    <x v="1"/>
    <x v="2"/>
    <n v="687.61599999999999"/>
  </r>
  <r>
    <x v="2"/>
    <x v="1"/>
    <x v="2"/>
    <n v="677.721"/>
  </r>
  <r>
    <x v="2"/>
    <x v="1"/>
    <x v="2"/>
    <n v="642.12300000000005"/>
  </r>
  <r>
    <x v="2"/>
    <x v="1"/>
    <x v="2"/>
    <n v="628.79200000000003"/>
  </r>
  <r>
    <x v="2"/>
    <x v="1"/>
    <x v="2"/>
    <n v="677.30100000000004"/>
  </r>
  <r>
    <x v="2"/>
    <x v="1"/>
    <x v="2"/>
    <n v="674.75800000000004"/>
  </r>
  <r>
    <x v="2"/>
    <x v="1"/>
    <x v="2"/>
    <n v="646.61599999999999"/>
  </r>
  <r>
    <x v="2"/>
    <x v="1"/>
    <x v="2"/>
    <n v="661.13400000000001"/>
  </r>
  <r>
    <x v="2"/>
    <x v="1"/>
    <x v="2"/>
    <n v="678.72900000000004"/>
  </r>
  <r>
    <x v="2"/>
    <x v="1"/>
    <x v="2"/>
    <n v="629.28399999999999"/>
  </r>
  <r>
    <x v="2"/>
    <x v="1"/>
    <x v="2"/>
    <n v="654.67100000000005"/>
  </r>
  <r>
    <x v="2"/>
    <x v="1"/>
    <x v="2"/>
    <n v="642.70899999999995"/>
  </r>
  <r>
    <x v="2"/>
    <x v="1"/>
    <x v="2"/>
    <n v="677.43"/>
  </r>
  <r>
    <x v="2"/>
    <x v="1"/>
    <x v="2"/>
    <n v="667.7"/>
  </r>
  <r>
    <x v="2"/>
    <x v="1"/>
    <x v="2"/>
    <n v="676.83699999999999"/>
  </r>
  <r>
    <x v="2"/>
    <x v="1"/>
    <x v="2"/>
    <n v="628.69000000000005"/>
  </r>
  <r>
    <x v="2"/>
    <x v="1"/>
    <x v="2"/>
    <n v="653.01300000000003"/>
  </r>
  <r>
    <x v="2"/>
    <x v="1"/>
    <x v="2"/>
    <n v="667.72699999999998"/>
  </r>
  <r>
    <x v="2"/>
    <x v="1"/>
    <x v="2"/>
    <n v="650.77200000000005"/>
  </r>
  <r>
    <x v="2"/>
    <x v="1"/>
    <x v="2"/>
    <n v="665.52700000000004"/>
  </r>
  <r>
    <x v="2"/>
    <x v="1"/>
    <x v="2"/>
    <n v="641.57399999999996"/>
  </r>
  <r>
    <x v="2"/>
    <x v="1"/>
    <x v="2"/>
    <n v="680.64700000000005"/>
  </r>
  <r>
    <x v="2"/>
    <x v="1"/>
    <x v="2"/>
    <n v="662.846"/>
  </r>
  <r>
    <x v="2"/>
    <x v="1"/>
    <x v="2"/>
    <n v="654.19299999999998"/>
  </r>
  <r>
    <x v="2"/>
    <x v="1"/>
    <x v="2"/>
    <n v="647.83199999999999"/>
  </r>
  <r>
    <x v="2"/>
    <x v="1"/>
    <x v="2"/>
    <n v="662.14800000000002"/>
  </r>
  <r>
    <x v="2"/>
    <x v="1"/>
    <x v="2"/>
    <n v="662.07299999999998"/>
  </r>
  <r>
    <x v="2"/>
    <x v="1"/>
    <x v="2"/>
    <n v="684.98900000000003"/>
  </r>
  <r>
    <x v="2"/>
    <x v="1"/>
    <x v="2"/>
    <n v="667.64200000000005"/>
  </r>
  <r>
    <x v="2"/>
    <x v="1"/>
    <x v="2"/>
    <n v="624.99099999999999"/>
  </r>
  <r>
    <x v="2"/>
    <x v="1"/>
    <x v="2"/>
    <n v="635.36300000000006"/>
  </r>
  <r>
    <x v="2"/>
    <x v="1"/>
    <x v="2"/>
    <n v="644.85299999999995"/>
  </r>
  <r>
    <x v="2"/>
    <x v="1"/>
    <x v="2"/>
    <n v="630.9"/>
  </r>
  <r>
    <x v="2"/>
    <x v="1"/>
    <x v="2"/>
    <n v="606.36400000000003"/>
  </r>
  <r>
    <x v="2"/>
    <x v="1"/>
    <x v="2"/>
    <n v="674.08"/>
  </r>
  <r>
    <x v="2"/>
    <x v="1"/>
    <x v="2"/>
    <n v="625.42499999999995"/>
  </r>
  <r>
    <x v="2"/>
    <x v="1"/>
    <x v="2"/>
    <n v="650.56200000000001"/>
  </r>
  <r>
    <x v="2"/>
    <x v="1"/>
    <x v="2"/>
    <n v="662.125"/>
  </r>
  <r>
    <x v="2"/>
    <x v="1"/>
    <x v="2"/>
    <n v="674.16200000000003"/>
  </r>
  <r>
    <x v="2"/>
    <x v="1"/>
    <x v="2"/>
    <n v="610.28899999999999"/>
  </r>
  <r>
    <x v="2"/>
    <x v="2"/>
    <x v="2"/>
    <n v="1999.2739999999999"/>
  </r>
  <r>
    <x v="2"/>
    <x v="2"/>
    <x v="2"/>
    <n v="2033.326"/>
  </r>
  <r>
    <x v="2"/>
    <x v="2"/>
    <x v="2"/>
    <n v="2075.9520000000002"/>
  </r>
  <r>
    <x v="2"/>
    <x v="2"/>
    <x v="2"/>
    <n v="1983.4649999999999"/>
  </r>
  <r>
    <x v="2"/>
    <x v="2"/>
    <x v="2"/>
    <n v="2014.336"/>
  </r>
  <r>
    <x v="2"/>
    <x v="2"/>
    <x v="2"/>
    <n v="1982.7840000000001"/>
  </r>
  <r>
    <x v="2"/>
    <x v="2"/>
    <x v="2"/>
    <n v="2035.3610000000001"/>
  </r>
  <r>
    <x v="2"/>
    <x v="2"/>
    <x v="2"/>
    <n v="2003.04"/>
  </r>
  <r>
    <x v="2"/>
    <x v="2"/>
    <x v="2"/>
    <n v="2009.175"/>
  </r>
  <r>
    <x v="2"/>
    <x v="2"/>
    <x v="2"/>
    <n v="2112.989"/>
  </r>
  <r>
    <x v="2"/>
    <x v="2"/>
    <x v="2"/>
    <n v="2006.2239999999999"/>
  </r>
  <r>
    <x v="2"/>
    <x v="2"/>
    <x v="2"/>
    <n v="2036.864"/>
  </r>
  <r>
    <x v="2"/>
    <x v="2"/>
    <x v="2"/>
    <n v="2005.5360000000001"/>
  </r>
  <r>
    <x v="2"/>
    <x v="2"/>
    <x v="2"/>
    <n v="2042.798"/>
  </r>
  <r>
    <x v="2"/>
    <x v="2"/>
    <x v="2"/>
    <n v="1987.3920000000001"/>
  </r>
  <r>
    <x v="2"/>
    <x v="2"/>
    <x v="2"/>
    <n v="2047.8779999999999"/>
  </r>
  <r>
    <x v="2"/>
    <x v="2"/>
    <x v="2"/>
    <n v="2001.9449999999999"/>
  </r>
  <r>
    <x v="2"/>
    <x v="2"/>
    <x v="2"/>
    <n v="1967.722"/>
  </r>
  <r>
    <x v="2"/>
    <x v="2"/>
    <x v="2"/>
    <n v="1996.2380000000001"/>
  </r>
  <r>
    <x v="2"/>
    <x v="2"/>
    <x v="2"/>
    <n v="1968.598"/>
  </r>
  <r>
    <x v="2"/>
    <x v="2"/>
    <x v="2"/>
    <n v="1996.3320000000001"/>
  </r>
  <r>
    <x v="2"/>
    <x v="2"/>
    <x v="2"/>
    <n v="2035.1020000000001"/>
  </r>
  <r>
    <x v="2"/>
    <x v="2"/>
    <x v="2"/>
    <n v="1992.53"/>
  </r>
  <r>
    <x v="2"/>
    <x v="2"/>
    <x v="2"/>
    <n v="2018.5319999999999"/>
  </r>
  <r>
    <x v="2"/>
    <x v="2"/>
    <x v="2"/>
    <n v="2029.6759999999999"/>
  </r>
  <r>
    <x v="2"/>
    <x v="2"/>
    <x v="2"/>
    <n v="2042.34"/>
  </r>
  <r>
    <x v="2"/>
    <x v="2"/>
    <x v="2"/>
    <n v="2036.6569999999999"/>
  </r>
  <r>
    <x v="2"/>
    <x v="2"/>
    <x v="2"/>
    <n v="2037.5820000000001"/>
  </r>
  <r>
    <x v="2"/>
    <x v="2"/>
    <x v="2"/>
    <n v="2018.3630000000001"/>
  </r>
  <r>
    <x v="2"/>
    <x v="2"/>
    <x v="2"/>
    <n v="2095.5140000000001"/>
  </r>
  <r>
    <x v="2"/>
    <x v="2"/>
    <x v="2"/>
    <n v="1975.902"/>
  </r>
  <r>
    <x v="2"/>
    <x v="2"/>
    <x v="2"/>
    <n v="2072.7669999999998"/>
  </r>
  <r>
    <x v="2"/>
    <x v="2"/>
    <x v="2"/>
    <n v="2031.174"/>
  </r>
  <r>
    <x v="2"/>
    <x v="2"/>
    <x v="2"/>
    <n v="1996.222"/>
  </r>
  <r>
    <x v="2"/>
    <x v="2"/>
    <x v="2"/>
    <n v="2076.3110000000001"/>
  </r>
  <r>
    <x v="2"/>
    <x v="2"/>
    <x v="2"/>
    <n v="1927.366"/>
  </r>
  <r>
    <x v="2"/>
    <x v="2"/>
    <x v="2"/>
    <n v="2003.6130000000001"/>
  </r>
  <r>
    <x v="2"/>
    <x v="2"/>
    <x v="2"/>
    <n v="1985.44"/>
  </r>
  <r>
    <x v="2"/>
    <x v="2"/>
    <x v="2"/>
    <n v="2015.943"/>
  </r>
  <r>
    <x v="2"/>
    <x v="2"/>
    <x v="2"/>
    <n v="2000.1320000000001"/>
  </r>
  <r>
    <x v="2"/>
    <x v="2"/>
    <x v="2"/>
    <n v="1977.9939999999999"/>
  </r>
  <r>
    <x v="2"/>
    <x v="2"/>
    <x v="2"/>
    <n v="2041.6030000000001"/>
  </r>
  <r>
    <x v="2"/>
    <x v="2"/>
    <x v="2"/>
    <n v="1956.171"/>
  </r>
  <r>
    <x v="2"/>
    <x v="2"/>
    <x v="2"/>
    <n v="2044.56"/>
  </r>
  <r>
    <x v="2"/>
    <x v="2"/>
    <x v="2"/>
    <n v="1979.307"/>
  </r>
  <r>
    <x v="2"/>
    <x v="2"/>
    <x v="2"/>
    <n v="2018.3040000000001"/>
  </r>
  <r>
    <x v="2"/>
    <x v="2"/>
    <x v="2"/>
    <n v="2040.9359999999999"/>
  </r>
  <r>
    <x v="2"/>
    <x v="2"/>
    <x v="2"/>
    <n v="1974.5540000000001"/>
  </r>
  <r>
    <x v="2"/>
    <x v="2"/>
    <x v="2"/>
    <n v="2053.5309999999999"/>
  </r>
  <r>
    <x v="2"/>
    <x v="2"/>
    <x v="2"/>
    <n v="2019.451"/>
  </r>
  <r>
    <x v="2"/>
    <x v="2"/>
    <x v="2"/>
    <n v="2044.3889999999999"/>
  </r>
  <r>
    <x v="2"/>
    <x v="2"/>
    <x v="2"/>
    <n v="2008.1579999999999"/>
  </r>
  <r>
    <x v="2"/>
    <x v="2"/>
    <x v="2"/>
    <n v="2020.9490000000001"/>
  </r>
  <r>
    <x v="2"/>
    <x v="2"/>
    <x v="2"/>
    <n v="2028.7339999999999"/>
  </r>
  <r>
    <x v="2"/>
    <x v="2"/>
    <x v="2"/>
    <n v="1993.8810000000001"/>
  </r>
  <r>
    <x v="2"/>
    <x v="2"/>
    <x v="2"/>
    <n v="2009.066"/>
  </r>
  <r>
    <x v="2"/>
    <x v="2"/>
    <x v="2"/>
    <n v="2012.627"/>
  </r>
  <r>
    <x v="2"/>
    <x v="2"/>
    <x v="2"/>
    <n v="2033.008"/>
  </r>
  <r>
    <x v="2"/>
    <x v="2"/>
    <x v="2"/>
    <n v="2034.5719999999999"/>
  </r>
  <r>
    <x v="2"/>
    <x v="2"/>
    <x v="2"/>
    <n v="1937.047"/>
  </r>
  <r>
    <x v="2"/>
    <x v="2"/>
    <x v="2"/>
    <n v="2044.376"/>
  </r>
  <r>
    <x v="2"/>
    <x v="2"/>
    <x v="2"/>
    <n v="2035.931"/>
  </r>
  <r>
    <x v="2"/>
    <x v="2"/>
    <x v="2"/>
    <n v="2080.21"/>
  </r>
  <r>
    <x v="2"/>
    <x v="2"/>
    <x v="2"/>
    <n v="2085.65"/>
  </r>
  <r>
    <x v="2"/>
    <x v="2"/>
    <x v="2"/>
    <n v="2058.2660000000001"/>
  </r>
  <r>
    <x v="2"/>
    <x v="2"/>
    <x v="2"/>
    <n v="2044.663"/>
  </r>
  <r>
    <x v="2"/>
    <x v="2"/>
    <x v="2"/>
    <n v="2074.5"/>
  </r>
  <r>
    <x v="2"/>
    <x v="2"/>
    <x v="2"/>
    <n v="1947.193"/>
  </r>
  <r>
    <x v="2"/>
    <x v="2"/>
    <x v="2"/>
    <n v="2031.0160000000001"/>
  </r>
  <r>
    <x v="2"/>
    <x v="2"/>
    <x v="2"/>
    <n v="2019.585"/>
  </r>
  <r>
    <x v="2"/>
    <x v="2"/>
    <x v="2"/>
    <n v="2001.1410000000001"/>
  </r>
  <r>
    <x v="2"/>
    <x v="2"/>
    <x v="2"/>
    <n v="2081.9209999999998"/>
  </r>
  <r>
    <x v="2"/>
    <x v="2"/>
    <x v="2"/>
    <n v="2026.24"/>
  </r>
  <r>
    <x v="2"/>
    <x v="2"/>
    <x v="2"/>
    <n v="2028.2180000000001"/>
  </r>
  <r>
    <x v="2"/>
    <x v="2"/>
    <x v="2"/>
    <n v="2018.3240000000001"/>
  </r>
  <r>
    <x v="2"/>
    <x v="2"/>
    <x v="2"/>
    <n v="1998.6510000000001"/>
  </r>
  <r>
    <x v="2"/>
    <x v="2"/>
    <x v="2"/>
    <n v="2065.056"/>
  </r>
  <r>
    <x v="2"/>
    <x v="2"/>
    <x v="2"/>
    <n v="2040.394"/>
  </r>
  <r>
    <x v="2"/>
    <x v="2"/>
    <x v="2"/>
    <n v="1964.443"/>
  </r>
  <r>
    <x v="2"/>
    <x v="2"/>
    <x v="2"/>
    <n v="2032.58"/>
  </r>
  <r>
    <x v="2"/>
    <x v="2"/>
    <x v="2"/>
    <n v="2012.066"/>
  </r>
  <r>
    <x v="2"/>
    <x v="2"/>
    <x v="2"/>
    <n v="2034.4970000000001"/>
  </r>
  <r>
    <x v="2"/>
    <x v="2"/>
    <x v="2"/>
    <n v="1983.7139999999999"/>
  </r>
  <r>
    <x v="2"/>
    <x v="2"/>
    <x v="2"/>
    <n v="2068.1799999999998"/>
  </r>
  <r>
    <x v="2"/>
    <x v="2"/>
    <x v="2"/>
    <n v="1958.626"/>
  </r>
  <r>
    <x v="2"/>
    <x v="2"/>
    <x v="2"/>
    <n v="1945.317"/>
  </r>
  <r>
    <x v="2"/>
    <x v="2"/>
    <x v="2"/>
    <n v="2041.7170000000001"/>
  </r>
  <r>
    <x v="2"/>
    <x v="2"/>
    <x v="2"/>
    <n v="2073.123"/>
  </r>
  <r>
    <x v="2"/>
    <x v="2"/>
    <x v="2"/>
    <n v="2034.0219999999999"/>
  </r>
  <r>
    <x v="2"/>
    <x v="2"/>
    <x v="2"/>
    <n v="2002.742"/>
  </r>
  <r>
    <x v="2"/>
    <x v="2"/>
    <x v="2"/>
    <n v="2038.8820000000001"/>
  </r>
  <r>
    <x v="2"/>
    <x v="2"/>
    <x v="2"/>
    <n v="2051.489"/>
  </r>
  <r>
    <x v="2"/>
    <x v="2"/>
    <x v="2"/>
    <n v="2034.575"/>
  </r>
  <r>
    <x v="2"/>
    <x v="2"/>
    <x v="2"/>
    <n v="1980.8810000000001"/>
  </r>
  <r>
    <x v="2"/>
    <x v="2"/>
    <x v="2"/>
    <n v="1962.181"/>
  </r>
  <r>
    <x v="2"/>
    <x v="2"/>
    <x v="2"/>
    <n v="1973.1990000000001"/>
  </r>
  <r>
    <x v="2"/>
    <x v="2"/>
    <x v="2"/>
    <n v="2078.3440000000001"/>
  </r>
  <r>
    <x v="2"/>
    <x v="2"/>
    <x v="2"/>
    <n v="1997.212"/>
  </r>
  <r>
    <x v="2"/>
    <x v="2"/>
    <x v="2"/>
    <n v="1988.8810000000001"/>
  </r>
  <r>
    <x v="2"/>
    <x v="2"/>
    <x v="2"/>
    <n v="2036.98"/>
  </r>
  <r>
    <x v="0"/>
    <x v="0"/>
    <x v="3"/>
    <n v="132.16"/>
  </r>
  <r>
    <x v="0"/>
    <x v="0"/>
    <x v="3"/>
    <n v="156.00800000000001"/>
  </r>
  <r>
    <x v="0"/>
    <x v="0"/>
    <x v="3"/>
    <n v="144.59800000000001"/>
  </r>
  <r>
    <x v="0"/>
    <x v="0"/>
    <x v="3"/>
    <n v="134.55000000000001"/>
  </r>
  <r>
    <x v="0"/>
    <x v="0"/>
    <x v="3"/>
    <n v="136.185"/>
  </r>
  <r>
    <x v="0"/>
    <x v="0"/>
    <x v="3"/>
    <n v="158.40100000000001"/>
  </r>
  <r>
    <x v="0"/>
    <x v="0"/>
    <x v="3"/>
    <n v="146.84100000000001"/>
  </r>
  <r>
    <x v="0"/>
    <x v="0"/>
    <x v="3"/>
    <n v="148.54599999999999"/>
  </r>
  <r>
    <x v="0"/>
    <x v="0"/>
    <x v="3"/>
    <n v="141.62299999999999"/>
  </r>
  <r>
    <x v="0"/>
    <x v="0"/>
    <x v="3"/>
    <n v="138.03899999999999"/>
  </r>
  <r>
    <x v="0"/>
    <x v="0"/>
    <x v="3"/>
    <n v="151.42500000000001"/>
  </r>
  <r>
    <x v="0"/>
    <x v="0"/>
    <x v="3"/>
    <n v="143.67099999999999"/>
  </r>
  <r>
    <x v="0"/>
    <x v="0"/>
    <x v="3"/>
    <n v="144.47300000000001"/>
  </r>
  <r>
    <x v="0"/>
    <x v="0"/>
    <x v="3"/>
    <n v="145.37899999999999"/>
  </r>
  <r>
    <x v="0"/>
    <x v="0"/>
    <x v="3"/>
    <n v="148.84200000000001"/>
  </r>
  <r>
    <x v="0"/>
    <x v="0"/>
    <x v="3"/>
    <n v="133.84200000000001"/>
  </r>
  <r>
    <x v="0"/>
    <x v="0"/>
    <x v="3"/>
    <n v="136.16"/>
  </r>
  <r>
    <x v="0"/>
    <x v="0"/>
    <x v="3"/>
    <n v="127.82"/>
  </r>
  <r>
    <x v="0"/>
    <x v="0"/>
    <x v="3"/>
    <n v="164.00899999999999"/>
  </r>
  <r>
    <x v="0"/>
    <x v="0"/>
    <x v="3"/>
    <n v="157.352"/>
  </r>
  <r>
    <x v="0"/>
    <x v="0"/>
    <x v="3"/>
    <n v="157.44900000000001"/>
  </r>
  <r>
    <x v="0"/>
    <x v="0"/>
    <x v="3"/>
    <n v="158.47300000000001"/>
  </r>
  <r>
    <x v="0"/>
    <x v="0"/>
    <x v="3"/>
    <n v="143.816"/>
  </r>
  <r>
    <x v="0"/>
    <x v="0"/>
    <x v="3"/>
    <n v="149.327"/>
  </r>
  <r>
    <x v="0"/>
    <x v="0"/>
    <x v="3"/>
    <n v="160.98400000000001"/>
  </r>
  <r>
    <x v="0"/>
    <x v="0"/>
    <x v="3"/>
    <n v="142.81700000000001"/>
  </r>
  <r>
    <x v="0"/>
    <x v="0"/>
    <x v="3"/>
    <n v="153.20599999999999"/>
  </r>
  <r>
    <x v="0"/>
    <x v="0"/>
    <x v="3"/>
    <n v="145.59800000000001"/>
  </r>
  <r>
    <x v="0"/>
    <x v="0"/>
    <x v="3"/>
    <n v="137.76900000000001"/>
  </r>
  <r>
    <x v="0"/>
    <x v="0"/>
    <x v="3"/>
    <n v="143.404"/>
  </r>
  <r>
    <x v="0"/>
    <x v="0"/>
    <x v="3"/>
    <n v="136.452"/>
  </r>
  <r>
    <x v="0"/>
    <x v="0"/>
    <x v="3"/>
    <n v="167.08199999999999"/>
  </r>
  <r>
    <x v="0"/>
    <x v="0"/>
    <x v="3"/>
    <n v="161.71700000000001"/>
  </r>
  <r>
    <x v="0"/>
    <x v="0"/>
    <x v="3"/>
    <n v="142.76900000000001"/>
  </r>
  <r>
    <x v="0"/>
    <x v="0"/>
    <x v="3"/>
    <n v="144.59800000000001"/>
  </r>
  <r>
    <x v="0"/>
    <x v="0"/>
    <x v="3"/>
    <n v="162.46899999999999"/>
  </r>
  <r>
    <x v="0"/>
    <x v="0"/>
    <x v="3"/>
    <n v="155.86199999999999"/>
  </r>
  <r>
    <x v="0"/>
    <x v="0"/>
    <x v="3"/>
    <n v="153.49799999999999"/>
  </r>
  <r>
    <x v="0"/>
    <x v="0"/>
    <x v="3"/>
    <n v="139.477"/>
  </r>
  <r>
    <x v="0"/>
    <x v="0"/>
    <x v="3"/>
    <n v="153.25399999999999"/>
  </r>
  <r>
    <x v="0"/>
    <x v="0"/>
    <x v="3"/>
    <n v="161.571"/>
  </r>
  <r>
    <x v="0"/>
    <x v="0"/>
    <x v="3"/>
    <n v="141.91399999999999"/>
  </r>
  <r>
    <x v="0"/>
    <x v="0"/>
    <x v="3"/>
    <n v="141.45099999999999"/>
  </r>
  <r>
    <x v="0"/>
    <x v="0"/>
    <x v="3"/>
    <n v="137.62299999999999"/>
  </r>
  <r>
    <x v="0"/>
    <x v="0"/>
    <x v="3"/>
    <n v="154.352"/>
  </r>
  <r>
    <x v="0"/>
    <x v="0"/>
    <x v="3"/>
    <n v="157.13399999999999"/>
  </r>
  <r>
    <x v="0"/>
    <x v="0"/>
    <x v="3"/>
    <n v="138.404"/>
  </r>
  <r>
    <x v="0"/>
    <x v="0"/>
    <x v="3"/>
    <n v="139.88999999999999"/>
  </r>
  <r>
    <x v="0"/>
    <x v="0"/>
    <x v="3"/>
    <n v="140.18100000000001"/>
  </r>
  <r>
    <x v="0"/>
    <x v="0"/>
    <x v="3"/>
    <n v="157.547"/>
  </r>
  <r>
    <x v="0"/>
    <x v="0"/>
    <x v="3"/>
    <n v="138.33099999999999"/>
  </r>
  <r>
    <x v="0"/>
    <x v="0"/>
    <x v="3"/>
    <n v="138.816"/>
  </r>
  <r>
    <x v="0"/>
    <x v="0"/>
    <x v="3"/>
    <n v="134.03899999999999"/>
  </r>
  <r>
    <x v="0"/>
    <x v="0"/>
    <x v="3"/>
    <n v="141.67099999999999"/>
  </r>
  <r>
    <x v="0"/>
    <x v="0"/>
    <x v="3"/>
    <n v="135.768"/>
  </r>
  <r>
    <x v="0"/>
    <x v="0"/>
    <x v="3"/>
    <n v="165.05799999999999"/>
  </r>
  <r>
    <x v="0"/>
    <x v="0"/>
    <x v="3"/>
    <n v="157.47300000000001"/>
  </r>
  <r>
    <x v="0"/>
    <x v="0"/>
    <x v="3"/>
    <n v="154.13399999999999"/>
  </r>
  <r>
    <x v="0"/>
    <x v="0"/>
    <x v="3"/>
    <n v="167.27600000000001"/>
  </r>
  <r>
    <x v="0"/>
    <x v="0"/>
    <x v="3"/>
    <n v="121.309"/>
  </r>
  <r>
    <x v="0"/>
    <x v="0"/>
    <x v="3"/>
    <n v="129.601"/>
  </r>
  <r>
    <x v="0"/>
    <x v="0"/>
    <x v="3"/>
    <n v="172.227"/>
  </r>
  <r>
    <x v="0"/>
    <x v="0"/>
    <x v="3"/>
    <n v="125.67400000000001"/>
  </r>
  <r>
    <x v="0"/>
    <x v="0"/>
    <x v="3"/>
    <n v="133.11199999999999"/>
  </r>
  <r>
    <x v="0"/>
    <x v="0"/>
    <x v="3"/>
    <n v="153.47300000000001"/>
  </r>
  <r>
    <x v="0"/>
    <x v="0"/>
    <x v="3"/>
    <n v="141.477"/>
  </r>
  <r>
    <x v="0"/>
    <x v="0"/>
    <x v="3"/>
    <n v="136.67099999999999"/>
  </r>
  <r>
    <x v="0"/>
    <x v="0"/>
    <x v="3"/>
    <n v="163.571"/>
  </r>
  <r>
    <x v="0"/>
    <x v="0"/>
    <x v="3"/>
    <n v="156.571"/>
  </r>
  <r>
    <x v="0"/>
    <x v="0"/>
    <x v="3"/>
    <n v="155.54599999999999"/>
  </r>
  <r>
    <x v="0"/>
    <x v="0"/>
    <x v="3"/>
    <n v="171.499"/>
  </r>
  <r>
    <x v="0"/>
    <x v="0"/>
    <x v="3"/>
    <n v="136.208"/>
  </r>
  <r>
    <x v="0"/>
    <x v="0"/>
    <x v="3"/>
    <n v="156.279"/>
  </r>
  <r>
    <x v="0"/>
    <x v="0"/>
    <x v="3"/>
    <n v="134.67400000000001"/>
  </r>
  <r>
    <x v="0"/>
    <x v="0"/>
    <x v="3"/>
    <n v="127.67400000000001"/>
  </r>
  <r>
    <x v="0"/>
    <x v="0"/>
    <x v="3"/>
    <n v="136.185"/>
  </r>
  <r>
    <x v="0"/>
    <x v="0"/>
    <x v="3"/>
    <n v="134.11199999999999"/>
  </r>
  <r>
    <x v="0"/>
    <x v="0"/>
    <x v="3"/>
    <n v="165.12899999999999"/>
  </r>
  <r>
    <x v="0"/>
    <x v="0"/>
    <x v="3"/>
    <n v="155.18199999999999"/>
  </r>
  <r>
    <x v="0"/>
    <x v="0"/>
    <x v="3"/>
    <n v="159.44800000000001"/>
  </r>
  <r>
    <x v="0"/>
    <x v="0"/>
    <x v="3"/>
    <n v="160.71700000000001"/>
  </r>
  <r>
    <x v="0"/>
    <x v="0"/>
    <x v="3"/>
    <n v="132.404"/>
  </r>
  <r>
    <x v="0"/>
    <x v="0"/>
    <x v="3"/>
    <n v="164.46899999999999"/>
  </r>
  <r>
    <x v="0"/>
    <x v="0"/>
    <x v="3"/>
    <n v="150.84100000000001"/>
  </r>
  <r>
    <x v="0"/>
    <x v="0"/>
    <x v="3"/>
    <n v="131.25700000000001"/>
  </r>
  <r>
    <x v="0"/>
    <x v="0"/>
    <x v="3"/>
    <n v="154.20699999999999"/>
  </r>
  <r>
    <x v="0"/>
    <x v="0"/>
    <x v="3"/>
    <n v="122.455"/>
  </r>
  <r>
    <x v="0"/>
    <x v="0"/>
    <x v="3"/>
    <n v="118.38200000000001"/>
  </r>
  <r>
    <x v="0"/>
    <x v="0"/>
    <x v="3"/>
    <n v="148.011"/>
  </r>
  <r>
    <x v="0"/>
    <x v="0"/>
    <x v="3"/>
    <n v="164.83799999999999"/>
  </r>
  <r>
    <x v="0"/>
    <x v="0"/>
    <x v="3"/>
    <n v="143.84200000000001"/>
  </r>
  <r>
    <x v="0"/>
    <x v="0"/>
    <x v="3"/>
    <n v="153.69200000000001"/>
  </r>
  <r>
    <x v="0"/>
    <x v="0"/>
    <x v="3"/>
    <n v="120.455"/>
  </r>
  <r>
    <x v="0"/>
    <x v="0"/>
    <x v="3"/>
    <n v="152.327"/>
  </r>
  <r>
    <x v="0"/>
    <x v="0"/>
    <x v="3"/>
    <n v="149.83699999999999"/>
  </r>
  <r>
    <x v="0"/>
    <x v="0"/>
    <x v="3"/>
    <n v="160.13"/>
  </r>
  <r>
    <x v="0"/>
    <x v="0"/>
    <x v="3"/>
    <n v="144.54900000000001"/>
  </r>
  <r>
    <x v="0"/>
    <x v="0"/>
    <x v="3"/>
    <n v="119.38200000000001"/>
  </r>
  <r>
    <x v="0"/>
    <x v="0"/>
    <x v="3"/>
    <n v="144.81700000000001"/>
  </r>
  <r>
    <x v="0"/>
    <x v="0"/>
    <x v="3"/>
    <n v="162.76499999999999"/>
  </r>
  <r>
    <x v="0"/>
    <x v="1"/>
    <x v="3"/>
    <n v="927.39"/>
  </r>
  <r>
    <x v="0"/>
    <x v="1"/>
    <x v="3"/>
    <n v="929.76300000000003"/>
  </r>
  <r>
    <x v="0"/>
    <x v="1"/>
    <x v="3"/>
    <n v="911.50099999999998"/>
  </r>
  <r>
    <x v="0"/>
    <x v="1"/>
    <x v="3"/>
    <n v="896.2"/>
  </r>
  <r>
    <x v="0"/>
    <x v="1"/>
    <x v="3"/>
    <n v="877.327"/>
  </r>
  <r>
    <x v="0"/>
    <x v="1"/>
    <x v="3"/>
    <n v="883.98699999999997"/>
  </r>
  <r>
    <x v="0"/>
    <x v="1"/>
    <x v="3"/>
    <n v="886.32799999999997"/>
  </r>
  <r>
    <x v="0"/>
    <x v="1"/>
    <x v="3"/>
    <n v="862.66499999999996"/>
  </r>
  <r>
    <x v="0"/>
    <x v="1"/>
    <x v="3"/>
    <n v="878.79600000000005"/>
  </r>
  <r>
    <x v="0"/>
    <x v="1"/>
    <x v="3"/>
    <n v="963.74400000000003"/>
  </r>
  <r>
    <x v="0"/>
    <x v="1"/>
    <x v="3"/>
    <n v="957.15300000000002"/>
  </r>
  <r>
    <x v="0"/>
    <x v="1"/>
    <x v="3"/>
    <n v="851.63699999999994"/>
  </r>
  <r>
    <x v="0"/>
    <x v="1"/>
    <x v="3"/>
    <n v="842.38900000000001"/>
  </r>
  <r>
    <x v="0"/>
    <x v="1"/>
    <x v="3"/>
    <n v="881.41300000000001"/>
  </r>
  <r>
    <x v="0"/>
    <x v="1"/>
    <x v="3"/>
    <n v="893.36699999999996"/>
  </r>
  <r>
    <x v="0"/>
    <x v="1"/>
    <x v="3"/>
    <n v="910.05499999999995"/>
  </r>
  <r>
    <x v="0"/>
    <x v="1"/>
    <x v="3"/>
    <n v="910.28399999999999"/>
  </r>
  <r>
    <x v="0"/>
    <x v="1"/>
    <x v="3"/>
    <n v="909.33500000000004"/>
  </r>
  <r>
    <x v="0"/>
    <x v="1"/>
    <x v="3"/>
    <n v="943.06799999999998"/>
  </r>
  <r>
    <x v="0"/>
    <x v="1"/>
    <x v="3"/>
    <n v="964.79100000000005"/>
  </r>
  <r>
    <x v="0"/>
    <x v="1"/>
    <x v="3"/>
    <n v="913.64"/>
  </r>
  <r>
    <x v="0"/>
    <x v="1"/>
    <x v="3"/>
    <n v="917.077"/>
  </r>
  <r>
    <x v="0"/>
    <x v="1"/>
    <x v="3"/>
    <n v="885.31500000000005"/>
  </r>
  <r>
    <x v="0"/>
    <x v="1"/>
    <x v="3"/>
    <n v="929.90200000000004"/>
  </r>
  <r>
    <x v="0"/>
    <x v="1"/>
    <x v="3"/>
    <n v="919.13900000000001"/>
  </r>
  <r>
    <x v="0"/>
    <x v="1"/>
    <x v="3"/>
    <n v="877.54"/>
  </r>
  <r>
    <x v="0"/>
    <x v="1"/>
    <x v="3"/>
    <n v="834.31600000000003"/>
  </r>
  <r>
    <x v="0"/>
    <x v="1"/>
    <x v="3"/>
    <n v="894.74"/>
  </r>
  <r>
    <x v="0"/>
    <x v="1"/>
    <x v="3"/>
    <n v="904.71299999999997"/>
  </r>
  <r>
    <x v="0"/>
    <x v="1"/>
    <x v="3"/>
    <n v="928.88599999999997"/>
  </r>
  <r>
    <x v="0"/>
    <x v="1"/>
    <x v="3"/>
    <n v="922.43100000000004"/>
  </r>
  <r>
    <x v="0"/>
    <x v="1"/>
    <x v="3"/>
    <n v="944.60599999999999"/>
  </r>
  <r>
    <x v="0"/>
    <x v="1"/>
    <x v="3"/>
    <n v="904.34100000000001"/>
  </r>
  <r>
    <x v="0"/>
    <x v="1"/>
    <x v="3"/>
    <n v="943.63300000000004"/>
  </r>
  <r>
    <x v="0"/>
    <x v="1"/>
    <x v="3"/>
    <n v="922.654"/>
  </r>
  <r>
    <x v="0"/>
    <x v="1"/>
    <x v="3"/>
    <n v="950.10400000000004"/>
  </r>
  <r>
    <x v="0"/>
    <x v="1"/>
    <x v="3"/>
    <n v="928.44799999999998"/>
  </r>
  <r>
    <x v="0"/>
    <x v="1"/>
    <x v="3"/>
    <n v="903.755"/>
  </r>
  <r>
    <x v="0"/>
    <x v="1"/>
    <x v="3"/>
    <n v="904.43799999999999"/>
  </r>
  <r>
    <x v="0"/>
    <x v="1"/>
    <x v="3"/>
    <n v="914.45500000000004"/>
  </r>
  <r>
    <x v="0"/>
    <x v="1"/>
    <x v="3"/>
    <n v="933.46699999999998"/>
  </r>
  <r>
    <x v="0"/>
    <x v="1"/>
    <x v="3"/>
    <n v="940.79700000000003"/>
  </r>
  <r>
    <x v="0"/>
    <x v="1"/>
    <x v="3"/>
    <n v="945.19200000000001"/>
  </r>
  <r>
    <x v="0"/>
    <x v="1"/>
    <x v="3"/>
    <n v="940.39800000000002"/>
  </r>
  <r>
    <x v="0"/>
    <x v="1"/>
    <x v="3"/>
    <n v="910.97400000000005"/>
  </r>
  <r>
    <x v="0"/>
    <x v="1"/>
    <x v="3"/>
    <n v="934.03800000000001"/>
  </r>
  <r>
    <x v="0"/>
    <x v="1"/>
    <x v="3"/>
    <n v="942.7"/>
  </r>
  <r>
    <x v="0"/>
    <x v="1"/>
    <x v="3"/>
    <n v="954.36400000000003"/>
  </r>
  <r>
    <x v="0"/>
    <x v="1"/>
    <x v="3"/>
    <n v="917.39300000000003"/>
  </r>
  <r>
    <x v="0"/>
    <x v="1"/>
    <x v="3"/>
    <n v="869.95100000000002"/>
  </r>
  <r>
    <x v="0"/>
    <x v="1"/>
    <x v="3"/>
    <n v="862.09199999999998"/>
  </r>
  <r>
    <x v="0"/>
    <x v="1"/>
    <x v="3"/>
    <n v="886.01400000000001"/>
  </r>
  <r>
    <x v="0"/>
    <x v="1"/>
    <x v="3"/>
    <n v="951.93"/>
  </r>
  <r>
    <x v="0"/>
    <x v="1"/>
    <x v="3"/>
    <n v="888.83100000000002"/>
  </r>
  <r>
    <x v="0"/>
    <x v="1"/>
    <x v="3"/>
    <n v="915.13900000000001"/>
  </r>
  <r>
    <x v="0"/>
    <x v="1"/>
    <x v="3"/>
    <n v="941"/>
  </r>
  <r>
    <x v="0"/>
    <x v="1"/>
    <x v="3"/>
    <n v="947.26"/>
  </r>
  <r>
    <x v="0"/>
    <x v="1"/>
    <x v="3"/>
    <n v="957.11900000000003"/>
  </r>
  <r>
    <x v="0"/>
    <x v="1"/>
    <x v="3"/>
    <n v="893.34799999999996"/>
  </r>
  <r>
    <x v="0"/>
    <x v="1"/>
    <x v="3"/>
    <n v="913.02300000000002"/>
  </r>
  <r>
    <x v="0"/>
    <x v="1"/>
    <x v="3"/>
    <n v="938.30700000000002"/>
  </r>
  <r>
    <x v="0"/>
    <x v="1"/>
    <x v="3"/>
    <n v="920.654"/>
  </r>
  <r>
    <x v="0"/>
    <x v="1"/>
    <x v="3"/>
    <n v="859.88699999999994"/>
  </r>
  <r>
    <x v="0"/>
    <x v="1"/>
    <x v="3"/>
    <n v="874.82899999999995"/>
  </r>
  <r>
    <x v="0"/>
    <x v="1"/>
    <x v="3"/>
    <n v="954.30700000000002"/>
  </r>
  <r>
    <x v="0"/>
    <x v="1"/>
    <x v="3"/>
    <n v="978.64200000000005"/>
  </r>
  <r>
    <x v="0"/>
    <x v="1"/>
    <x v="3"/>
    <n v="986.66499999999996"/>
  </r>
  <r>
    <x v="0"/>
    <x v="1"/>
    <x v="3"/>
    <n v="919.61"/>
  </r>
  <r>
    <x v="0"/>
    <x v="1"/>
    <x v="3"/>
    <n v="869.28200000000004"/>
  </r>
  <r>
    <x v="0"/>
    <x v="1"/>
    <x v="3"/>
    <n v="957.221"/>
  </r>
  <r>
    <x v="0"/>
    <x v="1"/>
    <x v="3"/>
    <n v="931.25099999999998"/>
  </r>
  <r>
    <x v="0"/>
    <x v="1"/>
    <x v="3"/>
    <n v="889.32100000000003"/>
  </r>
  <r>
    <x v="0"/>
    <x v="1"/>
    <x v="3"/>
    <n v="934.08900000000006"/>
  </r>
  <r>
    <x v="0"/>
    <x v="1"/>
    <x v="3"/>
    <n v="931.45699999999999"/>
  </r>
  <r>
    <x v="0"/>
    <x v="1"/>
    <x v="3"/>
    <n v="961.09500000000003"/>
  </r>
  <r>
    <x v="0"/>
    <x v="1"/>
    <x v="3"/>
    <n v="915.19"/>
  </r>
  <r>
    <x v="0"/>
    <x v="1"/>
    <x v="3"/>
    <n v="898.54399999999998"/>
  </r>
  <r>
    <x v="0"/>
    <x v="1"/>
    <x v="3"/>
    <n v="907.94500000000005"/>
  </r>
  <r>
    <x v="0"/>
    <x v="1"/>
    <x v="3"/>
    <n v="966.31500000000005"/>
  </r>
  <r>
    <x v="0"/>
    <x v="1"/>
    <x v="3"/>
    <n v="935.46799999999996"/>
  </r>
  <r>
    <x v="0"/>
    <x v="1"/>
    <x v="3"/>
    <n v="881.02599999999995"/>
  </r>
  <r>
    <x v="0"/>
    <x v="1"/>
    <x v="3"/>
    <n v="889.61699999999996"/>
  </r>
  <r>
    <x v="0"/>
    <x v="1"/>
    <x v="3"/>
    <n v="935.86400000000003"/>
  </r>
  <r>
    <x v="0"/>
    <x v="1"/>
    <x v="3"/>
    <n v="950.82799999999997"/>
  </r>
  <r>
    <x v="0"/>
    <x v="1"/>
    <x v="3"/>
    <n v="878.86599999999999"/>
  </r>
  <r>
    <x v="0"/>
    <x v="1"/>
    <x v="3"/>
    <n v="908.42399999999998"/>
  </r>
  <r>
    <x v="0"/>
    <x v="1"/>
    <x v="3"/>
    <n v="957.10599999999999"/>
  </r>
  <r>
    <x v="0"/>
    <x v="1"/>
    <x v="3"/>
    <n v="910.82100000000003"/>
  </r>
  <r>
    <x v="0"/>
    <x v="1"/>
    <x v="3"/>
    <n v="883.00800000000004"/>
  </r>
  <r>
    <x v="0"/>
    <x v="1"/>
    <x v="3"/>
    <n v="852.63900000000001"/>
  </r>
  <r>
    <x v="0"/>
    <x v="1"/>
    <x v="3"/>
    <n v="950.61900000000003"/>
  </r>
  <r>
    <x v="0"/>
    <x v="1"/>
    <x v="3"/>
    <n v="951.59199999999998"/>
  </r>
  <r>
    <x v="0"/>
    <x v="1"/>
    <x v="3"/>
    <n v="837.42100000000005"/>
  </r>
  <r>
    <x v="0"/>
    <x v="1"/>
    <x v="3"/>
    <n v="848.947"/>
  </r>
  <r>
    <x v="0"/>
    <x v="1"/>
    <x v="3"/>
    <n v="896.00300000000004"/>
  </r>
  <r>
    <x v="0"/>
    <x v="1"/>
    <x v="3"/>
    <n v="969.27099999999996"/>
  </r>
  <r>
    <x v="0"/>
    <x v="1"/>
    <x v="3"/>
    <n v="918.70799999999997"/>
  </r>
  <r>
    <x v="0"/>
    <x v="1"/>
    <x v="3"/>
    <n v="913.726"/>
  </r>
  <r>
    <x v="0"/>
    <x v="1"/>
    <x v="3"/>
    <n v="971.26300000000003"/>
  </r>
  <r>
    <x v="0"/>
    <x v="1"/>
    <x v="3"/>
    <n v="911.78800000000001"/>
  </r>
  <r>
    <x v="0"/>
    <x v="2"/>
    <x v="3"/>
    <n v="2855.42"/>
  </r>
  <r>
    <x v="0"/>
    <x v="2"/>
    <x v="3"/>
    <n v="2871.45"/>
  </r>
  <r>
    <x v="0"/>
    <x v="2"/>
    <x v="3"/>
    <n v="2873.3850000000002"/>
  </r>
  <r>
    <x v="0"/>
    <x v="2"/>
    <x v="3"/>
    <n v="2847.7719999999999"/>
  </r>
  <r>
    <x v="0"/>
    <x v="2"/>
    <x v="3"/>
    <n v="2780.8510000000001"/>
  </r>
  <r>
    <x v="0"/>
    <x v="2"/>
    <x v="3"/>
    <n v="2842.25"/>
  </r>
  <r>
    <x v="0"/>
    <x v="2"/>
    <x v="3"/>
    <n v="2849.326"/>
  </r>
  <r>
    <x v="0"/>
    <x v="2"/>
    <x v="3"/>
    <n v="2782.8939999999998"/>
  </r>
  <r>
    <x v="0"/>
    <x v="2"/>
    <x v="3"/>
    <n v="2806.944"/>
  </r>
  <r>
    <x v="0"/>
    <x v="2"/>
    <x v="3"/>
    <n v="2913.797"/>
  </r>
  <r>
    <x v="0"/>
    <x v="2"/>
    <x v="3"/>
    <n v="2830.0920000000001"/>
  </r>
  <r>
    <x v="0"/>
    <x v="2"/>
    <x v="3"/>
    <n v="2738.221"/>
  </r>
  <r>
    <x v="0"/>
    <x v="2"/>
    <x v="3"/>
    <n v="2749.1190000000001"/>
  </r>
  <r>
    <x v="0"/>
    <x v="2"/>
    <x v="3"/>
    <n v="2725.0569999999998"/>
  </r>
  <r>
    <x v="0"/>
    <x v="2"/>
    <x v="3"/>
    <n v="2677.5709999999999"/>
  </r>
  <r>
    <x v="0"/>
    <x v="2"/>
    <x v="3"/>
    <n v="2805.6170000000002"/>
  </r>
  <r>
    <x v="0"/>
    <x v="2"/>
    <x v="3"/>
    <n v="2875.6970000000001"/>
  </r>
  <r>
    <x v="0"/>
    <x v="2"/>
    <x v="3"/>
    <n v="2855.0079999999998"/>
  </r>
  <r>
    <x v="0"/>
    <x v="2"/>
    <x v="3"/>
    <n v="2798.08"/>
  </r>
  <r>
    <x v="0"/>
    <x v="2"/>
    <x v="3"/>
    <n v="2840.0529999999999"/>
  </r>
  <r>
    <x v="0"/>
    <x v="2"/>
    <x v="3"/>
    <n v="2793.12"/>
  </r>
  <r>
    <x v="0"/>
    <x v="2"/>
    <x v="3"/>
    <n v="2768.1480000000001"/>
  </r>
  <r>
    <x v="0"/>
    <x v="2"/>
    <x v="3"/>
    <n v="2781.6019999999999"/>
  </r>
  <r>
    <x v="0"/>
    <x v="2"/>
    <x v="3"/>
    <n v="2768.7910000000002"/>
  </r>
  <r>
    <x v="0"/>
    <x v="2"/>
    <x v="3"/>
    <n v="2801.5"/>
  </r>
  <r>
    <x v="0"/>
    <x v="2"/>
    <x v="3"/>
    <n v="2760.598"/>
  </r>
  <r>
    <x v="0"/>
    <x v="2"/>
    <x v="3"/>
    <n v="2881.3670000000002"/>
  </r>
  <r>
    <x v="0"/>
    <x v="2"/>
    <x v="3"/>
    <n v="2787.364"/>
  </r>
  <r>
    <x v="0"/>
    <x v="2"/>
    <x v="3"/>
    <n v="2847.7640000000001"/>
  </r>
  <r>
    <x v="0"/>
    <x v="2"/>
    <x v="3"/>
    <n v="2789.5430000000001"/>
  </r>
  <r>
    <x v="0"/>
    <x v="2"/>
    <x v="3"/>
    <n v="2870.06"/>
  </r>
  <r>
    <x v="0"/>
    <x v="2"/>
    <x v="3"/>
    <n v="2843.2719999999999"/>
  </r>
  <r>
    <x v="0"/>
    <x v="2"/>
    <x v="3"/>
    <n v="2935.404"/>
  </r>
  <r>
    <x v="0"/>
    <x v="2"/>
    <x v="3"/>
    <n v="2799.931"/>
  </r>
  <r>
    <x v="0"/>
    <x v="2"/>
    <x v="3"/>
    <n v="2782.9119999999998"/>
  </r>
  <r>
    <x v="0"/>
    <x v="2"/>
    <x v="3"/>
    <n v="2841.0149999999999"/>
  </r>
  <r>
    <x v="0"/>
    <x v="2"/>
    <x v="3"/>
    <n v="2759.41"/>
  </r>
  <r>
    <x v="0"/>
    <x v="2"/>
    <x v="3"/>
    <n v="2886.6280000000002"/>
  </r>
  <r>
    <x v="0"/>
    <x v="2"/>
    <x v="3"/>
    <n v="2753.855"/>
  </r>
  <r>
    <x v="0"/>
    <x v="2"/>
    <x v="3"/>
    <n v="2862.7339999999999"/>
  </r>
  <r>
    <x v="0"/>
    <x v="2"/>
    <x v="3"/>
    <n v="2937.59"/>
  </r>
  <r>
    <x v="0"/>
    <x v="2"/>
    <x v="3"/>
    <n v="2761.0039999999999"/>
  </r>
  <r>
    <x v="0"/>
    <x v="2"/>
    <x v="3"/>
    <n v="2727.1840000000002"/>
  </r>
  <r>
    <x v="0"/>
    <x v="2"/>
    <x v="3"/>
    <n v="2830.2020000000002"/>
  </r>
  <r>
    <x v="0"/>
    <x v="2"/>
    <x v="3"/>
    <n v="2813.73"/>
  </r>
  <r>
    <x v="0"/>
    <x v="2"/>
    <x v="3"/>
    <n v="2896.4369999999999"/>
  </r>
  <r>
    <x v="0"/>
    <x v="2"/>
    <x v="3"/>
    <n v="2754.0329999999999"/>
  </r>
  <r>
    <x v="0"/>
    <x v="2"/>
    <x v="3"/>
    <n v="2845.047"/>
  </r>
  <r>
    <x v="0"/>
    <x v="2"/>
    <x v="3"/>
    <n v="2785.1190000000001"/>
  </r>
  <r>
    <x v="0"/>
    <x v="2"/>
    <x v="3"/>
    <n v="2867.029"/>
  </r>
  <r>
    <x v="0"/>
    <x v="2"/>
    <x v="3"/>
    <n v="2823.3939999999998"/>
  </r>
  <r>
    <x v="0"/>
    <x v="2"/>
    <x v="3"/>
    <n v="2913.4839999999999"/>
  </r>
  <r>
    <x v="0"/>
    <x v="2"/>
    <x v="3"/>
    <n v="2861.989"/>
  </r>
  <r>
    <x v="0"/>
    <x v="2"/>
    <x v="3"/>
    <n v="2883.7260000000001"/>
  </r>
  <r>
    <x v="0"/>
    <x v="2"/>
    <x v="3"/>
    <n v="2910.4479999999999"/>
  </r>
  <r>
    <x v="0"/>
    <x v="2"/>
    <x v="3"/>
    <n v="2767.7449999999999"/>
  </r>
  <r>
    <x v="0"/>
    <x v="2"/>
    <x v="3"/>
    <n v="2759.3159999999998"/>
  </r>
  <r>
    <x v="0"/>
    <x v="2"/>
    <x v="3"/>
    <n v="2792.06"/>
  </r>
  <r>
    <x v="0"/>
    <x v="2"/>
    <x v="3"/>
    <n v="2814.0920000000001"/>
  </r>
  <r>
    <x v="0"/>
    <x v="2"/>
    <x v="3"/>
    <n v="2837.174"/>
  </r>
  <r>
    <x v="0"/>
    <x v="2"/>
    <x v="3"/>
    <n v="2891.1149999999998"/>
  </r>
  <r>
    <x v="0"/>
    <x v="2"/>
    <x v="3"/>
    <n v="2833.444"/>
  </r>
  <r>
    <x v="0"/>
    <x v="2"/>
    <x v="3"/>
    <n v="2743.9879999999998"/>
  </r>
  <r>
    <x v="0"/>
    <x v="2"/>
    <x v="3"/>
    <n v="2761.4859999999999"/>
  </r>
  <r>
    <x v="0"/>
    <x v="2"/>
    <x v="3"/>
    <n v="2771.489"/>
  </r>
  <r>
    <x v="0"/>
    <x v="2"/>
    <x v="3"/>
    <n v="2812.4659999999999"/>
  </r>
  <r>
    <x v="0"/>
    <x v="2"/>
    <x v="3"/>
    <n v="2828.4169999999999"/>
  </r>
  <r>
    <x v="0"/>
    <x v="2"/>
    <x v="3"/>
    <n v="2911.2159999999999"/>
  </r>
  <r>
    <x v="0"/>
    <x v="2"/>
    <x v="3"/>
    <n v="2741.4470000000001"/>
  </r>
  <r>
    <x v="0"/>
    <x v="2"/>
    <x v="3"/>
    <n v="2755.9960000000001"/>
  </r>
  <r>
    <x v="0"/>
    <x v="2"/>
    <x v="3"/>
    <n v="2874.02"/>
  </r>
  <r>
    <x v="0"/>
    <x v="2"/>
    <x v="3"/>
    <n v="2885.1089999999999"/>
  </r>
  <r>
    <x v="0"/>
    <x v="2"/>
    <x v="3"/>
    <n v="2898.114"/>
  </r>
  <r>
    <x v="0"/>
    <x v="2"/>
    <x v="3"/>
    <n v="2829.5259999999998"/>
  </r>
  <r>
    <x v="0"/>
    <x v="2"/>
    <x v="3"/>
    <n v="2749.0540000000001"/>
  </r>
  <r>
    <x v="0"/>
    <x v="2"/>
    <x v="3"/>
    <n v="2815.819"/>
  </r>
  <r>
    <x v="0"/>
    <x v="2"/>
    <x v="3"/>
    <n v="2879.4830000000002"/>
  </r>
  <r>
    <x v="0"/>
    <x v="2"/>
    <x v="3"/>
    <n v="2869.0230000000001"/>
  </r>
  <r>
    <x v="0"/>
    <x v="2"/>
    <x v="3"/>
    <n v="2772.95"/>
  </r>
  <r>
    <x v="0"/>
    <x v="2"/>
    <x v="3"/>
    <n v="2857.5549999999998"/>
  </r>
  <r>
    <x v="0"/>
    <x v="2"/>
    <x v="3"/>
    <n v="2865.6469999999999"/>
  </r>
  <r>
    <x v="0"/>
    <x v="2"/>
    <x v="3"/>
    <n v="2798.5369999999998"/>
  </r>
  <r>
    <x v="0"/>
    <x v="2"/>
    <x v="3"/>
    <n v="2840.165"/>
  </r>
  <r>
    <x v="0"/>
    <x v="2"/>
    <x v="3"/>
    <n v="2852.3490000000002"/>
  </r>
  <r>
    <x v="0"/>
    <x v="2"/>
    <x v="3"/>
    <n v="2918.6990000000001"/>
  </r>
  <r>
    <x v="0"/>
    <x v="2"/>
    <x v="3"/>
    <n v="2816.058"/>
  </r>
  <r>
    <x v="0"/>
    <x v="2"/>
    <x v="3"/>
    <n v="2817.0929999999998"/>
  </r>
  <r>
    <x v="0"/>
    <x v="2"/>
    <x v="3"/>
    <n v="2794.9360000000001"/>
  </r>
  <r>
    <x v="0"/>
    <x v="2"/>
    <x v="3"/>
    <n v="2784.547"/>
  </r>
  <r>
    <x v="0"/>
    <x v="2"/>
    <x v="3"/>
    <n v="2819.0830000000001"/>
  </r>
  <r>
    <x v="0"/>
    <x v="2"/>
    <x v="3"/>
    <n v="2831.1559999999999"/>
  </r>
  <r>
    <x v="0"/>
    <x v="2"/>
    <x v="3"/>
    <n v="2865.7869999999998"/>
  </r>
  <r>
    <x v="0"/>
    <x v="2"/>
    <x v="3"/>
    <n v="2785.6610000000001"/>
  </r>
  <r>
    <x v="0"/>
    <x v="2"/>
    <x v="3"/>
    <n v="2813.5039999999999"/>
  </r>
  <r>
    <x v="0"/>
    <x v="2"/>
    <x v="3"/>
    <n v="2831.4969999999998"/>
  </r>
  <r>
    <x v="0"/>
    <x v="2"/>
    <x v="3"/>
    <n v="2810.7359999999999"/>
  </r>
  <r>
    <x v="0"/>
    <x v="2"/>
    <x v="3"/>
    <n v="2784.7130000000002"/>
  </r>
  <r>
    <x v="0"/>
    <x v="2"/>
    <x v="3"/>
    <n v="2715.982"/>
  </r>
  <r>
    <x v="0"/>
    <x v="2"/>
    <x v="3"/>
    <n v="2810.223"/>
  </r>
  <r>
    <x v="0"/>
    <x v="2"/>
    <x v="3"/>
    <n v="2772.2379999999998"/>
  </r>
  <r>
    <x v="1"/>
    <x v="0"/>
    <x v="3"/>
    <n v="151.06100000000001"/>
  </r>
  <r>
    <x v="1"/>
    <x v="0"/>
    <x v="3"/>
    <n v="144.54900000000001"/>
  </r>
  <r>
    <x v="1"/>
    <x v="0"/>
    <x v="3"/>
    <n v="163.98400000000001"/>
  </r>
  <r>
    <x v="1"/>
    <x v="0"/>
    <x v="3"/>
    <n v="152.13399999999999"/>
  </r>
  <r>
    <x v="1"/>
    <x v="0"/>
    <x v="3"/>
    <n v="133.96600000000001"/>
  </r>
  <r>
    <x v="1"/>
    <x v="0"/>
    <x v="3"/>
    <n v="132.74700000000001"/>
  </r>
  <r>
    <x v="1"/>
    <x v="0"/>
    <x v="3"/>
    <n v="136.11199999999999"/>
  </r>
  <r>
    <x v="1"/>
    <x v="0"/>
    <x v="3"/>
    <n v="133.33099999999999"/>
  </r>
  <r>
    <x v="1"/>
    <x v="0"/>
    <x v="3"/>
    <n v="144.55000000000001"/>
  </r>
  <r>
    <x v="1"/>
    <x v="0"/>
    <x v="3"/>
    <n v="138.55000000000001"/>
  </r>
  <r>
    <x v="1"/>
    <x v="0"/>
    <x v="3"/>
    <n v="163.76499999999999"/>
  </r>
  <r>
    <x v="1"/>
    <x v="0"/>
    <x v="3"/>
    <n v="141.33099999999999"/>
  </r>
  <r>
    <x v="1"/>
    <x v="0"/>
    <x v="3"/>
    <n v="146.91499999999999"/>
  </r>
  <r>
    <x v="1"/>
    <x v="0"/>
    <x v="3"/>
    <n v="150.52199999999999"/>
  </r>
  <r>
    <x v="1"/>
    <x v="0"/>
    <x v="3"/>
    <n v="126.747"/>
  </r>
  <r>
    <x v="1"/>
    <x v="0"/>
    <x v="3"/>
    <n v="141.03899999999999"/>
  </r>
  <r>
    <x v="1"/>
    <x v="0"/>
    <x v="3"/>
    <n v="134.185"/>
  </r>
  <r>
    <x v="1"/>
    <x v="0"/>
    <x v="3"/>
    <n v="147.84200000000001"/>
  </r>
  <r>
    <x v="1"/>
    <x v="0"/>
    <x v="3"/>
    <n v="145.96299999999999"/>
  </r>
  <r>
    <x v="1"/>
    <x v="0"/>
    <x v="3"/>
    <n v="160.572"/>
  </r>
  <r>
    <x v="1"/>
    <x v="0"/>
    <x v="3"/>
    <n v="144.696"/>
  </r>
  <r>
    <x v="1"/>
    <x v="0"/>
    <x v="3"/>
    <n v="139.477"/>
  </r>
  <r>
    <x v="1"/>
    <x v="0"/>
    <x v="3"/>
    <n v="133.11199999999999"/>
  </r>
  <r>
    <x v="1"/>
    <x v="0"/>
    <x v="3"/>
    <n v="151.4"/>
  </r>
  <r>
    <x v="1"/>
    <x v="0"/>
    <x v="3"/>
    <n v="126.601"/>
  </r>
  <r>
    <x v="1"/>
    <x v="0"/>
    <x v="3"/>
    <n v="146.696"/>
  </r>
  <r>
    <x v="1"/>
    <x v="0"/>
    <x v="3"/>
    <n v="145.76900000000001"/>
  </r>
  <r>
    <x v="1"/>
    <x v="0"/>
    <x v="3"/>
    <n v="147.91399999999999"/>
  </r>
  <r>
    <x v="1"/>
    <x v="0"/>
    <x v="3"/>
    <n v="141.55000000000001"/>
  </r>
  <r>
    <x v="1"/>
    <x v="0"/>
    <x v="3"/>
    <n v="143.696"/>
  </r>
  <r>
    <x v="1"/>
    <x v="0"/>
    <x v="3"/>
    <n v="124.52800000000001"/>
  </r>
  <r>
    <x v="1"/>
    <x v="0"/>
    <x v="3"/>
    <n v="154.42500000000001"/>
  </r>
  <r>
    <x v="1"/>
    <x v="0"/>
    <x v="3"/>
    <n v="144.477"/>
  </r>
  <r>
    <x v="1"/>
    <x v="0"/>
    <x v="3"/>
    <n v="127.455"/>
  </r>
  <r>
    <x v="1"/>
    <x v="0"/>
    <x v="3"/>
    <n v="159.352"/>
  </r>
  <r>
    <x v="1"/>
    <x v="0"/>
    <x v="3"/>
    <n v="144.696"/>
  </r>
  <r>
    <x v="1"/>
    <x v="0"/>
    <x v="3"/>
    <n v="129.893"/>
  </r>
  <r>
    <x v="1"/>
    <x v="0"/>
    <x v="3"/>
    <n v="152.25399999999999"/>
  </r>
  <r>
    <x v="1"/>
    <x v="0"/>
    <x v="3"/>
    <n v="149.18199999999999"/>
  </r>
  <r>
    <x v="1"/>
    <x v="0"/>
    <x v="3"/>
    <n v="149.988"/>
  </r>
  <r>
    <x v="1"/>
    <x v="0"/>
    <x v="3"/>
    <n v="141.404"/>
  </r>
  <r>
    <x v="1"/>
    <x v="0"/>
    <x v="3"/>
    <n v="141.404"/>
  </r>
  <r>
    <x v="1"/>
    <x v="0"/>
    <x v="3"/>
    <n v="146.816"/>
  </r>
  <r>
    <x v="1"/>
    <x v="0"/>
    <x v="3"/>
    <n v="143.477"/>
  </r>
  <r>
    <x v="1"/>
    <x v="0"/>
    <x v="3"/>
    <n v="139.477"/>
  </r>
  <r>
    <x v="1"/>
    <x v="0"/>
    <x v="3"/>
    <n v="142.696"/>
  </r>
  <r>
    <x v="1"/>
    <x v="0"/>
    <x v="3"/>
    <n v="156.279"/>
  </r>
  <r>
    <x v="1"/>
    <x v="0"/>
    <x v="3"/>
    <n v="140.33099999999999"/>
  </r>
  <r>
    <x v="1"/>
    <x v="0"/>
    <x v="3"/>
    <n v="157.74"/>
  </r>
  <r>
    <x v="1"/>
    <x v="0"/>
    <x v="3"/>
    <n v="138.86500000000001"/>
  </r>
  <r>
    <x v="1"/>
    <x v="0"/>
    <x v="3"/>
    <n v="146.84200000000001"/>
  </r>
  <r>
    <x v="1"/>
    <x v="0"/>
    <x v="3"/>
    <n v="146.696"/>
  </r>
  <r>
    <x v="1"/>
    <x v="0"/>
    <x v="3"/>
    <n v="145.76900000000001"/>
  </r>
  <r>
    <x v="1"/>
    <x v="0"/>
    <x v="3"/>
    <n v="147.988"/>
  </r>
  <r>
    <x v="1"/>
    <x v="0"/>
    <x v="3"/>
    <n v="143.76900000000001"/>
  </r>
  <r>
    <x v="1"/>
    <x v="0"/>
    <x v="3"/>
    <n v="132.96600000000001"/>
  </r>
  <r>
    <x v="1"/>
    <x v="0"/>
    <x v="3"/>
    <n v="141.696"/>
  </r>
  <r>
    <x v="1"/>
    <x v="0"/>
    <x v="3"/>
    <n v="144.81700000000001"/>
  </r>
  <r>
    <x v="1"/>
    <x v="0"/>
    <x v="3"/>
    <n v="132.185"/>
  </r>
  <r>
    <x v="1"/>
    <x v="0"/>
    <x v="3"/>
    <n v="139.184"/>
  </r>
  <r>
    <x v="1"/>
    <x v="0"/>
    <x v="3"/>
    <n v="141.81700000000001"/>
  </r>
  <r>
    <x v="1"/>
    <x v="0"/>
    <x v="3"/>
    <n v="155.47399999999999"/>
  </r>
  <r>
    <x v="1"/>
    <x v="0"/>
    <x v="3"/>
    <n v="148.84200000000001"/>
  </r>
  <r>
    <x v="1"/>
    <x v="0"/>
    <x v="3"/>
    <n v="136.37899999999999"/>
  </r>
  <r>
    <x v="1"/>
    <x v="0"/>
    <x v="3"/>
    <n v="153.327"/>
  </r>
  <r>
    <x v="1"/>
    <x v="0"/>
    <x v="3"/>
    <n v="146.62299999999999"/>
  </r>
  <r>
    <x v="1"/>
    <x v="0"/>
    <x v="3"/>
    <n v="144.18199999999999"/>
  </r>
  <r>
    <x v="1"/>
    <x v="0"/>
    <x v="3"/>
    <n v="143.988"/>
  </r>
  <r>
    <x v="1"/>
    <x v="0"/>
    <x v="3"/>
    <n v="144.76900000000001"/>
  </r>
  <r>
    <x v="1"/>
    <x v="0"/>
    <x v="3"/>
    <n v="157.13399999999999"/>
  </r>
  <r>
    <x v="1"/>
    <x v="0"/>
    <x v="3"/>
    <n v="142.62299999999999"/>
  </r>
  <r>
    <x v="1"/>
    <x v="0"/>
    <x v="3"/>
    <n v="140.33099999999999"/>
  </r>
  <r>
    <x v="1"/>
    <x v="0"/>
    <x v="3"/>
    <n v="145.988"/>
  </r>
  <r>
    <x v="1"/>
    <x v="0"/>
    <x v="3"/>
    <n v="147.84200000000001"/>
  </r>
  <r>
    <x v="1"/>
    <x v="0"/>
    <x v="3"/>
    <n v="154.42500000000001"/>
  </r>
  <r>
    <x v="1"/>
    <x v="0"/>
    <x v="3"/>
    <n v="136.33099999999999"/>
  </r>
  <r>
    <x v="1"/>
    <x v="0"/>
    <x v="3"/>
    <n v="157.69200000000001"/>
  </r>
  <r>
    <x v="1"/>
    <x v="0"/>
    <x v="3"/>
    <n v="156.667"/>
  </r>
  <r>
    <x v="1"/>
    <x v="0"/>
    <x v="3"/>
    <n v="153.06100000000001"/>
  </r>
  <r>
    <x v="1"/>
    <x v="0"/>
    <x v="3"/>
    <n v="151.988"/>
  </r>
  <r>
    <x v="1"/>
    <x v="0"/>
    <x v="3"/>
    <n v="132.893"/>
  </r>
  <r>
    <x v="1"/>
    <x v="0"/>
    <x v="3"/>
    <n v="146.84200000000001"/>
  </r>
  <r>
    <x v="1"/>
    <x v="0"/>
    <x v="3"/>
    <n v="146.76900000000001"/>
  </r>
  <r>
    <x v="1"/>
    <x v="0"/>
    <x v="3"/>
    <n v="141.25800000000001"/>
  </r>
  <r>
    <x v="1"/>
    <x v="0"/>
    <x v="3"/>
    <n v="141.696"/>
  </r>
  <r>
    <x v="1"/>
    <x v="0"/>
    <x v="3"/>
    <n v="130.74700000000001"/>
  </r>
  <r>
    <x v="1"/>
    <x v="0"/>
    <x v="3"/>
    <n v="146.20599999999999"/>
  </r>
  <r>
    <x v="1"/>
    <x v="0"/>
    <x v="3"/>
    <n v="139.62299999999999"/>
  </r>
  <r>
    <x v="1"/>
    <x v="0"/>
    <x v="3"/>
    <n v="139.91399999999999"/>
  </r>
  <r>
    <x v="1"/>
    <x v="0"/>
    <x v="3"/>
    <n v="148.10900000000001"/>
  </r>
  <r>
    <x v="1"/>
    <x v="0"/>
    <x v="3"/>
    <n v="137.404"/>
  </r>
  <r>
    <x v="1"/>
    <x v="0"/>
    <x v="3"/>
    <n v="132.96600000000001"/>
  </r>
  <r>
    <x v="1"/>
    <x v="0"/>
    <x v="3"/>
    <n v="149.84200000000001"/>
  </r>
  <r>
    <x v="1"/>
    <x v="0"/>
    <x v="3"/>
    <n v="153.06100000000001"/>
  </r>
  <r>
    <x v="1"/>
    <x v="0"/>
    <x v="3"/>
    <n v="152.352"/>
  </r>
  <r>
    <x v="1"/>
    <x v="0"/>
    <x v="3"/>
    <n v="143.96299999999999"/>
  </r>
  <r>
    <x v="1"/>
    <x v="0"/>
    <x v="3"/>
    <n v="149.76900000000001"/>
  </r>
  <r>
    <x v="1"/>
    <x v="0"/>
    <x v="3"/>
    <n v="143.33099999999999"/>
  </r>
  <r>
    <x v="1"/>
    <x v="0"/>
    <x v="3"/>
    <n v="126.82"/>
  </r>
  <r>
    <x v="1"/>
    <x v="0"/>
    <x v="3"/>
    <n v="137.11199999999999"/>
  </r>
  <r>
    <x v="1"/>
    <x v="1"/>
    <x v="3"/>
    <n v="947.154"/>
  </r>
  <r>
    <x v="1"/>
    <x v="1"/>
    <x v="3"/>
    <n v="930.28499999999997"/>
  </r>
  <r>
    <x v="1"/>
    <x v="1"/>
    <x v="3"/>
    <n v="909.54499999999996"/>
  </r>
  <r>
    <x v="1"/>
    <x v="1"/>
    <x v="3"/>
    <n v="922.82100000000003"/>
  </r>
  <r>
    <x v="1"/>
    <x v="1"/>
    <x v="3"/>
    <n v="910.81500000000005"/>
  </r>
  <r>
    <x v="1"/>
    <x v="1"/>
    <x v="3"/>
    <n v="907.95"/>
  </r>
  <r>
    <x v="1"/>
    <x v="1"/>
    <x v="3"/>
    <n v="899.88800000000003"/>
  </r>
  <r>
    <x v="1"/>
    <x v="1"/>
    <x v="3"/>
    <n v="912.86599999999999"/>
  </r>
  <r>
    <x v="1"/>
    <x v="1"/>
    <x v="3"/>
    <n v="914.50699999999995"/>
  </r>
  <r>
    <x v="1"/>
    <x v="1"/>
    <x v="3"/>
    <n v="893.41899999999998"/>
  </r>
  <r>
    <x v="1"/>
    <x v="1"/>
    <x v="3"/>
    <n v="916.43399999999997"/>
  </r>
  <r>
    <x v="1"/>
    <x v="1"/>
    <x v="3"/>
    <n v="886.43899999999996"/>
  </r>
  <r>
    <x v="1"/>
    <x v="1"/>
    <x v="3"/>
    <n v="898.93799999999999"/>
  </r>
  <r>
    <x v="1"/>
    <x v="1"/>
    <x v="3"/>
    <n v="874.35"/>
  </r>
  <r>
    <x v="1"/>
    <x v="1"/>
    <x v="3"/>
    <n v="868.14200000000005"/>
  </r>
  <r>
    <x v="1"/>
    <x v="1"/>
    <x v="3"/>
    <n v="900.303"/>
  </r>
  <r>
    <x v="1"/>
    <x v="1"/>
    <x v="3"/>
    <n v="887.346"/>
  </r>
  <r>
    <x v="1"/>
    <x v="1"/>
    <x v="3"/>
    <n v="943.10500000000002"/>
  </r>
  <r>
    <x v="1"/>
    <x v="1"/>
    <x v="3"/>
    <n v="916.48099999999999"/>
  </r>
  <r>
    <x v="1"/>
    <x v="1"/>
    <x v="3"/>
    <n v="884"/>
  </r>
  <r>
    <x v="1"/>
    <x v="1"/>
    <x v="3"/>
    <n v="879.18299999999999"/>
  </r>
  <r>
    <x v="1"/>
    <x v="1"/>
    <x v="3"/>
    <n v="911.08900000000006"/>
  </r>
  <r>
    <x v="1"/>
    <x v="1"/>
    <x v="3"/>
    <n v="889.65200000000004"/>
  </r>
  <r>
    <x v="1"/>
    <x v="1"/>
    <x v="3"/>
    <n v="931.01499999999999"/>
  </r>
  <r>
    <x v="1"/>
    <x v="1"/>
    <x v="3"/>
    <n v="902.40200000000004"/>
  </r>
  <r>
    <x v="1"/>
    <x v="1"/>
    <x v="3"/>
    <n v="898.23099999999999"/>
  </r>
  <r>
    <x v="1"/>
    <x v="1"/>
    <x v="3"/>
    <n v="899.21"/>
  </r>
  <r>
    <x v="1"/>
    <x v="1"/>
    <x v="3"/>
    <n v="922.74800000000005"/>
  </r>
  <r>
    <x v="1"/>
    <x v="1"/>
    <x v="3"/>
    <n v="860.90599999999995"/>
  </r>
  <r>
    <x v="1"/>
    <x v="1"/>
    <x v="3"/>
    <n v="908.54499999999996"/>
  </r>
  <r>
    <x v="1"/>
    <x v="1"/>
    <x v="3"/>
    <n v="901.36699999999996"/>
  </r>
  <r>
    <x v="1"/>
    <x v="1"/>
    <x v="3"/>
    <n v="926.10599999999999"/>
  </r>
  <r>
    <x v="1"/>
    <x v="1"/>
    <x v="3"/>
    <n v="916.56600000000003"/>
  </r>
  <r>
    <x v="1"/>
    <x v="1"/>
    <x v="3"/>
    <n v="878.89099999999996"/>
  </r>
  <r>
    <x v="1"/>
    <x v="1"/>
    <x v="3"/>
    <n v="926.93499999999995"/>
  </r>
  <r>
    <x v="1"/>
    <x v="1"/>
    <x v="3"/>
    <n v="903.39700000000005"/>
  </r>
  <r>
    <x v="1"/>
    <x v="1"/>
    <x v="3"/>
    <n v="892.3"/>
  </r>
  <r>
    <x v="1"/>
    <x v="1"/>
    <x v="3"/>
    <n v="849.50300000000004"/>
  </r>
  <r>
    <x v="1"/>
    <x v="1"/>
    <x v="3"/>
    <n v="879.12099999999998"/>
  </r>
  <r>
    <x v="1"/>
    <x v="1"/>
    <x v="3"/>
    <n v="893.73400000000004"/>
  </r>
  <r>
    <x v="1"/>
    <x v="1"/>
    <x v="3"/>
    <n v="915.41200000000003"/>
  </r>
  <r>
    <x v="1"/>
    <x v="1"/>
    <x v="3"/>
    <n v="889.23099999999999"/>
  </r>
  <r>
    <x v="1"/>
    <x v="1"/>
    <x v="3"/>
    <n v="835.23199999999997"/>
  </r>
  <r>
    <x v="1"/>
    <x v="1"/>
    <x v="3"/>
    <n v="903.32899999999995"/>
  </r>
  <r>
    <x v="1"/>
    <x v="1"/>
    <x v="3"/>
    <n v="871.31799999999998"/>
  </r>
  <r>
    <x v="1"/>
    <x v="1"/>
    <x v="3"/>
    <n v="876.11400000000003"/>
  </r>
  <r>
    <x v="1"/>
    <x v="1"/>
    <x v="3"/>
    <n v="935.26599999999996"/>
  </r>
  <r>
    <x v="1"/>
    <x v="1"/>
    <x v="3"/>
    <n v="900.12900000000002"/>
  </r>
  <r>
    <x v="1"/>
    <x v="1"/>
    <x v="3"/>
    <n v="920.90300000000002"/>
  </r>
  <r>
    <x v="1"/>
    <x v="1"/>
    <x v="3"/>
    <n v="922.39099999999996"/>
  </r>
  <r>
    <x v="1"/>
    <x v="1"/>
    <x v="3"/>
    <n v="919.42700000000002"/>
  </r>
  <r>
    <x v="1"/>
    <x v="1"/>
    <x v="3"/>
    <n v="932.21900000000005"/>
  </r>
  <r>
    <x v="1"/>
    <x v="1"/>
    <x v="3"/>
    <n v="895.69100000000003"/>
  </r>
  <r>
    <x v="1"/>
    <x v="1"/>
    <x v="3"/>
    <n v="879.495"/>
  </r>
  <r>
    <x v="1"/>
    <x v="1"/>
    <x v="3"/>
    <n v="874.17499999999995"/>
  </r>
  <r>
    <x v="1"/>
    <x v="1"/>
    <x v="3"/>
    <n v="894.94299999999998"/>
  </r>
  <r>
    <x v="1"/>
    <x v="1"/>
    <x v="3"/>
    <n v="927.57899999999995"/>
  </r>
  <r>
    <x v="1"/>
    <x v="1"/>
    <x v="3"/>
    <n v="938.48599999999999"/>
  </r>
  <r>
    <x v="1"/>
    <x v="1"/>
    <x v="3"/>
    <n v="910.05799999999999"/>
  </r>
  <r>
    <x v="1"/>
    <x v="1"/>
    <x v="3"/>
    <n v="885.31399999999996"/>
  </r>
  <r>
    <x v="1"/>
    <x v="1"/>
    <x v="3"/>
    <n v="932.19"/>
  </r>
  <r>
    <x v="1"/>
    <x v="1"/>
    <x v="3"/>
    <n v="919.92"/>
  </r>
  <r>
    <x v="1"/>
    <x v="1"/>
    <x v="3"/>
    <n v="913.69799999999998"/>
  </r>
  <r>
    <x v="1"/>
    <x v="1"/>
    <x v="3"/>
    <n v="888.58799999999997"/>
  </r>
  <r>
    <x v="1"/>
    <x v="1"/>
    <x v="3"/>
    <n v="928.69399999999996"/>
  </r>
  <r>
    <x v="1"/>
    <x v="1"/>
    <x v="3"/>
    <n v="886.46199999999999"/>
  </r>
  <r>
    <x v="1"/>
    <x v="1"/>
    <x v="3"/>
    <n v="913.18200000000002"/>
  </r>
  <r>
    <x v="1"/>
    <x v="1"/>
    <x v="3"/>
    <n v="888.67200000000003"/>
  </r>
  <r>
    <x v="1"/>
    <x v="1"/>
    <x v="3"/>
    <n v="872.78899999999999"/>
  </r>
  <r>
    <x v="1"/>
    <x v="1"/>
    <x v="3"/>
    <n v="928.97400000000005"/>
  </r>
  <r>
    <x v="1"/>
    <x v="1"/>
    <x v="3"/>
    <n v="880.28399999999999"/>
  </r>
  <r>
    <x v="1"/>
    <x v="1"/>
    <x v="3"/>
    <n v="932.39099999999996"/>
  </r>
  <r>
    <x v="1"/>
    <x v="1"/>
    <x v="3"/>
    <n v="924.53499999999997"/>
  </r>
  <r>
    <x v="1"/>
    <x v="1"/>
    <x v="3"/>
    <n v="902.15300000000002"/>
  </r>
  <r>
    <x v="1"/>
    <x v="1"/>
    <x v="3"/>
    <n v="900.81600000000003"/>
  </r>
  <r>
    <x v="1"/>
    <x v="1"/>
    <x v="3"/>
    <n v="913.00400000000002"/>
  </r>
  <r>
    <x v="1"/>
    <x v="1"/>
    <x v="3"/>
    <n v="883.55399999999997"/>
  </r>
  <r>
    <x v="1"/>
    <x v="1"/>
    <x v="3"/>
    <n v="894.42"/>
  </r>
  <r>
    <x v="1"/>
    <x v="1"/>
    <x v="3"/>
    <n v="899.12099999999998"/>
  </r>
  <r>
    <x v="1"/>
    <x v="1"/>
    <x v="3"/>
    <n v="861.98599999999999"/>
  </r>
  <r>
    <x v="1"/>
    <x v="1"/>
    <x v="3"/>
    <n v="897.96100000000001"/>
  </r>
  <r>
    <x v="1"/>
    <x v="1"/>
    <x v="3"/>
    <n v="919.44600000000003"/>
  </r>
  <r>
    <x v="1"/>
    <x v="1"/>
    <x v="3"/>
    <n v="920.36900000000003"/>
  </r>
  <r>
    <x v="1"/>
    <x v="1"/>
    <x v="3"/>
    <n v="898.8"/>
  </r>
  <r>
    <x v="1"/>
    <x v="1"/>
    <x v="3"/>
    <n v="892.69299999999998"/>
  </r>
  <r>
    <x v="1"/>
    <x v="1"/>
    <x v="3"/>
    <n v="894.00099999999998"/>
  </r>
  <r>
    <x v="1"/>
    <x v="1"/>
    <x v="3"/>
    <n v="900.03700000000003"/>
  </r>
  <r>
    <x v="1"/>
    <x v="1"/>
    <x v="3"/>
    <n v="871.69"/>
  </r>
  <r>
    <x v="1"/>
    <x v="1"/>
    <x v="3"/>
    <n v="927.09"/>
  </r>
  <r>
    <x v="1"/>
    <x v="1"/>
    <x v="3"/>
    <n v="931.17200000000003"/>
  </r>
  <r>
    <x v="1"/>
    <x v="1"/>
    <x v="3"/>
    <n v="901.99800000000005"/>
  </r>
  <r>
    <x v="1"/>
    <x v="1"/>
    <x v="3"/>
    <n v="924.33699999999999"/>
  </r>
  <r>
    <x v="1"/>
    <x v="1"/>
    <x v="3"/>
    <n v="888.18399999999997"/>
  </r>
  <r>
    <x v="1"/>
    <x v="1"/>
    <x v="3"/>
    <n v="899.30499999999995"/>
  </r>
  <r>
    <x v="1"/>
    <x v="1"/>
    <x v="3"/>
    <n v="902.64300000000003"/>
  </r>
  <r>
    <x v="1"/>
    <x v="1"/>
    <x v="3"/>
    <n v="868.86900000000003"/>
  </r>
  <r>
    <x v="1"/>
    <x v="1"/>
    <x v="3"/>
    <n v="919.55499999999995"/>
  </r>
  <r>
    <x v="1"/>
    <x v="1"/>
    <x v="3"/>
    <n v="926.93200000000002"/>
  </r>
  <r>
    <x v="1"/>
    <x v="1"/>
    <x v="3"/>
    <n v="849.62699999999995"/>
  </r>
  <r>
    <x v="1"/>
    <x v="1"/>
    <x v="3"/>
    <n v="869.24900000000002"/>
  </r>
  <r>
    <x v="1"/>
    <x v="2"/>
    <x v="3"/>
    <n v="2765.6750000000002"/>
  </r>
  <r>
    <x v="1"/>
    <x v="2"/>
    <x v="3"/>
    <n v="2786.0160000000001"/>
  </r>
  <r>
    <x v="1"/>
    <x v="2"/>
    <x v="3"/>
    <n v="2754.1480000000001"/>
  </r>
  <r>
    <x v="1"/>
    <x v="2"/>
    <x v="3"/>
    <n v="2790.9989999999998"/>
  </r>
  <r>
    <x v="1"/>
    <x v="2"/>
    <x v="3"/>
    <n v="2785.377"/>
  </r>
  <r>
    <x v="1"/>
    <x v="2"/>
    <x v="3"/>
    <n v="2830.239"/>
  </r>
  <r>
    <x v="1"/>
    <x v="2"/>
    <x v="3"/>
    <n v="2815.4859999999999"/>
  </r>
  <r>
    <x v="1"/>
    <x v="2"/>
    <x v="3"/>
    <n v="2835.2979999999998"/>
  </r>
  <r>
    <x v="1"/>
    <x v="2"/>
    <x v="3"/>
    <n v="2730.556"/>
  </r>
  <r>
    <x v="1"/>
    <x v="2"/>
    <x v="3"/>
    <n v="2773.4470000000001"/>
  </r>
  <r>
    <x v="1"/>
    <x v="2"/>
    <x v="3"/>
    <n v="2779.0340000000001"/>
  </r>
  <r>
    <x v="1"/>
    <x v="2"/>
    <x v="3"/>
    <n v="2783.5540000000001"/>
  </r>
  <r>
    <x v="1"/>
    <x v="2"/>
    <x v="3"/>
    <n v="2804.18"/>
  </r>
  <r>
    <x v="1"/>
    <x v="2"/>
    <x v="3"/>
    <n v="2823.9119999999998"/>
  </r>
  <r>
    <x v="1"/>
    <x v="2"/>
    <x v="3"/>
    <n v="2775.8339999999998"/>
  </r>
  <r>
    <x v="1"/>
    <x v="2"/>
    <x v="3"/>
    <n v="2803.8270000000002"/>
  </r>
  <r>
    <x v="1"/>
    <x v="2"/>
    <x v="3"/>
    <n v="2788.7449999999999"/>
  </r>
  <r>
    <x v="1"/>
    <x v="2"/>
    <x v="3"/>
    <n v="2752.9470000000001"/>
  </r>
  <r>
    <x v="1"/>
    <x v="2"/>
    <x v="3"/>
    <n v="2742.5590000000002"/>
  </r>
  <r>
    <x v="1"/>
    <x v="2"/>
    <x v="3"/>
    <n v="2797.8069999999998"/>
  </r>
  <r>
    <x v="1"/>
    <x v="2"/>
    <x v="3"/>
    <n v="2816.4070000000002"/>
  </r>
  <r>
    <x v="1"/>
    <x v="2"/>
    <x v="3"/>
    <n v="2735.5430000000001"/>
  </r>
  <r>
    <x v="1"/>
    <x v="2"/>
    <x v="3"/>
    <n v="2719.6039999999998"/>
  </r>
  <r>
    <x v="1"/>
    <x v="2"/>
    <x v="3"/>
    <n v="2808.5039999999999"/>
  </r>
  <r>
    <x v="1"/>
    <x v="2"/>
    <x v="3"/>
    <n v="2792.4369999999999"/>
  </r>
  <r>
    <x v="1"/>
    <x v="2"/>
    <x v="3"/>
    <n v="2763.5059999999999"/>
  </r>
  <r>
    <x v="1"/>
    <x v="2"/>
    <x v="3"/>
    <n v="2765.36"/>
  </r>
  <r>
    <x v="1"/>
    <x v="2"/>
    <x v="3"/>
    <n v="2784.9850000000001"/>
  </r>
  <r>
    <x v="1"/>
    <x v="2"/>
    <x v="3"/>
    <n v="2808.471"/>
  </r>
  <r>
    <x v="1"/>
    <x v="2"/>
    <x v="3"/>
    <n v="2756.1289999999999"/>
  </r>
  <r>
    <x v="1"/>
    <x v="2"/>
    <x v="3"/>
    <n v="2729.1619999999998"/>
  </r>
  <r>
    <x v="1"/>
    <x v="2"/>
    <x v="3"/>
    <n v="2791.6909999999998"/>
  </r>
  <r>
    <x v="1"/>
    <x v="2"/>
    <x v="3"/>
    <n v="2760.6089999999999"/>
  </r>
  <r>
    <x v="1"/>
    <x v="2"/>
    <x v="3"/>
    <n v="2730.9290000000001"/>
  </r>
  <r>
    <x v="1"/>
    <x v="2"/>
    <x v="3"/>
    <n v="2746.087"/>
  </r>
  <r>
    <x v="1"/>
    <x v="2"/>
    <x v="3"/>
    <n v="2834.3560000000002"/>
  </r>
  <r>
    <x v="1"/>
    <x v="2"/>
    <x v="3"/>
    <n v="2825.8710000000001"/>
  </r>
  <r>
    <x v="1"/>
    <x v="2"/>
    <x v="3"/>
    <n v="2764.4"/>
  </r>
  <r>
    <x v="1"/>
    <x v="2"/>
    <x v="3"/>
    <n v="2839.6480000000001"/>
  </r>
  <r>
    <x v="1"/>
    <x v="2"/>
    <x v="3"/>
    <n v="2769.4960000000001"/>
  </r>
  <r>
    <x v="1"/>
    <x v="2"/>
    <x v="3"/>
    <n v="2827.038"/>
  </r>
  <r>
    <x v="1"/>
    <x v="2"/>
    <x v="3"/>
    <n v="2780.7689999999998"/>
  </r>
  <r>
    <x v="1"/>
    <x v="2"/>
    <x v="3"/>
    <n v="2892.1489999999999"/>
  </r>
  <r>
    <x v="1"/>
    <x v="2"/>
    <x v="3"/>
    <n v="2817.498"/>
  </r>
  <r>
    <x v="1"/>
    <x v="2"/>
    <x v="3"/>
    <n v="2776.4070000000002"/>
  </r>
  <r>
    <x v="1"/>
    <x v="2"/>
    <x v="3"/>
    <n v="2805.2330000000002"/>
  </r>
  <r>
    <x v="1"/>
    <x v="2"/>
    <x v="3"/>
    <n v="2725.12"/>
  </r>
  <r>
    <x v="1"/>
    <x v="2"/>
    <x v="3"/>
    <n v="2758.0720000000001"/>
  </r>
  <r>
    <x v="1"/>
    <x v="2"/>
    <x v="3"/>
    <n v="2776.654"/>
  </r>
  <r>
    <x v="1"/>
    <x v="2"/>
    <x v="3"/>
    <n v="2735.4839999999999"/>
  </r>
  <r>
    <x v="1"/>
    <x v="2"/>
    <x v="3"/>
    <n v="2798.18"/>
  </r>
  <r>
    <x v="1"/>
    <x v="2"/>
    <x v="3"/>
    <n v="2730.0279999999998"/>
  </r>
  <r>
    <x v="1"/>
    <x v="2"/>
    <x v="3"/>
    <n v="2736.7139999999999"/>
  </r>
  <r>
    <x v="1"/>
    <x v="2"/>
    <x v="3"/>
    <n v="2697.2820000000002"/>
  </r>
  <r>
    <x v="1"/>
    <x v="2"/>
    <x v="3"/>
    <n v="2850.0239999999999"/>
  </r>
  <r>
    <x v="1"/>
    <x v="2"/>
    <x v="3"/>
    <n v="2833.415"/>
  </r>
  <r>
    <x v="1"/>
    <x v="2"/>
    <x v="3"/>
    <n v="2750.5129999999999"/>
  </r>
  <r>
    <x v="1"/>
    <x v="2"/>
    <x v="3"/>
    <n v="2765.1370000000002"/>
  </r>
  <r>
    <x v="1"/>
    <x v="2"/>
    <x v="3"/>
    <n v="2743.4369999999999"/>
  </r>
  <r>
    <x v="1"/>
    <x v="2"/>
    <x v="3"/>
    <n v="2732.7370000000001"/>
  </r>
  <r>
    <x v="1"/>
    <x v="2"/>
    <x v="3"/>
    <n v="2813.259"/>
  </r>
  <r>
    <x v="1"/>
    <x v="2"/>
    <x v="3"/>
    <n v="2780.9789999999998"/>
  </r>
  <r>
    <x v="1"/>
    <x v="2"/>
    <x v="3"/>
    <n v="2729.5770000000002"/>
  </r>
  <r>
    <x v="1"/>
    <x v="2"/>
    <x v="3"/>
    <n v="2740.761"/>
  </r>
  <r>
    <x v="1"/>
    <x v="2"/>
    <x v="3"/>
    <n v="2749.2049999999999"/>
  </r>
  <r>
    <x v="1"/>
    <x v="2"/>
    <x v="3"/>
    <n v="2724.6410000000001"/>
  </r>
  <r>
    <x v="1"/>
    <x v="2"/>
    <x v="3"/>
    <n v="2858.1039999999998"/>
  </r>
  <r>
    <x v="1"/>
    <x v="2"/>
    <x v="3"/>
    <n v="2755.7350000000001"/>
  </r>
  <r>
    <x v="1"/>
    <x v="2"/>
    <x v="3"/>
    <n v="2837.1480000000001"/>
  </r>
  <r>
    <x v="1"/>
    <x v="2"/>
    <x v="3"/>
    <n v="2785.0120000000002"/>
  </r>
  <r>
    <x v="1"/>
    <x v="2"/>
    <x v="3"/>
    <n v="2792.8330000000001"/>
  </r>
  <r>
    <x v="1"/>
    <x v="2"/>
    <x v="3"/>
    <n v="2789.576"/>
  </r>
  <r>
    <x v="1"/>
    <x v="2"/>
    <x v="3"/>
    <n v="2874.48"/>
  </r>
  <r>
    <x v="1"/>
    <x v="2"/>
    <x v="3"/>
    <n v="2830.84"/>
  </r>
  <r>
    <x v="1"/>
    <x v="2"/>
    <x v="3"/>
    <n v="2750.2240000000002"/>
  </r>
  <r>
    <x v="1"/>
    <x v="2"/>
    <x v="3"/>
    <n v="2704.5830000000001"/>
  </r>
  <r>
    <x v="1"/>
    <x v="2"/>
    <x v="3"/>
    <n v="2804.0189999999998"/>
  </r>
  <r>
    <x v="1"/>
    <x v="2"/>
    <x v="3"/>
    <n v="2772.6660000000002"/>
  </r>
  <r>
    <x v="1"/>
    <x v="2"/>
    <x v="3"/>
    <n v="2816.9209999999998"/>
  </r>
  <r>
    <x v="1"/>
    <x v="2"/>
    <x v="3"/>
    <n v="2745.9940000000001"/>
  </r>
  <r>
    <x v="1"/>
    <x v="2"/>
    <x v="3"/>
    <n v="2831.596"/>
  </r>
  <r>
    <x v="1"/>
    <x v="2"/>
    <x v="3"/>
    <n v="2801.6790000000001"/>
  </r>
  <r>
    <x v="1"/>
    <x v="2"/>
    <x v="3"/>
    <n v="2863.1109999999999"/>
  </r>
  <r>
    <x v="1"/>
    <x v="2"/>
    <x v="3"/>
    <n v="2802.1320000000001"/>
  </r>
  <r>
    <x v="1"/>
    <x v="2"/>
    <x v="3"/>
    <n v="2795.2469999999998"/>
  </r>
  <r>
    <x v="1"/>
    <x v="2"/>
    <x v="3"/>
    <n v="2764.4009999999998"/>
  </r>
  <r>
    <x v="1"/>
    <x v="2"/>
    <x v="3"/>
    <n v="2792.9589999999998"/>
  </r>
  <r>
    <x v="1"/>
    <x v="2"/>
    <x v="3"/>
    <n v="2715.7550000000001"/>
  </r>
  <r>
    <x v="1"/>
    <x v="2"/>
    <x v="3"/>
    <n v="2759.2809999999999"/>
  </r>
  <r>
    <x v="1"/>
    <x v="2"/>
    <x v="3"/>
    <n v="2769.6709999999998"/>
  </r>
  <r>
    <x v="1"/>
    <x v="2"/>
    <x v="3"/>
    <n v="2816.6770000000001"/>
  </r>
  <r>
    <x v="1"/>
    <x v="2"/>
    <x v="3"/>
    <n v="2749.98"/>
  </r>
  <r>
    <x v="1"/>
    <x v="2"/>
    <x v="3"/>
    <n v="2770.1419999999998"/>
  </r>
  <r>
    <x v="1"/>
    <x v="2"/>
    <x v="3"/>
    <n v="2815.806"/>
  </r>
  <r>
    <x v="1"/>
    <x v="2"/>
    <x v="3"/>
    <n v="2766.7440000000001"/>
  </r>
  <r>
    <x v="1"/>
    <x v="2"/>
    <x v="3"/>
    <n v="2760.82"/>
  </r>
  <r>
    <x v="1"/>
    <x v="2"/>
    <x v="3"/>
    <n v="2742.4650000000001"/>
  </r>
  <r>
    <x v="1"/>
    <x v="2"/>
    <x v="3"/>
    <n v="2784.864"/>
  </r>
  <r>
    <x v="1"/>
    <x v="2"/>
    <x v="3"/>
    <n v="2827.509"/>
  </r>
  <r>
    <x v="1"/>
    <x v="2"/>
    <x v="3"/>
    <n v="2771.7649999999999"/>
  </r>
  <r>
    <x v="2"/>
    <x v="0"/>
    <x v="3"/>
    <n v="161.62"/>
  </r>
  <r>
    <x v="2"/>
    <x v="0"/>
    <x v="3"/>
    <n v="145.33099999999999"/>
  </r>
  <r>
    <x v="2"/>
    <x v="0"/>
    <x v="3"/>
    <n v="131.52799999999999"/>
  </r>
  <r>
    <x v="2"/>
    <x v="0"/>
    <x v="3"/>
    <n v="124.163"/>
  </r>
  <r>
    <x v="2"/>
    <x v="0"/>
    <x v="3"/>
    <n v="124.163"/>
  </r>
  <r>
    <x v="2"/>
    <x v="0"/>
    <x v="3"/>
    <n v="134.08699999999999"/>
  </r>
  <r>
    <x v="2"/>
    <x v="0"/>
    <x v="3"/>
    <n v="156.035"/>
  </r>
  <r>
    <x v="2"/>
    <x v="0"/>
    <x v="3"/>
    <n v="128.601"/>
  </r>
  <r>
    <x v="2"/>
    <x v="0"/>
    <x v="3"/>
    <n v="144.67099999999999"/>
  </r>
  <r>
    <x v="2"/>
    <x v="0"/>
    <x v="3"/>
    <n v="142.33099999999999"/>
  </r>
  <r>
    <x v="2"/>
    <x v="0"/>
    <x v="3"/>
    <n v="139.30600000000001"/>
  </r>
  <r>
    <x v="2"/>
    <x v="0"/>
    <x v="3"/>
    <n v="137.601"/>
  </r>
  <r>
    <x v="2"/>
    <x v="0"/>
    <x v="3"/>
    <n v="121.017"/>
  </r>
  <r>
    <x v="2"/>
    <x v="0"/>
    <x v="3"/>
    <n v="115.36"/>
  </r>
  <r>
    <x v="2"/>
    <x v="0"/>
    <x v="3"/>
    <n v="128.601"/>
  </r>
  <r>
    <x v="2"/>
    <x v="0"/>
    <x v="3"/>
    <n v="140.08699999999999"/>
  </r>
  <r>
    <x v="2"/>
    <x v="0"/>
    <x v="3"/>
    <n v="122.38200000000001"/>
  </r>
  <r>
    <x v="2"/>
    <x v="0"/>
    <x v="3"/>
    <n v="150.327"/>
  </r>
  <r>
    <x v="2"/>
    <x v="0"/>
    <x v="3"/>
    <n v="135.67400000000001"/>
  </r>
  <r>
    <x v="2"/>
    <x v="0"/>
    <x v="3"/>
    <n v="142.37899999999999"/>
  </r>
  <r>
    <x v="2"/>
    <x v="0"/>
    <x v="3"/>
    <n v="136.45500000000001"/>
  </r>
  <r>
    <x v="2"/>
    <x v="0"/>
    <x v="3"/>
    <n v="139.30600000000001"/>
  </r>
  <r>
    <x v="2"/>
    <x v="0"/>
    <x v="3"/>
    <n v="145.55000000000001"/>
  </r>
  <r>
    <x v="2"/>
    <x v="0"/>
    <x v="3"/>
    <n v="124.944"/>
  </r>
  <r>
    <x v="2"/>
    <x v="0"/>
    <x v="3"/>
    <n v="143.768"/>
  </r>
  <r>
    <x v="2"/>
    <x v="0"/>
    <x v="3"/>
    <n v="125.455"/>
  </r>
  <r>
    <x v="2"/>
    <x v="0"/>
    <x v="3"/>
    <n v="140.03899999999999"/>
  </r>
  <r>
    <x v="2"/>
    <x v="0"/>
    <x v="3"/>
    <n v="125.236"/>
  </r>
  <r>
    <x v="2"/>
    <x v="0"/>
    <x v="3"/>
    <n v="124.52800000000001"/>
  </r>
  <r>
    <x v="2"/>
    <x v="0"/>
    <x v="3"/>
    <n v="142.11199999999999"/>
  </r>
  <r>
    <x v="2"/>
    <x v="0"/>
    <x v="3"/>
    <n v="132.23599999999999"/>
  </r>
  <r>
    <x v="2"/>
    <x v="0"/>
    <x v="3"/>
    <n v="142.696"/>
  </r>
  <r>
    <x v="2"/>
    <x v="0"/>
    <x v="3"/>
    <n v="148.54900000000001"/>
  </r>
  <r>
    <x v="2"/>
    <x v="0"/>
    <x v="3"/>
    <n v="138.30600000000001"/>
  </r>
  <r>
    <x v="2"/>
    <x v="0"/>
    <x v="3"/>
    <n v="156.44800000000001"/>
  </r>
  <r>
    <x v="2"/>
    <x v="0"/>
    <x v="3"/>
    <n v="131.37899999999999"/>
  </r>
  <r>
    <x v="2"/>
    <x v="0"/>
    <x v="3"/>
    <n v="157.18199999999999"/>
  </r>
  <r>
    <x v="2"/>
    <x v="0"/>
    <x v="3"/>
    <n v="129.45500000000001"/>
  </r>
  <r>
    <x v="2"/>
    <x v="0"/>
    <x v="3"/>
    <n v="131.185"/>
  </r>
  <r>
    <x v="2"/>
    <x v="0"/>
    <x v="3"/>
    <n v="132.45500000000001"/>
  </r>
  <r>
    <x v="2"/>
    <x v="0"/>
    <x v="3"/>
    <n v="128.309"/>
  </r>
  <r>
    <x v="2"/>
    <x v="0"/>
    <x v="3"/>
    <n v="135.893"/>
  </r>
  <r>
    <x v="2"/>
    <x v="0"/>
    <x v="3"/>
    <n v="146.33099999999999"/>
  </r>
  <r>
    <x v="2"/>
    <x v="0"/>
    <x v="3"/>
    <n v="137.74700000000001"/>
  </r>
  <r>
    <x v="2"/>
    <x v="0"/>
    <x v="3"/>
    <n v="162.42500000000001"/>
  </r>
  <r>
    <x v="2"/>
    <x v="0"/>
    <x v="3"/>
    <n v="142.11199999999999"/>
  </r>
  <r>
    <x v="2"/>
    <x v="0"/>
    <x v="3"/>
    <n v="142.30600000000001"/>
  </r>
  <r>
    <x v="2"/>
    <x v="0"/>
    <x v="3"/>
    <n v="133.74700000000001"/>
  </r>
  <r>
    <x v="2"/>
    <x v="0"/>
    <x v="3"/>
    <n v="144.81700000000001"/>
  </r>
  <r>
    <x v="2"/>
    <x v="0"/>
    <x v="3"/>
    <n v="149.62299999999999"/>
  </r>
  <r>
    <x v="2"/>
    <x v="0"/>
    <x v="3"/>
    <n v="138.696"/>
  </r>
  <r>
    <x v="2"/>
    <x v="0"/>
    <x v="3"/>
    <n v="129.74700000000001"/>
  </r>
  <r>
    <x v="2"/>
    <x v="0"/>
    <x v="3"/>
    <n v="126.014"/>
  </r>
  <r>
    <x v="2"/>
    <x v="0"/>
    <x v="3"/>
    <n v="134.74700000000001"/>
  </r>
  <r>
    <x v="2"/>
    <x v="0"/>
    <x v="3"/>
    <n v="132.82"/>
  </r>
  <r>
    <x v="2"/>
    <x v="0"/>
    <x v="3"/>
    <n v="122.017"/>
  </r>
  <r>
    <x v="2"/>
    <x v="0"/>
    <x v="3"/>
    <n v="131.59800000000001"/>
  </r>
  <r>
    <x v="2"/>
    <x v="0"/>
    <x v="3"/>
    <n v="118.747"/>
  </r>
  <r>
    <x v="2"/>
    <x v="0"/>
    <x v="3"/>
    <n v="146.55000000000001"/>
  </r>
  <r>
    <x v="2"/>
    <x v="0"/>
    <x v="3"/>
    <n v="136.185"/>
  </r>
  <r>
    <x v="2"/>
    <x v="0"/>
    <x v="3"/>
    <n v="135.67400000000001"/>
  </r>
  <r>
    <x v="2"/>
    <x v="0"/>
    <x v="3"/>
    <n v="138.03899999999999"/>
  </r>
  <r>
    <x v="2"/>
    <x v="0"/>
    <x v="3"/>
    <n v="134.03899999999999"/>
  </r>
  <r>
    <x v="2"/>
    <x v="0"/>
    <x v="3"/>
    <n v="136.233"/>
  </r>
  <r>
    <x v="2"/>
    <x v="0"/>
    <x v="3"/>
    <n v="142.54900000000001"/>
  </r>
  <r>
    <x v="2"/>
    <x v="0"/>
    <x v="3"/>
    <n v="141.52500000000001"/>
  </r>
  <r>
    <x v="2"/>
    <x v="0"/>
    <x v="3"/>
    <n v="144.93799999999999"/>
  </r>
  <r>
    <x v="2"/>
    <x v="0"/>
    <x v="3"/>
    <n v="145.01400000000001"/>
  </r>
  <r>
    <x v="2"/>
    <x v="0"/>
    <x v="3"/>
    <n v="169.595"/>
  </r>
  <r>
    <x v="2"/>
    <x v="0"/>
    <x v="3"/>
    <n v="143.25800000000001"/>
  </r>
  <r>
    <x v="2"/>
    <x v="0"/>
    <x v="3"/>
    <n v="152.81700000000001"/>
  </r>
  <r>
    <x v="2"/>
    <x v="0"/>
    <x v="3"/>
    <n v="134.893"/>
  </r>
  <r>
    <x v="2"/>
    <x v="0"/>
    <x v="3"/>
    <n v="142.33099999999999"/>
  </r>
  <r>
    <x v="2"/>
    <x v="0"/>
    <x v="3"/>
    <n v="146.696"/>
  </r>
  <r>
    <x v="2"/>
    <x v="0"/>
    <x v="3"/>
    <n v="142.452"/>
  </r>
  <r>
    <x v="2"/>
    <x v="0"/>
    <x v="3"/>
    <n v="146.91399999999999"/>
  </r>
  <r>
    <x v="2"/>
    <x v="0"/>
    <x v="3"/>
    <n v="135.893"/>
  </r>
  <r>
    <x v="2"/>
    <x v="0"/>
    <x v="3"/>
    <n v="118.944"/>
  </r>
  <r>
    <x v="2"/>
    <x v="0"/>
    <x v="3"/>
    <n v="133.40299999999999"/>
  </r>
  <r>
    <x v="2"/>
    <x v="0"/>
    <x v="3"/>
    <n v="137.67400000000001"/>
  </r>
  <r>
    <x v="2"/>
    <x v="0"/>
    <x v="3"/>
    <n v="152.98699999999999"/>
  </r>
  <r>
    <x v="2"/>
    <x v="0"/>
    <x v="3"/>
    <n v="137.71899999999999"/>
  </r>
  <r>
    <x v="2"/>
    <x v="0"/>
    <x v="3"/>
    <n v="136.25800000000001"/>
  </r>
  <r>
    <x v="2"/>
    <x v="0"/>
    <x v="3"/>
    <n v="128.03800000000001"/>
  </r>
  <r>
    <x v="2"/>
    <x v="0"/>
    <x v="3"/>
    <n v="128.893"/>
  </r>
  <r>
    <x v="2"/>
    <x v="0"/>
    <x v="3"/>
    <n v="130.893"/>
  </r>
  <r>
    <x v="2"/>
    <x v="0"/>
    <x v="3"/>
    <n v="155.10900000000001"/>
  </r>
  <r>
    <x v="2"/>
    <x v="0"/>
    <x v="3"/>
    <n v="134.11099999999999"/>
  </r>
  <r>
    <x v="2"/>
    <x v="0"/>
    <x v="3"/>
    <n v="136.82"/>
  </r>
  <r>
    <x v="2"/>
    <x v="0"/>
    <x v="3"/>
    <n v="141.69399999999999"/>
  </r>
  <r>
    <x v="2"/>
    <x v="0"/>
    <x v="3"/>
    <n v="135.017"/>
  </r>
  <r>
    <x v="2"/>
    <x v="0"/>
    <x v="3"/>
    <n v="143.11199999999999"/>
  </r>
  <r>
    <x v="2"/>
    <x v="0"/>
    <x v="3"/>
    <n v="164.91499999999999"/>
  </r>
  <r>
    <x v="2"/>
    <x v="0"/>
    <x v="3"/>
    <n v="144.768"/>
  </r>
  <r>
    <x v="2"/>
    <x v="0"/>
    <x v="3"/>
    <n v="153.54900000000001"/>
  </r>
  <r>
    <x v="2"/>
    <x v="0"/>
    <x v="3"/>
    <n v="149.40299999999999"/>
  </r>
  <r>
    <x v="2"/>
    <x v="0"/>
    <x v="3"/>
    <n v="138.11099999999999"/>
  </r>
  <r>
    <x v="2"/>
    <x v="0"/>
    <x v="3"/>
    <n v="144.96600000000001"/>
  </r>
  <r>
    <x v="2"/>
    <x v="0"/>
    <x v="3"/>
    <n v="152.10900000000001"/>
  </r>
  <r>
    <x v="2"/>
    <x v="0"/>
    <x v="3"/>
    <n v="127.527"/>
  </r>
  <r>
    <x v="2"/>
    <x v="1"/>
    <x v="3"/>
    <n v="875.95899999999995"/>
  </r>
  <r>
    <x v="2"/>
    <x v="1"/>
    <x v="3"/>
    <n v="822.42899999999997"/>
  </r>
  <r>
    <x v="2"/>
    <x v="1"/>
    <x v="3"/>
    <n v="832.76800000000003"/>
  </r>
  <r>
    <x v="2"/>
    <x v="1"/>
    <x v="3"/>
    <n v="809.54899999999998"/>
  </r>
  <r>
    <x v="2"/>
    <x v="1"/>
    <x v="3"/>
    <n v="816.46699999999998"/>
  </r>
  <r>
    <x v="2"/>
    <x v="1"/>
    <x v="3"/>
    <n v="886.96199999999999"/>
  </r>
  <r>
    <x v="2"/>
    <x v="1"/>
    <x v="3"/>
    <n v="859.149"/>
  </r>
  <r>
    <x v="2"/>
    <x v="1"/>
    <x v="3"/>
    <n v="811.827"/>
  </r>
  <r>
    <x v="2"/>
    <x v="1"/>
    <x v="3"/>
    <n v="863.11900000000003"/>
  </r>
  <r>
    <x v="2"/>
    <x v="1"/>
    <x v="3"/>
    <n v="901.11800000000005"/>
  </r>
  <r>
    <x v="2"/>
    <x v="1"/>
    <x v="3"/>
    <n v="855.84199999999998"/>
  </r>
  <r>
    <x v="2"/>
    <x v="1"/>
    <x v="3"/>
    <n v="893.55700000000002"/>
  </r>
  <r>
    <x v="2"/>
    <x v="1"/>
    <x v="3"/>
    <n v="865"/>
  </r>
  <r>
    <x v="2"/>
    <x v="1"/>
    <x v="3"/>
    <n v="890.80700000000002"/>
  </r>
  <r>
    <x v="2"/>
    <x v="1"/>
    <x v="3"/>
    <n v="898.09100000000001"/>
  </r>
  <r>
    <x v="2"/>
    <x v="1"/>
    <x v="3"/>
    <n v="891.75900000000001"/>
  </r>
  <r>
    <x v="2"/>
    <x v="1"/>
    <x v="3"/>
    <n v="882.75199999999995"/>
  </r>
  <r>
    <x v="2"/>
    <x v="1"/>
    <x v="3"/>
    <n v="868.04200000000003"/>
  </r>
  <r>
    <x v="2"/>
    <x v="1"/>
    <x v="3"/>
    <n v="862.10299999999995"/>
  </r>
  <r>
    <x v="2"/>
    <x v="1"/>
    <x v="3"/>
    <n v="858.45799999999997"/>
  </r>
  <r>
    <x v="2"/>
    <x v="1"/>
    <x v="3"/>
    <n v="885.96100000000001"/>
  </r>
  <r>
    <x v="2"/>
    <x v="1"/>
    <x v="3"/>
    <n v="852.07100000000003"/>
  </r>
  <r>
    <x v="2"/>
    <x v="1"/>
    <x v="3"/>
    <n v="792.56600000000003"/>
  </r>
  <r>
    <x v="2"/>
    <x v="1"/>
    <x v="3"/>
    <n v="833.79300000000001"/>
  </r>
  <r>
    <x v="2"/>
    <x v="1"/>
    <x v="3"/>
    <n v="809.09"/>
  </r>
  <r>
    <x v="2"/>
    <x v="1"/>
    <x v="3"/>
    <n v="826.2"/>
  </r>
  <r>
    <x v="2"/>
    <x v="1"/>
    <x v="3"/>
    <n v="862.58"/>
  </r>
  <r>
    <x v="2"/>
    <x v="1"/>
    <x v="3"/>
    <n v="914.93499999999995"/>
  </r>
  <r>
    <x v="2"/>
    <x v="1"/>
    <x v="3"/>
    <n v="861.71900000000005"/>
  </r>
  <r>
    <x v="2"/>
    <x v="1"/>
    <x v="3"/>
    <n v="905.697"/>
  </r>
  <r>
    <x v="2"/>
    <x v="1"/>
    <x v="3"/>
    <n v="859.89599999999996"/>
  </r>
  <r>
    <x v="2"/>
    <x v="1"/>
    <x v="3"/>
    <n v="851.94799999999998"/>
  </r>
  <r>
    <x v="2"/>
    <x v="1"/>
    <x v="3"/>
    <n v="884.61500000000001"/>
  </r>
  <r>
    <x v="2"/>
    <x v="1"/>
    <x v="3"/>
    <n v="837.56100000000004"/>
  </r>
  <r>
    <x v="2"/>
    <x v="1"/>
    <x v="3"/>
    <n v="865.73800000000006"/>
  </r>
  <r>
    <x v="2"/>
    <x v="1"/>
    <x v="3"/>
    <n v="840.11199999999997"/>
  </r>
  <r>
    <x v="2"/>
    <x v="1"/>
    <x v="3"/>
    <n v="838.22500000000002"/>
  </r>
  <r>
    <x v="2"/>
    <x v="1"/>
    <x v="3"/>
    <n v="804.53700000000003"/>
  </r>
  <r>
    <x v="2"/>
    <x v="1"/>
    <x v="3"/>
    <n v="858.90099999999995"/>
  </r>
  <r>
    <x v="2"/>
    <x v="1"/>
    <x v="3"/>
    <n v="851.66099999999994"/>
  </r>
  <r>
    <x v="2"/>
    <x v="1"/>
    <x v="3"/>
    <n v="837.52800000000002"/>
  </r>
  <r>
    <x v="2"/>
    <x v="1"/>
    <x v="3"/>
    <n v="896.07299999999998"/>
  </r>
  <r>
    <x v="2"/>
    <x v="1"/>
    <x v="3"/>
    <n v="894.33"/>
  </r>
  <r>
    <x v="2"/>
    <x v="1"/>
    <x v="3"/>
    <n v="882.06899999999996"/>
  </r>
  <r>
    <x v="2"/>
    <x v="1"/>
    <x v="3"/>
    <n v="856.803"/>
  </r>
  <r>
    <x v="2"/>
    <x v="1"/>
    <x v="3"/>
    <n v="878.12400000000002"/>
  </r>
  <r>
    <x v="2"/>
    <x v="1"/>
    <x v="3"/>
    <n v="829.21799999999996"/>
  </r>
  <r>
    <x v="2"/>
    <x v="1"/>
    <x v="3"/>
    <n v="899.57600000000002"/>
  </r>
  <r>
    <x v="2"/>
    <x v="1"/>
    <x v="3"/>
    <n v="863.74699999999996"/>
  </r>
  <r>
    <x v="2"/>
    <x v="1"/>
    <x v="3"/>
    <n v="852.64700000000005"/>
  </r>
  <r>
    <x v="2"/>
    <x v="1"/>
    <x v="3"/>
    <n v="837.15300000000002"/>
  </r>
  <r>
    <x v="2"/>
    <x v="1"/>
    <x v="3"/>
    <n v="875.42499999999995"/>
  </r>
  <r>
    <x v="2"/>
    <x v="1"/>
    <x v="3"/>
    <n v="851.73699999999997"/>
  </r>
  <r>
    <x v="2"/>
    <x v="1"/>
    <x v="3"/>
    <n v="902.01499999999999"/>
  </r>
  <r>
    <x v="2"/>
    <x v="1"/>
    <x v="3"/>
    <n v="853.18"/>
  </r>
  <r>
    <x v="2"/>
    <x v="1"/>
    <x v="3"/>
    <n v="813.74800000000005"/>
  </r>
  <r>
    <x v="2"/>
    <x v="1"/>
    <x v="3"/>
    <n v="868.83799999999997"/>
  </r>
  <r>
    <x v="2"/>
    <x v="1"/>
    <x v="3"/>
    <n v="912.80399999999997"/>
  </r>
  <r>
    <x v="2"/>
    <x v="1"/>
    <x v="3"/>
    <n v="886.923"/>
  </r>
  <r>
    <x v="2"/>
    <x v="1"/>
    <x v="3"/>
    <n v="866.452"/>
  </r>
  <r>
    <x v="2"/>
    <x v="1"/>
    <x v="3"/>
    <n v="856.54499999999996"/>
  </r>
  <r>
    <x v="2"/>
    <x v="1"/>
    <x v="3"/>
    <n v="865.58799999999997"/>
  </r>
  <r>
    <x v="2"/>
    <x v="1"/>
    <x v="3"/>
    <n v="871.77599999999995"/>
  </r>
  <r>
    <x v="2"/>
    <x v="1"/>
    <x v="3"/>
    <n v="874.404"/>
  </r>
  <r>
    <x v="2"/>
    <x v="1"/>
    <x v="3"/>
    <n v="876.05200000000002"/>
  </r>
  <r>
    <x v="2"/>
    <x v="1"/>
    <x v="3"/>
    <n v="859.35"/>
  </r>
  <r>
    <x v="2"/>
    <x v="1"/>
    <x v="3"/>
    <n v="806.399"/>
  </r>
  <r>
    <x v="2"/>
    <x v="1"/>
    <x v="3"/>
    <n v="876.39300000000003"/>
  </r>
  <r>
    <x v="2"/>
    <x v="1"/>
    <x v="3"/>
    <n v="856.31399999999996"/>
  </r>
  <r>
    <x v="2"/>
    <x v="1"/>
    <x v="3"/>
    <n v="859.154"/>
  </r>
  <r>
    <x v="2"/>
    <x v="1"/>
    <x v="3"/>
    <n v="842.14499999999998"/>
  </r>
  <r>
    <x v="2"/>
    <x v="1"/>
    <x v="3"/>
    <n v="888.36500000000001"/>
  </r>
  <r>
    <x v="2"/>
    <x v="1"/>
    <x v="3"/>
    <n v="831.00199999999995"/>
  </r>
  <r>
    <x v="2"/>
    <x v="1"/>
    <x v="3"/>
    <n v="858.96600000000001"/>
  </r>
  <r>
    <x v="2"/>
    <x v="1"/>
    <x v="3"/>
    <n v="907.57"/>
  </r>
  <r>
    <x v="2"/>
    <x v="1"/>
    <x v="3"/>
    <n v="810.56500000000005"/>
  </r>
  <r>
    <x v="2"/>
    <x v="1"/>
    <x v="3"/>
    <n v="827.34299999999996"/>
  </r>
  <r>
    <x v="2"/>
    <x v="1"/>
    <x v="3"/>
    <n v="808.72500000000002"/>
  </r>
  <r>
    <x v="2"/>
    <x v="1"/>
    <x v="3"/>
    <n v="920.45299999999997"/>
  </r>
  <r>
    <x v="2"/>
    <x v="1"/>
    <x v="3"/>
    <n v="837.47"/>
  </r>
  <r>
    <x v="2"/>
    <x v="1"/>
    <x v="3"/>
    <n v="867.22400000000005"/>
  </r>
  <r>
    <x v="2"/>
    <x v="1"/>
    <x v="3"/>
    <n v="841.01499999999999"/>
  </r>
  <r>
    <x v="2"/>
    <x v="1"/>
    <x v="3"/>
    <n v="836.27599999999995"/>
  </r>
  <r>
    <x v="2"/>
    <x v="1"/>
    <x v="3"/>
    <n v="807.68499999999995"/>
  </r>
  <r>
    <x v="2"/>
    <x v="1"/>
    <x v="3"/>
    <n v="860.28700000000003"/>
  </r>
  <r>
    <x v="2"/>
    <x v="1"/>
    <x v="3"/>
    <n v="845.90200000000004"/>
  </r>
  <r>
    <x v="2"/>
    <x v="1"/>
    <x v="3"/>
    <n v="809.96100000000001"/>
  </r>
  <r>
    <x v="2"/>
    <x v="1"/>
    <x v="3"/>
    <n v="886.69100000000003"/>
  </r>
  <r>
    <x v="2"/>
    <x v="1"/>
    <x v="3"/>
    <n v="818.47400000000005"/>
  </r>
  <r>
    <x v="2"/>
    <x v="1"/>
    <x v="3"/>
    <n v="844.24099999999999"/>
  </r>
  <r>
    <x v="2"/>
    <x v="1"/>
    <x v="3"/>
    <n v="888.33399999999995"/>
  </r>
  <r>
    <x v="2"/>
    <x v="1"/>
    <x v="3"/>
    <n v="849.01900000000001"/>
  </r>
  <r>
    <x v="2"/>
    <x v="1"/>
    <x v="3"/>
    <n v="868.61800000000005"/>
  </r>
  <r>
    <x v="2"/>
    <x v="1"/>
    <x v="3"/>
    <n v="855.55"/>
  </r>
  <r>
    <x v="2"/>
    <x v="1"/>
    <x v="3"/>
    <n v="806.65200000000004"/>
  </r>
  <r>
    <x v="2"/>
    <x v="1"/>
    <x v="3"/>
    <n v="880.94799999999998"/>
  </r>
  <r>
    <x v="2"/>
    <x v="1"/>
    <x v="3"/>
    <n v="889.41099999999994"/>
  </r>
  <r>
    <x v="2"/>
    <x v="1"/>
    <x v="3"/>
    <n v="873.23299999999995"/>
  </r>
  <r>
    <x v="2"/>
    <x v="1"/>
    <x v="3"/>
    <n v="892.35699999999997"/>
  </r>
  <r>
    <x v="2"/>
    <x v="1"/>
    <x v="3"/>
    <n v="831.10199999999998"/>
  </r>
  <r>
    <x v="2"/>
    <x v="2"/>
    <x v="3"/>
    <n v="2596.9189999999999"/>
  </r>
  <r>
    <x v="2"/>
    <x v="2"/>
    <x v="3"/>
    <n v="2762.7750000000001"/>
  </r>
  <r>
    <x v="2"/>
    <x v="2"/>
    <x v="3"/>
    <n v="2684.29"/>
  </r>
  <r>
    <x v="2"/>
    <x v="2"/>
    <x v="3"/>
    <n v="2749.201"/>
  </r>
  <r>
    <x v="2"/>
    <x v="2"/>
    <x v="3"/>
    <n v="2611.2170000000001"/>
  </r>
  <r>
    <x v="2"/>
    <x v="2"/>
    <x v="3"/>
    <n v="2660.2069999999999"/>
  </r>
  <r>
    <x v="2"/>
    <x v="2"/>
    <x v="3"/>
    <n v="2644.4180000000001"/>
  </r>
  <r>
    <x v="2"/>
    <x v="2"/>
    <x v="3"/>
    <n v="2609.6979999999999"/>
  </r>
  <r>
    <x v="2"/>
    <x v="2"/>
    <x v="3"/>
    <n v="2670.6280000000002"/>
  </r>
  <r>
    <x v="2"/>
    <x v="2"/>
    <x v="3"/>
    <n v="2607.1930000000002"/>
  </r>
  <r>
    <x v="2"/>
    <x v="2"/>
    <x v="3"/>
    <n v="2607.1289999999999"/>
  </r>
  <r>
    <x v="2"/>
    <x v="2"/>
    <x v="3"/>
    <n v="2611.002"/>
  </r>
  <r>
    <x v="2"/>
    <x v="2"/>
    <x v="3"/>
    <n v="2604.67"/>
  </r>
  <r>
    <x v="2"/>
    <x v="2"/>
    <x v="3"/>
    <n v="2611.627"/>
  </r>
  <r>
    <x v="2"/>
    <x v="2"/>
    <x v="3"/>
    <n v="2618.201"/>
  </r>
  <r>
    <x v="2"/>
    <x v="2"/>
    <x v="3"/>
    <n v="2670.922"/>
  </r>
  <r>
    <x v="2"/>
    <x v="2"/>
    <x v="3"/>
    <n v="2610.04"/>
  </r>
  <r>
    <x v="2"/>
    <x v="2"/>
    <x v="3"/>
    <n v="2566.712"/>
  </r>
  <r>
    <x v="2"/>
    <x v="2"/>
    <x v="3"/>
    <n v="2681.5880000000002"/>
  </r>
  <r>
    <x v="2"/>
    <x v="2"/>
    <x v="3"/>
    <n v="2688.3069999999998"/>
  </r>
  <r>
    <x v="2"/>
    <x v="2"/>
    <x v="3"/>
    <n v="2599.6410000000001"/>
  </r>
  <r>
    <x v="2"/>
    <x v="2"/>
    <x v="3"/>
    <n v="2745.4250000000002"/>
  </r>
  <r>
    <x v="2"/>
    <x v="2"/>
    <x v="3"/>
    <n v="2600.5740000000001"/>
  </r>
  <r>
    <x v="2"/>
    <x v="2"/>
    <x v="3"/>
    <n v="2671.8919999999998"/>
  </r>
  <r>
    <x v="2"/>
    <x v="2"/>
    <x v="3"/>
    <n v="2667.02"/>
  </r>
  <r>
    <x v="2"/>
    <x v="2"/>
    <x v="3"/>
    <n v="2577.8020000000001"/>
  </r>
  <r>
    <x v="2"/>
    <x v="2"/>
    <x v="3"/>
    <n v="2648.4639999999999"/>
  </r>
  <r>
    <x v="2"/>
    <x v="2"/>
    <x v="3"/>
    <n v="2660.87"/>
  </r>
  <r>
    <x v="2"/>
    <x v="2"/>
    <x v="3"/>
    <n v="2599.7570000000001"/>
  </r>
  <r>
    <x v="2"/>
    <x v="2"/>
    <x v="3"/>
    <n v="2595.424"/>
  </r>
  <r>
    <x v="2"/>
    <x v="2"/>
    <x v="3"/>
    <n v="2750.47"/>
  </r>
  <r>
    <x v="2"/>
    <x v="2"/>
    <x v="3"/>
    <n v="2608.92"/>
  </r>
  <r>
    <x v="2"/>
    <x v="2"/>
    <x v="3"/>
    <n v="2663.7190000000001"/>
  </r>
  <r>
    <x v="2"/>
    <x v="2"/>
    <x v="3"/>
    <n v="2567.748"/>
  </r>
  <r>
    <x v="2"/>
    <x v="2"/>
    <x v="3"/>
    <n v="2602.3200000000002"/>
  </r>
  <r>
    <x v="2"/>
    <x v="2"/>
    <x v="3"/>
    <n v="2603.7139999999999"/>
  </r>
  <r>
    <x v="2"/>
    <x v="2"/>
    <x v="3"/>
    <n v="2678.34"/>
  </r>
  <r>
    <x v="2"/>
    <x v="2"/>
    <x v="3"/>
    <n v="2689.34"/>
  </r>
  <r>
    <x v="2"/>
    <x v="2"/>
    <x v="3"/>
    <n v="2677.433"/>
  </r>
  <r>
    <x v="2"/>
    <x v="2"/>
    <x v="3"/>
    <n v="2722.9859999999999"/>
  </r>
  <r>
    <x v="2"/>
    <x v="2"/>
    <x v="3"/>
    <n v="2513.4740000000002"/>
  </r>
  <r>
    <x v="2"/>
    <x v="2"/>
    <x v="3"/>
    <n v="2599.1909999999998"/>
  </r>
  <r>
    <x v="2"/>
    <x v="2"/>
    <x v="3"/>
    <n v="2673.72"/>
  </r>
  <r>
    <x v="2"/>
    <x v="2"/>
    <x v="3"/>
    <n v="2590.4760000000001"/>
  </r>
  <r>
    <x v="2"/>
    <x v="2"/>
    <x v="3"/>
    <n v="2565.6779999999999"/>
  </r>
  <r>
    <x v="2"/>
    <x v="2"/>
    <x v="3"/>
    <n v="2613.5520000000001"/>
  </r>
  <r>
    <x v="2"/>
    <x v="2"/>
    <x v="3"/>
    <n v="2696.7809999999999"/>
  </r>
  <r>
    <x v="2"/>
    <x v="2"/>
    <x v="3"/>
    <n v="2636.6869999999999"/>
  </r>
  <r>
    <x v="2"/>
    <x v="2"/>
    <x v="3"/>
    <n v="2654.413"/>
  </r>
  <r>
    <x v="2"/>
    <x v="2"/>
    <x v="3"/>
    <n v="2574.2440000000001"/>
  </r>
  <r>
    <x v="2"/>
    <x v="2"/>
    <x v="3"/>
    <n v="2666.81"/>
  </r>
  <r>
    <x v="2"/>
    <x v="2"/>
    <x v="3"/>
    <n v="2611.6329999999998"/>
  </r>
  <r>
    <x v="2"/>
    <x v="2"/>
    <x v="3"/>
    <n v="2653.2829999999999"/>
  </r>
  <r>
    <x v="2"/>
    <x v="2"/>
    <x v="3"/>
    <n v="2678.047"/>
  </r>
  <r>
    <x v="2"/>
    <x v="2"/>
    <x v="3"/>
    <n v="2636.4989999999998"/>
  </r>
  <r>
    <x v="2"/>
    <x v="2"/>
    <x v="3"/>
    <n v="2671.826"/>
  </r>
  <r>
    <x v="2"/>
    <x v="2"/>
    <x v="3"/>
    <n v="2658.672"/>
  </r>
  <r>
    <x v="2"/>
    <x v="2"/>
    <x v="3"/>
    <n v="2752.32"/>
  </r>
  <r>
    <x v="2"/>
    <x v="2"/>
    <x v="3"/>
    <n v="2620.1129999999998"/>
  </r>
  <r>
    <x v="2"/>
    <x v="2"/>
    <x v="3"/>
    <n v="2696.3690000000001"/>
  </r>
  <r>
    <x v="2"/>
    <x v="2"/>
    <x v="3"/>
    <n v="2671.8029999999999"/>
  </r>
  <r>
    <x v="2"/>
    <x v="2"/>
    <x v="3"/>
    <n v="2655.8220000000001"/>
  </r>
  <r>
    <x v="2"/>
    <x v="2"/>
    <x v="3"/>
    <n v="2652.4490000000001"/>
  </r>
  <r>
    <x v="2"/>
    <x v="2"/>
    <x v="3"/>
    <n v="2629.8440000000001"/>
  </r>
  <r>
    <x v="2"/>
    <x v="2"/>
    <x v="3"/>
    <n v="2531.87"/>
  </r>
  <r>
    <x v="2"/>
    <x v="2"/>
    <x v="3"/>
    <n v="2624.1970000000001"/>
  </r>
  <r>
    <x v="2"/>
    <x v="2"/>
    <x v="3"/>
    <n v="2639.6039999999998"/>
  </r>
  <r>
    <x v="2"/>
    <x v="2"/>
    <x v="3"/>
    <n v="2615.7429999999999"/>
  </r>
  <r>
    <x v="2"/>
    <x v="2"/>
    <x v="3"/>
    <n v="2594.9319999999998"/>
  </r>
  <r>
    <x v="2"/>
    <x v="2"/>
    <x v="3"/>
    <n v="2616.6019999999999"/>
  </r>
  <r>
    <x v="2"/>
    <x v="2"/>
    <x v="3"/>
    <n v="2724.6320000000001"/>
  </r>
  <r>
    <x v="2"/>
    <x v="2"/>
    <x v="3"/>
    <n v="2678.752"/>
  </r>
  <r>
    <x v="2"/>
    <x v="2"/>
    <x v="3"/>
    <n v="2620.5410000000002"/>
  </r>
  <r>
    <x v="2"/>
    <x v="2"/>
    <x v="3"/>
    <n v="2645.0720000000001"/>
  </r>
  <r>
    <x v="2"/>
    <x v="2"/>
    <x v="3"/>
    <n v="2605.5419999999999"/>
  </r>
  <r>
    <x v="2"/>
    <x v="2"/>
    <x v="3"/>
    <n v="2629.1689999999999"/>
  </r>
  <r>
    <x v="2"/>
    <x v="2"/>
    <x v="3"/>
    <n v="2683.596"/>
  </r>
  <r>
    <x v="2"/>
    <x v="2"/>
    <x v="3"/>
    <n v="2652.087"/>
  </r>
  <r>
    <x v="2"/>
    <x v="2"/>
    <x v="3"/>
    <n v="2684.893"/>
  </r>
  <r>
    <x v="2"/>
    <x v="2"/>
    <x v="3"/>
    <n v="2621.2350000000001"/>
  </r>
  <r>
    <x v="2"/>
    <x v="2"/>
    <x v="3"/>
    <n v="2661.3090000000002"/>
  </r>
  <r>
    <x v="2"/>
    <x v="2"/>
    <x v="3"/>
    <n v="2514.4"/>
  </r>
  <r>
    <x v="2"/>
    <x v="2"/>
    <x v="3"/>
    <n v="2628.7370000000001"/>
  </r>
  <r>
    <x v="2"/>
    <x v="2"/>
    <x v="3"/>
    <n v="2578.4830000000002"/>
  </r>
  <r>
    <x v="2"/>
    <x v="2"/>
    <x v="3"/>
    <n v="2659.1970000000001"/>
  </r>
  <r>
    <x v="2"/>
    <x v="2"/>
    <x v="3"/>
    <n v="2651.6489999999999"/>
  </r>
  <r>
    <x v="2"/>
    <x v="2"/>
    <x v="3"/>
    <n v="2649.491"/>
  </r>
  <r>
    <x v="2"/>
    <x v="2"/>
    <x v="3"/>
    <n v="2688.0740000000001"/>
  </r>
  <r>
    <x v="2"/>
    <x v="2"/>
    <x v="3"/>
    <n v="2697.402"/>
  </r>
  <r>
    <x v="2"/>
    <x v="2"/>
    <x v="3"/>
    <n v="2602.6060000000002"/>
  </r>
  <r>
    <x v="2"/>
    <x v="2"/>
    <x v="3"/>
    <n v="2671.232"/>
  </r>
  <r>
    <x v="2"/>
    <x v="2"/>
    <x v="3"/>
    <n v="2656.0970000000002"/>
  </r>
  <r>
    <x v="2"/>
    <x v="2"/>
    <x v="3"/>
    <n v="2712.3"/>
  </r>
  <r>
    <x v="2"/>
    <x v="2"/>
    <x v="3"/>
    <n v="2747.3530000000001"/>
  </r>
  <r>
    <x v="2"/>
    <x v="2"/>
    <x v="3"/>
    <n v="2677.0120000000002"/>
  </r>
  <r>
    <x v="2"/>
    <x v="2"/>
    <x v="3"/>
    <n v="2631.5729999999999"/>
  </r>
  <r>
    <x v="2"/>
    <x v="2"/>
    <x v="3"/>
    <n v="2641.7379999999998"/>
  </r>
  <r>
    <x v="2"/>
    <x v="2"/>
    <x v="3"/>
    <n v="2718.7130000000002"/>
  </r>
  <r>
    <x v="2"/>
    <x v="2"/>
    <x v="3"/>
    <n v="2608.9029999999998"/>
  </r>
  <r>
    <x v="2"/>
    <x v="2"/>
    <x v="3"/>
    <n v="2580.913"/>
  </r>
  <r>
    <x v="0"/>
    <x v="0"/>
    <x v="4"/>
    <n v="169.46899999999999"/>
  </r>
  <r>
    <x v="0"/>
    <x v="0"/>
    <x v="4"/>
    <n v="175.34800000000001"/>
  </r>
  <r>
    <x v="0"/>
    <x v="0"/>
    <x v="4"/>
    <n v="188.86"/>
  </r>
  <r>
    <x v="0"/>
    <x v="0"/>
    <x v="4"/>
    <n v="173.053"/>
  </r>
  <r>
    <x v="0"/>
    <x v="0"/>
    <x v="4"/>
    <n v="166.761"/>
  </r>
  <r>
    <x v="0"/>
    <x v="0"/>
    <x v="4"/>
    <n v="183.345"/>
  </r>
  <r>
    <x v="0"/>
    <x v="0"/>
    <x v="4"/>
    <n v="182.84200000000001"/>
  </r>
  <r>
    <x v="0"/>
    <x v="0"/>
    <x v="4"/>
    <n v="163.98400000000001"/>
  </r>
  <r>
    <x v="0"/>
    <x v="0"/>
    <x v="4"/>
    <n v="176.203"/>
  </r>
  <r>
    <x v="0"/>
    <x v="0"/>
    <x v="4"/>
    <n v="169.619"/>
  </r>
  <r>
    <x v="0"/>
    <x v="0"/>
    <x v="4"/>
    <n v="198.56399999999999"/>
  </r>
  <r>
    <x v="0"/>
    <x v="0"/>
    <x v="4"/>
    <n v="198.85599999999999"/>
  </r>
  <r>
    <x v="0"/>
    <x v="0"/>
    <x v="4"/>
    <n v="165.79"/>
  </r>
  <r>
    <x v="0"/>
    <x v="0"/>
    <x v="4"/>
    <n v="182.273"/>
  </r>
  <r>
    <x v="0"/>
    <x v="0"/>
    <x v="4"/>
    <n v="179.68899999999999"/>
  </r>
  <r>
    <x v="0"/>
    <x v="0"/>
    <x v="4"/>
    <n v="147.91399999999999"/>
  </r>
  <r>
    <x v="0"/>
    <x v="0"/>
    <x v="4"/>
    <n v="190.63800000000001"/>
  </r>
  <r>
    <x v="0"/>
    <x v="0"/>
    <x v="4"/>
    <n v="175.98"/>
  </r>
  <r>
    <x v="0"/>
    <x v="0"/>
    <x v="4"/>
    <n v="196.839"/>
  </r>
  <r>
    <x v="0"/>
    <x v="0"/>
    <x v="4"/>
    <n v="205.148"/>
  </r>
  <r>
    <x v="0"/>
    <x v="0"/>
    <x v="4"/>
    <n v="184.328"/>
  </r>
  <r>
    <x v="0"/>
    <x v="0"/>
    <x v="4"/>
    <n v="180.34899999999999"/>
  </r>
  <r>
    <x v="0"/>
    <x v="0"/>
    <x v="4"/>
    <n v="163.83799999999999"/>
  </r>
  <r>
    <x v="0"/>
    <x v="0"/>
    <x v="4"/>
    <n v="166.81399999999999"/>
  </r>
  <r>
    <x v="0"/>
    <x v="0"/>
    <x v="4"/>
    <n v="168.71700000000001"/>
  </r>
  <r>
    <x v="0"/>
    <x v="0"/>
    <x v="4"/>
    <n v="177.54300000000001"/>
  </r>
  <r>
    <x v="0"/>
    <x v="0"/>
    <x v="4"/>
    <n v="174.054"/>
  </r>
  <r>
    <x v="0"/>
    <x v="0"/>
    <x v="4"/>
    <n v="195.07499999999999"/>
  </r>
  <r>
    <x v="0"/>
    <x v="0"/>
    <x v="4"/>
    <n v="168.83799999999999"/>
  </r>
  <r>
    <x v="0"/>
    <x v="0"/>
    <x v="4"/>
    <n v="142.62299999999999"/>
  </r>
  <r>
    <x v="0"/>
    <x v="0"/>
    <x v="4"/>
    <n v="221.12799999999999"/>
  </r>
  <r>
    <x v="0"/>
    <x v="0"/>
    <x v="4"/>
    <n v="201.44"/>
  </r>
  <r>
    <x v="0"/>
    <x v="0"/>
    <x v="4"/>
    <n v="179.98099999999999"/>
  </r>
  <r>
    <x v="0"/>
    <x v="0"/>
    <x v="4"/>
    <n v="151.667"/>
  </r>
  <r>
    <x v="0"/>
    <x v="0"/>
    <x v="4"/>
    <n v="172.08199999999999"/>
  </r>
  <r>
    <x v="0"/>
    <x v="0"/>
    <x v="4"/>
    <n v="174.27600000000001"/>
  </r>
  <r>
    <x v="0"/>
    <x v="0"/>
    <x v="4"/>
    <n v="161.643"/>
  </r>
  <r>
    <x v="0"/>
    <x v="0"/>
    <x v="4"/>
    <n v="193.35"/>
  </r>
  <r>
    <x v="0"/>
    <x v="0"/>
    <x v="4"/>
    <n v="169.786"/>
  </r>
  <r>
    <x v="0"/>
    <x v="0"/>
    <x v="4"/>
    <n v="167.10499999999999"/>
  </r>
  <r>
    <x v="0"/>
    <x v="0"/>
    <x v="4"/>
    <n v="173.911"/>
  </r>
  <r>
    <x v="0"/>
    <x v="0"/>
    <x v="4"/>
    <n v="183.126"/>
  </r>
  <r>
    <x v="0"/>
    <x v="0"/>
    <x v="4"/>
    <n v="191.00200000000001"/>
  </r>
  <r>
    <x v="0"/>
    <x v="0"/>
    <x v="4"/>
    <n v="188.126"/>
  </r>
  <r>
    <x v="0"/>
    <x v="0"/>
    <x v="4"/>
    <n v="184.345"/>
  </r>
  <r>
    <x v="0"/>
    <x v="0"/>
    <x v="4"/>
    <n v="182.78299999999999"/>
  </r>
  <r>
    <x v="0"/>
    <x v="0"/>
    <x v="4"/>
    <n v="164.18199999999999"/>
  </r>
  <r>
    <x v="0"/>
    <x v="0"/>
    <x v="4"/>
    <n v="193.20400000000001"/>
  </r>
  <r>
    <x v="0"/>
    <x v="0"/>
    <x v="4"/>
    <n v="150.036"/>
  </r>
  <r>
    <x v="0"/>
    <x v="0"/>
    <x v="4"/>
    <n v="189.37"/>
  </r>
  <r>
    <x v="0"/>
    <x v="0"/>
    <x v="4"/>
    <n v="162.34800000000001"/>
  </r>
  <r>
    <x v="0"/>
    <x v="0"/>
    <x v="4"/>
    <n v="186.71"/>
  </r>
  <r>
    <x v="0"/>
    <x v="0"/>
    <x v="4"/>
    <n v="180.71299999999999"/>
  </r>
  <r>
    <x v="0"/>
    <x v="0"/>
    <x v="4"/>
    <n v="176.06100000000001"/>
  </r>
  <r>
    <x v="0"/>
    <x v="0"/>
    <x v="4"/>
    <n v="171.178"/>
  </r>
  <r>
    <x v="0"/>
    <x v="0"/>
    <x v="4"/>
    <n v="166.12899999999999"/>
  </r>
  <r>
    <x v="0"/>
    <x v="0"/>
    <x v="4"/>
    <n v="183.053"/>
  </r>
  <r>
    <x v="0"/>
    <x v="0"/>
    <x v="4"/>
    <n v="195.19900000000001"/>
  </r>
  <r>
    <x v="0"/>
    <x v="0"/>
    <x v="4"/>
    <n v="178.30099999999999"/>
  </r>
  <r>
    <x v="0"/>
    <x v="0"/>
    <x v="4"/>
    <n v="163.46899999999999"/>
  </r>
  <r>
    <x v="0"/>
    <x v="0"/>
    <x v="4"/>
    <n v="179.12700000000001"/>
  </r>
  <r>
    <x v="0"/>
    <x v="0"/>
    <x v="4"/>
    <n v="192.85599999999999"/>
  </r>
  <r>
    <x v="0"/>
    <x v="0"/>
    <x v="4"/>
    <n v="177.08199999999999"/>
  </r>
  <r>
    <x v="0"/>
    <x v="0"/>
    <x v="4"/>
    <n v="171.32400000000001"/>
  </r>
  <r>
    <x v="0"/>
    <x v="0"/>
    <x v="4"/>
    <n v="173.68899999999999"/>
  </r>
  <r>
    <x v="0"/>
    <x v="0"/>
    <x v="4"/>
    <n v="172.61600000000001"/>
  </r>
  <r>
    <x v="0"/>
    <x v="0"/>
    <x v="4"/>
    <n v="183.91499999999999"/>
  </r>
  <r>
    <x v="0"/>
    <x v="0"/>
    <x v="4"/>
    <n v="188.15199999999999"/>
  </r>
  <r>
    <x v="0"/>
    <x v="0"/>
    <x v="4"/>
    <n v="186.053"/>
  </r>
  <r>
    <x v="0"/>
    <x v="0"/>
    <x v="4"/>
    <n v="191.78299999999999"/>
  </r>
  <r>
    <x v="0"/>
    <x v="0"/>
    <x v="4"/>
    <n v="196.904"/>
  </r>
  <r>
    <x v="0"/>
    <x v="0"/>
    <x v="4"/>
    <n v="187.27199999999999"/>
  </r>
  <r>
    <x v="0"/>
    <x v="0"/>
    <x v="4"/>
    <n v="184.90700000000001"/>
  </r>
  <r>
    <x v="0"/>
    <x v="0"/>
    <x v="4"/>
    <n v="175.98"/>
  </r>
  <r>
    <x v="0"/>
    <x v="0"/>
    <x v="4"/>
    <n v="183.44300000000001"/>
  </r>
  <r>
    <x v="0"/>
    <x v="0"/>
    <x v="4"/>
    <n v="195.19900000000001"/>
  </r>
  <r>
    <x v="0"/>
    <x v="0"/>
    <x v="4"/>
    <n v="178.39599999999999"/>
  </r>
  <r>
    <x v="0"/>
    <x v="0"/>
    <x v="4"/>
    <n v="183.98"/>
  </r>
  <r>
    <x v="0"/>
    <x v="0"/>
    <x v="4"/>
    <n v="202.20500000000001"/>
  </r>
  <r>
    <x v="0"/>
    <x v="0"/>
    <x v="4"/>
    <n v="159.69200000000001"/>
  </r>
  <r>
    <x v="0"/>
    <x v="0"/>
    <x v="4"/>
    <n v="175.834"/>
  </r>
  <r>
    <x v="0"/>
    <x v="0"/>
    <x v="4"/>
    <n v="176.83500000000001"/>
  </r>
  <r>
    <x v="0"/>
    <x v="0"/>
    <x v="4"/>
    <n v="181.346"/>
  </r>
  <r>
    <x v="0"/>
    <x v="0"/>
    <x v="4"/>
    <n v="145.25800000000001"/>
  </r>
  <r>
    <x v="0"/>
    <x v="0"/>
    <x v="4"/>
    <n v="150.06"/>
  </r>
  <r>
    <x v="0"/>
    <x v="0"/>
    <x v="4"/>
    <n v="169.05699999999999"/>
  </r>
  <r>
    <x v="0"/>
    <x v="0"/>
    <x v="4"/>
    <n v="167.64"/>
  </r>
  <r>
    <x v="0"/>
    <x v="0"/>
    <x v="4"/>
    <n v="155.44800000000001"/>
  </r>
  <r>
    <x v="0"/>
    <x v="0"/>
    <x v="4"/>
    <n v="203.613"/>
  </r>
  <r>
    <x v="0"/>
    <x v="0"/>
    <x v="4"/>
    <n v="190.27199999999999"/>
  </r>
  <r>
    <x v="0"/>
    <x v="0"/>
    <x v="4"/>
    <n v="181.053"/>
  </r>
  <r>
    <x v="0"/>
    <x v="0"/>
    <x v="4"/>
    <n v="183.56399999999999"/>
  </r>
  <r>
    <x v="0"/>
    <x v="0"/>
    <x v="4"/>
    <n v="204.732"/>
  </r>
  <r>
    <x v="0"/>
    <x v="0"/>
    <x v="4"/>
    <n v="171.47"/>
  </r>
  <r>
    <x v="0"/>
    <x v="0"/>
    <x v="4"/>
    <n v="182.27600000000001"/>
  </r>
  <r>
    <x v="0"/>
    <x v="0"/>
    <x v="4"/>
    <n v="191.78299999999999"/>
  </r>
  <r>
    <x v="0"/>
    <x v="0"/>
    <x v="4"/>
    <n v="174.42099999999999"/>
  </r>
  <r>
    <x v="0"/>
    <x v="0"/>
    <x v="4"/>
    <n v="162.376"/>
  </r>
  <r>
    <x v="0"/>
    <x v="0"/>
    <x v="4"/>
    <n v="163.69200000000001"/>
  </r>
  <r>
    <x v="0"/>
    <x v="0"/>
    <x v="4"/>
    <n v="156.084"/>
  </r>
  <r>
    <x v="0"/>
    <x v="1"/>
    <x v="4"/>
    <n v="1085.7650000000001"/>
  </r>
  <r>
    <x v="0"/>
    <x v="1"/>
    <x v="4"/>
    <n v="1098.45"/>
  </r>
  <r>
    <x v="0"/>
    <x v="1"/>
    <x v="4"/>
    <n v="1152.4649999999999"/>
  </r>
  <r>
    <x v="0"/>
    <x v="1"/>
    <x v="4"/>
    <n v="1082.6420000000001"/>
  </r>
  <r>
    <x v="0"/>
    <x v="1"/>
    <x v="4"/>
    <n v="1137.684"/>
  </r>
  <r>
    <x v="0"/>
    <x v="1"/>
    <x v="4"/>
    <n v="1158.2049999999999"/>
  </r>
  <r>
    <x v="0"/>
    <x v="1"/>
    <x v="4"/>
    <n v="1139"/>
  </r>
  <r>
    <x v="0"/>
    <x v="1"/>
    <x v="4"/>
    <n v="1133.722"/>
  </r>
  <r>
    <x v="0"/>
    <x v="1"/>
    <x v="4"/>
    <n v="1094.6379999999999"/>
  </r>
  <r>
    <x v="0"/>
    <x v="1"/>
    <x v="4"/>
    <n v="1123.5250000000001"/>
  </r>
  <r>
    <x v="0"/>
    <x v="1"/>
    <x v="4"/>
    <n v="1097.287"/>
  </r>
  <r>
    <x v="0"/>
    <x v="1"/>
    <x v="4"/>
    <n v="1147.48"/>
  </r>
  <r>
    <x v="0"/>
    <x v="1"/>
    <x v="4"/>
    <n v="1086.125"/>
  </r>
  <r>
    <x v="0"/>
    <x v="1"/>
    <x v="4"/>
    <n v="1166.8420000000001"/>
  </r>
  <r>
    <x v="0"/>
    <x v="1"/>
    <x v="4"/>
    <n v="1058.0360000000001"/>
  </r>
  <r>
    <x v="0"/>
    <x v="1"/>
    <x v="4"/>
    <n v="1104.3679999999999"/>
  </r>
  <r>
    <x v="0"/>
    <x v="1"/>
    <x v="4"/>
    <n v="1160.375"/>
  </r>
  <r>
    <x v="0"/>
    <x v="1"/>
    <x v="4"/>
    <n v="1062.143"/>
  </r>
  <r>
    <x v="0"/>
    <x v="1"/>
    <x v="4"/>
    <n v="1157.4280000000001"/>
  </r>
  <r>
    <x v="0"/>
    <x v="1"/>
    <x v="4"/>
    <n v="1083.0309999999999"/>
  </r>
  <r>
    <x v="0"/>
    <x v="1"/>
    <x v="4"/>
    <n v="1102.2059999999999"/>
  </r>
  <r>
    <x v="0"/>
    <x v="1"/>
    <x v="4"/>
    <n v="1074.9549999999999"/>
  </r>
  <r>
    <x v="0"/>
    <x v="1"/>
    <x v="4"/>
    <n v="1216.8420000000001"/>
  </r>
  <r>
    <x v="0"/>
    <x v="1"/>
    <x v="4"/>
    <n v="1073.268"/>
  </r>
  <r>
    <x v="0"/>
    <x v="1"/>
    <x v="4"/>
    <n v="1155.068"/>
  </r>
  <r>
    <x v="0"/>
    <x v="1"/>
    <x v="4"/>
    <n v="1118.9780000000001"/>
  </r>
  <r>
    <x v="0"/>
    <x v="1"/>
    <x v="4"/>
    <n v="1140.3119999999999"/>
  </r>
  <r>
    <x v="0"/>
    <x v="1"/>
    <x v="4"/>
    <n v="1103.845"/>
  </r>
  <r>
    <x v="0"/>
    <x v="1"/>
    <x v="4"/>
    <n v="1098.6600000000001"/>
  </r>
  <r>
    <x v="0"/>
    <x v="1"/>
    <x v="4"/>
    <n v="1090.1780000000001"/>
  </r>
  <r>
    <x v="0"/>
    <x v="1"/>
    <x v="4"/>
    <n v="1124.278"/>
  </r>
  <r>
    <x v="0"/>
    <x v="1"/>
    <x v="4"/>
    <n v="1161.1600000000001"/>
  </r>
  <r>
    <x v="0"/>
    <x v="1"/>
    <x v="4"/>
    <n v="1151.48"/>
  </r>
  <r>
    <x v="0"/>
    <x v="1"/>
    <x v="4"/>
    <n v="1093.662"/>
  </r>
  <r>
    <x v="0"/>
    <x v="1"/>
    <x v="4"/>
    <n v="1082.1400000000001"/>
  </r>
  <r>
    <x v="0"/>
    <x v="1"/>
    <x v="4"/>
    <n v="1076.722"/>
  </r>
  <r>
    <x v="0"/>
    <x v="1"/>
    <x v="4"/>
    <n v="1054.866"/>
  </r>
  <r>
    <x v="0"/>
    <x v="1"/>
    <x v="4"/>
    <n v="1152.425"/>
  </r>
  <r>
    <x v="0"/>
    <x v="1"/>
    <x v="4"/>
    <n v="1093.2650000000001"/>
  </r>
  <r>
    <x v="0"/>
    <x v="1"/>
    <x v="4"/>
    <n v="1087.403"/>
  </r>
  <r>
    <x v="0"/>
    <x v="1"/>
    <x v="4"/>
    <n v="1173.278"/>
  </r>
  <r>
    <x v="0"/>
    <x v="1"/>
    <x v="4"/>
    <n v="1142.606"/>
  </r>
  <r>
    <x v="0"/>
    <x v="1"/>
    <x v="4"/>
    <n v="1073.5070000000001"/>
  </r>
  <r>
    <x v="0"/>
    <x v="1"/>
    <x v="4"/>
    <n v="1127.575"/>
  </r>
  <r>
    <x v="0"/>
    <x v="1"/>
    <x v="4"/>
    <n v="1096.4760000000001"/>
  </r>
  <r>
    <x v="0"/>
    <x v="1"/>
    <x v="4"/>
    <n v="1147.8789999999999"/>
  </r>
  <r>
    <x v="0"/>
    <x v="1"/>
    <x v="4"/>
    <n v="1119.037"/>
  </r>
  <r>
    <x v="0"/>
    <x v="1"/>
    <x v="4"/>
    <n v="1165.3800000000001"/>
  </r>
  <r>
    <x v="0"/>
    <x v="1"/>
    <x v="4"/>
    <n v="1159.94"/>
  </r>
  <r>
    <x v="0"/>
    <x v="1"/>
    <x v="4"/>
    <n v="1160.1389999999999"/>
  </r>
  <r>
    <x v="0"/>
    <x v="1"/>
    <x v="4"/>
    <n v="1152.6600000000001"/>
  </r>
  <r>
    <x v="0"/>
    <x v="1"/>
    <x v="4"/>
    <n v="1142.9459999999999"/>
  </r>
  <r>
    <x v="0"/>
    <x v="1"/>
    <x v="4"/>
    <n v="1098.027"/>
  </r>
  <r>
    <x v="0"/>
    <x v="1"/>
    <x v="4"/>
    <n v="1112.723"/>
  </r>
  <r>
    <x v="0"/>
    <x v="1"/>
    <x v="4"/>
    <n v="1135.2149999999999"/>
  </r>
  <r>
    <x v="0"/>
    <x v="1"/>
    <x v="4"/>
    <n v="1120.5239999999999"/>
  </r>
  <r>
    <x v="0"/>
    <x v="1"/>
    <x v="4"/>
    <n v="1094.643"/>
  </r>
  <r>
    <x v="0"/>
    <x v="1"/>
    <x v="4"/>
    <n v="1043.914"/>
  </r>
  <r>
    <x v="0"/>
    <x v="1"/>
    <x v="4"/>
    <n v="1104.4949999999999"/>
  </r>
  <r>
    <x v="0"/>
    <x v="1"/>
    <x v="4"/>
    <n v="1081.3309999999999"/>
  </r>
  <r>
    <x v="0"/>
    <x v="1"/>
    <x v="4"/>
    <n v="1125.9639999999999"/>
  </r>
  <r>
    <x v="0"/>
    <x v="1"/>
    <x v="4"/>
    <n v="1068.751"/>
  </r>
  <r>
    <x v="0"/>
    <x v="1"/>
    <x v="4"/>
    <n v="1099.5419999999999"/>
  </r>
  <r>
    <x v="0"/>
    <x v="1"/>
    <x v="4"/>
    <n v="1096.3679999999999"/>
  </r>
  <r>
    <x v="0"/>
    <x v="1"/>
    <x v="4"/>
    <n v="1087.547"/>
  </r>
  <r>
    <x v="0"/>
    <x v="1"/>
    <x v="4"/>
    <n v="1135.1020000000001"/>
  </r>
  <r>
    <x v="0"/>
    <x v="1"/>
    <x v="4"/>
    <n v="1147.5899999999999"/>
  </r>
  <r>
    <x v="0"/>
    <x v="1"/>
    <x v="4"/>
    <n v="1156.972"/>
  </r>
  <r>
    <x v="0"/>
    <x v="1"/>
    <x v="4"/>
    <n v="1118.569"/>
  </r>
  <r>
    <x v="0"/>
    <x v="1"/>
    <x v="4"/>
    <n v="1130.51"/>
  </r>
  <r>
    <x v="0"/>
    <x v="1"/>
    <x v="4"/>
    <n v="1203.356"/>
  </r>
  <r>
    <x v="0"/>
    <x v="1"/>
    <x v="4"/>
    <n v="1116.826"/>
  </r>
  <r>
    <x v="0"/>
    <x v="1"/>
    <x v="4"/>
    <n v="1140.1890000000001"/>
  </r>
  <r>
    <x v="0"/>
    <x v="1"/>
    <x v="4"/>
    <n v="1114.127"/>
  </r>
  <r>
    <x v="0"/>
    <x v="1"/>
    <x v="4"/>
    <n v="1078.03"/>
  </r>
  <r>
    <x v="0"/>
    <x v="1"/>
    <x v="4"/>
    <n v="1030.9480000000001"/>
  </r>
  <r>
    <x v="0"/>
    <x v="1"/>
    <x v="4"/>
    <n v="1120.624"/>
  </r>
  <r>
    <x v="0"/>
    <x v="1"/>
    <x v="4"/>
    <n v="1101.2760000000001"/>
  </r>
  <r>
    <x v="0"/>
    <x v="1"/>
    <x v="4"/>
    <n v="1044.498"/>
  </r>
  <r>
    <x v="0"/>
    <x v="1"/>
    <x v="4"/>
    <n v="1074.5070000000001"/>
  </r>
  <r>
    <x v="0"/>
    <x v="1"/>
    <x v="4"/>
    <n v="1134.616"/>
  </r>
  <r>
    <x v="0"/>
    <x v="1"/>
    <x v="4"/>
    <n v="1079.7809999999999"/>
  </r>
  <r>
    <x v="0"/>
    <x v="1"/>
    <x v="4"/>
    <n v="1079.7370000000001"/>
  </r>
  <r>
    <x v="0"/>
    <x v="1"/>
    <x v="4"/>
    <n v="1101.421"/>
  </r>
  <r>
    <x v="0"/>
    <x v="1"/>
    <x v="4"/>
    <n v="1104.01"/>
  </r>
  <r>
    <x v="0"/>
    <x v="1"/>
    <x v="4"/>
    <n v="1091.615"/>
  </r>
  <r>
    <x v="0"/>
    <x v="1"/>
    <x v="4"/>
    <n v="1081.6199999999999"/>
  </r>
  <r>
    <x v="0"/>
    <x v="1"/>
    <x v="4"/>
    <n v="1051.2950000000001"/>
  </r>
  <r>
    <x v="0"/>
    <x v="1"/>
    <x v="4"/>
    <n v="1105.9680000000001"/>
  </r>
  <r>
    <x v="0"/>
    <x v="1"/>
    <x v="4"/>
    <n v="1157.095"/>
  </r>
  <r>
    <x v="0"/>
    <x v="1"/>
    <x v="4"/>
    <n v="1058.752"/>
  </r>
  <r>
    <x v="0"/>
    <x v="1"/>
    <x v="4"/>
    <n v="1136.2249999999999"/>
  </r>
  <r>
    <x v="0"/>
    <x v="1"/>
    <x v="4"/>
    <n v="1096.616"/>
  </r>
  <r>
    <x v="0"/>
    <x v="1"/>
    <x v="4"/>
    <n v="1122.8219999999999"/>
  </r>
  <r>
    <x v="0"/>
    <x v="1"/>
    <x v="4"/>
    <n v="1192.7280000000001"/>
  </r>
  <r>
    <x v="0"/>
    <x v="1"/>
    <x v="4"/>
    <n v="1055.58"/>
  </r>
  <r>
    <x v="0"/>
    <x v="1"/>
    <x v="4"/>
    <n v="1108.0319999999999"/>
  </r>
  <r>
    <x v="0"/>
    <x v="1"/>
    <x v="4"/>
    <n v="1144.4469999999999"/>
  </r>
  <r>
    <x v="0"/>
    <x v="1"/>
    <x v="4"/>
    <n v="1108.57"/>
  </r>
  <r>
    <x v="0"/>
    <x v="1"/>
    <x v="4"/>
    <n v="1067.5039999999999"/>
  </r>
  <r>
    <x v="0"/>
    <x v="2"/>
    <x v="4"/>
    <n v="3490.6959999999999"/>
  </r>
  <r>
    <x v="0"/>
    <x v="2"/>
    <x v="4"/>
    <n v="3457.8620000000001"/>
  </r>
  <r>
    <x v="0"/>
    <x v="2"/>
    <x v="4"/>
    <n v="3432.0970000000002"/>
  </r>
  <r>
    <x v="0"/>
    <x v="2"/>
    <x v="4"/>
    <n v="3483.3119999999999"/>
  </r>
  <r>
    <x v="0"/>
    <x v="2"/>
    <x v="4"/>
    <n v="3396.3470000000002"/>
  </r>
  <r>
    <x v="0"/>
    <x v="2"/>
    <x v="4"/>
    <n v="3263.3"/>
  </r>
  <r>
    <x v="0"/>
    <x v="2"/>
    <x v="4"/>
    <n v="3436.9609999999998"/>
  </r>
  <r>
    <x v="0"/>
    <x v="2"/>
    <x v="4"/>
    <n v="3431.4769999999999"/>
  </r>
  <r>
    <x v="0"/>
    <x v="2"/>
    <x v="4"/>
    <n v="3430.32"/>
  </r>
  <r>
    <x v="0"/>
    <x v="2"/>
    <x v="4"/>
    <n v="3362.0720000000001"/>
  </r>
  <r>
    <x v="0"/>
    <x v="2"/>
    <x v="4"/>
    <n v="3394.712"/>
  </r>
  <r>
    <x v="0"/>
    <x v="2"/>
    <x v="4"/>
    <n v="3549.7840000000001"/>
  </r>
  <r>
    <x v="0"/>
    <x v="2"/>
    <x v="4"/>
    <n v="3462.8820000000001"/>
  </r>
  <r>
    <x v="0"/>
    <x v="2"/>
    <x v="4"/>
    <n v="3368.9870000000001"/>
  </r>
  <r>
    <x v="0"/>
    <x v="2"/>
    <x v="4"/>
    <n v="3533.4969999999998"/>
  </r>
  <r>
    <x v="0"/>
    <x v="2"/>
    <x v="4"/>
    <n v="3380.393"/>
  </r>
  <r>
    <x v="0"/>
    <x v="2"/>
    <x v="4"/>
    <n v="3373.3409999999999"/>
  </r>
  <r>
    <x v="0"/>
    <x v="2"/>
    <x v="4"/>
    <n v="3460.5410000000002"/>
  </r>
  <r>
    <x v="0"/>
    <x v="2"/>
    <x v="4"/>
    <n v="3455.7069999999999"/>
  </r>
  <r>
    <x v="0"/>
    <x v="2"/>
    <x v="4"/>
    <n v="3492.0390000000002"/>
  </r>
  <r>
    <x v="0"/>
    <x v="2"/>
    <x v="4"/>
    <n v="3381.2649999999999"/>
  </r>
  <r>
    <x v="0"/>
    <x v="2"/>
    <x v="4"/>
    <n v="3544.3519999999999"/>
  </r>
  <r>
    <x v="0"/>
    <x v="2"/>
    <x v="4"/>
    <n v="3545.3969999999999"/>
  </r>
  <r>
    <x v="0"/>
    <x v="2"/>
    <x v="4"/>
    <n v="3490.7710000000002"/>
  </r>
  <r>
    <x v="0"/>
    <x v="2"/>
    <x v="4"/>
    <n v="3555.6010000000001"/>
  </r>
  <r>
    <x v="0"/>
    <x v="2"/>
    <x v="4"/>
    <n v="3462.1410000000001"/>
  </r>
  <r>
    <x v="0"/>
    <x v="2"/>
    <x v="4"/>
    <n v="3351.9850000000001"/>
  </r>
  <r>
    <x v="0"/>
    <x v="2"/>
    <x v="4"/>
    <n v="3356.058"/>
  </r>
  <r>
    <x v="0"/>
    <x v="2"/>
    <x v="4"/>
    <n v="3358.1030000000001"/>
  </r>
  <r>
    <x v="0"/>
    <x v="2"/>
    <x v="4"/>
    <n v="3369.8519999999999"/>
  </r>
  <r>
    <x v="0"/>
    <x v="2"/>
    <x v="4"/>
    <n v="3272.5369999999998"/>
  </r>
  <r>
    <x v="0"/>
    <x v="2"/>
    <x v="4"/>
    <n v="3483.7350000000001"/>
  </r>
  <r>
    <x v="0"/>
    <x v="2"/>
    <x v="4"/>
    <n v="3520.8150000000001"/>
  </r>
  <r>
    <x v="0"/>
    <x v="2"/>
    <x v="4"/>
    <n v="3425.335"/>
  </r>
  <r>
    <x v="0"/>
    <x v="2"/>
    <x v="4"/>
    <n v="3300.873"/>
  </r>
  <r>
    <x v="0"/>
    <x v="2"/>
    <x v="4"/>
    <n v="3489.96"/>
  </r>
  <r>
    <x v="0"/>
    <x v="2"/>
    <x v="4"/>
    <n v="3311.9659999999999"/>
  </r>
  <r>
    <x v="0"/>
    <x v="2"/>
    <x v="4"/>
    <n v="3500.5360000000001"/>
  </r>
  <r>
    <x v="0"/>
    <x v="2"/>
    <x v="4"/>
    <n v="3218.5749999999998"/>
  </r>
  <r>
    <x v="0"/>
    <x v="2"/>
    <x v="4"/>
    <n v="3562.808"/>
  </r>
  <r>
    <x v="0"/>
    <x v="2"/>
    <x v="4"/>
    <n v="3377.4630000000002"/>
  </r>
  <r>
    <x v="0"/>
    <x v="2"/>
    <x v="4"/>
    <n v="3400.6930000000002"/>
  </r>
  <r>
    <x v="0"/>
    <x v="2"/>
    <x v="4"/>
    <n v="3455.8139999999999"/>
  </r>
  <r>
    <x v="0"/>
    <x v="2"/>
    <x v="4"/>
    <n v="3493.663"/>
  </r>
  <r>
    <x v="0"/>
    <x v="2"/>
    <x v="4"/>
    <n v="3392.7750000000001"/>
  </r>
  <r>
    <x v="0"/>
    <x v="2"/>
    <x v="4"/>
    <n v="3544.2710000000002"/>
  </r>
  <r>
    <x v="0"/>
    <x v="2"/>
    <x v="4"/>
    <n v="3532.489"/>
  </r>
  <r>
    <x v="0"/>
    <x v="2"/>
    <x v="4"/>
    <n v="3458.8389999999999"/>
  </r>
  <r>
    <x v="0"/>
    <x v="2"/>
    <x v="4"/>
    <n v="3329.4780000000001"/>
  </r>
  <r>
    <x v="0"/>
    <x v="2"/>
    <x v="4"/>
    <n v="3398.5639999999999"/>
  </r>
  <r>
    <x v="0"/>
    <x v="2"/>
    <x v="4"/>
    <n v="3506.6590000000001"/>
  </r>
  <r>
    <x v="0"/>
    <x v="2"/>
    <x v="4"/>
    <n v="3300.8710000000001"/>
  </r>
  <r>
    <x v="0"/>
    <x v="2"/>
    <x v="4"/>
    <n v="3464.875"/>
  </r>
  <r>
    <x v="0"/>
    <x v="2"/>
    <x v="4"/>
    <n v="3517.5929999999998"/>
  </r>
  <r>
    <x v="0"/>
    <x v="2"/>
    <x v="4"/>
    <n v="3342.6909999999998"/>
  </r>
  <r>
    <x v="0"/>
    <x v="2"/>
    <x v="4"/>
    <n v="3461.2530000000002"/>
  </r>
  <r>
    <x v="0"/>
    <x v="2"/>
    <x v="4"/>
    <n v="3441.4079999999999"/>
  </r>
  <r>
    <x v="0"/>
    <x v="2"/>
    <x v="4"/>
    <n v="3398.7020000000002"/>
  </r>
  <r>
    <x v="0"/>
    <x v="2"/>
    <x v="4"/>
    <n v="3410.2869999999998"/>
  </r>
  <r>
    <x v="0"/>
    <x v="2"/>
    <x v="4"/>
    <n v="3446.4479999999999"/>
  </r>
  <r>
    <x v="0"/>
    <x v="2"/>
    <x v="4"/>
    <n v="3472.3890000000001"/>
  </r>
  <r>
    <x v="0"/>
    <x v="2"/>
    <x v="4"/>
    <n v="3387.1819999999998"/>
  </r>
  <r>
    <x v="0"/>
    <x v="2"/>
    <x v="4"/>
    <n v="3471.1750000000002"/>
  </r>
  <r>
    <x v="0"/>
    <x v="2"/>
    <x v="4"/>
    <n v="3427.9830000000002"/>
  </r>
  <r>
    <x v="0"/>
    <x v="2"/>
    <x v="4"/>
    <n v="3472.6179999999999"/>
  </r>
  <r>
    <x v="0"/>
    <x v="2"/>
    <x v="4"/>
    <n v="3388.7190000000001"/>
  </r>
  <r>
    <x v="0"/>
    <x v="2"/>
    <x v="4"/>
    <n v="3517.4409999999998"/>
  </r>
  <r>
    <x v="0"/>
    <x v="2"/>
    <x v="4"/>
    <n v="3500.1550000000002"/>
  </r>
  <r>
    <x v="0"/>
    <x v="2"/>
    <x v="4"/>
    <n v="3347.9630000000002"/>
  </r>
  <r>
    <x v="0"/>
    <x v="2"/>
    <x v="4"/>
    <n v="3422.404"/>
  </r>
  <r>
    <x v="0"/>
    <x v="2"/>
    <x v="4"/>
    <n v="3382.1570000000002"/>
  </r>
  <r>
    <x v="0"/>
    <x v="2"/>
    <x v="4"/>
    <n v="3429.9229999999998"/>
  </r>
  <r>
    <x v="0"/>
    <x v="2"/>
    <x v="4"/>
    <n v="3412.3560000000002"/>
  </r>
  <r>
    <x v="0"/>
    <x v="2"/>
    <x v="4"/>
    <n v="3463.8760000000002"/>
  </r>
  <r>
    <x v="0"/>
    <x v="2"/>
    <x v="4"/>
    <n v="3458.4839999999999"/>
  </r>
  <r>
    <x v="0"/>
    <x v="2"/>
    <x v="4"/>
    <n v="3456.8389999999999"/>
  </r>
  <r>
    <x v="0"/>
    <x v="2"/>
    <x v="4"/>
    <n v="3413.84"/>
  </r>
  <r>
    <x v="0"/>
    <x v="2"/>
    <x v="4"/>
    <n v="3405.83"/>
  </r>
  <r>
    <x v="0"/>
    <x v="2"/>
    <x v="4"/>
    <n v="3508.6030000000001"/>
  </r>
  <r>
    <x v="0"/>
    <x v="2"/>
    <x v="4"/>
    <n v="3514.3969999999999"/>
  </r>
  <r>
    <x v="0"/>
    <x v="2"/>
    <x v="4"/>
    <n v="3420.7159999999999"/>
  </r>
  <r>
    <x v="0"/>
    <x v="2"/>
    <x v="4"/>
    <n v="3518.5259999999998"/>
  </r>
  <r>
    <x v="0"/>
    <x v="2"/>
    <x v="4"/>
    <n v="3466.6660000000002"/>
  </r>
  <r>
    <x v="0"/>
    <x v="2"/>
    <x v="4"/>
    <n v="3476.0360000000001"/>
  </r>
  <r>
    <x v="0"/>
    <x v="2"/>
    <x v="4"/>
    <n v="3507.2779999999998"/>
  </r>
  <r>
    <x v="0"/>
    <x v="2"/>
    <x v="4"/>
    <n v="3401.8290000000002"/>
  </r>
  <r>
    <x v="0"/>
    <x v="2"/>
    <x v="4"/>
    <n v="3433.8029999999999"/>
  </r>
  <r>
    <x v="0"/>
    <x v="2"/>
    <x v="4"/>
    <n v="3335.3589999999999"/>
  </r>
  <r>
    <x v="0"/>
    <x v="2"/>
    <x v="4"/>
    <n v="3411.0450000000001"/>
  </r>
  <r>
    <x v="0"/>
    <x v="2"/>
    <x v="4"/>
    <n v="3499.7710000000002"/>
  </r>
  <r>
    <x v="0"/>
    <x v="2"/>
    <x v="4"/>
    <n v="3435.4639999999999"/>
  </r>
  <r>
    <x v="0"/>
    <x v="2"/>
    <x v="4"/>
    <n v="3403.3989999999999"/>
  </r>
  <r>
    <x v="0"/>
    <x v="2"/>
    <x v="4"/>
    <n v="3499.2060000000001"/>
  </r>
  <r>
    <x v="0"/>
    <x v="2"/>
    <x v="4"/>
    <n v="3523.8029999999999"/>
  </r>
  <r>
    <x v="0"/>
    <x v="2"/>
    <x v="4"/>
    <n v="3478.2449999999999"/>
  </r>
  <r>
    <x v="0"/>
    <x v="2"/>
    <x v="4"/>
    <n v="3461.7069999999999"/>
  </r>
  <r>
    <x v="0"/>
    <x v="2"/>
    <x v="4"/>
    <n v="3526.64"/>
  </r>
  <r>
    <x v="0"/>
    <x v="2"/>
    <x v="4"/>
    <n v="3517.308"/>
  </r>
  <r>
    <x v="0"/>
    <x v="2"/>
    <x v="4"/>
    <n v="3476.5239999999999"/>
  </r>
  <r>
    <x v="0"/>
    <x v="2"/>
    <x v="4"/>
    <n v="3419.2919999999999"/>
  </r>
  <r>
    <x v="1"/>
    <x v="0"/>
    <x v="4"/>
    <n v="176.59200000000001"/>
  </r>
  <r>
    <x v="1"/>
    <x v="0"/>
    <x v="4"/>
    <n v="168.69200000000001"/>
  </r>
  <r>
    <x v="1"/>
    <x v="0"/>
    <x v="4"/>
    <n v="165.71700000000001"/>
  </r>
  <r>
    <x v="1"/>
    <x v="0"/>
    <x v="4"/>
    <n v="176.203"/>
  </r>
  <r>
    <x v="1"/>
    <x v="0"/>
    <x v="4"/>
    <n v="173.42099999999999"/>
  </r>
  <r>
    <x v="1"/>
    <x v="0"/>
    <x v="4"/>
    <n v="169.47"/>
  </r>
  <r>
    <x v="1"/>
    <x v="0"/>
    <x v="4"/>
    <n v="182.053"/>
  </r>
  <r>
    <x v="1"/>
    <x v="0"/>
    <x v="4"/>
    <n v="180.053"/>
  </r>
  <r>
    <x v="1"/>
    <x v="0"/>
    <x v="4"/>
    <n v="167.81299999999999"/>
  </r>
  <r>
    <x v="1"/>
    <x v="0"/>
    <x v="4"/>
    <n v="172.422"/>
  </r>
  <r>
    <x v="1"/>
    <x v="0"/>
    <x v="4"/>
    <n v="172.10499999999999"/>
  </r>
  <r>
    <x v="1"/>
    <x v="0"/>
    <x v="4"/>
    <n v="162.959"/>
  </r>
  <r>
    <x v="1"/>
    <x v="0"/>
    <x v="4"/>
    <n v="164.05699999999999"/>
  </r>
  <r>
    <x v="1"/>
    <x v="0"/>
    <x v="4"/>
    <n v="176.71299999999999"/>
  </r>
  <r>
    <x v="1"/>
    <x v="0"/>
    <x v="4"/>
    <n v="173.761"/>
  </r>
  <r>
    <x v="1"/>
    <x v="0"/>
    <x v="4"/>
    <n v="169.154"/>
  </r>
  <r>
    <x v="1"/>
    <x v="0"/>
    <x v="4"/>
    <n v="181.90700000000001"/>
  </r>
  <r>
    <x v="1"/>
    <x v="0"/>
    <x v="4"/>
    <n v="181.834"/>
  </r>
  <r>
    <x v="1"/>
    <x v="0"/>
    <x v="4"/>
    <n v="183.85900000000001"/>
  </r>
  <r>
    <x v="1"/>
    <x v="0"/>
    <x v="4"/>
    <n v="178.90700000000001"/>
  </r>
  <r>
    <x v="1"/>
    <x v="0"/>
    <x v="4"/>
    <n v="172.12899999999999"/>
  </r>
  <r>
    <x v="1"/>
    <x v="0"/>
    <x v="4"/>
    <n v="173.90700000000001"/>
  </r>
  <r>
    <x v="1"/>
    <x v="0"/>
    <x v="4"/>
    <n v="182.61500000000001"/>
  </r>
  <r>
    <x v="1"/>
    <x v="0"/>
    <x v="4"/>
    <n v="173.71299999999999"/>
  </r>
  <r>
    <x v="1"/>
    <x v="0"/>
    <x v="4"/>
    <n v="180.64"/>
  </r>
  <r>
    <x v="1"/>
    <x v="0"/>
    <x v="4"/>
    <n v="166.911"/>
  </r>
  <r>
    <x v="1"/>
    <x v="0"/>
    <x v="4"/>
    <n v="180.51900000000001"/>
  </r>
  <r>
    <x v="1"/>
    <x v="0"/>
    <x v="4"/>
    <n v="178.71299999999999"/>
  </r>
  <r>
    <x v="1"/>
    <x v="0"/>
    <x v="4"/>
    <n v="172.69200000000001"/>
  </r>
  <r>
    <x v="1"/>
    <x v="0"/>
    <x v="4"/>
    <n v="173.61500000000001"/>
  </r>
  <r>
    <x v="1"/>
    <x v="0"/>
    <x v="4"/>
    <n v="159.547"/>
  </r>
  <r>
    <x v="1"/>
    <x v="0"/>
    <x v="4"/>
    <n v="155.47300000000001"/>
  </r>
  <r>
    <x v="1"/>
    <x v="0"/>
    <x v="4"/>
    <n v="181.37299999999999"/>
  </r>
  <r>
    <x v="1"/>
    <x v="0"/>
    <x v="4"/>
    <n v="173.91200000000001"/>
  </r>
  <r>
    <x v="1"/>
    <x v="0"/>
    <x v="4"/>
    <n v="184.90799999999999"/>
  </r>
  <r>
    <x v="1"/>
    <x v="0"/>
    <x v="4"/>
    <n v="182.126"/>
  </r>
  <r>
    <x v="1"/>
    <x v="0"/>
    <x v="4"/>
    <n v="161.499"/>
  </r>
  <r>
    <x v="1"/>
    <x v="0"/>
    <x v="4"/>
    <n v="180.19900000000001"/>
  </r>
  <r>
    <x v="1"/>
    <x v="0"/>
    <x v="4"/>
    <n v="183.64"/>
  </r>
  <r>
    <x v="1"/>
    <x v="0"/>
    <x v="4"/>
    <n v="178.56800000000001"/>
  </r>
  <r>
    <x v="1"/>
    <x v="0"/>
    <x v="4"/>
    <n v="181.345"/>
  </r>
  <r>
    <x v="1"/>
    <x v="0"/>
    <x v="4"/>
    <n v="185.834"/>
  </r>
  <r>
    <x v="1"/>
    <x v="0"/>
    <x v="4"/>
    <n v="181.834"/>
  </r>
  <r>
    <x v="1"/>
    <x v="0"/>
    <x v="4"/>
    <n v="184.126"/>
  </r>
  <r>
    <x v="1"/>
    <x v="0"/>
    <x v="4"/>
    <n v="175.34899999999999"/>
  </r>
  <r>
    <x v="1"/>
    <x v="0"/>
    <x v="4"/>
    <n v="169.32400000000001"/>
  </r>
  <r>
    <x v="1"/>
    <x v="0"/>
    <x v="4"/>
    <n v="179.39699999999999"/>
  </r>
  <r>
    <x v="1"/>
    <x v="0"/>
    <x v="4"/>
    <n v="204.07499999999999"/>
  </r>
  <r>
    <x v="1"/>
    <x v="0"/>
    <x v="4"/>
    <n v="156.935"/>
  </r>
  <r>
    <x v="1"/>
    <x v="0"/>
    <x v="4"/>
    <n v="185.49100000000001"/>
  </r>
  <r>
    <x v="1"/>
    <x v="0"/>
    <x v="4"/>
    <n v="158.47300000000001"/>
  </r>
  <r>
    <x v="1"/>
    <x v="0"/>
    <x v="4"/>
    <n v="182.27199999999999"/>
  </r>
  <r>
    <x v="1"/>
    <x v="0"/>
    <x v="4"/>
    <n v="177.494"/>
  </r>
  <r>
    <x v="1"/>
    <x v="0"/>
    <x v="4"/>
    <n v="176.786"/>
  </r>
  <r>
    <x v="1"/>
    <x v="0"/>
    <x v="4"/>
    <n v="166.00899999999999"/>
  </r>
  <r>
    <x v="1"/>
    <x v="0"/>
    <x v="4"/>
    <n v="188.90799999999999"/>
  </r>
  <r>
    <x v="1"/>
    <x v="0"/>
    <x v="4"/>
    <n v="171.93600000000001"/>
  </r>
  <r>
    <x v="1"/>
    <x v="0"/>
    <x v="4"/>
    <n v="181.51900000000001"/>
  </r>
  <r>
    <x v="1"/>
    <x v="0"/>
    <x v="4"/>
    <n v="182.98099999999999"/>
  </r>
  <r>
    <x v="1"/>
    <x v="0"/>
    <x v="4"/>
    <n v="169.98400000000001"/>
  </r>
  <r>
    <x v="1"/>
    <x v="0"/>
    <x v="4"/>
    <n v="176.494"/>
  </r>
  <r>
    <x v="1"/>
    <x v="0"/>
    <x v="4"/>
    <n v="185.93199999999999"/>
  </r>
  <r>
    <x v="1"/>
    <x v="0"/>
    <x v="4"/>
    <n v="161.983"/>
  </r>
  <r>
    <x v="1"/>
    <x v="0"/>
    <x v="4"/>
    <n v="175.542"/>
  </r>
  <r>
    <x v="1"/>
    <x v="0"/>
    <x v="4"/>
    <n v="173.27600000000001"/>
  </r>
  <r>
    <x v="1"/>
    <x v="0"/>
    <x v="4"/>
    <n v="165.46899999999999"/>
  </r>
  <r>
    <x v="1"/>
    <x v="0"/>
    <x v="4"/>
    <n v="165.154"/>
  </r>
  <r>
    <x v="1"/>
    <x v="0"/>
    <x v="4"/>
    <n v="157.54599999999999"/>
  </r>
  <r>
    <x v="1"/>
    <x v="0"/>
    <x v="4"/>
    <n v="178.05699999999999"/>
  </r>
  <r>
    <x v="1"/>
    <x v="0"/>
    <x v="4"/>
    <n v="184.126"/>
  </r>
  <r>
    <x v="1"/>
    <x v="0"/>
    <x v="4"/>
    <n v="157.108"/>
  </r>
  <r>
    <x v="1"/>
    <x v="0"/>
    <x v="4"/>
    <n v="182.90700000000001"/>
  </r>
  <r>
    <x v="1"/>
    <x v="0"/>
    <x v="4"/>
    <n v="176.47"/>
  </r>
  <r>
    <x v="1"/>
    <x v="0"/>
    <x v="4"/>
    <n v="164.71700000000001"/>
  </r>
  <r>
    <x v="1"/>
    <x v="0"/>
    <x v="4"/>
    <n v="200.00200000000001"/>
  </r>
  <r>
    <x v="1"/>
    <x v="0"/>
    <x v="4"/>
    <n v="177.34899999999999"/>
  </r>
  <r>
    <x v="1"/>
    <x v="0"/>
    <x v="4"/>
    <n v="188.49100000000001"/>
  </r>
  <r>
    <x v="1"/>
    <x v="0"/>
    <x v="4"/>
    <n v="192.126"/>
  </r>
  <r>
    <x v="1"/>
    <x v="0"/>
    <x v="4"/>
    <n v="179.761"/>
  </r>
  <r>
    <x v="1"/>
    <x v="0"/>
    <x v="4"/>
    <n v="166.05600000000001"/>
  </r>
  <r>
    <x v="1"/>
    <x v="0"/>
    <x v="4"/>
    <n v="177.64099999999999"/>
  </r>
  <r>
    <x v="1"/>
    <x v="0"/>
    <x v="4"/>
    <n v="177.911"/>
  </r>
  <r>
    <x v="1"/>
    <x v="0"/>
    <x v="4"/>
    <n v="171.542"/>
  </r>
  <r>
    <x v="1"/>
    <x v="0"/>
    <x v="4"/>
    <n v="183.053"/>
  </r>
  <r>
    <x v="1"/>
    <x v="0"/>
    <x v="4"/>
    <n v="171.03200000000001"/>
  </r>
  <r>
    <x v="1"/>
    <x v="0"/>
    <x v="4"/>
    <n v="177.71299999999999"/>
  </r>
  <r>
    <x v="1"/>
    <x v="0"/>
    <x v="4"/>
    <n v="175.32400000000001"/>
  </r>
  <r>
    <x v="1"/>
    <x v="0"/>
    <x v="4"/>
    <n v="173.56700000000001"/>
  </r>
  <r>
    <x v="1"/>
    <x v="0"/>
    <x v="4"/>
    <n v="185.126"/>
  </r>
  <r>
    <x v="1"/>
    <x v="0"/>
    <x v="4"/>
    <n v="185.078"/>
  </r>
  <r>
    <x v="1"/>
    <x v="0"/>
    <x v="4"/>
    <n v="172.203"/>
  </r>
  <r>
    <x v="1"/>
    <x v="0"/>
    <x v="4"/>
    <n v="174.61500000000001"/>
  </r>
  <r>
    <x v="1"/>
    <x v="0"/>
    <x v="4"/>
    <n v="184.95699999999999"/>
  </r>
  <r>
    <x v="1"/>
    <x v="0"/>
    <x v="4"/>
    <n v="178.54300000000001"/>
  </r>
  <r>
    <x v="1"/>
    <x v="0"/>
    <x v="4"/>
    <n v="178.422"/>
  </r>
  <r>
    <x v="1"/>
    <x v="0"/>
    <x v="4"/>
    <n v="165.203"/>
  </r>
  <r>
    <x v="1"/>
    <x v="0"/>
    <x v="4"/>
    <n v="184.834"/>
  </r>
  <r>
    <x v="1"/>
    <x v="0"/>
    <x v="4"/>
    <n v="176.494"/>
  </r>
  <r>
    <x v="1"/>
    <x v="0"/>
    <x v="4"/>
    <n v="182.762"/>
  </r>
  <r>
    <x v="1"/>
    <x v="0"/>
    <x v="4"/>
    <n v="171.834"/>
  </r>
  <r>
    <x v="1"/>
    <x v="1"/>
    <x v="4"/>
    <n v="1103.934"/>
  </r>
  <r>
    <x v="1"/>
    <x v="1"/>
    <x v="4"/>
    <n v="1118.5060000000001"/>
  </r>
  <r>
    <x v="1"/>
    <x v="1"/>
    <x v="4"/>
    <n v="1081.6310000000001"/>
  </r>
  <r>
    <x v="1"/>
    <x v="1"/>
    <x v="4"/>
    <n v="1077.7809999999999"/>
  </r>
  <r>
    <x v="1"/>
    <x v="1"/>
    <x v="4"/>
    <n v="1080.0260000000001"/>
  </r>
  <r>
    <x v="1"/>
    <x v="1"/>
    <x v="4"/>
    <n v="1104.25"/>
  </r>
  <r>
    <x v="1"/>
    <x v="1"/>
    <x v="4"/>
    <n v="1091.655"/>
  </r>
  <r>
    <x v="1"/>
    <x v="1"/>
    <x v="4"/>
    <n v="1160.327"/>
  </r>
  <r>
    <x v="1"/>
    <x v="1"/>
    <x v="4"/>
    <n v="1120.633"/>
  </r>
  <r>
    <x v="1"/>
    <x v="1"/>
    <x v="4"/>
    <n v="1048.7729999999999"/>
  </r>
  <r>
    <x v="1"/>
    <x v="1"/>
    <x v="4"/>
    <n v="1079.098"/>
  </r>
  <r>
    <x v="1"/>
    <x v="1"/>
    <x v="4"/>
    <n v="1120.7950000000001"/>
  </r>
  <r>
    <x v="1"/>
    <x v="1"/>
    <x v="4"/>
    <n v="1066.9849999999999"/>
  </r>
  <r>
    <x v="1"/>
    <x v="1"/>
    <x v="4"/>
    <n v="1117.2059999999999"/>
  </r>
  <r>
    <x v="1"/>
    <x v="1"/>
    <x v="4"/>
    <n v="1108.2280000000001"/>
  </r>
  <r>
    <x v="1"/>
    <x v="1"/>
    <x v="4"/>
    <n v="1120.396"/>
  </r>
  <r>
    <x v="1"/>
    <x v="1"/>
    <x v="4"/>
    <n v="1084.0609999999999"/>
  </r>
  <r>
    <x v="1"/>
    <x v="1"/>
    <x v="4"/>
    <n v="1090.5050000000001"/>
  </r>
  <r>
    <x v="1"/>
    <x v="1"/>
    <x v="4"/>
    <n v="1117.8720000000001"/>
  </r>
  <r>
    <x v="1"/>
    <x v="1"/>
    <x v="4"/>
    <n v="1103.0719999999999"/>
  </r>
  <r>
    <x v="1"/>
    <x v="1"/>
    <x v="4"/>
    <n v="1085.8230000000001"/>
  </r>
  <r>
    <x v="1"/>
    <x v="1"/>
    <x v="4"/>
    <n v="1097.204"/>
  </r>
  <r>
    <x v="1"/>
    <x v="1"/>
    <x v="4"/>
    <n v="1071.7380000000001"/>
  </r>
  <r>
    <x v="1"/>
    <x v="1"/>
    <x v="4"/>
    <n v="1086.3810000000001"/>
  </r>
  <r>
    <x v="1"/>
    <x v="1"/>
    <x v="4"/>
    <n v="1135.7539999999999"/>
  </r>
  <r>
    <x v="1"/>
    <x v="1"/>
    <x v="4"/>
    <n v="1102.827"/>
  </r>
  <r>
    <x v="1"/>
    <x v="1"/>
    <x v="4"/>
    <n v="1096.9690000000001"/>
  </r>
  <r>
    <x v="1"/>
    <x v="1"/>
    <x v="4"/>
    <n v="1061.7059999999999"/>
  </r>
  <r>
    <x v="1"/>
    <x v="1"/>
    <x v="4"/>
    <n v="1130.7940000000001"/>
  </r>
  <r>
    <x v="1"/>
    <x v="1"/>
    <x v="4"/>
    <n v="1060.58"/>
  </r>
  <r>
    <x v="1"/>
    <x v="1"/>
    <x v="4"/>
    <n v="1123.8879999999999"/>
  </r>
  <r>
    <x v="1"/>
    <x v="1"/>
    <x v="4"/>
    <n v="1040.46"/>
  </r>
  <r>
    <x v="1"/>
    <x v="1"/>
    <x v="4"/>
    <n v="1077.4880000000001"/>
  </r>
  <r>
    <x v="1"/>
    <x v="1"/>
    <x v="4"/>
    <n v="1124.8340000000001"/>
  </r>
  <r>
    <x v="1"/>
    <x v="1"/>
    <x v="4"/>
    <n v="1127.4259999999999"/>
  </r>
  <r>
    <x v="1"/>
    <x v="1"/>
    <x v="4"/>
    <n v="1092.0039999999999"/>
  </r>
  <r>
    <x v="1"/>
    <x v="1"/>
    <x v="4"/>
    <n v="1097.761"/>
  </r>
  <r>
    <x v="1"/>
    <x v="1"/>
    <x v="4"/>
    <n v="1146.729"/>
  </r>
  <r>
    <x v="1"/>
    <x v="1"/>
    <x v="4"/>
    <n v="1094.173"/>
  </r>
  <r>
    <x v="1"/>
    <x v="1"/>
    <x v="4"/>
    <n v="1116.02"/>
  </r>
  <r>
    <x v="1"/>
    <x v="1"/>
    <x v="4"/>
    <n v="1098.1690000000001"/>
  </r>
  <r>
    <x v="1"/>
    <x v="1"/>
    <x v="4"/>
    <n v="1127.579"/>
  </r>
  <r>
    <x v="1"/>
    <x v="1"/>
    <x v="4"/>
    <n v="1115.711"/>
  </r>
  <r>
    <x v="1"/>
    <x v="1"/>
    <x v="4"/>
    <n v="1079.6759999999999"/>
  </r>
  <r>
    <x v="1"/>
    <x v="1"/>
    <x v="4"/>
    <n v="1089.4939999999999"/>
  </r>
  <r>
    <x v="1"/>
    <x v="1"/>
    <x v="4"/>
    <n v="1128.2760000000001"/>
  </r>
  <r>
    <x v="1"/>
    <x v="1"/>
    <x v="4"/>
    <n v="1134.5360000000001"/>
  </r>
  <r>
    <x v="1"/>
    <x v="1"/>
    <x v="4"/>
    <n v="1105.874"/>
  </r>
  <r>
    <x v="1"/>
    <x v="1"/>
    <x v="4"/>
    <n v="1035.7370000000001"/>
  </r>
  <r>
    <x v="1"/>
    <x v="1"/>
    <x v="4"/>
    <n v="1074.6569999999999"/>
  </r>
  <r>
    <x v="1"/>
    <x v="1"/>
    <x v="4"/>
    <n v="1081.4259999999999"/>
  </r>
  <r>
    <x v="1"/>
    <x v="1"/>
    <x v="4"/>
    <n v="1087.414"/>
  </r>
  <r>
    <x v="1"/>
    <x v="1"/>
    <x v="4"/>
    <n v="1105.4459999999999"/>
  </r>
  <r>
    <x v="1"/>
    <x v="1"/>
    <x v="4"/>
    <n v="1085.2809999999999"/>
  </r>
  <r>
    <x v="1"/>
    <x v="1"/>
    <x v="4"/>
    <n v="1107.0050000000001"/>
  </r>
  <r>
    <x v="1"/>
    <x v="1"/>
    <x v="4"/>
    <n v="1109.9680000000001"/>
  </r>
  <r>
    <x v="1"/>
    <x v="1"/>
    <x v="4"/>
    <n v="1068.5039999999999"/>
  </r>
  <r>
    <x v="1"/>
    <x v="1"/>
    <x v="4"/>
    <n v="1115.174"/>
  </r>
  <r>
    <x v="1"/>
    <x v="1"/>
    <x v="4"/>
    <n v="1125.4659999999999"/>
  </r>
  <r>
    <x v="1"/>
    <x v="1"/>
    <x v="4"/>
    <n v="1068.2170000000001"/>
  </r>
  <r>
    <x v="1"/>
    <x v="1"/>
    <x v="4"/>
    <n v="1108.9169999999999"/>
  </r>
  <r>
    <x v="1"/>
    <x v="1"/>
    <x v="4"/>
    <n v="1062.08"/>
  </r>
  <r>
    <x v="1"/>
    <x v="1"/>
    <x v="4"/>
    <n v="1106.1769999999999"/>
  </r>
  <r>
    <x v="1"/>
    <x v="1"/>
    <x v="4"/>
    <n v="1079.046"/>
  </r>
  <r>
    <x v="1"/>
    <x v="1"/>
    <x v="4"/>
    <n v="1134.366"/>
  </r>
  <r>
    <x v="1"/>
    <x v="1"/>
    <x v="4"/>
    <n v="1057.819"/>
  </r>
  <r>
    <x v="1"/>
    <x v="1"/>
    <x v="4"/>
    <n v="1109.635"/>
  </r>
  <r>
    <x v="1"/>
    <x v="1"/>
    <x v="4"/>
    <n v="1068.221"/>
  </r>
  <r>
    <x v="1"/>
    <x v="1"/>
    <x v="4"/>
    <n v="1121.635"/>
  </r>
  <r>
    <x v="1"/>
    <x v="1"/>
    <x v="4"/>
    <n v="1100.3589999999999"/>
  </r>
  <r>
    <x v="1"/>
    <x v="1"/>
    <x v="4"/>
    <n v="1098.6579999999999"/>
  </r>
  <r>
    <x v="1"/>
    <x v="1"/>
    <x v="4"/>
    <n v="1125.117"/>
  </r>
  <r>
    <x v="1"/>
    <x v="1"/>
    <x v="4"/>
    <n v="1116.0419999999999"/>
  </r>
  <r>
    <x v="1"/>
    <x v="1"/>
    <x v="4"/>
    <n v="1123.7"/>
  </r>
  <r>
    <x v="1"/>
    <x v="1"/>
    <x v="4"/>
    <n v="1067.7439999999999"/>
  </r>
  <r>
    <x v="1"/>
    <x v="1"/>
    <x v="4"/>
    <n v="1083.2529999999999"/>
  </r>
  <r>
    <x v="1"/>
    <x v="1"/>
    <x v="4"/>
    <n v="1118.3430000000001"/>
  </r>
  <r>
    <x v="1"/>
    <x v="1"/>
    <x v="4"/>
    <n v="1067.8530000000001"/>
  </r>
  <r>
    <x v="1"/>
    <x v="1"/>
    <x v="4"/>
    <n v="1093.7929999999999"/>
  </r>
  <r>
    <x v="1"/>
    <x v="1"/>
    <x v="4"/>
    <n v="1112.779"/>
  </r>
  <r>
    <x v="1"/>
    <x v="1"/>
    <x v="4"/>
    <n v="1081.8240000000001"/>
  </r>
  <r>
    <x v="1"/>
    <x v="1"/>
    <x v="4"/>
    <n v="1122.0530000000001"/>
  </r>
  <r>
    <x v="1"/>
    <x v="1"/>
    <x v="4"/>
    <n v="1090.6189999999999"/>
  </r>
  <r>
    <x v="1"/>
    <x v="1"/>
    <x v="4"/>
    <n v="1076.105"/>
  </r>
  <r>
    <x v="1"/>
    <x v="1"/>
    <x v="4"/>
    <n v="1094.83"/>
  </r>
  <r>
    <x v="1"/>
    <x v="1"/>
    <x v="4"/>
    <n v="1076.759"/>
  </r>
  <r>
    <x v="1"/>
    <x v="1"/>
    <x v="4"/>
    <n v="1073.7260000000001"/>
  </r>
  <r>
    <x v="1"/>
    <x v="1"/>
    <x v="4"/>
    <n v="1087.0619999999999"/>
  </r>
  <r>
    <x v="1"/>
    <x v="1"/>
    <x v="4"/>
    <n v="1090.8969999999999"/>
  </r>
  <r>
    <x v="1"/>
    <x v="1"/>
    <x v="4"/>
    <n v="1070.7819999999999"/>
  </r>
  <r>
    <x v="1"/>
    <x v="1"/>
    <x v="4"/>
    <n v="1072.4559999999999"/>
  </r>
  <r>
    <x v="1"/>
    <x v="1"/>
    <x v="4"/>
    <n v="1117.204"/>
  </r>
  <r>
    <x v="1"/>
    <x v="1"/>
    <x v="4"/>
    <n v="1059.127"/>
  </r>
  <r>
    <x v="1"/>
    <x v="1"/>
    <x v="4"/>
    <n v="1136.5329999999999"/>
  </r>
  <r>
    <x v="1"/>
    <x v="1"/>
    <x v="4"/>
    <n v="1103.2460000000001"/>
  </r>
  <r>
    <x v="1"/>
    <x v="1"/>
    <x v="4"/>
    <n v="1091.123"/>
  </r>
  <r>
    <x v="1"/>
    <x v="1"/>
    <x v="4"/>
    <n v="1050.1079999999999"/>
  </r>
  <r>
    <x v="1"/>
    <x v="1"/>
    <x v="4"/>
    <n v="1106.19"/>
  </r>
  <r>
    <x v="1"/>
    <x v="1"/>
    <x v="4"/>
    <n v="1124.6189999999999"/>
  </r>
  <r>
    <x v="1"/>
    <x v="1"/>
    <x v="4"/>
    <n v="1152.145"/>
  </r>
  <r>
    <x v="1"/>
    <x v="2"/>
    <x v="4"/>
    <n v="3381.8739999999998"/>
  </r>
  <r>
    <x v="1"/>
    <x v="2"/>
    <x v="4"/>
    <n v="3445.4960000000001"/>
  </r>
  <r>
    <x v="1"/>
    <x v="2"/>
    <x v="4"/>
    <n v="3388.3139999999999"/>
  </r>
  <r>
    <x v="1"/>
    <x v="2"/>
    <x v="4"/>
    <n v="3476.3180000000002"/>
  </r>
  <r>
    <x v="1"/>
    <x v="2"/>
    <x v="4"/>
    <n v="3458.1439999999998"/>
  </r>
  <r>
    <x v="1"/>
    <x v="2"/>
    <x v="4"/>
    <n v="3352.7530000000002"/>
  </r>
  <r>
    <x v="1"/>
    <x v="2"/>
    <x v="4"/>
    <n v="3437.1840000000002"/>
  </r>
  <r>
    <x v="1"/>
    <x v="2"/>
    <x v="4"/>
    <n v="3345.8319999999999"/>
  </r>
  <r>
    <x v="1"/>
    <x v="2"/>
    <x v="4"/>
    <n v="3354.0369999999998"/>
  </r>
  <r>
    <x v="1"/>
    <x v="2"/>
    <x v="4"/>
    <n v="3357.1210000000001"/>
  </r>
  <r>
    <x v="1"/>
    <x v="2"/>
    <x v="4"/>
    <n v="3452.8040000000001"/>
  </r>
  <r>
    <x v="1"/>
    <x v="2"/>
    <x v="4"/>
    <n v="3411.9459999999999"/>
  </r>
  <r>
    <x v="1"/>
    <x v="2"/>
    <x v="4"/>
    <n v="3453.395"/>
  </r>
  <r>
    <x v="1"/>
    <x v="2"/>
    <x v="4"/>
    <n v="3455.0810000000001"/>
  </r>
  <r>
    <x v="1"/>
    <x v="2"/>
    <x v="4"/>
    <n v="3367.4169999999999"/>
  </r>
  <r>
    <x v="1"/>
    <x v="2"/>
    <x v="4"/>
    <n v="3379.1590000000001"/>
  </r>
  <r>
    <x v="1"/>
    <x v="2"/>
    <x v="4"/>
    <n v="3455.0459999999998"/>
  </r>
  <r>
    <x v="1"/>
    <x v="2"/>
    <x v="4"/>
    <n v="3362.2429999999999"/>
  </r>
  <r>
    <x v="1"/>
    <x v="2"/>
    <x v="4"/>
    <n v="3461.116"/>
  </r>
  <r>
    <x v="1"/>
    <x v="2"/>
    <x v="4"/>
    <n v="3304.471"/>
  </r>
  <r>
    <x v="1"/>
    <x v="2"/>
    <x v="4"/>
    <n v="3420.0889999999999"/>
  </r>
  <r>
    <x v="1"/>
    <x v="2"/>
    <x v="4"/>
    <n v="3395.7669999999998"/>
  </r>
  <r>
    <x v="1"/>
    <x v="2"/>
    <x v="4"/>
    <n v="3372.2689999999998"/>
  </r>
  <r>
    <x v="1"/>
    <x v="2"/>
    <x v="4"/>
    <n v="3414.9319999999998"/>
  </r>
  <r>
    <x v="1"/>
    <x v="2"/>
    <x v="4"/>
    <n v="3449.6950000000002"/>
  </r>
  <r>
    <x v="1"/>
    <x v="2"/>
    <x v="4"/>
    <n v="3440.09"/>
  </r>
  <r>
    <x v="1"/>
    <x v="2"/>
    <x v="4"/>
    <n v="3398.2379999999998"/>
  </r>
  <r>
    <x v="1"/>
    <x v="2"/>
    <x v="4"/>
    <n v="3502.989"/>
  </r>
  <r>
    <x v="1"/>
    <x v="2"/>
    <x v="4"/>
    <n v="3409.2489999999998"/>
  </r>
  <r>
    <x v="1"/>
    <x v="2"/>
    <x v="4"/>
    <n v="3429.0320000000002"/>
  </r>
  <r>
    <x v="1"/>
    <x v="2"/>
    <x v="4"/>
    <n v="3321.5509999999999"/>
  </r>
  <r>
    <x v="1"/>
    <x v="2"/>
    <x v="4"/>
    <n v="3337.9279999999999"/>
  </r>
  <r>
    <x v="1"/>
    <x v="2"/>
    <x v="4"/>
    <n v="3439.643"/>
  </r>
  <r>
    <x v="1"/>
    <x v="2"/>
    <x v="4"/>
    <n v="3420.8960000000002"/>
  </r>
  <r>
    <x v="1"/>
    <x v="2"/>
    <x v="4"/>
    <n v="3435.5"/>
  </r>
  <r>
    <x v="1"/>
    <x v="2"/>
    <x v="4"/>
    <n v="3469.279"/>
  </r>
  <r>
    <x v="1"/>
    <x v="2"/>
    <x v="4"/>
    <n v="3468.3870000000002"/>
  </r>
  <r>
    <x v="1"/>
    <x v="2"/>
    <x v="4"/>
    <n v="3454.4479999999999"/>
  </r>
  <r>
    <x v="1"/>
    <x v="2"/>
    <x v="4"/>
    <n v="3414.346"/>
  </r>
  <r>
    <x v="1"/>
    <x v="2"/>
    <x v="4"/>
    <n v="3408.7069999999999"/>
  </r>
  <r>
    <x v="1"/>
    <x v="2"/>
    <x v="4"/>
    <n v="3428.17"/>
  </r>
  <r>
    <x v="1"/>
    <x v="2"/>
    <x v="4"/>
    <n v="3402.0169999999998"/>
  </r>
  <r>
    <x v="1"/>
    <x v="2"/>
    <x v="4"/>
    <n v="3374.5740000000001"/>
  </r>
  <r>
    <x v="1"/>
    <x v="2"/>
    <x v="4"/>
    <n v="3429.9180000000001"/>
  </r>
  <r>
    <x v="1"/>
    <x v="2"/>
    <x v="4"/>
    <n v="3469.2310000000002"/>
  </r>
  <r>
    <x v="1"/>
    <x v="2"/>
    <x v="4"/>
    <n v="3389.4659999999999"/>
  </r>
  <r>
    <x v="1"/>
    <x v="2"/>
    <x v="4"/>
    <n v="3427.248"/>
  </r>
  <r>
    <x v="1"/>
    <x v="2"/>
    <x v="4"/>
    <n v="3392.5210000000002"/>
  </r>
  <r>
    <x v="1"/>
    <x v="2"/>
    <x v="4"/>
    <n v="3372.1869999999999"/>
  </r>
  <r>
    <x v="1"/>
    <x v="2"/>
    <x v="4"/>
    <n v="3422.2710000000002"/>
  </r>
  <r>
    <x v="1"/>
    <x v="2"/>
    <x v="4"/>
    <n v="3338.2849999999999"/>
  </r>
  <r>
    <x v="1"/>
    <x v="2"/>
    <x v="4"/>
    <n v="3343.7759999999998"/>
  </r>
  <r>
    <x v="1"/>
    <x v="2"/>
    <x v="4"/>
    <n v="3384.5610000000001"/>
  </r>
  <r>
    <x v="1"/>
    <x v="2"/>
    <x v="4"/>
    <n v="3407.4679999999998"/>
  </r>
  <r>
    <x v="1"/>
    <x v="2"/>
    <x v="4"/>
    <n v="3412.1170000000002"/>
  </r>
  <r>
    <x v="1"/>
    <x v="2"/>
    <x v="4"/>
    <n v="3322.5120000000002"/>
  </r>
  <r>
    <x v="1"/>
    <x v="2"/>
    <x v="4"/>
    <n v="3404.8739999999998"/>
  </r>
  <r>
    <x v="1"/>
    <x v="2"/>
    <x v="4"/>
    <n v="3338.8510000000001"/>
  </r>
  <r>
    <x v="1"/>
    <x v="2"/>
    <x v="4"/>
    <n v="3394.3209999999999"/>
  </r>
  <r>
    <x v="1"/>
    <x v="2"/>
    <x v="4"/>
    <n v="3372.453"/>
  </r>
  <r>
    <x v="1"/>
    <x v="2"/>
    <x v="4"/>
    <n v="3406.1370000000002"/>
  </r>
  <r>
    <x v="1"/>
    <x v="2"/>
    <x v="4"/>
    <n v="3337.9479999999999"/>
  </r>
  <r>
    <x v="1"/>
    <x v="2"/>
    <x v="4"/>
    <n v="3503.261"/>
  </r>
  <r>
    <x v="1"/>
    <x v="2"/>
    <x v="4"/>
    <n v="3296.8310000000001"/>
  </r>
  <r>
    <x v="1"/>
    <x v="2"/>
    <x v="4"/>
    <n v="3412.828"/>
  </r>
  <r>
    <x v="1"/>
    <x v="2"/>
    <x v="4"/>
    <n v="3418.877"/>
  </r>
  <r>
    <x v="1"/>
    <x v="2"/>
    <x v="4"/>
    <n v="3329.098"/>
  </r>
  <r>
    <x v="1"/>
    <x v="2"/>
    <x v="4"/>
    <n v="3483.4160000000002"/>
  </r>
  <r>
    <x v="1"/>
    <x v="2"/>
    <x v="4"/>
    <n v="3336.2739999999999"/>
  </r>
  <r>
    <x v="1"/>
    <x v="2"/>
    <x v="4"/>
    <n v="3344.1480000000001"/>
  </r>
  <r>
    <x v="1"/>
    <x v="2"/>
    <x v="4"/>
    <n v="3316.8409999999999"/>
  </r>
  <r>
    <x v="1"/>
    <x v="2"/>
    <x v="4"/>
    <n v="3433.6640000000002"/>
  </r>
  <r>
    <x v="1"/>
    <x v="2"/>
    <x v="4"/>
    <n v="3375.0320000000002"/>
  </r>
  <r>
    <x v="1"/>
    <x v="2"/>
    <x v="4"/>
    <n v="3414.223"/>
  </r>
  <r>
    <x v="1"/>
    <x v="2"/>
    <x v="4"/>
    <n v="3411.2649999999999"/>
  </r>
  <r>
    <x v="1"/>
    <x v="2"/>
    <x v="4"/>
    <n v="3418.201"/>
  </r>
  <r>
    <x v="1"/>
    <x v="2"/>
    <x v="4"/>
    <n v="3408.8809999999999"/>
  </r>
  <r>
    <x v="1"/>
    <x v="2"/>
    <x v="4"/>
    <n v="3396.7190000000001"/>
  </r>
  <r>
    <x v="1"/>
    <x v="2"/>
    <x v="4"/>
    <n v="3343.7150000000001"/>
  </r>
  <r>
    <x v="1"/>
    <x v="2"/>
    <x v="4"/>
    <n v="3435.1010000000001"/>
  </r>
  <r>
    <x v="1"/>
    <x v="2"/>
    <x v="4"/>
    <n v="3421.6309999999999"/>
  </r>
  <r>
    <x v="1"/>
    <x v="2"/>
    <x v="4"/>
    <n v="3430.7730000000001"/>
  </r>
  <r>
    <x v="1"/>
    <x v="2"/>
    <x v="4"/>
    <n v="3368.431"/>
  </r>
  <r>
    <x v="1"/>
    <x v="2"/>
    <x v="4"/>
    <n v="3341.4279999999999"/>
  </r>
  <r>
    <x v="1"/>
    <x v="2"/>
    <x v="4"/>
    <n v="3362.8719999999998"/>
  </r>
  <r>
    <x v="1"/>
    <x v="2"/>
    <x v="4"/>
    <n v="3491.364"/>
  </r>
  <r>
    <x v="1"/>
    <x v="2"/>
    <x v="4"/>
    <n v="3426.0430000000001"/>
  </r>
  <r>
    <x v="1"/>
    <x v="2"/>
    <x v="4"/>
    <n v="3359.7750000000001"/>
  </r>
  <r>
    <x v="1"/>
    <x v="2"/>
    <x v="4"/>
    <n v="3329.8989999999999"/>
  </r>
  <r>
    <x v="1"/>
    <x v="2"/>
    <x v="4"/>
    <n v="3357.1239999999998"/>
  </r>
  <r>
    <x v="1"/>
    <x v="2"/>
    <x v="4"/>
    <n v="3395.41"/>
  </r>
  <r>
    <x v="1"/>
    <x v="2"/>
    <x v="4"/>
    <n v="3367.2930000000001"/>
  </r>
  <r>
    <x v="1"/>
    <x v="2"/>
    <x v="4"/>
    <n v="3315.9270000000001"/>
  </r>
  <r>
    <x v="1"/>
    <x v="2"/>
    <x v="4"/>
    <n v="3371.8229999999999"/>
  </r>
  <r>
    <x v="1"/>
    <x v="2"/>
    <x v="4"/>
    <n v="3479.28"/>
  </r>
  <r>
    <x v="1"/>
    <x v="2"/>
    <x v="4"/>
    <n v="3333.8229999999999"/>
  </r>
  <r>
    <x v="1"/>
    <x v="2"/>
    <x v="4"/>
    <n v="3510.482"/>
  </r>
  <r>
    <x v="1"/>
    <x v="2"/>
    <x v="4"/>
    <n v="3419.433"/>
  </r>
  <r>
    <x v="1"/>
    <x v="2"/>
    <x v="4"/>
    <n v="3380.44"/>
  </r>
  <r>
    <x v="1"/>
    <x v="2"/>
    <x v="4"/>
    <n v="3467.2339999999999"/>
  </r>
  <r>
    <x v="2"/>
    <x v="0"/>
    <x v="4"/>
    <n v="187.90700000000001"/>
  </r>
  <r>
    <x v="2"/>
    <x v="0"/>
    <x v="4"/>
    <n v="157.91"/>
  </r>
  <r>
    <x v="2"/>
    <x v="0"/>
    <x v="4"/>
    <n v="152.69499999999999"/>
  </r>
  <r>
    <x v="2"/>
    <x v="0"/>
    <x v="4"/>
    <n v="172.34899999999999"/>
  </r>
  <r>
    <x v="2"/>
    <x v="0"/>
    <x v="4"/>
    <n v="171.911"/>
  </r>
  <r>
    <x v="2"/>
    <x v="0"/>
    <x v="4"/>
    <n v="169.202"/>
  </r>
  <r>
    <x v="2"/>
    <x v="0"/>
    <x v="4"/>
    <n v="162.59399999999999"/>
  </r>
  <r>
    <x v="2"/>
    <x v="0"/>
    <x v="4"/>
    <n v="178.05699999999999"/>
  </r>
  <r>
    <x v="2"/>
    <x v="0"/>
    <x v="4"/>
    <n v="193.328"/>
  </r>
  <r>
    <x v="2"/>
    <x v="0"/>
    <x v="4"/>
    <n v="201.75800000000001"/>
  </r>
  <r>
    <x v="2"/>
    <x v="0"/>
    <x v="4"/>
    <n v="139.30799999999999"/>
  </r>
  <r>
    <x v="2"/>
    <x v="0"/>
    <x v="4"/>
    <n v="166.4"/>
  </r>
  <r>
    <x v="2"/>
    <x v="0"/>
    <x v="4"/>
    <n v="166.69499999999999"/>
  </r>
  <r>
    <x v="2"/>
    <x v="0"/>
    <x v="4"/>
    <n v="161.03200000000001"/>
  </r>
  <r>
    <x v="2"/>
    <x v="0"/>
    <x v="4"/>
    <n v="171.39699999999999"/>
  </r>
  <r>
    <x v="2"/>
    <x v="0"/>
    <x v="4"/>
    <n v="181.90700000000001"/>
  </r>
  <r>
    <x v="2"/>
    <x v="0"/>
    <x v="4"/>
    <n v="187.27600000000001"/>
  </r>
  <r>
    <x v="2"/>
    <x v="0"/>
    <x v="4"/>
    <n v="176.56700000000001"/>
  </r>
  <r>
    <x v="2"/>
    <x v="0"/>
    <x v="4"/>
    <n v="139.96600000000001"/>
  </r>
  <r>
    <x v="2"/>
    <x v="0"/>
    <x v="4"/>
    <n v="165.74799999999999"/>
  </r>
  <r>
    <x v="2"/>
    <x v="0"/>
    <x v="4"/>
    <n v="182.68899999999999"/>
  </r>
  <r>
    <x v="2"/>
    <x v="0"/>
    <x v="4"/>
    <n v="127.649"/>
  </r>
  <r>
    <x v="2"/>
    <x v="0"/>
    <x v="4"/>
    <n v="171.42599999999999"/>
  </r>
  <r>
    <x v="2"/>
    <x v="0"/>
    <x v="4"/>
    <n v="170.91399999999999"/>
  </r>
  <r>
    <x v="2"/>
    <x v="0"/>
    <x v="4"/>
    <n v="175.03899999999999"/>
  </r>
  <r>
    <x v="2"/>
    <x v="0"/>
    <x v="4"/>
    <n v="151.25800000000001"/>
  </r>
  <r>
    <x v="2"/>
    <x v="0"/>
    <x v="4"/>
    <n v="206.36699999999999"/>
  </r>
  <r>
    <x v="2"/>
    <x v="0"/>
    <x v="4"/>
    <n v="178.21"/>
  </r>
  <r>
    <x v="2"/>
    <x v="0"/>
    <x v="4"/>
    <n v="164.10400000000001"/>
  </r>
  <r>
    <x v="2"/>
    <x v="0"/>
    <x v="4"/>
    <n v="180.30099999999999"/>
  </r>
  <r>
    <x v="2"/>
    <x v="0"/>
    <x v="4"/>
    <n v="168.69300000000001"/>
  </r>
  <r>
    <x v="2"/>
    <x v="0"/>
    <x v="4"/>
    <n v="193.12700000000001"/>
  </r>
  <r>
    <x v="2"/>
    <x v="0"/>
    <x v="4"/>
    <n v="182.55"/>
  </r>
  <r>
    <x v="2"/>
    <x v="0"/>
    <x v="4"/>
    <n v="179.39699999999999"/>
  </r>
  <r>
    <x v="2"/>
    <x v="0"/>
    <x v="4"/>
    <n v="196.85599999999999"/>
  </r>
  <r>
    <x v="2"/>
    <x v="0"/>
    <x v="4"/>
    <n v="179.745"/>
  </r>
  <r>
    <x v="2"/>
    <x v="0"/>
    <x v="4"/>
    <n v="150.185"/>
  </r>
  <r>
    <x v="2"/>
    <x v="0"/>
    <x v="4"/>
    <n v="168.13"/>
  </r>
  <r>
    <x v="2"/>
    <x v="0"/>
    <x v="4"/>
    <n v="193.41800000000001"/>
  </r>
  <r>
    <x v="2"/>
    <x v="0"/>
    <x v="4"/>
    <n v="152.327"/>
  </r>
  <r>
    <x v="2"/>
    <x v="0"/>
    <x v="4"/>
    <n v="158.13399999999999"/>
  </r>
  <r>
    <x v="2"/>
    <x v="0"/>
    <x v="4"/>
    <n v="168.71700000000001"/>
  </r>
  <r>
    <x v="2"/>
    <x v="0"/>
    <x v="4"/>
    <n v="186.27600000000001"/>
  </r>
  <r>
    <x v="2"/>
    <x v="0"/>
    <x v="4"/>
    <n v="173.44900000000001"/>
  </r>
  <r>
    <x v="2"/>
    <x v="0"/>
    <x v="4"/>
    <n v="185.66499999999999"/>
  </r>
  <r>
    <x v="2"/>
    <x v="0"/>
    <x v="4"/>
    <n v="173.572"/>
  </r>
  <r>
    <x v="2"/>
    <x v="0"/>
    <x v="4"/>
    <n v="148.55000000000001"/>
  </r>
  <r>
    <x v="2"/>
    <x v="0"/>
    <x v="4"/>
    <n v="139.404"/>
  </r>
  <r>
    <x v="2"/>
    <x v="0"/>
    <x v="4"/>
    <n v="143.45099999999999"/>
  </r>
  <r>
    <x v="2"/>
    <x v="0"/>
    <x v="4"/>
    <n v="181.273"/>
  </r>
  <r>
    <x v="2"/>
    <x v="0"/>
    <x v="4"/>
    <n v="156.06"/>
  </r>
  <r>
    <x v="2"/>
    <x v="0"/>
    <x v="4"/>
    <n v="166.279"/>
  </r>
  <r>
    <x v="2"/>
    <x v="0"/>
    <x v="4"/>
    <n v="161.06100000000001"/>
  </r>
  <r>
    <x v="2"/>
    <x v="0"/>
    <x v="4"/>
    <n v="179.93199999999999"/>
  </r>
  <r>
    <x v="2"/>
    <x v="0"/>
    <x v="4"/>
    <n v="179.78700000000001"/>
  </r>
  <r>
    <x v="2"/>
    <x v="0"/>
    <x v="4"/>
    <n v="165.47399999999999"/>
  </r>
  <r>
    <x v="2"/>
    <x v="0"/>
    <x v="4"/>
    <n v="163.959"/>
  </r>
  <r>
    <x v="2"/>
    <x v="0"/>
    <x v="4"/>
    <n v="166.79"/>
  </r>
  <r>
    <x v="2"/>
    <x v="0"/>
    <x v="4"/>
    <n v="141.52500000000001"/>
  </r>
  <r>
    <x v="2"/>
    <x v="0"/>
    <x v="4"/>
    <n v="175.34899999999999"/>
  </r>
  <r>
    <x v="2"/>
    <x v="0"/>
    <x v="4"/>
    <n v="178.54300000000001"/>
  </r>
  <r>
    <x v="2"/>
    <x v="0"/>
    <x v="4"/>
    <n v="190.053"/>
  </r>
  <r>
    <x v="2"/>
    <x v="0"/>
    <x v="4"/>
    <n v="176.81399999999999"/>
  </r>
  <r>
    <x v="2"/>
    <x v="0"/>
    <x v="4"/>
    <n v="171.20599999999999"/>
  </r>
  <r>
    <x v="2"/>
    <x v="0"/>
    <x v="4"/>
    <n v="173.422"/>
  </r>
  <r>
    <x v="2"/>
    <x v="0"/>
    <x v="4"/>
    <n v="170.56700000000001"/>
  </r>
  <r>
    <x v="2"/>
    <x v="0"/>
    <x v="4"/>
    <n v="173.13"/>
  </r>
  <r>
    <x v="2"/>
    <x v="0"/>
    <x v="4"/>
    <n v="155.91399999999999"/>
  </r>
  <r>
    <x v="2"/>
    <x v="0"/>
    <x v="4"/>
    <n v="153.327"/>
  </r>
  <r>
    <x v="2"/>
    <x v="0"/>
    <x v="4"/>
    <n v="165.18100000000001"/>
  </r>
  <r>
    <x v="2"/>
    <x v="0"/>
    <x v="4"/>
    <n v="173.911"/>
  </r>
  <r>
    <x v="2"/>
    <x v="0"/>
    <x v="4"/>
    <n v="162.42500000000001"/>
  </r>
  <r>
    <x v="2"/>
    <x v="0"/>
    <x v="4"/>
    <n v="218.732"/>
  </r>
  <r>
    <x v="2"/>
    <x v="0"/>
    <x v="4"/>
    <n v="167.10400000000001"/>
  </r>
  <r>
    <x v="2"/>
    <x v="0"/>
    <x v="4"/>
    <n v="207.196"/>
  </r>
  <r>
    <x v="2"/>
    <x v="0"/>
    <x v="4"/>
    <n v="164.886"/>
  </r>
  <r>
    <x v="2"/>
    <x v="0"/>
    <x v="4"/>
    <n v="170.98400000000001"/>
  </r>
  <r>
    <x v="2"/>
    <x v="0"/>
    <x v="4"/>
    <n v="178.05699999999999"/>
  </r>
  <r>
    <x v="2"/>
    <x v="0"/>
    <x v="4"/>
    <n v="151.988"/>
  </r>
  <r>
    <x v="2"/>
    <x v="0"/>
    <x v="4"/>
    <n v="162.898"/>
  </r>
  <r>
    <x v="2"/>
    <x v="0"/>
    <x v="4"/>
    <n v="173.27500000000001"/>
  </r>
  <r>
    <x v="2"/>
    <x v="0"/>
    <x v="4"/>
    <n v="179.42099999999999"/>
  </r>
  <r>
    <x v="2"/>
    <x v="0"/>
    <x v="4"/>
    <n v="180.98099999999999"/>
  </r>
  <r>
    <x v="2"/>
    <x v="0"/>
    <x v="4"/>
    <n v="200.10300000000001"/>
  </r>
  <r>
    <x v="2"/>
    <x v="0"/>
    <x v="4"/>
    <n v="160.279"/>
  </r>
  <r>
    <x v="2"/>
    <x v="0"/>
    <x v="4"/>
    <n v="158.744"/>
  </r>
  <r>
    <x v="2"/>
    <x v="0"/>
    <x v="4"/>
    <n v="170.76499999999999"/>
  </r>
  <r>
    <x v="2"/>
    <x v="0"/>
    <x v="4"/>
    <n v="185.34899999999999"/>
  </r>
  <r>
    <x v="2"/>
    <x v="0"/>
    <x v="4"/>
    <n v="168.76499999999999"/>
  </r>
  <r>
    <x v="2"/>
    <x v="0"/>
    <x v="4"/>
    <n v="155.619"/>
  </r>
  <r>
    <x v="2"/>
    <x v="0"/>
    <x v="4"/>
    <n v="141.74700000000001"/>
  </r>
  <r>
    <x v="2"/>
    <x v="0"/>
    <x v="4"/>
    <n v="144.62299999999999"/>
  </r>
  <r>
    <x v="2"/>
    <x v="0"/>
    <x v="4"/>
    <n v="173.76499999999999"/>
  </r>
  <r>
    <x v="2"/>
    <x v="0"/>
    <x v="4"/>
    <n v="194.17400000000001"/>
  </r>
  <r>
    <x v="2"/>
    <x v="0"/>
    <x v="4"/>
    <n v="164.33099999999999"/>
  </r>
  <r>
    <x v="2"/>
    <x v="0"/>
    <x v="4"/>
    <n v="180.46899999999999"/>
  </r>
  <r>
    <x v="2"/>
    <x v="0"/>
    <x v="4"/>
    <n v="179.90700000000001"/>
  </r>
  <r>
    <x v="2"/>
    <x v="0"/>
    <x v="4"/>
    <n v="176.64400000000001"/>
  </r>
  <r>
    <x v="2"/>
    <x v="0"/>
    <x v="4"/>
    <n v="178.154"/>
  </r>
  <r>
    <x v="2"/>
    <x v="0"/>
    <x v="4"/>
    <n v="165.279"/>
  </r>
  <r>
    <x v="2"/>
    <x v="1"/>
    <x v="4"/>
    <n v="1032.71"/>
  </r>
  <r>
    <x v="2"/>
    <x v="1"/>
    <x v="4"/>
    <n v="1018.2380000000001"/>
  </r>
  <r>
    <x v="2"/>
    <x v="1"/>
    <x v="4"/>
    <n v="1087.02"/>
  </r>
  <r>
    <x v="2"/>
    <x v="1"/>
    <x v="4"/>
    <n v="1074.9069999999999"/>
  </r>
  <r>
    <x v="2"/>
    <x v="1"/>
    <x v="4"/>
    <n v="1065.348"/>
  </r>
  <r>
    <x v="2"/>
    <x v="1"/>
    <x v="4"/>
    <n v="1110.135"/>
  </r>
  <r>
    <x v="2"/>
    <x v="1"/>
    <x v="4"/>
    <n v="1030.018"/>
  </r>
  <r>
    <x v="2"/>
    <x v="1"/>
    <x v="4"/>
    <n v="981.37400000000002"/>
  </r>
  <r>
    <x v="2"/>
    <x v="1"/>
    <x v="4"/>
    <n v="1064.385"/>
  </r>
  <r>
    <x v="2"/>
    <x v="1"/>
    <x v="4"/>
    <n v="1055.7470000000001"/>
  </r>
  <r>
    <x v="2"/>
    <x v="1"/>
    <x v="4"/>
    <n v="1059.32"/>
  </r>
  <r>
    <x v="2"/>
    <x v="1"/>
    <x v="4"/>
    <n v="1094.7270000000001"/>
  </r>
  <r>
    <x v="2"/>
    <x v="1"/>
    <x v="4"/>
    <n v="1012.46"/>
  </r>
  <r>
    <x v="2"/>
    <x v="1"/>
    <x v="4"/>
    <n v="992.40599999999995"/>
  </r>
  <r>
    <x v="2"/>
    <x v="1"/>
    <x v="4"/>
    <n v="1038.3430000000001"/>
  </r>
  <r>
    <x v="2"/>
    <x v="1"/>
    <x v="4"/>
    <n v="1068.172"/>
  </r>
  <r>
    <x v="2"/>
    <x v="1"/>
    <x v="4"/>
    <n v="1110.2360000000001"/>
  </r>
  <r>
    <x v="2"/>
    <x v="1"/>
    <x v="4"/>
    <n v="1109.9939999999999"/>
  </r>
  <r>
    <x v="2"/>
    <x v="1"/>
    <x v="4"/>
    <n v="1093.902"/>
  </r>
  <r>
    <x v="2"/>
    <x v="1"/>
    <x v="4"/>
    <n v="1026.741"/>
  </r>
  <r>
    <x v="2"/>
    <x v="1"/>
    <x v="4"/>
    <n v="1077.499"/>
  </r>
  <r>
    <x v="2"/>
    <x v="1"/>
    <x v="4"/>
    <n v="1033.2260000000001"/>
  </r>
  <r>
    <x v="2"/>
    <x v="1"/>
    <x v="4"/>
    <n v="981.89400000000001"/>
  </r>
  <r>
    <x v="2"/>
    <x v="1"/>
    <x v="4"/>
    <n v="1093.087"/>
  </r>
  <r>
    <x v="2"/>
    <x v="1"/>
    <x v="4"/>
    <n v="1082.251"/>
  </r>
  <r>
    <x v="2"/>
    <x v="1"/>
    <x v="4"/>
    <n v="1071.107"/>
  </r>
  <r>
    <x v="2"/>
    <x v="1"/>
    <x v="4"/>
    <n v="1056.76"/>
  </r>
  <r>
    <x v="2"/>
    <x v="1"/>
    <x v="4"/>
    <n v="1056.4090000000001"/>
  </r>
  <r>
    <x v="2"/>
    <x v="1"/>
    <x v="4"/>
    <n v="1105.1120000000001"/>
  </r>
  <r>
    <x v="2"/>
    <x v="1"/>
    <x v="4"/>
    <n v="1064.576"/>
  </r>
  <r>
    <x v="2"/>
    <x v="1"/>
    <x v="4"/>
    <n v="1125.893"/>
  </r>
  <r>
    <x v="2"/>
    <x v="1"/>
    <x v="4"/>
    <n v="1010.329"/>
  </r>
  <r>
    <x v="2"/>
    <x v="1"/>
    <x v="4"/>
    <n v="1042.537"/>
  </r>
  <r>
    <x v="2"/>
    <x v="1"/>
    <x v="4"/>
    <n v="1102.3599999999999"/>
  </r>
  <r>
    <x v="2"/>
    <x v="1"/>
    <x v="4"/>
    <n v="1044.0229999999999"/>
  </r>
  <r>
    <x v="2"/>
    <x v="1"/>
    <x v="4"/>
    <n v="1065.818"/>
  </r>
  <r>
    <x v="2"/>
    <x v="1"/>
    <x v="4"/>
    <n v="1070.9390000000001"/>
  </r>
  <r>
    <x v="2"/>
    <x v="1"/>
    <x v="4"/>
    <n v="1054.4159999999999"/>
  </r>
  <r>
    <x v="2"/>
    <x v="1"/>
    <x v="4"/>
    <n v="981.91800000000001"/>
  </r>
  <r>
    <x v="2"/>
    <x v="1"/>
    <x v="4"/>
    <n v="1098.384"/>
  </r>
  <r>
    <x v="2"/>
    <x v="1"/>
    <x v="4"/>
    <n v="1091.1379999999999"/>
  </r>
  <r>
    <x v="2"/>
    <x v="1"/>
    <x v="4"/>
    <n v="1035.6869999999999"/>
  </r>
  <r>
    <x v="2"/>
    <x v="1"/>
    <x v="4"/>
    <n v="1021.827"/>
  </r>
  <r>
    <x v="2"/>
    <x v="1"/>
    <x v="4"/>
    <n v="1101.0229999999999"/>
  </r>
  <r>
    <x v="2"/>
    <x v="1"/>
    <x v="4"/>
    <n v="1048.499"/>
  </r>
  <r>
    <x v="2"/>
    <x v="1"/>
    <x v="4"/>
    <n v="1051.3710000000001"/>
  </r>
  <r>
    <x v="2"/>
    <x v="1"/>
    <x v="4"/>
    <n v="1106.203"/>
  </r>
  <r>
    <x v="2"/>
    <x v="1"/>
    <x v="4"/>
    <n v="1121.039"/>
  </r>
  <r>
    <x v="2"/>
    <x v="1"/>
    <x v="4"/>
    <n v="1059.2070000000001"/>
  </r>
  <r>
    <x v="2"/>
    <x v="1"/>
    <x v="4"/>
    <n v="1079.6769999999999"/>
  </r>
  <r>
    <x v="2"/>
    <x v="1"/>
    <x v="4"/>
    <n v="1022.476"/>
  </r>
  <r>
    <x v="2"/>
    <x v="1"/>
    <x v="4"/>
    <n v="1010.413"/>
  </r>
  <r>
    <x v="2"/>
    <x v="1"/>
    <x v="4"/>
    <n v="1040.6600000000001"/>
  </r>
  <r>
    <x v="2"/>
    <x v="1"/>
    <x v="4"/>
    <n v="1025.4760000000001"/>
  </r>
  <r>
    <x v="2"/>
    <x v="1"/>
    <x v="4"/>
    <n v="1087.9949999999999"/>
  </r>
  <r>
    <x v="2"/>
    <x v="1"/>
    <x v="4"/>
    <n v="1063.0519999999999"/>
  </r>
  <r>
    <x v="2"/>
    <x v="1"/>
    <x v="4"/>
    <n v="1111.098"/>
  </r>
  <r>
    <x v="2"/>
    <x v="1"/>
    <x v="4"/>
    <n v="1084.7190000000001"/>
  </r>
  <r>
    <x v="2"/>
    <x v="1"/>
    <x v="4"/>
    <n v="1039.675"/>
  </r>
  <r>
    <x v="2"/>
    <x v="1"/>
    <x v="4"/>
    <n v="1119.0909999999999"/>
  </r>
  <r>
    <x v="2"/>
    <x v="1"/>
    <x v="4"/>
    <n v="1075.925"/>
  </r>
  <r>
    <x v="2"/>
    <x v="1"/>
    <x v="4"/>
    <n v="1060.2560000000001"/>
  </r>
  <r>
    <x v="2"/>
    <x v="1"/>
    <x v="4"/>
    <n v="996.23699999999997"/>
  </r>
  <r>
    <x v="2"/>
    <x v="1"/>
    <x v="4"/>
    <n v="1047.5170000000001"/>
  </r>
  <r>
    <x v="2"/>
    <x v="1"/>
    <x v="4"/>
    <n v="1087.31"/>
  </r>
  <r>
    <x v="2"/>
    <x v="1"/>
    <x v="4"/>
    <n v="1054.4690000000001"/>
  </r>
  <r>
    <x v="2"/>
    <x v="1"/>
    <x v="4"/>
    <n v="1036.5409999999999"/>
  </r>
  <r>
    <x v="2"/>
    <x v="1"/>
    <x v="4"/>
    <n v="1064.355"/>
  </r>
  <r>
    <x v="2"/>
    <x v="1"/>
    <x v="4"/>
    <n v="1005.522"/>
  </r>
  <r>
    <x v="2"/>
    <x v="1"/>
    <x v="4"/>
    <n v="1015.438"/>
  </r>
  <r>
    <x v="2"/>
    <x v="1"/>
    <x v="4"/>
    <n v="1106.3209999999999"/>
  </r>
  <r>
    <x v="2"/>
    <x v="1"/>
    <x v="4"/>
    <n v="1042.3779999999999"/>
  </r>
  <r>
    <x v="2"/>
    <x v="1"/>
    <x v="4"/>
    <n v="1039.51"/>
  </r>
  <r>
    <x v="2"/>
    <x v="1"/>
    <x v="4"/>
    <n v="1073.5640000000001"/>
  </r>
  <r>
    <x v="2"/>
    <x v="1"/>
    <x v="4"/>
    <n v="1038.5519999999999"/>
  </r>
  <r>
    <x v="2"/>
    <x v="1"/>
    <x v="4"/>
    <n v="1076.634"/>
  </r>
  <r>
    <x v="2"/>
    <x v="1"/>
    <x v="4"/>
    <n v="1050.289"/>
  </r>
  <r>
    <x v="2"/>
    <x v="1"/>
    <x v="4"/>
    <n v="1071.5889999999999"/>
  </r>
  <r>
    <x v="2"/>
    <x v="1"/>
    <x v="4"/>
    <n v="1107.19"/>
  </r>
  <r>
    <x v="2"/>
    <x v="1"/>
    <x v="4"/>
    <n v="1110.21"/>
  </r>
  <r>
    <x v="2"/>
    <x v="1"/>
    <x v="4"/>
    <n v="1082.808"/>
  </r>
  <r>
    <x v="2"/>
    <x v="1"/>
    <x v="4"/>
    <n v="999.83100000000002"/>
  </r>
  <r>
    <x v="2"/>
    <x v="1"/>
    <x v="4"/>
    <n v="1022.212"/>
  </r>
  <r>
    <x v="2"/>
    <x v="1"/>
    <x v="4"/>
    <n v="999.7"/>
  </r>
  <r>
    <x v="2"/>
    <x v="1"/>
    <x v="4"/>
    <n v="1053.8240000000001"/>
  </r>
  <r>
    <x v="2"/>
    <x v="1"/>
    <x v="4"/>
    <n v="995.73800000000006"/>
  </r>
  <r>
    <x v="2"/>
    <x v="1"/>
    <x v="4"/>
    <n v="1040.193"/>
  </r>
  <r>
    <x v="2"/>
    <x v="1"/>
    <x v="4"/>
    <n v="1030.9849999999999"/>
  </r>
  <r>
    <x v="2"/>
    <x v="1"/>
    <x v="4"/>
    <n v="1046.115"/>
  </r>
  <r>
    <x v="2"/>
    <x v="1"/>
    <x v="4"/>
    <n v="1162.944"/>
  </r>
  <r>
    <x v="2"/>
    <x v="1"/>
    <x v="4"/>
    <n v="1073.903"/>
  </r>
  <r>
    <x v="2"/>
    <x v="1"/>
    <x v="4"/>
    <n v="1046.222"/>
  </r>
  <r>
    <x v="2"/>
    <x v="1"/>
    <x v="4"/>
    <n v="1067.1379999999999"/>
  </r>
  <r>
    <x v="2"/>
    <x v="1"/>
    <x v="4"/>
    <n v="1105.18"/>
  </r>
  <r>
    <x v="2"/>
    <x v="1"/>
    <x v="4"/>
    <n v="1047.376"/>
  </r>
  <r>
    <x v="2"/>
    <x v="1"/>
    <x v="4"/>
    <n v="1019.954"/>
  </r>
  <r>
    <x v="2"/>
    <x v="1"/>
    <x v="4"/>
    <n v="1036.8209999999999"/>
  </r>
  <r>
    <x v="2"/>
    <x v="1"/>
    <x v="4"/>
    <n v="1044.78"/>
  </r>
  <r>
    <x v="2"/>
    <x v="1"/>
    <x v="4"/>
    <n v="1041.105"/>
  </r>
  <r>
    <x v="2"/>
    <x v="1"/>
    <x v="4"/>
    <n v="1061.4359999999999"/>
  </r>
  <r>
    <x v="2"/>
    <x v="2"/>
    <x v="4"/>
    <n v="3227.395"/>
  </r>
  <r>
    <x v="2"/>
    <x v="2"/>
    <x v="4"/>
    <n v="3215.7919999999999"/>
  </r>
  <r>
    <x v="2"/>
    <x v="2"/>
    <x v="4"/>
    <n v="3299.7919999999999"/>
  </r>
  <r>
    <x v="2"/>
    <x v="2"/>
    <x v="4"/>
    <n v="3216.36"/>
  </r>
  <r>
    <x v="2"/>
    <x v="2"/>
    <x v="4"/>
    <n v="3388.2449999999999"/>
  </r>
  <r>
    <x v="2"/>
    <x v="2"/>
    <x v="4"/>
    <n v="3268.1680000000001"/>
  </r>
  <r>
    <x v="2"/>
    <x v="2"/>
    <x v="4"/>
    <n v="3171.1089999999999"/>
  </r>
  <r>
    <x v="2"/>
    <x v="2"/>
    <x v="4"/>
    <n v="3257.9409999999998"/>
  </r>
  <r>
    <x v="2"/>
    <x v="2"/>
    <x v="4"/>
    <n v="3118.99"/>
  </r>
  <r>
    <x v="2"/>
    <x v="2"/>
    <x v="4"/>
    <n v="3241.25"/>
  </r>
  <r>
    <x v="2"/>
    <x v="2"/>
    <x v="4"/>
    <n v="3329.665"/>
  </r>
  <r>
    <x v="2"/>
    <x v="2"/>
    <x v="4"/>
    <n v="3111.9009999999998"/>
  </r>
  <r>
    <x v="2"/>
    <x v="2"/>
    <x v="4"/>
    <n v="3215.422"/>
  </r>
  <r>
    <x v="2"/>
    <x v="2"/>
    <x v="4"/>
    <n v="3255.4389999999999"/>
  </r>
  <r>
    <x v="2"/>
    <x v="2"/>
    <x v="4"/>
    <n v="3201.6010000000001"/>
  </r>
  <r>
    <x v="2"/>
    <x v="2"/>
    <x v="4"/>
    <n v="3134.6329999999998"/>
  </r>
  <r>
    <x v="2"/>
    <x v="2"/>
    <x v="4"/>
    <n v="3269.9949999999999"/>
  </r>
  <r>
    <x v="2"/>
    <x v="2"/>
    <x v="4"/>
    <n v="3218.0169999999998"/>
  </r>
  <r>
    <x v="2"/>
    <x v="2"/>
    <x v="4"/>
    <n v="3392.58"/>
  </r>
  <r>
    <x v="2"/>
    <x v="2"/>
    <x v="4"/>
    <n v="3259.7979999999998"/>
  </r>
  <r>
    <x v="2"/>
    <x v="2"/>
    <x v="4"/>
    <n v="3302.5650000000001"/>
  </r>
  <r>
    <x v="2"/>
    <x v="2"/>
    <x v="4"/>
    <n v="3217.2020000000002"/>
  </r>
  <r>
    <x v="2"/>
    <x v="2"/>
    <x v="4"/>
    <n v="3056.55"/>
  </r>
  <r>
    <x v="2"/>
    <x v="2"/>
    <x v="4"/>
    <n v="3320.7890000000002"/>
  </r>
  <r>
    <x v="2"/>
    <x v="2"/>
    <x v="4"/>
    <n v="3077.5349999999999"/>
  </r>
  <r>
    <x v="2"/>
    <x v="2"/>
    <x v="4"/>
    <n v="3296.7570000000001"/>
  </r>
  <r>
    <x v="2"/>
    <x v="2"/>
    <x v="4"/>
    <n v="3294.0129999999999"/>
  </r>
  <r>
    <x v="2"/>
    <x v="2"/>
    <x v="4"/>
    <n v="3155.0279999999998"/>
  </r>
  <r>
    <x v="2"/>
    <x v="2"/>
    <x v="4"/>
    <n v="3336.7069999999999"/>
  </r>
  <r>
    <x v="2"/>
    <x v="2"/>
    <x v="4"/>
    <n v="3340.3510000000001"/>
  </r>
  <r>
    <x v="2"/>
    <x v="2"/>
    <x v="4"/>
    <n v="3277.2840000000001"/>
  </r>
  <r>
    <x v="2"/>
    <x v="2"/>
    <x v="4"/>
    <n v="3251.6370000000002"/>
  </r>
  <r>
    <x v="2"/>
    <x v="2"/>
    <x v="4"/>
    <n v="3312.0390000000002"/>
  </r>
  <r>
    <x v="2"/>
    <x v="2"/>
    <x v="4"/>
    <n v="3173.2020000000002"/>
  </r>
  <r>
    <x v="2"/>
    <x v="2"/>
    <x v="4"/>
    <n v="3129.9119999999998"/>
  </r>
  <r>
    <x v="2"/>
    <x v="2"/>
    <x v="4"/>
    <n v="3119.8429999999998"/>
  </r>
  <r>
    <x v="2"/>
    <x v="2"/>
    <x v="4"/>
    <n v="3338.3539999999998"/>
  </r>
  <r>
    <x v="2"/>
    <x v="2"/>
    <x v="4"/>
    <n v="3285.5230000000001"/>
  </r>
  <r>
    <x v="2"/>
    <x v="2"/>
    <x v="4"/>
    <n v="3361.9119999999998"/>
  </r>
  <r>
    <x v="2"/>
    <x v="2"/>
    <x v="4"/>
    <n v="3187.74"/>
  </r>
  <r>
    <x v="2"/>
    <x v="2"/>
    <x v="4"/>
    <n v="3283.1280000000002"/>
  </r>
  <r>
    <x v="2"/>
    <x v="2"/>
    <x v="4"/>
    <n v="3166.9830000000002"/>
  </r>
  <r>
    <x v="2"/>
    <x v="2"/>
    <x v="4"/>
    <n v="3309.0320000000002"/>
  </r>
  <r>
    <x v="2"/>
    <x v="2"/>
    <x v="4"/>
    <n v="3236.107"/>
  </r>
  <r>
    <x v="2"/>
    <x v="2"/>
    <x v="4"/>
    <n v="3227.2020000000002"/>
  </r>
  <r>
    <x v="2"/>
    <x v="2"/>
    <x v="4"/>
    <n v="3205.8130000000001"/>
  </r>
  <r>
    <x v="2"/>
    <x v="2"/>
    <x v="4"/>
    <n v="3192.922"/>
  </r>
  <r>
    <x v="2"/>
    <x v="2"/>
    <x v="4"/>
    <n v="3269.431"/>
  </r>
  <r>
    <x v="2"/>
    <x v="2"/>
    <x v="4"/>
    <n v="3388.9490000000001"/>
  </r>
  <r>
    <x v="2"/>
    <x v="2"/>
    <x v="4"/>
    <n v="3331.2190000000001"/>
  </r>
  <r>
    <x v="2"/>
    <x v="2"/>
    <x v="4"/>
    <n v="3233.63"/>
  </r>
  <r>
    <x v="2"/>
    <x v="2"/>
    <x v="4"/>
    <n v="3333.6039999999998"/>
  </r>
  <r>
    <x v="2"/>
    <x v="2"/>
    <x v="4"/>
    <n v="3215.0650000000001"/>
  </r>
  <r>
    <x v="2"/>
    <x v="2"/>
    <x v="4"/>
    <n v="3224.5990000000002"/>
  </r>
  <r>
    <x v="2"/>
    <x v="2"/>
    <x v="4"/>
    <n v="3226.48"/>
  </r>
  <r>
    <x v="2"/>
    <x v="2"/>
    <x v="4"/>
    <n v="3263.1309999999999"/>
  </r>
  <r>
    <x v="2"/>
    <x v="2"/>
    <x v="4"/>
    <n v="3331.77"/>
  </r>
  <r>
    <x v="2"/>
    <x v="2"/>
    <x v="4"/>
    <n v="3188.0439999999999"/>
  </r>
  <r>
    <x v="2"/>
    <x v="2"/>
    <x v="4"/>
    <n v="3253.7649999999999"/>
  </r>
  <r>
    <x v="2"/>
    <x v="2"/>
    <x v="4"/>
    <n v="3206.4470000000001"/>
  </r>
  <r>
    <x v="2"/>
    <x v="2"/>
    <x v="4"/>
    <n v="3311.2930000000001"/>
  </r>
  <r>
    <x v="2"/>
    <x v="2"/>
    <x v="4"/>
    <n v="3235.28"/>
  </r>
  <r>
    <x v="2"/>
    <x v="2"/>
    <x v="4"/>
    <n v="3339.9960000000001"/>
  </r>
  <r>
    <x v="2"/>
    <x v="2"/>
    <x v="4"/>
    <n v="3128.2060000000001"/>
  </r>
  <r>
    <x v="2"/>
    <x v="2"/>
    <x v="4"/>
    <n v="3233.3580000000002"/>
  </r>
  <r>
    <x v="2"/>
    <x v="2"/>
    <x v="4"/>
    <n v="3234.306"/>
  </r>
  <r>
    <x v="2"/>
    <x v="2"/>
    <x v="4"/>
    <n v="3312.8580000000002"/>
  </r>
  <r>
    <x v="2"/>
    <x v="2"/>
    <x v="4"/>
    <n v="3135.7289999999998"/>
  </r>
  <r>
    <x v="2"/>
    <x v="2"/>
    <x v="4"/>
    <n v="3311.0680000000002"/>
  </r>
  <r>
    <x v="2"/>
    <x v="2"/>
    <x v="4"/>
    <n v="3172.462"/>
  </r>
  <r>
    <x v="2"/>
    <x v="2"/>
    <x v="4"/>
    <n v="3293.7179999999998"/>
  </r>
  <r>
    <x v="2"/>
    <x v="2"/>
    <x v="4"/>
    <n v="3308.62"/>
  </r>
  <r>
    <x v="2"/>
    <x v="2"/>
    <x v="4"/>
    <n v="3138.3159999999998"/>
  </r>
  <r>
    <x v="2"/>
    <x v="2"/>
    <x v="4"/>
    <n v="3272.4360000000001"/>
  </r>
  <r>
    <x v="2"/>
    <x v="2"/>
    <x v="4"/>
    <n v="3297.7350000000001"/>
  </r>
  <r>
    <x v="2"/>
    <x v="2"/>
    <x v="4"/>
    <n v="3229.5250000000001"/>
  </r>
  <r>
    <x v="2"/>
    <x v="2"/>
    <x v="4"/>
    <n v="3181.3220000000001"/>
  </r>
  <r>
    <x v="2"/>
    <x v="2"/>
    <x v="4"/>
    <n v="3182.8890000000001"/>
  </r>
  <r>
    <x v="2"/>
    <x v="2"/>
    <x v="4"/>
    <n v="3264.17"/>
  </r>
  <r>
    <x v="2"/>
    <x v="2"/>
    <x v="4"/>
    <n v="3397.444"/>
  </r>
  <r>
    <x v="2"/>
    <x v="2"/>
    <x v="4"/>
    <n v="3347.1019999999999"/>
  </r>
  <r>
    <x v="2"/>
    <x v="2"/>
    <x v="4"/>
    <n v="3121.9409999999998"/>
  </r>
  <r>
    <x v="2"/>
    <x v="2"/>
    <x v="4"/>
    <n v="3190.009"/>
  </r>
  <r>
    <x v="2"/>
    <x v="2"/>
    <x v="4"/>
    <n v="3254.0819999999999"/>
  </r>
  <r>
    <x v="2"/>
    <x v="2"/>
    <x v="4"/>
    <n v="3285.7629999999999"/>
  </r>
  <r>
    <x v="2"/>
    <x v="2"/>
    <x v="4"/>
    <n v="3283.3359999999998"/>
  </r>
  <r>
    <x v="2"/>
    <x v="2"/>
    <x v="4"/>
    <n v="3149.4960000000001"/>
  </r>
  <r>
    <x v="2"/>
    <x v="2"/>
    <x v="4"/>
    <n v="3228.143"/>
  </r>
  <r>
    <x v="2"/>
    <x v="2"/>
    <x v="4"/>
    <n v="3228.2460000000001"/>
  </r>
  <r>
    <x v="2"/>
    <x v="2"/>
    <x v="4"/>
    <n v="3381.7510000000002"/>
  </r>
  <r>
    <x v="2"/>
    <x v="2"/>
    <x v="4"/>
    <n v="3288.5050000000001"/>
  </r>
  <r>
    <x v="2"/>
    <x v="2"/>
    <x v="4"/>
    <n v="3369.6179999999999"/>
  </r>
  <r>
    <x v="2"/>
    <x v="2"/>
    <x v="4"/>
    <n v="3234.3809999999999"/>
  </r>
  <r>
    <x v="2"/>
    <x v="2"/>
    <x v="4"/>
    <n v="3184.4360000000001"/>
  </r>
  <r>
    <x v="2"/>
    <x v="2"/>
    <x v="4"/>
    <n v="3182.8339999999998"/>
  </r>
  <r>
    <x v="2"/>
    <x v="2"/>
    <x v="4"/>
    <n v="3310.4470000000001"/>
  </r>
  <r>
    <x v="2"/>
    <x v="2"/>
    <x v="4"/>
    <n v="3275.6559999999999"/>
  </r>
  <r>
    <x v="2"/>
    <x v="2"/>
    <x v="4"/>
    <n v="2990.3850000000002"/>
  </r>
  <r>
    <x v="2"/>
    <x v="2"/>
    <x v="4"/>
    <n v="3372.7130000000002"/>
  </r>
  <r>
    <x v="2"/>
    <x v="2"/>
    <x v="4"/>
    <n v="3186.7570000000001"/>
  </r>
  <r>
    <x v="0"/>
    <x v="0"/>
    <x v="5"/>
    <n v="193.16"/>
  </r>
  <r>
    <x v="0"/>
    <x v="0"/>
    <x v="5"/>
    <n v="248.61199999999999"/>
  </r>
  <r>
    <x v="0"/>
    <x v="0"/>
    <x v="5"/>
    <n v="213.34200000000001"/>
  </r>
  <r>
    <x v="0"/>
    <x v="0"/>
    <x v="5"/>
    <n v="230.49199999999999"/>
  </r>
  <r>
    <x v="0"/>
    <x v="0"/>
    <x v="5"/>
    <n v="209.15299999999999"/>
  </r>
  <r>
    <x v="0"/>
    <x v="0"/>
    <x v="5"/>
    <n v="189.71799999999999"/>
  </r>
  <r>
    <x v="0"/>
    <x v="0"/>
    <x v="5"/>
    <n v="190.345"/>
  </r>
  <r>
    <x v="0"/>
    <x v="0"/>
    <x v="5"/>
    <n v="199.977"/>
  </r>
  <r>
    <x v="0"/>
    <x v="0"/>
    <x v="5"/>
    <n v="232.19300000000001"/>
  </r>
  <r>
    <x v="0"/>
    <x v="0"/>
    <x v="5"/>
    <n v="197.27199999999999"/>
  </r>
  <r>
    <x v="0"/>
    <x v="0"/>
    <x v="5"/>
    <n v="188.053"/>
  </r>
  <r>
    <x v="0"/>
    <x v="0"/>
    <x v="5"/>
    <n v="214.44"/>
  </r>
  <r>
    <x v="0"/>
    <x v="0"/>
    <x v="5"/>
    <n v="193.565"/>
  </r>
  <r>
    <x v="0"/>
    <x v="0"/>
    <x v="5"/>
    <n v="189.637"/>
  </r>
  <r>
    <x v="0"/>
    <x v="0"/>
    <x v="5"/>
    <n v="239.541"/>
  </r>
  <r>
    <x v="0"/>
    <x v="0"/>
    <x v="5"/>
    <n v="203.58600000000001"/>
  </r>
  <r>
    <x v="0"/>
    <x v="0"/>
    <x v="5"/>
    <n v="203.85599999999999"/>
  </r>
  <r>
    <x v="0"/>
    <x v="0"/>
    <x v="5"/>
    <n v="206.82900000000001"/>
  </r>
  <r>
    <x v="0"/>
    <x v="0"/>
    <x v="5"/>
    <n v="210.54400000000001"/>
  </r>
  <r>
    <x v="0"/>
    <x v="0"/>
    <x v="5"/>
    <n v="205.66"/>
  </r>
  <r>
    <x v="0"/>
    <x v="0"/>
    <x v="5"/>
    <n v="207.72300000000001"/>
  </r>
  <r>
    <x v="0"/>
    <x v="0"/>
    <x v="5"/>
    <n v="188.989"/>
  </r>
  <r>
    <x v="0"/>
    <x v="0"/>
    <x v="5"/>
    <n v="215.291"/>
  </r>
  <r>
    <x v="0"/>
    <x v="0"/>
    <x v="5"/>
    <n v="220.024"/>
  </r>
  <r>
    <x v="0"/>
    <x v="0"/>
    <x v="5"/>
    <n v="221.28200000000001"/>
  </r>
  <r>
    <x v="0"/>
    <x v="0"/>
    <x v="5"/>
    <n v="187.56399999999999"/>
  </r>
  <r>
    <x v="0"/>
    <x v="0"/>
    <x v="5"/>
    <n v="186.054"/>
  </r>
  <r>
    <x v="0"/>
    <x v="0"/>
    <x v="5"/>
    <n v="211.148"/>
  </r>
  <r>
    <x v="0"/>
    <x v="0"/>
    <x v="5"/>
    <n v="205.63399999999999"/>
  </r>
  <r>
    <x v="0"/>
    <x v="0"/>
    <x v="5"/>
    <n v="204.69"/>
  </r>
  <r>
    <x v="0"/>
    <x v="0"/>
    <x v="5"/>
    <n v="233.80199999999999"/>
  </r>
  <r>
    <x v="0"/>
    <x v="0"/>
    <x v="5"/>
    <n v="217.99799999999999"/>
  </r>
  <r>
    <x v="0"/>
    <x v="0"/>
    <x v="5"/>
    <n v="238.66"/>
  </r>
  <r>
    <x v="0"/>
    <x v="0"/>
    <x v="5"/>
    <n v="232.95500000000001"/>
  </r>
  <r>
    <x v="0"/>
    <x v="0"/>
    <x v="5"/>
    <n v="240.65600000000001"/>
  </r>
  <r>
    <x v="0"/>
    <x v="0"/>
    <x v="5"/>
    <n v="189.126"/>
  </r>
  <r>
    <x v="0"/>
    <x v="0"/>
    <x v="5"/>
    <n v="239.077"/>
  </r>
  <r>
    <x v="0"/>
    <x v="0"/>
    <x v="5"/>
    <n v="197.37100000000001"/>
  </r>
  <r>
    <x v="0"/>
    <x v="0"/>
    <x v="5"/>
    <n v="174.93299999999999"/>
  </r>
  <r>
    <x v="0"/>
    <x v="0"/>
    <x v="5"/>
    <n v="212.59299999999999"/>
  </r>
  <r>
    <x v="0"/>
    <x v="0"/>
    <x v="5"/>
    <n v="211.392"/>
  </r>
  <r>
    <x v="0"/>
    <x v="0"/>
    <x v="5"/>
    <n v="163.42500000000001"/>
  </r>
  <r>
    <x v="0"/>
    <x v="0"/>
    <x v="5"/>
    <n v="213.81299999999999"/>
  </r>
  <r>
    <x v="0"/>
    <x v="0"/>
    <x v="5"/>
    <n v="225.566"/>
  </r>
  <r>
    <x v="0"/>
    <x v="0"/>
    <x v="5"/>
    <n v="223.09700000000001"/>
  </r>
  <r>
    <x v="0"/>
    <x v="0"/>
    <x v="5"/>
    <n v="176.34899999999999"/>
  </r>
  <r>
    <x v="0"/>
    <x v="0"/>
    <x v="5"/>
    <n v="200.328"/>
  </r>
  <r>
    <x v="0"/>
    <x v="0"/>
    <x v="5"/>
    <n v="161.39699999999999"/>
  </r>
  <r>
    <x v="0"/>
    <x v="0"/>
    <x v="5"/>
    <n v="244.22"/>
  </r>
  <r>
    <x v="0"/>
    <x v="0"/>
    <x v="5"/>
    <n v="199.328"/>
  </r>
  <r>
    <x v="0"/>
    <x v="0"/>
    <x v="5"/>
    <n v="184.41900000000001"/>
  </r>
  <r>
    <x v="0"/>
    <x v="0"/>
    <x v="5"/>
    <n v="244.935"/>
  </r>
  <r>
    <x v="0"/>
    <x v="0"/>
    <x v="5"/>
    <n v="204.40600000000001"/>
  </r>
  <r>
    <x v="0"/>
    <x v="0"/>
    <x v="5"/>
    <n v="234.69499999999999"/>
  </r>
  <r>
    <x v="0"/>
    <x v="0"/>
    <x v="5"/>
    <n v="217.93799999999999"/>
  </r>
  <r>
    <x v="0"/>
    <x v="0"/>
    <x v="5"/>
    <n v="234.583"/>
  </r>
  <r>
    <x v="0"/>
    <x v="0"/>
    <x v="5"/>
    <n v="217.642"/>
  </r>
  <r>
    <x v="0"/>
    <x v="0"/>
    <x v="5"/>
    <n v="233.94800000000001"/>
  </r>
  <r>
    <x v="0"/>
    <x v="0"/>
    <x v="5"/>
    <n v="208.51300000000001"/>
  </r>
  <r>
    <x v="0"/>
    <x v="0"/>
    <x v="5"/>
    <n v="220.53399999999999"/>
  </r>
  <r>
    <x v="0"/>
    <x v="0"/>
    <x v="5"/>
    <n v="211.977"/>
  </r>
  <r>
    <x v="0"/>
    <x v="0"/>
    <x v="5"/>
    <n v="216.642"/>
  </r>
  <r>
    <x v="0"/>
    <x v="0"/>
    <x v="5"/>
    <n v="204.44"/>
  </r>
  <r>
    <x v="0"/>
    <x v="0"/>
    <x v="5"/>
    <n v="201.57300000000001"/>
  </r>
  <r>
    <x v="0"/>
    <x v="0"/>
    <x v="5"/>
    <n v="208.56100000000001"/>
  </r>
  <r>
    <x v="0"/>
    <x v="0"/>
    <x v="5"/>
    <n v="202.78299999999999"/>
  </r>
  <r>
    <x v="0"/>
    <x v="0"/>
    <x v="5"/>
    <n v="221.10499999999999"/>
  </r>
  <r>
    <x v="0"/>
    <x v="0"/>
    <x v="5"/>
    <n v="207.47499999999999"/>
  </r>
  <r>
    <x v="0"/>
    <x v="0"/>
    <x v="5"/>
    <n v="233.11799999999999"/>
  </r>
  <r>
    <x v="0"/>
    <x v="0"/>
    <x v="5"/>
    <n v="181.84200000000001"/>
  </r>
  <r>
    <x v="0"/>
    <x v="0"/>
    <x v="5"/>
    <n v="218.92599999999999"/>
  </r>
  <r>
    <x v="0"/>
    <x v="0"/>
    <x v="5"/>
    <n v="211.041"/>
  </r>
  <r>
    <x v="0"/>
    <x v="0"/>
    <x v="5"/>
    <n v="195.98099999999999"/>
  </r>
  <r>
    <x v="0"/>
    <x v="0"/>
    <x v="5"/>
    <n v="240.71899999999999"/>
  </r>
  <r>
    <x v="0"/>
    <x v="0"/>
    <x v="5"/>
    <n v="174.666"/>
  </r>
  <r>
    <x v="0"/>
    <x v="0"/>
    <x v="5"/>
    <n v="198.27799999999999"/>
  </r>
  <r>
    <x v="0"/>
    <x v="0"/>
    <x v="5"/>
    <n v="218.316"/>
  </r>
  <r>
    <x v="0"/>
    <x v="0"/>
    <x v="5"/>
    <n v="170.499"/>
  </r>
  <r>
    <x v="0"/>
    <x v="0"/>
    <x v="5"/>
    <n v="222.87799999999999"/>
  </r>
  <r>
    <x v="0"/>
    <x v="0"/>
    <x v="5"/>
    <n v="208.27699999999999"/>
  </r>
  <r>
    <x v="0"/>
    <x v="0"/>
    <x v="5"/>
    <n v="189.16"/>
  </r>
  <r>
    <x v="0"/>
    <x v="0"/>
    <x v="5"/>
    <n v="240.07599999999999"/>
  </r>
  <r>
    <x v="0"/>
    <x v="0"/>
    <x v="5"/>
    <n v="196.22900000000001"/>
  </r>
  <r>
    <x v="0"/>
    <x v="0"/>
    <x v="5"/>
    <n v="219.732"/>
  </r>
  <r>
    <x v="0"/>
    <x v="0"/>
    <x v="5"/>
    <n v="258.34199999999998"/>
  </r>
  <r>
    <x v="0"/>
    <x v="0"/>
    <x v="5"/>
    <n v="208.26900000000001"/>
  </r>
  <r>
    <x v="0"/>
    <x v="0"/>
    <x v="5"/>
    <n v="203.13200000000001"/>
  </r>
  <r>
    <x v="0"/>
    <x v="0"/>
    <x v="5"/>
    <n v="202.929"/>
  </r>
  <r>
    <x v="0"/>
    <x v="0"/>
    <x v="5"/>
    <n v="213.20099999999999"/>
  </r>
  <r>
    <x v="0"/>
    <x v="0"/>
    <x v="5"/>
    <n v="210.72"/>
  </r>
  <r>
    <x v="0"/>
    <x v="0"/>
    <x v="5"/>
    <n v="199.92599999999999"/>
  </r>
  <r>
    <x v="0"/>
    <x v="0"/>
    <x v="5"/>
    <n v="206.90899999999999"/>
  </r>
  <r>
    <x v="0"/>
    <x v="0"/>
    <x v="5"/>
    <n v="200.32900000000001"/>
  </r>
  <r>
    <x v="0"/>
    <x v="0"/>
    <x v="5"/>
    <n v="184.98099999999999"/>
  </r>
  <r>
    <x v="0"/>
    <x v="0"/>
    <x v="5"/>
    <n v="243.00399999999999"/>
  </r>
  <r>
    <x v="0"/>
    <x v="0"/>
    <x v="5"/>
    <n v="225.715"/>
  </r>
  <r>
    <x v="0"/>
    <x v="0"/>
    <x v="5"/>
    <n v="215.56100000000001"/>
  </r>
  <r>
    <x v="0"/>
    <x v="0"/>
    <x v="5"/>
    <n v="206.22200000000001"/>
  </r>
  <r>
    <x v="0"/>
    <x v="0"/>
    <x v="5"/>
    <n v="195.34200000000001"/>
  </r>
  <r>
    <x v="0"/>
    <x v="0"/>
    <x v="5"/>
    <n v="240.72900000000001"/>
  </r>
  <r>
    <x v="0"/>
    <x v="1"/>
    <x v="5"/>
    <n v="1310.3510000000001"/>
  </r>
  <r>
    <x v="0"/>
    <x v="1"/>
    <x v="5"/>
    <n v="1345.348"/>
  </r>
  <r>
    <x v="0"/>
    <x v="1"/>
    <x v="5"/>
    <n v="1347.6510000000001"/>
  </r>
  <r>
    <x v="0"/>
    <x v="1"/>
    <x v="5"/>
    <n v="1397.2339999999999"/>
  </r>
  <r>
    <x v="0"/>
    <x v="1"/>
    <x v="5"/>
    <n v="1304.123"/>
  </r>
  <r>
    <x v="0"/>
    <x v="1"/>
    <x v="5"/>
    <n v="1418.8820000000001"/>
  </r>
  <r>
    <x v="0"/>
    <x v="1"/>
    <x v="5"/>
    <n v="1333.7380000000001"/>
  </r>
  <r>
    <x v="0"/>
    <x v="1"/>
    <x v="5"/>
    <n v="1164.193"/>
  </r>
  <r>
    <x v="0"/>
    <x v="1"/>
    <x v="5"/>
    <n v="1318.376"/>
  </r>
  <r>
    <x v="0"/>
    <x v="1"/>
    <x v="5"/>
    <n v="1382.7919999999999"/>
  </r>
  <r>
    <x v="0"/>
    <x v="1"/>
    <x v="5"/>
    <n v="1321.3579999999999"/>
  </r>
  <r>
    <x v="0"/>
    <x v="1"/>
    <x v="5"/>
    <n v="1322.2460000000001"/>
  </r>
  <r>
    <x v="0"/>
    <x v="1"/>
    <x v="5"/>
    <n v="1356.2829999999999"/>
  </r>
  <r>
    <x v="0"/>
    <x v="1"/>
    <x v="5"/>
    <n v="1361.059"/>
  </r>
  <r>
    <x v="0"/>
    <x v="1"/>
    <x v="5"/>
    <n v="1335.105"/>
  </r>
  <r>
    <x v="0"/>
    <x v="1"/>
    <x v="5"/>
    <n v="1290.078"/>
  </r>
  <r>
    <x v="0"/>
    <x v="1"/>
    <x v="5"/>
    <n v="1310.377"/>
  </r>
  <r>
    <x v="0"/>
    <x v="1"/>
    <x v="5"/>
    <n v="1325.232"/>
  </r>
  <r>
    <x v="0"/>
    <x v="1"/>
    <x v="5"/>
    <n v="1337.357"/>
  </r>
  <r>
    <x v="0"/>
    <x v="1"/>
    <x v="5"/>
    <n v="1418.0129999999999"/>
  </r>
  <r>
    <x v="0"/>
    <x v="1"/>
    <x v="5"/>
    <n v="1291.692"/>
  </r>
  <r>
    <x v="0"/>
    <x v="1"/>
    <x v="5"/>
    <n v="1316.847"/>
  </r>
  <r>
    <x v="0"/>
    <x v="1"/>
    <x v="5"/>
    <n v="1365.789"/>
  </r>
  <r>
    <x v="0"/>
    <x v="1"/>
    <x v="5"/>
    <n v="1341.6"/>
  </r>
  <r>
    <x v="0"/>
    <x v="1"/>
    <x v="5"/>
    <n v="1352.6410000000001"/>
  </r>
  <r>
    <x v="0"/>
    <x v="1"/>
    <x v="5"/>
    <n v="1327.5060000000001"/>
  </r>
  <r>
    <x v="0"/>
    <x v="1"/>
    <x v="5"/>
    <n v="1377.826"/>
  </r>
  <r>
    <x v="0"/>
    <x v="1"/>
    <x v="5"/>
    <n v="1311.3130000000001"/>
  </r>
  <r>
    <x v="0"/>
    <x v="1"/>
    <x v="5"/>
    <n v="1331.827"/>
  </r>
  <r>
    <x v="0"/>
    <x v="1"/>
    <x v="5"/>
    <n v="1372.7280000000001"/>
  </r>
  <r>
    <x v="0"/>
    <x v="1"/>
    <x v="5"/>
    <n v="1339.2049999999999"/>
  </r>
  <r>
    <x v="0"/>
    <x v="1"/>
    <x v="5"/>
    <n v="1261.877"/>
  </r>
  <r>
    <x v="0"/>
    <x v="1"/>
    <x v="5"/>
    <n v="1296.643"/>
  </r>
  <r>
    <x v="0"/>
    <x v="1"/>
    <x v="5"/>
    <n v="1247.663"/>
  </r>
  <r>
    <x v="0"/>
    <x v="1"/>
    <x v="5"/>
    <n v="1195.2909999999999"/>
  </r>
  <r>
    <x v="0"/>
    <x v="1"/>
    <x v="5"/>
    <n v="1277.961"/>
  </r>
  <r>
    <x v="0"/>
    <x v="1"/>
    <x v="5"/>
    <n v="1340.6869999999999"/>
  </r>
  <r>
    <x v="0"/>
    <x v="1"/>
    <x v="5"/>
    <n v="1299.77"/>
  </r>
  <r>
    <x v="0"/>
    <x v="1"/>
    <x v="5"/>
    <n v="1359.596"/>
  </r>
  <r>
    <x v="0"/>
    <x v="1"/>
    <x v="5"/>
    <n v="1289.24"/>
  </r>
  <r>
    <x v="0"/>
    <x v="1"/>
    <x v="5"/>
    <n v="1287.3"/>
  </r>
  <r>
    <x v="0"/>
    <x v="1"/>
    <x v="5"/>
    <n v="1327.0650000000001"/>
  </r>
  <r>
    <x v="0"/>
    <x v="1"/>
    <x v="5"/>
    <n v="1313.229"/>
  </r>
  <r>
    <x v="0"/>
    <x v="1"/>
    <x v="5"/>
    <n v="1353.2270000000001"/>
  </r>
  <r>
    <x v="0"/>
    <x v="1"/>
    <x v="5"/>
    <n v="1341.877"/>
  </r>
  <r>
    <x v="0"/>
    <x v="1"/>
    <x v="5"/>
    <n v="1281.749"/>
  </r>
  <r>
    <x v="0"/>
    <x v="1"/>
    <x v="5"/>
    <n v="1329.598"/>
  </r>
  <r>
    <x v="0"/>
    <x v="1"/>
    <x v="5"/>
    <n v="1275.229"/>
  </r>
  <r>
    <x v="0"/>
    <x v="1"/>
    <x v="5"/>
    <n v="1303.902"/>
  </r>
  <r>
    <x v="0"/>
    <x v="1"/>
    <x v="5"/>
    <n v="1345.414"/>
  </r>
  <r>
    <x v="0"/>
    <x v="1"/>
    <x v="5"/>
    <n v="1394.93"/>
  </r>
  <r>
    <x v="0"/>
    <x v="1"/>
    <x v="5"/>
    <n v="1307.0429999999999"/>
  </r>
  <r>
    <x v="0"/>
    <x v="1"/>
    <x v="5"/>
    <n v="1409.386"/>
  </r>
  <r>
    <x v="0"/>
    <x v="1"/>
    <x v="5"/>
    <n v="1426.2260000000001"/>
  </r>
  <r>
    <x v="0"/>
    <x v="1"/>
    <x v="5"/>
    <n v="1288.692"/>
  </r>
  <r>
    <x v="0"/>
    <x v="1"/>
    <x v="5"/>
    <n v="1370.502"/>
  </r>
  <r>
    <x v="0"/>
    <x v="1"/>
    <x v="5"/>
    <n v="1353.7629999999999"/>
  </r>
  <r>
    <x v="0"/>
    <x v="1"/>
    <x v="5"/>
    <n v="1262.729"/>
  </r>
  <r>
    <x v="0"/>
    <x v="1"/>
    <x v="5"/>
    <n v="1261.6600000000001"/>
  </r>
  <r>
    <x v="0"/>
    <x v="1"/>
    <x v="5"/>
    <n v="1303.769"/>
  </r>
  <r>
    <x v="0"/>
    <x v="1"/>
    <x v="5"/>
    <n v="1334.279"/>
  </r>
  <r>
    <x v="0"/>
    <x v="1"/>
    <x v="5"/>
    <n v="1342.107"/>
  </r>
  <r>
    <x v="0"/>
    <x v="1"/>
    <x v="5"/>
    <n v="1266.893"/>
  </r>
  <r>
    <x v="0"/>
    <x v="1"/>
    <x v="5"/>
    <n v="1316.202"/>
  </r>
  <r>
    <x v="0"/>
    <x v="1"/>
    <x v="5"/>
    <n v="1323.3889999999999"/>
  </r>
  <r>
    <x v="0"/>
    <x v="1"/>
    <x v="5"/>
    <n v="1272.7270000000001"/>
  </r>
  <r>
    <x v="0"/>
    <x v="1"/>
    <x v="5"/>
    <n v="1312.2909999999999"/>
  </r>
  <r>
    <x v="0"/>
    <x v="1"/>
    <x v="5"/>
    <n v="1257.377"/>
  </r>
  <r>
    <x v="0"/>
    <x v="1"/>
    <x v="5"/>
    <n v="1267.9649999999999"/>
  </r>
  <r>
    <x v="0"/>
    <x v="1"/>
    <x v="5"/>
    <n v="1321.616"/>
  </r>
  <r>
    <x v="0"/>
    <x v="1"/>
    <x v="5"/>
    <n v="1283.6389999999999"/>
  </r>
  <r>
    <x v="0"/>
    <x v="1"/>
    <x v="5"/>
    <n v="1296.9590000000001"/>
  </r>
  <r>
    <x v="0"/>
    <x v="1"/>
    <x v="5"/>
    <n v="1306.5889999999999"/>
  </r>
  <r>
    <x v="0"/>
    <x v="1"/>
    <x v="5"/>
    <n v="1380.2760000000001"/>
  </r>
  <r>
    <x v="0"/>
    <x v="1"/>
    <x v="5"/>
    <n v="1391.682"/>
  </r>
  <r>
    <x v="0"/>
    <x v="1"/>
    <x v="5"/>
    <n v="1340.2929999999999"/>
  </r>
  <r>
    <x v="0"/>
    <x v="1"/>
    <x v="5"/>
    <n v="1284.0409999999999"/>
  </r>
  <r>
    <x v="0"/>
    <x v="1"/>
    <x v="5"/>
    <n v="1267.93"/>
  </r>
  <r>
    <x v="0"/>
    <x v="1"/>
    <x v="5"/>
    <n v="1368.6010000000001"/>
  </r>
  <r>
    <x v="0"/>
    <x v="1"/>
    <x v="5"/>
    <n v="1337.0060000000001"/>
  </r>
  <r>
    <x v="0"/>
    <x v="1"/>
    <x v="5"/>
    <n v="1238.3699999999999"/>
  </r>
  <r>
    <x v="0"/>
    <x v="1"/>
    <x v="5"/>
    <n v="1274.2819999999999"/>
  </r>
  <r>
    <x v="0"/>
    <x v="1"/>
    <x v="5"/>
    <n v="1305.79"/>
  </r>
  <r>
    <x v="0"/>
    <x v="1"/>
    <x v="5"/>
    <n v="1324.4010000000001"/>
  </r>
  <r>
    <x v="0"/>
    <x v="1"/>
    <x v="5"/>
    <n v="1348.258"/>
  </r>
  <r>
    <x v="0"/>
    <x v="1"/>
    <x v="5"/>
    <n v="1375.173"/>
  </r>
  <r>
    <x v="0"/>
    <x v="1"/>
    <x v="5"/>
    <n v="1331.8889999999999"/>
  </r>
  <r>
    <x v="0"/>
    <x v="1"/>
    <x v="5"/>
    <n v="1310.078"/>
  </r>
  <r>
    <x v="0"/>
    <x v="1"/>
    <x v="5"/>
    <n v="1319.98"/>
  </r>
  <r>
    <x v="0"/>
    <x v="1"/>
    <x v="5"/>
    <n v="1320.595"/>
  </r>
  <r>
    <x v="0"/>
    <x v="1"/>
    <x v="5"/>
    <n v="1399.9469999999999"/>
  </r>
  <r>
    <x v="0"/>
    <x v="1"/>
    <x v="5"/>
    <n v="1362.5550000000001"/>
  </r>
  <r>
    <x v="0"/>
    <x v="1"/>
    <x v="5"/>
    <n v="1384.972"/>
  </r>
  <r>
    <x v="0"/>
    <x v="1"/>
    <x v="5"/>
    <n v="1315.307"/>
  </r>
  <r>
    <x v="0"/>
    <x v="1"/>
    <x v="5"/>
    <n v="1355.231"/>
  </r>
  <r>
    <x v="0"/>
    <x v="1"/>
    <x v="5"/>
    <n v="1267.7560000000001"/>
  </r>
  <r>
    <x v="0"/>
    <x v="1"/>
    <x v="5"/>
    <n v="1255.9380000000001"/>
  </r>
  <r>
    <x v="0"/>
    <x v="1"/>
    <x v="5"/>
    <n v="1346.4449999999999"/>
  </r>
  <r>
    <x v="0"/>
    <x v="1"/>
    <x v="5"/>
    <n v="1359.3979999999999"/>
  </r>
  <r>
    <x v="0"/>
    <x v="1"/>
    <x v="5"/>
    <n v="1291.771"/>
  </r>
  <r>
    <x v="0"/>
    <x v="2"/>
    <x v="5"/>
    <n v="4096.0929999999998"/>
  </r>
  <r>
    <x v="0"/>
    <x v="2"/>
    <x v="5"/>
    <n v="3984.415"/>
  </r>
  <r>
    <x v="0"/>
    <x v="2"/>
    <x v="5"/>
    <n v="4040.0949999999998"/>
  </r>
  <r>
    <x v="0"/>
    <x v="2"/>
    <x v="5"/>
    <n v="4080.1410000000001"/>
  </r>
  <r>
    <x v="0"/>
    <x v="2"/>
    <x v="5"/>
    <n v="3941.93"/>
  </r>
  <r>
    <x v="0"/>
    <x v="2"/>
    <x v="5"/>
    <n v="4124.3969999999999"/>
  </r>
  <r>
    <x v="0"/>
    <x v="2"/>
    <x v="5"/>
    <n v="3993.1909999999998"/>
  </r>
  <r>
    <x v="0"/>
    <x v="2"/>
    <x v="5"/>
    <n v="4080.4650000000001"/>
  </r>
  <r>
    <x v="0"/>
    <x v="2"/>
    <x v="5"/>
    <n v="4149.3549999999996"/>
  </r>
  <r>
    <x v="0"/>
    <x v="2"/>
    <x v="5"/>
    <n v="4098.9679999999998"/>
  </r>
  <r>
    <x v="0"/>
    <x v="2"/>
    <x v="5"/>
    <n v="3992.5369999999998"/>
  </r>
  <r>
    <x v="0"/>
    <x v="2"/>
    <x v="5"/>
    <n v="3973.6509999999998"/>
  </r>
  <r>
    <x v="0"/>
    <x v="2"/>
    <x v="5"/>
    <n v="3940.6680000000001"/>
  </r>
  <r>
    <x v="0"/>
    <x v="2"/>
    <x v="5"/>
    <n v="4148.5789999999997"/>
  </r>
  <r>
    <x v="0"/>
    <x v="2"/>
    <x v="5"/>
    <n v="4110.1540000000005"/>
  </r>
  <r>
    <x v="0"/>
    <x v="2"/>
    <x v="5"/>
    <n v="4003.6819999999998"/>
  </r>
  <r>
    <x v="0"/>
    <x v="2"/>
    <x v="5"/>
    <n v="4141.942"/>
  </r>
  <r>
    <x v="0"/>
    <x v="2"/>
    <x v="5"/>
    <n v="4052.7429999999999"/>
  </r>
  <r>
    <x v="0"/>
    <x v="2"/>
    <x v="5"/>
    <n v="4122.268"/>
  </r>
  <r>
    <x v="0"/>
    <x v="2"/>
    <x v="5"/>
    <n v="3958.8209999999999"/>
  </r>
  <r>
    <x v="0"/>
    <x v="2"/>
    <x v="5"/>
    <n v="3996.576"/>
  </r>
  <r>
    <x v="0"/>
    <x v="2"/>
    <x v="5"/>
    <n v="4073.2130000000002"/>
  </r>
  <r>
    <x v="0"/>
    <x v="2"/>
    <x v="5"/>
    <n v="4088.828"/>
  </r>
  <r>
    <x v="0"/>
    <x v="2"/>
    <x v="5"/>
    <n v="4010.9409999999998"/>
  </r>
  <r>
    <x v="0"/>
    <x v="2"/>
    <x v="5"/>
    <n v="4007.9380000000001"/>
  </r>
  <r>
    <x v="0"/>
    <x v="2"/>
    <x v="5"/>
    <n v="4113.442"/>
  </r>
  <r>
    <x v="0"/>
    <x v="2"/>
    <x v="5"/>
    <n v="4050.5990000000002"/>
  </r>
  <r>
    <x v="0"/>
    <x v="2"/>
    <x v="5"/>
    <n v="4211.6210000000001"/>
  </r>
  <r>
    <x v="0"/>
    <x v="2"/>
    <x v="5"/>
    <n v="3982.9879999999998"/>
  </r>
  <r>
    <x v="0"/>
    <x v="2"/>
    <x v="5"/>
    <n v="3906.5590000000002"/>
  </r>
  <r>
    <x v="0"/>
    <x v="2"/>
    <x v="5"/>
    <n v="4223.28"/>
  </r>
  <r>
    <x v="0"/>
    <x v="2"/>
    <x v="5"/>
    <n v="4010.3850000000002"/>
  </r>
  <r>
    <x v="0"/>
    <x v="2"/>
    <x v="5"/>
    <n v="4024.52"/>
  </r>
  <r>
    <x v="0"/>
    <x v="2"/>
    <x v="5"/>
    <n v="4051.33"/>
  </r>
  <r>
    <x v="0"/>
    <x v="2"/>
    <x v="5"/>
    <n v="4134.8490000000002"/>
  </r>
  <r>
    <x v="0"/>
    <x v="2"/>
    <x v="5"/>
    <n v="4108.4889999999996"/>
  </r>
  <r>
    <x v="0"/>
    <x v="2"/>
    <x v="5"/>
    <n v="3945.1860000000001"/>
  </r>
  <r>
    <x v="0"/>
    <x v="2"/>
    <x v="5"/>
    <n v="4068.1880000000001"/>
  </r>
  <r>
    <x v="0"/>
    <x v="2"/>
    <x v="5"/>
    <n v="4001.703"/>
  </r>
  <r>
    <x v="0"/>
    <x v="2"/>
    <x v="5"/>
    <n v="4312.8999999999996"/>
  </r>
  <r>
    <x v="0"/>
    <x v="2"/>
    <x v="5"/>
    <n v="3930.4409999999998"/>
  </r>
  <r>
    <x v="0"/>
    <x v="2"/>
    <x v="5"/>
    <n v="4008.8290000000002"/>
  </r>
  <r>
    <x v="0"/>
    <x v="2"/>
    <x v="5"/>
    <n v="4045.52"/>
  </r>
  <r>
    <x v="0"/>
    <x v="2"/>
    <x v="5"/>
    <n v="4065.3159999999998"/>
  </r>
  <r>
    <x v="0"/>
    <x v="2"/>
    <x v="5"/>
    <n v="3908.5509999999999"/>
  </r>
  <r>
    <x v="0"/>
    <x v="2"/>
    <x v="5"/>
    <n v="4105.8410000000003"/>
  </r>
  <r>
    <x v="0"/>
    <x v="2"/>
    <x v="5"/>
    <n v="4081.7829999999999"/>
  </r>
  <r>
    <x v="0"/>
    <x v="2"/>
    <x v="5"/>
    <n v="4014.3710000000001"/>
  </r>
  <r>
    <x v="0"/>
    <x v="2"/>
    <x v="5"/>
    <n v="4111.9780000000001"/>
  </r>
  <r>
    <x v="0"/>
    <x v="2"/>
    <x v="5"/>
    <n v="4144.5540000000001"/>
  </r>
  <r>
    <x v="0"/>
    <x v="2"/>
    <x v="5"/>
    <n v="4168.9380000000001"/>
  </r>
  <r>
    <x v="0"/>
    <x v="2"/>
    <x v="5"/>
    <n v="4219.1819999999998"/>
  </r>
  <r>
    <x v="0"/>
    <x v="2"/>
    <x v="5"/>
    <n v="3942.596"/>
  </r>
  <r>
    <x v="0"/>
    <x v="2"/>
    <x v="5"/>
    <n v="4130.9480000000003"/>
  </r>
  <r>
    <x v="0"/>
    <x v="2"/>
    <x v="5"/>
    <n v="4089.7069999999999"/>
  </r>
  <r>
    <x v="0"/>
    <x v="2"/>
    <x v="5"/>
    <n v="4118.5360000000001"/>
  </r>
  <r>
    <x v="0"/>
    <x v="2"/>
    <x v="5"/>
    <n v="4016.1170000000002"/>
  </r>
  <r>
    <x v="0"/>
    <x v="2"/>
    <x v="5"/>
    <n v="4018.0079999999998"/>
  </r>
  <r>
    <x v="0"/>
    <x v="2"/>
    <x v="5"/>
    <n v="3992.3780000000002"/>
  </r>
  <r>
    <x v="0"/>
    <x v="2"/>
    <x v="5"/>
    <n v="4142.5569999999998"/>
  </r>
  <r>
    <x v="0"/>
    <x v="2"/>
    <x v="5"/>
    <n v="3858.7959999999998"/>
  </r>
  <r>
    <x v="0"/>
    <x v="2"/>
    <x v="5"/>
    <n v="4090.3"/>
  </r>
  <r>
    <x v="0"/>
    <x v="2"/>
    <x v="5"/>
    <n v="4029.759"/>
  </r>
  <r>
    <x v="0"/>
    <x v="2"/>
    <x v="5"/>
    <n v="4001.221"/>
  </r>
  <r>
    <x v="0"/>
    <x v="2"/>
    <x v="5"/>
    <n v="4012.7559999999999"/>
  </r>
  <r>
    <x v="0"/>
    <x v="2"/>
    <x v="5"/>
    <n v="3915.8130000000001"/>
  </r>
  <r>
    <x v="0"/>
    <x v="2"/>
    <x v="5"/>
    <n v="4088.922"/>
  </r>
  <r>
    <x v="0"/>
    <x v="2"/>
    <x v="5"/>
    <n v="3927.66"/>
  </r>
  <r>
    <x v="0"/>
    <x v="2"/>
    <x v="5"/>
    <n v="3983.3820000000001"/>
  </r>
  <r>
    <x v="0"/>
    <x v="2"/>
    <x v="5"/>
    <n v="3999.0250000000001"/>
  </r>
  <r>
    <x v="0"/>
    <x v="2"/>
    <x v="5"/>
    <n v="4043.9279999999999"/>
  </r>
  <r>
    <x v="0"/>
    <x v="2"/>
    <x v="5"/>
    <n v="4005.6239999999998"/>
  </r>
  <r>
    <x v="0"/>
    <x v="2"/>
    <x v="5"/>
    <n v="4073.9960000000001"/>
  </r>
  <r>
    <x v="0"/>
    <x v="2"/>
    <x v="5"/>
    <n v="4121.1120000000001"/>
  </r>
  <r>
    <x v="0"/>
    <x v="2"/>
    <x v="5"/>
    <n v="4052.9290000000001"/>
  </r>
  <r>
    <x v="0"/>
    <x v="2"/>
    <x v="5"/>
    <n v="4002.373"/>
  </r>
  <r>
    <x v="0"/>
    <x v="2"/>
    <x v="5"/>
    <n v="4071.2579999999998"/>
  </r>
  <r>
    <x v="0"/>
    <x v="2"/>
    <x v="5"/>
    <n v="3968.9969999999998"/>
  </r>
  <r>
    <x v="0"/>
    <x v="2"/>
    <x v="5"/>
    <n v="4059.5720000000001"/>
  </r>
  <r>
    <x v="0"/>
    <x v="2"/>
    <x v="5"/>
    <n v="4029.2820000000002"/>
  </r>
  <r>
    <x v="0"/>
    <x v="2"/>
    <x v="5"/>
    <n v="4096.8990000000003"/>
  </r>
  <r>
    <x v="0"/>
    <x v="2"/>
    <x v="5"/>
    <n v="4151.9530000000004"/>
  </r>
  <r>
    <x v="0"/>
    <x v="2"/>
    <x v="5"/>
    <n v="4167.2430000000004"/>
  </r>
  <r>
    <x v="0"/>
    <x v="2"/>
    <x v="5"/>
    <n v="4163.5820000000003"/>
  </r>
  <r>
    <x v="0"/>
    <x v="2"/>
    <x v="5"/>
    <n v="3994.0790000000002"/>
  </r>
  <r>
    <x v="0"/>
    <x v="2"/>
    <x v="5"/>
    <n v="4028.183"/>
  </r>
  <r>
    <x v="0"/>
    <x v="2"/>
    <x v="5"/>
    <n v="4073.297"/>
  </r>
  <r>
    <x v="0"/>
    <x v="2"/>
    <x v="5"/>
    <n v="3886.3090000000002"/>
  </r>
  <r>
    <x v="0"/>
    <x v="2"/>
    <x v="5"/>
    <n v="3946.86"/>
  </r>
  <r>
    <x v="0"/>
    <x v="2"/>
    <x v="5"/>
    <n v="4168.2120000000004"/>
  </r>
  <r>
    <x v="0"/>
    <x v="2"/>
    <x v="5"/>
    <n v="4035.5680000000002"/>
  </r>
  <r>
    <x v="0"/>
    <x v="2"/>
    <x v="5"/>
    <n v="4159.4170000000004"/>
  </r>
  <r>
    <x v="0"/>
    <x v="2"/>
    <x v="5"/>
    <n v="3961.643"/>
  </r>
  <r>
    <x v="0"/>
    <x v="2"/>
    <x v="5"/>
    <n v="4153.8209999999999"/>
  </r>
  <r>
    <x v="0"/>
    <x v="2"/>
    <x v="5"/>
    <n v="4008.4850000000001"/>
  </r>
  <r>
    <x v="0"/>
    <x v="2"/>
    <x v="5"/>
    <n v="4094.2579999999998"/>
  </r>
  <r>
    <x v="0"/>
    <x v="2"/>
    <x v="5"/>
    <n v="4223.7820000000002"/>
  </r>
  <r>
    <x v="0"/>
    <x v="2"/>
    <x v="5"/>
    <n v="4070.9580000000001"/>
  </r>
  <r>
    <x v="0"/>
    <x v="2"/>
    <x v="5"/>
    <n v="4123.5950000000003"/>
  </r>
  <r>
    <x v="0"/>
    <x v="2"/>
    <x v="5"/>
    <n v="3979.7420000000002"/>
  </r>
  <r>
    <x v="1"/>
    <x v="0"/>
    <x v="5"/>
    <n v="199.73500000000001"/>
  </r>
  <r>
    <x v="1"/>
    <x v="0"/>
    <x v="5"/>
    <n v="200.78299999999999"/>
  </r>
  <r>
    <x v="1"/>
    <x v="0"/>
    <x v="5"/>
    <n v="191.346"/>
  </r>
  <r>
    <x v="1"/>
    <x v="0"/>
    <x v="5"/>
    <n v="208.221"/>
  </r>
  <r>
    <x v="1"/>
    <x v="0"/>
    <x v="5"/>
    <n v="219.983"/>
  </r>
  <r>
    <x v="1"/>
    <x v="0"/>
    <x v="5"/>
    <n v="193.49100000000001"/>
  </r>
  <r>
    <x v="1"/>
    <x v="0"/>
    <x v="5"/>
    <n v="195.27199999999999"/>
  </r>
  <r>
    <x v="1"/>
    <x v="0"/>
    <x v="5"/>
    <n v="185.101"/>
  </r>
  <r>
    <x v="1"/>
    <x v="0"/>
    <x v="5"/>
    <n v="216.65899999999999"/>
  </r>
  <r>
    <x v="1"/>
    <x v="0"/>
    <x v="5"/>
    <n v="204.71"/>
  </r>
  <r>
    <x v="1"/>
    <x v="0"/>
    <x v="5"/>
    <n v="214.51300000000001"/>
  </r>
  <r>
    <x v="1"/>
    <x v="0"/>
    <x v="5"/>
    <n v="213.36699999999999"/>
  </r>
  <r>
    <x v="1"/>
    <x v="0"/>
    <x v="5"/>
    <n v="218.732"/>
  </r>
  <r>
    <x v="1"/>
    <x v="0"/>
    <x v="5"/>
    <n v="201.221"/>
  </r>
  <r>
    <x v="1"/>
    <x v="0"/>
    <x v="5"/>
    <n v="208.41499999999999"/>
  </r>
  <r>
    <x v="1"/>
    <x v="0"/>
    <x v="5"/>
    <n v="194.22399999999999"/>
  </r>
  <r>
    <x v="1"/>
    <x v="0"/>
    <x v="5"/>
    <n v="181.90700000000001"/>
  </r>
  <r>
    <x v="1"/>
    <x v="0"/>
    <x v="5"/>
    <n v="206.929"/>
  </r>
  <r>
    <x v="1"/>
    <x v="0"/>
    <x v="5"/>
    <n v="190.51599999999999"/>
  </r>
  <r>
    <x v="1"/>
    <x v="0"/>
    <x v="5"/>
    <n v="231.59100000000001"/>
  </r>
  <r>
    <x v="1"/>
    <x v="0"/>
    <x v="5"/>
    <n v="205.00200000000001"/>
  </r>
  <r>
    <x v="1"/>
    <x v="0"/>
    <x v="5"/>
    <n v="215.78"/>
  </r>
  <r>
    <x v="1"/>
    <x v="0"/>
    <x v="5"/>
    <n v="191.71"/>
  </r>
  <r>
    <x v="1"/>
    <x v="0"/>
    <x v="5"/>
    <n v="204.87799999999999"/>
  </r>
  <r>
    <x v="1"/>
    <x v="0"/>
    <x v="5"/>
    <n v="201.26900000000001"/>
  </r>
  <r>
    <x v="1"/>
    <x v="0"/>
    <x v="5"/>
    <n v="193.27199999999999"/>
  </r>
  <r>
    <x v="1"/>
    <x v="0"/>
    <x v="5"/>
    <n v="217.86099999999999"/>
  </r>
  <r>
    <x v="1"/>
    <x v="0"/>
    <x v="5"/>
    <n v="194.2"/>
  </r>
  <r>
    <x v="1"/>
    <x v="0"/>
    <x v="5"/>
    <n v="182.90700000000001"/>
  </r>
  <r>
    <x v="1"/>
    <x v="0"/>
    <x v="5"/>
    <n v="228.64699999999999"/>
  </r>
  <r>
    <x v="1"/>
    <x v="0"/>
    <x v="5"/>
    <n v="224.274"/>
  </r>
  <r>
    <x v="1"/>
    <x v="0"/>
    <x v="5"/>
    <n v="194.78299999999999"/>
  </r>
  <r>
    <x v="1"/>
    <x v="0"/>
    <x v="5"/>
    <n v="227.21799999999999"/>
  </r>
  <r>
    <x v="1"/>
    <x v="0"/>
    <x v="5"/>
    <n v="195.80799999999999"/>
  </r>
  <r>
    <x v="1"/>
    <x v="0"/>
    <x v="5"/>
    <n v="214.58600000000001"/>
  </r>
  <r>
    <x v="1"/>
    <x v="0"/>
    <x v="5"/>
    <n v="209.857"/>
  </r>
  <r>
    <x v="1"/>
    <x v="0"/>
    <x v="5"/>
    <n v="197.12700000000001"/>
  </r>
  <r>
    <x v="1"/>
    <x v="0"/>
    <x v="5"/>
    <n v="218.29900000000001"/>
  </r>
  <r>
    <x v="1"/>
    <x v="0"/>
    <x v="5"/>
    <n v="192.71"/>
  </r>
  <r>
    <x v="1"/>
    <x v="0"/>
    <x v="5"/>
    <n v="215.46100000000001"/>
  </r>
  <r>
    <x v="1"/>
    <x v="0"/>
    <x v="5"/>
    <n v="188.71"/>
  </r>
  <r>
    <x v="1"/>
    <x v="0"/>
    <x v="5"/>
    <n v="208.131"/>
  </r>
  <r>
    <x v="1"/>
    <x v="0"/>
    <x v="5"/>
    <n v="206.36699999999999"/>
  </r>
  <r>
    <x v="1"/>
    <x v="0"/>
    <x v="5"/>
    <n v="208.148"/>
  </r>
  <r>
    <x v="1"/>
    <x v="0"/>
    <x v="5"/>
    <n v="206.00200000000001"/>
  </r>
  <r>
    <x v="1"/>
    <x v="0"/>
    <x v="5"/>
    <n v="187.393"/>
  </r>
  <r>
    <x v="1"/>
    <x v="0"/>
    <x v="5"/>
    <n v="205.36699999999999"/>
  </r>
  <r>
    <x v="1"/>
    <x v="0"/>
    <x v="5"/>
    <n v="199.27199999999999"/>
  </r>
  <r>
    <x v="1"/>
    <x v="0"/>
    <x v="5"/>
    <n v="213.58600000000001"/>
  </r>
  <r>
    <x v="1"/>
    <x v="0"/>
    <x v="5"/>
    <n v="212.934"/>
  </r>
  <r>
    <x v="1"/>
    <x v="0"/>
    <x v="5"/>
    <n v="226.37200000000001"/>
  </r>
  <r>
    <x v="1"/>
    <x v="0"/>
    <x v="5"/>
    <n v="202.78299999999999"/>
  </r>
  <r>
    <x v="1"/>
    <x v="0"/>
    <x v="5"/>
    <n v="211.642"/>
  </r>
  <r>
    <x v="1"/>
    <x v="0"/>
    <x v="5"/>
    <n v="216.934"/>
  </r>
  <r>
    <x v="1"/>
    <x v="0"/>
    <x v="5"/>
    <n v="213.58600000000001"/>
  </r>
  <r>
    <x v="1"/>
    <x v="0"/>
    <x v="5"/>
    <n v="201.51300000000001"/>
  </r>
  <r>
    <x v="1"/>
    <x v="0"/>
    <x v="5"/>
    <n v="218.90899999999999"/>
  </r>
  <r>
    <x v="1"/>
    <x v="0"/>
    <x v="5"/>
    <n v="209.87799999999999"/>
  </r>
  <r>
    <x v="1"/>
    <x v="0"/>
    <x v="5"/>
    <n v="201.26900000000001"/>
  </r>
  <r>
    <x v="1"/>
    <x v="0"/>
    <x v="5"/>
    <n v="208.56899999999999"/>
  </r>
  <r>
    <x v="1"/>
    <x v="0"/>
    <x v="5"/>
    <n v="194.41800000000001"/>
  </r>
  <r>
    <x v="1"/>
    <x v="0"/>
    <x v="5"/>
    <n v="186.88399999999999"/>
  </r>
  <r>
    <x v="1"/>
    <x v="0"/>
    <x v="5"/>
    <n v="227.535"/>
  </r>
  <r>
    <x v="1"/>
    <x v="0"/>
    <x v="5"/>
    <n v="187.297"/>
  </r>
  <r>
    <x v="1"/>
    <x v="0"/>
    <x v="5"/>
    <n v="188.19900000000001"/>
  </r>
  <r>
    <x v="1"/>
    <x v="0"/>
    <x v="5"/>
    <n v="200.572"/>
  </r>
  <r>
    <x v="1"/>
    <x v="0"/>
    <x v="5"/>
    <n v="210.221"/>
  </r>
  <r>
    <x v="1"/>
    <x v="0"/>
    <x v="5"/>
    <n v="220.982"/>
  </r>
  <r>
    <x v="1"/>
    <x v="0"/>
    <x v="5"/>
    <n v="189.126"/>
  </r>
  <r>
    <x v="1"/>
    <x v="0"/>
    <x v="5"/>
    <n v="203.148"/>
  </r>
  <r>
    <x v="1"/>
    <x v="0"/>
    <x v="5"/>
    <n v="213.715"/>
  </r>
  <r>
    <x v="1"/>
    <x v="0"/>
    <x v="5"/>
    <n v="214.51300000000001"/>
  </r>
  <r>
    <x v="1"/>
    <x v="0"/>
    <x v="5"/>
    <n v="201.488"/>
  </r>
  <r>
    <x v="1"/>
    <x v="0"/>
    <x v="5"/>
    <n v="208.65899999999999"/>
  </r>
  <r>
    <x v="1"/>
    <x v="0"/>
    <x v="5"/>
    <n v="203.929"/>
  </r>
  <r>
    <x v="1"/>
    <x v="0"/>
    <x v="5"/>
    <n v="225.518"/>
  </r>
  <r>
    <x v="1"/>
    <x v="0"/>
    <x v="5"/>
    <n v="207.36699999999999"/>
  </r>
  <r>
    <x v="1"/>
    <x v="0"/>
    <x v="5"/>
    <n v="204.00200000000001"/>
  </r>
  <r>
    <x v="1"/>
    <x v="0"/>
    <x v="5"/>
    <n v="194.66200000000001"/>
  </r>
  <r>
    <x v="1"/>
    <x v="0"/>
    <x v="5"/>
    <n v="213.05"/>
  </r>
  <r>
    <x v="1"/>
    <x v="0"/>
    <x v="5"/>
    <n v="194.27199999999999"/>
  </r>
  <r>
    <x v="1"/>
    <x v="0"/>
    <x v="5"/>
    <n v="187.053"/>
  </r>
  <r>
    <x v="1"/>
    <x v="0"/>
    <x v="5"/>
    <n v="210.29400000000001"/>
  </r>
  <r>
    <x v="1"/>
    <x v="0"/>
    <x v="5"/>
    <n v="216.642"/>
  </r>
  <r>
    <x v="1"/>
    <x v="0"/>
    <x v="5"/>
    <n v="217.51300000000001"/>
  </r>
  <r>
    <x v="1"/>
    <x v="0"/>
    <x v="5"/>
    <n v="204.732"/>
  </r>
  <r>
    <x v="1"/>
    <x v="0"/>
    <x v="5"/>
    <n v="208.34200000000001"/>
  </r>
  <r>
    <x v="1"/>
    <x v="0"/>
    <x v="5"/>
    <n v="211.65899999999999"/>
  </r>
  <r>
    <x v="1"/>
    <x v="0"/>
    <x v="5"/>
    <n v="209.49600000000001"/>
  </r>
  <r>
    <x v="1"/>
    <x v="0"/>
    <x v="5"/>
    <n v="202.345"/>
  </r>
  <r>
    <x v="1"/>
    <x v="0"/>
    <x v="5"/>
    <n v="197.637"/>
  </r>
  <r>
    <x v="1"/>
    <x v="0"/>
    <x v="5"/>
    <n v="215.80500000000001"/>
  </r>
  <r>
    <x v="1"/>
    <x v="0"/>
    <x v="5"/>
    <n v="224.09700000000001"/>
  </r>
  <r>
    <x v="1"/>
    <x v="0"/>
    <x v="5"/>
    <n v="222.14500000000001"/>
  </r>
  <r>
    <x v="1"/>
    <x v="0"/>
    <x v="5"/>
    <n v="212.148"/>
  </r>
  <r>
    <x v="1"/>
    <x v="0"/>
    <x v="5"/>
    <n v="208.07499999999999"/>
  </r>
  <r>
    <x v="1"/>
    <x v="0"/>
    <x v="5"/>
    <n v="212.36699999999999"/>
  </r>
  <r>
    <x v="1"/>
    <x v="0"/>
    <x v="5"/>
    <n v="213.131"/>
  </r>
  <r>
    <x v="1"/>
    <x v="0"/>
    <x v="5"/>
    <n v="201.51300000000001"/>
  </r>
  <r>
    <x v="1"/>
    <x v="0"/>
    <x v="5"/>
    <n v="231.827"/>
  </r>
  <r>
    <x v="1"/>
    <x v="1"/>
    <x v="5"/>
    <n v="1348.002"/>
  </r>
  <r>
    <x v="1"/>
    <x v="1"/>
    <x v="5"/>
    <n v="1299.999"/>
  </r>
  <r>
    <x v="1"/>
    <x v="1"/>
    <x v="5"/>
    <n v="1280.991"/>
  </r>
  <r>
    <x v="1"/>
    <x v="1"/>
    <x v="5"/>
    <n v="1313.7090000000001"/>
  </r>
  <r>
    <x v="1"/>
    <x v="1"/>
    <x v="5"/>
    <n v="1281.671"/>
  </r>
  <r>
    <x v="1"/>
    <x v="1"/>
    <x v="5"/>
    <n v="1304.578"/>
  </r>
  <r>
    <x v="1"/>
    <x v="1"/>
    <x v="5"/>
    <n v="1339.38"/>
  </r>
  <r>
    <x v="1"/>
    <x v="1"/>
    <x v="5"/>
    <n v="1320.348"/>
  </r>
  <r>
    <x v="1"/>
    <x v="1"/>
    <x v="5"/>
    <n v="1309.0809999999999"/>
  </r>
  <r>
    <x v="1"/>
    <x v="1"/>
    <x v="5"/>
    <n v="1280.943"/>
  </r>
  <r>
    <x v="1"/>
    <x v="1"/>
    <x v="5"/>
    <n v="1303.3620000000001"/>
  </r>
  <r>
    <x v="1"/>
    <x v="1"/>
    <x v="5"/>
    <n v="1357.4"/>
  </r>
  <r>
    <x v="1"/>
    <x v="1"/>
    <x v="5"/>
    <n v="1289.385"/>
  </r>
  <r>
    <x v="1"/>
    <x v="1"/>
    <x v="5"/>
    <n v="1294.2429999999999"/>
  </r>
  <r>
    <x v="1"/>
    <x v="1"/>
    <x v="5"/>
    <n v="1298.7460000000001"/>
  </r>
  <r>
    <x v="1"/>
    <x v="1"/>
    <x v="5"/>
    <n v="1248.8030000000001"/>
  </r>
  <r>
    <x v="1"/>
    <x v="1"/>
    <x v="5"/>
    <n v="1226.0609999999999"/>
  </r>
  <r>
    <x v="1"/>
    <x v="1"/>
    <x v="5"/>
    <n v="1304.0930000000001"/>
  </r>
  <r>
    <x v="1"/>
    <x v="1"/>
    <x v="5"/>
    <n v="1314.961"/>
  </r>
  <r>
    <x v="1"/>
    <x v="1"/>
    <x v="5"/>
    <n v="1324.4459999999999"/>
  </r>
  <r>
    <x v="1"/>
    <x v="1"/>
    <x v="5"/>
    <n v="1261.1199999999999"/>
  </r>
  <r>
    <x v="1"/>
    <x v="1"/>
    <x v="5"/>
    <n v="1311.3"/>
  </r>
  <r>
    <x v="1"/>
    <x v="1"/>
    <x v="5"/>
    <n v="1318.683"/>
  </r>
  <r>
    <x v="1"/>
    <x v="1"/>
    <x v="5"/>
    <n v="1288.693"/>
  </r>
  <r>
    <x v="1"/>
    <x v="1"/>
    <x v="5"/>
    <n v="1291.877"/>
  </r>
  <r>
    <x v="1"/>
    <x v="1"/>
    <x v="5"/>
    <n v="1231.671"/>
  </r>
  <r>
    <x v="1"/>
    <x v="1"/>
    <x v="5"/>
    <n v="1310.085"/>
  </r>
  <r>
    <x v="1"/>
    <x v="1"/>
    <x v="5"/>
    <n v="1325.48"/>
  </r>
  <r>
    <x v="1"/>
    <x v="1"/>
    <x v="5"/>
    <n v="1300.3150000000001"/>
  </r>
  <r>
    <x v="1"/>
    <x v="1"/>
    <x v="5"/>
    <n v="1341.952"/>
  </r>
  <r>
    <x v="1"/>
    <x v="1"/>
    <x v="5"/>
    <n v="1325.98"/>
  </r>
  <r>
    <x v="1"/>
    <x v="1"/>
    <x v="5"/>
    <n v="1245.74"/>
  </r>
  <r>
    <x v="1"/>
    <x v="1"/>
    <x v="5"/>
    <n v="1307.1389999999999"/>
  </r>
  <r>
    <x v="1"/>
    <x v="1"/>
    <x v="5"/>
    <n v="1237.5719999999999"/>
  </r>
  <r>
    <x v="1"/>
    <x v="1"/>
    <x v="5"/>
    <n v="1345.0229999999999"/>
  </r>
  <r>
    <x v="1"/>
    <x v="1"/>
    <x v="5"/>
    <n v="1335.67"/>
  </r>
  <r>
    <x v="1"/>
    <x v="1"/>
    <x v="5"/>
    <n v="1274.77"/>
  </r>
  <r>
    <x v="1"/>
    <x v="1"/>
    <x v="5"/>
    <n v="1342.0709999999999"/>
  </r>
  <r>
    <x v="1"/>
    <x v="1"/>
    <x v="5"/>
    <n v="1267.403"/>
  </r>
  <r>
    <x v="1"/>
    <x v="1"/>
    <x v="5"/>
    <n v="1282.1600000000001"/>
  </r>
  <r>
    <x v="1"/>
    <x v="1"/>
    <x v="5"/>
    <n v="1282.306"/>
  </r>
  <r>
    <x v="1"/>
    <x v="1"/>
    <x v="5"/>
    <n v="1292.1369999999999"/>
  </r>
  <r>
    <x v="1"/>
    <x v="1"/>
    <x v="5"/>
    <n v="1259.8009999999999"/>
  </r>
  <r>
    <x v="1"/>
    <x v="1"/>
    <x v="5"/>
    <n v="1260.9490000000001"/>
  </r>
  <r>
    <x v="1"/>
    <x v="1"/>
    <x v="5"/>
    <n v="1295.2139999999999"/>
  </r>
  <r>
    <x v="1"/>
    <x v="1"/>
    <x v="5"/>
    <n v="1305.4380000000001"/>
  </r>
  <r>
    <x v="1"/>
    <x v="1"/>
    <x v="5"/>
    <n v="1320.845"/>
  </r>
  <r>
    <x v="1"/>
    <x v="1"/>
    <x v="5"/>
    <n v="1329.375"/>
  </r>
  <r>
    <x v="1"/>
    <x v="1"/>
    <x v="5"/>
    <n v="1311.5170000000001"/>
  </r>
  <r>
    <x v="1"/>
    <x v="1"/>
    <x v="5"/>
    <n v="1269.971"/>
  </r>
  <r>
    <x v="1"/>
    <x v="1"/>
    <x v="5"/>
    <n v="1378.1289999999999"/>
  </r>
  <r>
    <x v="1"/>
    <x v="1"/>
    <x v="5"/>
    <n v="1346.4949999999999"/>
  </r>
  <r>
    <x v="1"/>
    <x v="1"/>
    <x v="5"/>
    <n v="1294.8920000000001"/>
  </r>
  <r>
    <x v="1"/>
    <x v="1"/>
    <x v="5"/>
    <n v="1327.7909999999999"/>
  </r>
  <r>
    <x v="1"/>
    <x v="1"/>
    <x v="5"/>
    <n v="1325.203"/>
  </r>
  <r>
    <x v="1"/>
    <x v="1"/>
    <x v="5"/>
    <n v="1242.7560000000001"/>
  </r>
  <r>
    <x v="1"/>
    <x v="1"/>
    <x v="5"/>
    <n v="1278.5260000000001"/>
  </r>
  <r>
    <x v="1"/>
    <x v="1"/>
    <x v="5"/>
    <n v="1317.4559999999999"/>
  </r>
  <r>
    <x v="1"/>
    <x v="1"/>
    <x v="5"/>
    <n v="1282.3969999999999"/>
  </r>
  <r>
    <x v="1"/>
    <x v="1"/>
    <x v="5"/>
    <n v="1296.9190000000001"/>
  </r>
  <r>
    <x v="1"/>
    <x v="1"/>
    <x v="5"/>
    <n v="1301.309"/>
  </r>
  <r>
    <x v="1"/>
    <x v="1"/>
    <x v="5"/>
    <n v="1300.828"/>
  </r>
  <r>
    <x v="1"/>
    <x v="1"/>
    <x v="5"/>
    <n v="1280.722"/>
  </r>
  <r>
    <x v="1"/>
    <x v="1"/>
    <x v="5"/>
    <n v="1355.2570000000001"/>
  </r>
  <r>
    <x v="1"/>
    <x v="1"/>
    <x v="5"/>
    <n v="1325.01"/>
  </r>
  <r>
    <x v="1"/>
    <x v="1"/>
    <x v="5"/>
    <n v="1340.8219999999999"/>
  </r>
  <r>
    <x v="1"/>
    <x v="1"/>
    <x v="5"/>
    <n v="1294.354"/>
  </r>
  <r>
    <x v="1"/>
    <x v="1"/>
    <x v="5"/>
    <n v="1246.7080000000001"/>
  </r>
  <r>
    <x v="1"/>
    <x v="1"/>
    <x v="5"/>
    <n v="1304.191"/>
  </r>
  <r>
    <x v="1"/>
    <x v="1"/>
    <x v="5"/>
    <n v="1313.3109999999999"/>
  </r>
  <r>
    <x v="1"/>
    <x v="1"/>
    <x v="5"/>
    <n v="1353.4960000000001"/>
  </r>
  <r>
    <x v="1"/>
    <x v="1"/>
    <x v="5"/>
    <n v="1276.327"/>
  </r>
  <r>
    <x v="1"/>
    <x v="1"/>
    <x v="5"/>
    <n v="1257.9680000000001"/>
  </r>
  <r>
    <x v="1"/>
    <x v="1"/>
    <x v="5"/>
    <n v="1315.548"/>
  </r>
  <r>
    <x v="1"/>
    <x v="1"/>
    <x v="5"/>
    <n v="1312.7719999999999"/>
  </r>
  <r>
    <x v="1"/>
    <x v="1"/>
    <x v="5"/>
    <n v="1310.2"/>
  </r>
  <r>
    <x v="1"/>
    <x v="1"/>
    <x v="5"/>
    <n v="1291.44"/>
  </r>
  <r>
    <x v="1"/>
    <x v="1"/>
    <x v="5"/>
    <n v="1241.5519999999999"/>
  </r>
  <r>
    <x v="1"/>
    <x v="1"/>
    <x v="5"/>
    <n v="1354.4110000000001"/>
  </r>
  <r>
    <x v="1"/>
    <x v="1"/>
    <x v="5"/>
    <n v="1326.817"/>
  </r>
  <r>
    <x v="1"/>
    <x v="1"/>
    <x v="5"/>
    <n v="1355.826"/>
  </r>
  <r>
    <x v="1"/>
    <x v="1"/>
    <x v="5"/>
    <n v="1326.52"/>
  </r>
  <r>
    <x v="1"/>
    <x v="1"/>
    <x v="5"/>
    <n v="1304.2260000000001"/>
  </r>
  <r>
    <x v="1"/>
    <x v="1"/>
    <x v="5"/>
    <n v="1341.6010000000001"/>
  </r>
  <r>
    <x v="1"/>
    <x v="1"/>
    <x v="5"/>
    <n v="1334.9690000000001"/>
  </r>
  <r>
    <x v="1"/>
    <x v="1"/>
    <x v="5"/>
    <n v="1283.6210000000001"/>
  </r>
  <r>
    <x v="1"/>
    <x v="1"/>
    <x v="5"/>
    <n v="1256.6679999999999"/>
  </r>
  <r>
    <x v="1"/>
    <x v="1"/>
    <x v="5"/>
    <n v="1275.645"/>
  </r>
  <r>
    <x v="1"/>
    <x v="1"/>
    <x v="5"/>
    <n v="1290.163"/>
  </r>
  <r>
    <x v="1"/>
    <x v="1"/>
    <x v="5"/>
    <n v="1305.2049999999999"/>
  </r>
  <r>
    <x v="1"/>
    <x v="1"/>
    <x v="5"/>
    <n v="1307.82"/>
  </r>
  <r>
    <x v="1"/>
    <x v="1"/>
    <x v="5"/>
    <n v="1334.63"/>
  </r>
  <r>
    <x v="1"/>
    <x v="1"/>
    <x v="5"/>
    <n v="1253.067"/>
  </r>
  <r>
    <x v="1"/>
    <x v="1"/>
    <x v="5"/>
    <n v="1320.692"/>
  </r>
  <r>
    <x v="1"/>
    <x v="1"/>
    <x v="5"/>
    <n v="1246.4829999999999"/>
  </r>
  <r>
    <x v="1"/>
    <x v="1"/>
    <x v="5"/>
    <n v="1314.2850000000001"/>
  </r>
  <r>
    <x v="1"/>
    <x v="1"/>
    <x v="5"/>
    <n v="1330.308"/>
  </r>
  <r>
    <x v="1"/>
    <x v="1"/>
    <x v="5"/>
    <n v="1284.5250000000001"/>
  </r>
  <r>
    <x v="1"/>
    <x v="1"/>
    <x v="5"/>
    <n v="1254.327"/>
  </r>
  <r>
    <x v="1"/>
    <x v="1"/>
    <x v="5"/>
    <n v="1352.7380000000001"/>
  </r>
  <r>
    <x v="1"/>
    <x v="2"/>
    <x v="5"/>
    <n v="4054.4279999999999"/>
  </r>
  <r>
    <x v="1"/>
    <x v="2"/>
    <x v="5"/>
    <n v="4026.2420000000002"/>
  </r>
  <r>
    <x v="1"/>
    <x v="2"/>
    <x v="5"/>
    <n v="3956.444"/>
  </r>
  <r>
    <x v="1"/>
    <x v="2"/>
    <x v="5"/>
    <n v="3944.837"/>
  </r>
  <r>
    <x v="1"/>
    <x v="2"/>
    <x v="5"/>
    <n v="3873.7640000000001"/>
  </r>
  <r>
    <x v="1"/>
    <x v="2"/>
    <x v="5"/>
    <n v="4020.8150000000001"/>
  </r>
  <r>
    <x v="1"/>
    <x v="2"/>
    <x v="5"/>
    <n v="3989.6689999999999"/>
  </r>
  <r>
    <x v="1"/>
    <x v="2"/>
    <x v="5"/>
    <n v="4028.4960000000001"/>
  </r>
  <r>
    <x v="1"/>
    <x v="2"/>
    <x v="5"/>
    <n v="3919.6849999999999"/>
  </r>
  <r>
    <x v="1"/>
    <x v="2"/>
    <x v="5"/>
    <n v="3970.7530000000002"/>
  </r>
  <r>
    <x v="1"/>
    <x v="2"/>
    <x v="5"/>
    <n v="3965.1930000000002"/>
  </r>
  <r>
    <x v="1"/>
    <x v="2"/>
    <x v="5"/>
    <n v="3922.5610000000001"/>
  </r>
  <r>
    <x v="1"/>
    <x v="2"/>
    <x v="5"/>
    <n v="4052.2779999999998"/>
  </r>
  <r>
    <x v="1"/>
    <x v="2"/>
    <x v="5"/>
    <n v="3992.1660000000002"/>
  </r>
  <r>
    <x v="1"/>
    <x v="2"/>
    <x v="5"/>
    <n v="3936.0880000000002"/>
  </r>
  <r>
    <x v="1"/>
    <x v="2"/>
    <x v="5"/>
    <n v="4007.3249999999998"/>
  </r>
  <r>
    <x v="1"/>
    <x v="2"/>
    <x v="5"/>
    <n v="3923.3850000000002"/>
  </r>
  <r>
    <x v="1"/>
    <x v="2"/>
    <x v="5"/>
    <n v="4021.0369999999998"/>
  </r>
  <r>
    <x v="1"/>
    <x v="2"/>
    <x v="5"/>
    <n v="4036.9830000000002"/>
  </r>
  <r>
    <x v="1"/>
    <x v="2"/>
    <x v="5"/>
    <n v="3989.221"/>
  </r>
  <r>
    <x v="1"/>
    <x v="2"/>
    <x v="5"/>
    <n v="3973.1790000000001"/>
  </r>
  <r>
    <x v="1"/>
    <x v="2"/>
    <x v="5"/>
    <n v="3919.6239999999998"/>
  </r>
  <r>
    <x v="1"/>
    <x v="2"/>
    <x v="5"/>
    <n v="3959.5639999999999"/>
  </r>
  <r>
    <x v="1"/>
    <x v="2"/>
    <x v="5"/>
    <n v="4000.386"/>
  </r>
  <r>
    <x v="1"/>
    <x v="2"/>
    <x v="5"/>
    <n v="4010.7020000000002"/>
  </r>
  <r>
    <x v="1"/>
    <x v="2"/>
    <x v="5"/>
    <n v="3942.8"/>
  </r>
  <r>
    <x v="1"/>
    <x v="2"/>
    <x v="5"/>
    <n v="3993.1419999999998"/>
  </r>
  <r>
    <x v="1"/>
    <x v="2"/>
    <x v="5"/>
    <n v="4023.877"/>
  </r>
  <r>
    <x v="1"/>
    <x v="2"/>
    <x v="5"/>
    <n v="3967.2130000000002"/>
  </r>
  <r>
    <x v="1"/>
    <x v="2"/>
    <x v="5"/>
    <n v="3915.384"/>
  </r>
  <r>
    <x v="1"/>
    <x v="2"/>
    <x v="5"/>
    <n v="3914.5459999999998"/>
  </r>
  <r>
    <x v="1"/>
    <x v="2"/>
    <x v="5"/>
    <n v="3999.2269999999999"/>
  </r>
  <r>
    <x v="1"/>
    <x v="2"/>
    <x v="5"/>
    <n v="3935.3919999999998"/>
  </r>
  <r>
    <x v="1"/>
    <x v="2"/>
    <x v="5"/>
    <n v="3980.277"/>
  </r>
  <r>
    <x v="1"/>
    <x v="2"/>
    <x v="5"/>
    <n v="3950.2269999999999"/>
  </r>
  <r>
    <x v="1"/>
    <x v="2"/>
    <x v="5"/>
    <n v="3932.4479999999999"/>
  </r>
  <r>
    <x v="1"/>
    <x v="2"/>
    <x v="5"/>
    <n v="3997.9540000000002"/>
  </r>
  <r>
    <x v="1"/>
    <x v="2"/>
    <x v="5"/>
    <n v="3994.4609999999998"/>
  </r>
  <r>
    <x v="1"/>
    <x v="2"/>
    <x v="5"/>
    <n v="4013.3670000000002"/>
  </r>
  <r>
    <x v="1"/>
    <x v="2"/>
    <x v="5"/>
    <n v="3906.0160000000001"/>
  </r>
  <r>
    <x v="1"/>
    <x v="2"/>
    <x v="5"/>
    <n v="4041.4749999999999"/>
  </r>
  <r>
    <x v="1"/>
    <x v="2"/>
    <x v="5"/>
    <n v="4080.259"/>
  </r>
  <r>
    <x v="1"/>
    <x v="2"/>
    <x v="5"/>
    <n v="4054.1509999999998"/>
  </r>
  <r>
    <x v="1"/>
    <x v="2"/>
    <x v="5"/>
    <n v="4074.4459999999999"/>
  </r>
  <r>
    <x v="1"/>
    <x v="2"/>
    <x v="5"/>
    <n v="3975.9349999999999"/>
  </r>
  <r>
    <x v="1"/>
    <x v="2"/>
    <x v="5"/>
    <n v="3960.8330000000001"/>
  </r>
  <r>
    <x v="1"/>
    <x v="2"/>
    <x v="5"/>
    <n v="3927.1590000000001"/>
  </r>
  <r>
    <x v="1"/>
    <x v="2"/>
    <x v="5"/>
    <n v="3978.5729999999999"/>
  </r>
  <r>
    <x v="1"/>
    <x v="2"/>
    <x v="5"/>
    <n v="3949.7910000000002"/>
  </r>
  <r>
    <x v="1"/>
    <x v="2"/>
    <x v="5"/>
    <n v="3970.172"/>
  </r>
  <r>
    <x v="1"/>
    <x v="2"/>
    <x v="5"/>
    <n v="4024.0149999999999"/>
  </r>
  <r>
    <x v="1"/>
    <x v="2"/>
    <x v="5"/>
    <n v="4019.078"/>
  </r>
  <r>
    <x v="1"/>
    <x v="2"/>
    <x v="5"/>
    <n v="4047.3589999999999"/>
  </r>
  <r>
    <x v="1"/>
    <x v="2"/>
    <x v="5"/>
    <n v="4048.81"/>
  </r>
  <r>
    <x v="1"/>
    <x v="2"/>
    <x v="5"/>
    <n v="3985.2570000000001"/>
  </r>
  <r>
    <x v="1"/>
    <x v="2"/>
    <x v="5"/>
    <n v="3909.4870000000001"/>
  </r>
  <r>
    <x v="1"/>
    <x v="2"/>
    <x v="5"/>
    <n v="3987.0949999999998"/>
  </r>
  <r>
    <x v="1"/>
    <x v="2"/>
    <x v="5"/>
    <n v="3963.9459999999999"/>
  </r>
  <r>
    <x v="1"/>
    <x v="2"/>
    <x v="5"/>
    <n v="3908.2750000000001"/>
  </r>
  <r>
    <x v="1"/>
    <x v="2"/>
    <x v="5"/>
    <n v="4058.6709999999998"/>
  </r>
  <r>
    <x v="1"/>
    <x v="2"/>
    <x v="5"/>
    <n v="3970.7339999999999"/>
  </r>
  <r>
    <x v="1"/>
    <x v="2"/>
    <x v="5"/>
    <n v="4027.9229999999998"/>
  </r>
  <r>
    <x v="1"/>
    <x v="2"/>
    <x v="5"/>
    <n v="4038.9789999999998"/>
  </r>
  <r>
    <x v="1"/>
    <x v="2"/>
    <x v="5"/>
    <n v="3847.9479999999999"/>
  </r>
  <r>
    <x v="1"/>
    <x v="2"/>
    <x v="5"/>
    <n v="3969.0230000000001"/>
  </r>
  <r>
    <x v="1"/>
    <x v="2"/>
    <x v="5"/>
    <n v="4008.549"/>
  </r>
  <r>
    <x v="1"/>
    <x v="2"/>
    <x v="5"/>
    <n v="4051.1590000000001"/>
  </r>
  <r>
    <x v="1"/>
    <x v="2"/>
    <x v="5"/>
    <n v="4026.636"/>
  </r>
  <r>
    <x v="1"/>
    <x v="2"/>
    <x v="5"/>
    <n v="3931.0880000000002"/>
  </r>
  <r>
    <x v="1"/>
    <x v="2"/>
    <x v="5"/>
    <n v="4003.866"/>
  </r>
  <r>
    <x v="1"/>
    <x v="2"/>
    <x v="5"/>
    <n v="3895.6280000000002"/>
  </r>
  <r>
    <x v="1"/>
    <x v="2"/>
    <x v="5"/>
    <n v="3914.8739999999998"/>
  </r>
  <r>
    <x v="1"/>
    <x v="2"/>
    <x v="5"/>
    <n v="4021.567"/>
  </r>
  <r>
    <x v="1"/>
    <x v="2"/>
    <x v="5"/>
    <n v="3994.49"/>
  </r>
  <r>
    <x v="1"/>
    <x v="2"/>
    <x v="5"/>
    <n v="3990.2849999999999"/>
  </r>
  <r>
    <x v="1"/>
    <x v="2"/>
    <x v="5"/>
    <n v="4020.2489999999998"/>
  </r>
  <r>
    <x v="1"/>
    <x v="2"/>
    <x v="5"/>
    <n v="3962.3910000000001"/>
  </r>
  <r>
    <x v="1"/>
    <x v="2"/>
    <x v="5"/>
    <n v="4122.902"/>
  </r>
  <r>
    <x v="1"/>
    <x v="2"/>
    <x v="5"/>
    <n v="4024.569"/>
  </r>
  <r>
    <x v="1"/>
    <x v="2"/>
    <x v="5"/>
    <n v="3982.8960000000002"/>
  </r>
  <r>
    <x v="1"/>
    <x v="2"/>
    <x v="5"/>
    <n v="4011.4380000000001"/>
  </r>
  <r>
    <x v="1"/>
    <x v="2"/>
    <x v="5"/>
    <n v="4002.127"/>
  </r>
  <r>
    <x v="1"/>
    <x v="2"/>
    <x v="5"/>
    <n v="4084.7069999999999"/>
  </r>
  <r>
    <x v="1"/>
    <x v="2"/>
    <x v="5"/>
    <n v="3909.9430000000002"/>
  </r>
  <r>
    <x v="1"/>
    <x v="2"/>
    <x v="5"/>
    <n v="4025.7979999999998"/>
  </r>
  <r>
    <x v="1"/>
    <x v="2"/>
    <x v="5"/>
    <n v="3948.3159999999998"/>
  </r>
  <r>
    <x v="1"/>
    <x v="2"/>
    <x v="5"/>
    <n v="3936.002"/>
  </r>
  <r>
    <x v="1"/>
    <x v="2"/>
    <x v="5"/>
    <n v="3994.78"/>
  </r>
  <r>
    <x v="1"/>
    <x v="2"/>
    <x v="5"/>
    <n v="3887.6219999999998"/>
  </r>
  <r>
    <x v="1"/>
    <x v="2"/>
    <x v="5"/>
    <n v="3981.8629999999998"/>
  </r>
  <r>
    <x v="1"/>
    <x v="2"/>
    <x v="5"/>
    <n v="4003.5610000000001"/>
  </r>
  <r>
    <x v="1"/>
    <x v="2"/>
    <x v="5"/>
    <n v="3994.0619999999999"/>
  </r>
  <r>
    <x v="1"/>
    <x v="2"/>
    <x v="5"/>
    <n v="3877.6559999999999"/>
  </r>
  <r>
    <x v="1"/>
    <x v="2"/>
    <x v="5"/>
    <n v="4041.29"/>
  </r>
  <r>
    <x v="1"/>
    <x v="2"/>
    <x v="5"/>
    <n v="4093.6170000000002"/>
  </r>
  <r>
    <x v="1"/>
    <x v="2"/>
    <x v="5"/>
    <n v="3972.24"/>
  </r>
  <r>
    <x v="1"/>
    <x v="2"/>
    <x v="5"/>
    <n v="4006.8020000000001"/>
  </r>
  <r>
    <x v="1"/>
    <x v="2"/>
    <x v="5"/>
    <n v="3963.069"/>
  </r>
  <r>
    <x v="1"/>
    <x v="2"/>
    <x v="5"/>
    <n v="4011.59"/>
  </r>
  <r>
    <x v="1"/>
    <x v="2"/>
    <x v="5"/>
    <n v="3937.7139999999999"/>
  </r>
  <r>
    <x v="2"/>
    <x v="0"/>
    <x v="5"/>
    <n v="233.87799999999999"/>
  </r>
  <r>
    <x v="2"/>
    <x v="0"/>
    <x v="5"/>
    <n v="187.036"/>
  </r>
  <r>
    <x v="2"/>
    <x v="0"/>
    <x v="5"/>
    <n v="206.148"/>
  </r>
  <r>
    <x v="2"/>
    <x v="0"/>
    <x v="5"/>
    <n v="176.27600000000001"/>
  </r>
  <r>
    <x v="2"/>
    <x v="0"/>
    <x v="5"/>
    <n v="189.37"/>
  </r>
  <r>
    <x v="2"/>
    <x v="0"/>
    <x v="5"/>
    <n v="170.86199999999999"/>
  </r>
  <r>
    <x v="2"/>
    <x v="0"/>
    <x v="5"/>
    <n v="251.077"/>
  </r>
  <r>
    <x v="2"/>
    <x v="0"/>
    <x v="5"/>
    <n v="164.571"/>
  </r>
  <r>
    <x v="2"/>
    <x v="0"/>
    <x v="5"/>
    <n v="216.71100000000001"/>
  </r>
  <r>
    <x v="2"/>
    <x v="0"/>
    <x v="5"/>
    <n v="210.334"/>
  </r>
  <r>
    <x v="2"/>
    <x v="0"/>
    <x v="5"/>
    <n v="225.62200000000001"/>
  </r>
  <r>
    <x v="2"/>
    <x v="0"/>
    <x v="5"/>
    <n v="185.15899999999999"/>
  </r>
  <r>
    <x v="2"/>
    <x v="0"/>
    <x v="5"/>
    <n v="183.30699999999999"/>
  </r>
  <r>
    <x v="2"/>
    <x v="0"/>
    <x v="5"/>
    <n v="179.43"/>
  </r>
  <r>
    <x v="2"/>
    <x v="0"/>
    <x v="5"/>
    <n v="213.70699999999999"/>
  </r>
  <r>
    <x v="2"/>
    <x v="0"/>
    <x v="5"/>
    <n v="199.839"/>
  </r>
  <r>
    <x v="2"/>
    <x v="0"/>
    <x v="5"/>
    <n v="212.05799999999999"/>
  </r>
  <r>
    <x v="2"/>
    <x v="0"/>
    <x v="5"/>
    <n v="208.637"/>
  </r>
  <r>
    <x v="2"/>
    <x v="0"/>
    <x v="5"/>
    <n v="219.64699999999999"/>
  </r>
  <r>
    <x v="2"/>
    <x v="0"/>
    <x v="5"/>
    <n v="222.351"/>
  </r>
  <r>
    <x v="2"/>
    <x v="0"/>
    <x v="5"/>
    <n v="218.85300000000001"/>
  </r>
  <r>
    <x v="2"/>
    <x v="0"/>
    <x v="5"/>
    <n v="233.321"/>
  </r>
  <r>
    <x v="2"/>
    <x v="0"/>
    <x v="5"/>
    <n v="220.131"/>
  </r>
  <r>
    <x v="2"/>
    <x v="0"/>
    <x v="5"/>
    <n v="171.76499999999999"/>
  </r>
  <r>
    <x v="2"/>
    <x v="0"/>
    <x v="5"/>
    <n v="202.85599999999999"/>
  </r>
  <r>
    <x v="2"/>
    <x v="0"/>
    <x v="5"/>
    <n v="216.392"/>
  </r>
  <r>
    <x v="2"/>
    <x v="0"/>
    <x v="5"/>
    <n v="196.49199999999999"/>
  </r>
  <r>
    <x v="2"/>
    <x v="0"/>
    <x v="5"/>
    <n v="223.87799999999999"/>
  </r>
  <r>
    <x v="2"/>
    <x v="0"/>
    <x v="5"/>
    <n v="222.86099999999999"/>
  </r>
  <r>
    <x v="2"/>
    <x v="0"/>
    <x v="5"/>
    <n v="240.72900000000001"/>
  </r>
  <r>
    <x v="2"/>
    <x v="0"/>
    <x v="5"/>
    <n v="218.41499999999999"/>
  </r>
  <r>
    <x v="2"/>
    <x v="0"/>
    <x v="5"/>
    <n v="198.94"/>
  </r>
  <r>
    <x v="2"/>
    <x v="0"/>
    <x v="5"/>
    <n v="202.102"/>
  </r>
  <r>
    <x v="2"/>
    <x v="0"/>
    <x v="5"/>
    <n v="208.929"/>
  </r>
  <r>
    <x v="2"/>
    <x v="0"/>
    <x v="5"/>
    <n v="199.977"/>
  </r>
  <r>
    <x v="2"/>
    <x v="0"/>
    <x v="5"/>
    <n v="231.93100000000001"/>
  </r>
  <r>
    <x v="2"/>
    <x v="0"/>
    <x v="5"/>
    <n v="193.56399999999999"/>
  </r>
  <r>
    <x v="2"/>
    <x v="0"/>
    <x v="5"/>
    <n v="171.20699999999999"/>
  </r>
  <r>
    <x v="2"/>
    <x v="0"/>
    <x v="5"/>
    <n v="196.56399999999999"/>
  </r>
  <r>
    <x v="2"/>
    <x v="0"/>
    <x v="5"/>
    <n v="224.899"/>
  </r>
  <r>
    <x v="2"/>
    <x v="0"/>
    <x v="5"/>
    <n v="185.93299999999999"/>
  </r>
  <r>
    <x v="2"/>
    <x v="0"/>
    <x v="5"/>
    <n v="222.63399999999999"/>
  </r>
  <r>
    <x v="2"/>
    <x v="0"/>
    <x v="5"/>
    <n v="215.316"/>
  </r>
  <r>
    <x v="2"/>
    <x v="0"/>
    <x v="5"/>
    <n v="218.90899999999999"/>
  </r>
  <r>
    <x v="2"/>
    <x v="0"/>
    <x v="5"/>
    <n v="189.24799999999999"/>
  </r>
  <r>
    <x v="2"/>
    <x v="0"/>
    <x v="5"/>
    <n v="204.07499999999999"/>
  </r>
  <r>
    <x v="2"/>
    <x v="0"/>
    <x v="5"/>
    <n v="209.857"/>
  </r>
  <r>
    <x v="2"/>
    <x v="0"/>
    <x v="5"/>
    <n v="189.37"/>
  </r>
  <r>
    <x v="2"/>
    <x v="0"/>
    <x v="5"/>
    <n v="179.64400000000001"/>
  </r>
  <r>
    <x v="2"/>
    <x v="0"/>
    <x v="5"/>
    <n v="192.762"/>
  </r>
  <r>
    <x v="2"/>
    <x v="0"/>
    <x v="5"/>
    <n v="164.47"/>
  </r>
  <r>
    <x v="2"/>
    <x v="0"/>
    <x v="5"/>
    <n v="214.86099999999999"/>
  </r>
  <r>
    <x v="2"/>
    <x v="0"/>
    <x v="5"/>
    <n v="212.715"/>
  </r>
  <r>
    <x v="2"/>
    <x v="0"/>
    <x v="5"/>
    <n v="150.20599999999999"/>
  </r>
  <r>
    <x v="2"/>
    <x v="0"/>
    <x v="5"/>
    <n v="185.251"/>
  </r>
  <r>
    <x v="2"/>
    <x v="0"/>
    <x v="5"/>
    <n v="176.39699999999999"/>
  </r>
  <r>
    <x v="2"/>
    <x v="0"/>
    <x v="5"/>
    <n v="177.053"/>
  </r>
  <r>
    <x v="2"/>
    <x v="0"/>
    <x v="5"/>
    <n v="186.28399999999999"/>
  </r>
  <r>
    <x v="2"/>
    <x v="0"/>
    <x v="5"/>
    <n v="227.72900000000001"/>
  </r>
  <r>
    <x v="2"/>
    <x v="0"/>
    <x v="5"/>
    <n v="184.89099999999999"/>
  </r>
  <r>
    <x v="2"/>
    <x v="0"/>
    <x v="5"/>
    <n v="199.85599999999999"/>
  </r>
  <r>
    <x v="2"/>
    <x v="0"/>
    <x v="5"/>
    <n v="198.07400000000001"/>
  </r>
  <r>
    <x v="2"/>
    <x v="0"/>
    <x v="5"/>
    <n v="194.523"/>
  </r>
  <r>
    <x v="2"/>
    <x v="0"/>
    <x v="5"/>
    <n v="191.22399999999999"/>
  </r>
  <r>
    <x v="2"/>
    <x v="0"/>
    <x v="5"/>
    <n v="191.01400000000001"/>
  </r>
  <r>
    <x v="2"/>
    <x v="0"/>
    <x v="5"/>
    <n v="196.904"/>
  </r>
  <r>
    <x v="2"/>
    <x v="0"/>
    <x v="5"/>
    <n v="158.18100000000001"/>
  </r>
  <r>
    <x v="2"/>
    <x v="0"/>
    <x v="5"/>
    <n v="199.83199999999999"/>
  </r>
  <r>
    <x v="2"/>
    <x v="0"/>
    <x v="5"/>
    <n v="215.06299999999999"/>
  </r>
  <r>
    <x v="2"/>
    <x v="0"/>
    <x v="5"/>
    <n v="254.001"/>
  </r>
  <r>
    <x v="2"/>
    <x v="0"/>
    <x v="5"/>
    <n v="167.18199999999999"/>
  </r>
  <r>
    <x v="2"/>
    <x v="0"/>
    <x v="5"/>
    <n v="237.43700000000001"/>
  </r>
  <r>
    <x v="2"/>
    <x v="0"/>
    <x v="5"/>
    <n v="166.10499999999999"/>
  </r>
  <r>
    <x v="2"/>
    <x v="0"/>
    <x v="5"/>
    <n v="188.20699999999999"/>
  </r>
  <r>
    <x v="2"/>
    <x v="0"/>
    <x v="5"/>
    <n v="234.05500000000001"/>
  </r>
  <r>
    <x v="2"/>
    <x v="0"/>
    <x v="5"/>
    <n v="203.71100000000001"/>
  </r>
  <r>
    <x v="2"/>
    <x v="0"/>
    <x v="5"/>
    <n v="170.27500000000001"/>
  </r>
  <r>
    <x v="2"/>
    <x v="0"/>
    <x v="5"/>
    <n v="205.857"/>
  </r>
  <r>
    <x v="2"/>
    <x v="0"/>
    <x v="5"/>
    <n v="204.00200000000001"/>
  </r>
  <r>
    <x v="2"/>
    <x v="0"/>
    <x v="5"/>
    <n v="187.179"/>
  </r>
  <r>
    <x v="2"/>
    <x v="0"/>
    <x v="5"/>
    <n v="204.297"/>
  </r>
  <r>
    <x v="2"/>
    <x v="0"/>
    <x v="5"/>
    <n v="222.78800000000001"/>
  </r>
  <r>
    <x v="2"/>
    <x v="0"/>
    <x v="5"/>
    <n v="181.81299999999999"/>
  </r>
  <r>
    <x v="2"/>
    <x v="0"/>
    <x v="5"/>
    <n v="208.904"/>
  </r>
  <r>
    <x v="2"/>
    <x v="0"/>
    <x v="5"/>
    <n v="201.328"/>
  </r>
  <r>
    <x v="2"/>
    <x v="0"/>
    <x v="5"/>
    <n v="210.072"/>
  </r>
  <r>
    <x v="2"/>
    <x v="0"/>
    <x v="5"/>
    <n v="211.07499999999999"/>
  </r>
  <r>
    <x v="2"/>
    <x v="0"/>
    <x v="5"/>
    <n v="207.78"/>
  </r>
  <r>
    <x v="2"/>
    <x v="0"/>
    <x v="5"/>
    <n v="196.126"/>
  </r>
  <r>
    <x v="2"/>
    <x v="0"/>
    <x v="5"/>
    <n v="222.999"/>
  </r>
  <r>
    <x v="2"/>
    <x v="0"/>
    <x v="5"/>
    <n v="207.05"/>
  </r>
  <r>
    <x v="2"/>
    <x v="0"/>
    <x v="5"/>
    <n v="199.56399999999999"/>
  </r>
  <r>
    <x v="2"/>
    <x v="0"/>
    <x v="5"/>
    <n v="223.535"/>
  </r>
  <r>
    <x v="2"/>
    <x v="0"/>
    <x v="5"/>
    <n v="194.19900000000001"/>
  </r>
  <r>
    <x v="2"/>
    <x v="0"/>
    <x v="5"/>
    <n v="194.054"/>
  </r>
  <r>
    <x v="2"/>
    <x v="0"/>
    <x v="5"/>
    <n v="179.227"/>
  </r>
  <r>
    <x v="2"/>
    <x v="0"/>
    <x v="5"/>
    <n v="176.03200000000001"/>
  </r>
  <r>
    <x v="2"/>
    <x v="0"/>
    <x v="5"/>
    <n v="223.50899999999999"/>
  </r>
  <r>
    <x v="2"/>
    <x v="0"/>
    <x v="5"/>
    <n v="178.91200000000001"/>
  </r>
  <r>
    <x v="2"/>
    <x v="0"/>
    <x v="5"/>
    <n v="215.732"/>
  </r>
  <r>
    <x v="2"/>
    <x v="1"/>
    <x v="5"/>
    <n v="1311.8130000000001"/>
  </r>
  <r>
    <x v="2"/>
    <x v="1"/>
    <x v="5"/>
    <n v="1209.723"/>
  </r>
  <r>
    <x v="2"/>
    <x v="1"/>
    <x v="5"/>
    <n v="1275.4960000000001"/>
  </r>
  <r>
    <x v="2"/>
    <x v="1"/>
    <x v="5"/>
    <n v="1303.0999999999999"/>
  </r>
  <r>
    <x v="2"/>
    <x v="1"/>
    <x v="5"/>
    <n v="1278.847"/>
  </r>
  <r>
    <x v="2"/>
    <x v="1"/>
    <x v="5"/>
    <n v="1193.1759999999999"/>
  </r>
  <r>
    <x v="2"/>
    <x v="1"/>
    <x v="5"/>
    <n v="1267.412"/>
  </r>
  <r>
    <x v="2"/>
    <x v="1"/>
    <x v="5"/>
    <n v="1220.3330000000001"/>
  </r>
  <r>
    <x v="2"/>
    <x v="1"/>
    <x v="5"/>
    <n v="1306.915"/>
  </r>
  <r>
    <x v="2"/>
    <x v="1"/>
    <x v="5"/>
    <n v="1285.9590000000001"/>
  </r>
  <r>
    <x v="2"/>
    <x v="1"/>
    <x v="5"/>
    <n v="1186.123"/>
  </r>
  <r>
    <x v="2"/>
    <x v="1"/>
    <x v="5"/>
    <n v="1300.1679999999999"/>
  </r>
  <r>
    <x v="2"/>
    <x v="1"/>
    <x v="5"/>
    <n v="1346.31"/>
  </r>
  <r>
    <x v="2"/>
    <x v="1"/>
    <x v="5"/>
    <n v="1255.3699999999999"/>
  </r>
  <r>
    <x v="2"/>
    <x v="1"/>
    <x v="5"/>
    <n v="1230.345"/>
  </r>
  <r>
    <x v="2"/>
    <x v="1"/>
    <x v="5"/>
    <n v="1364.365"/>
  </r>
  <r>
    <x v="2"/>
    <x v="1"/>
    <x v="5"/>
    <n v="1288.308"/>
  </r>
  <r>
    <x v="2"/>
    <x v="1"/>
    <x v="5"/>
    <n v="1306.934"/>
  </r>
  <r>
    <x v="2"/>
    <x v="1"/>
    <x v="5"/>
    <n v="1234.8340000000001"/>
  </r>
  <r>
    <x v="2"/>
    <x v="1"/>
    <x v="5"/>
    <n v="1178.366"/>
  </r>
  <r>
    <x v="2"/>
    <x v="1"/>
    <x v="5"/>
    <n v="1224.8019999999999"/>
  </r>
  <r>
    <x v="2"/>
    <x v="1"/>
    <x v="5"/>
    <n v="1307.1420000000001"/>
  </r>
  <r>
    <x v="2"/>
    <x v="1"/>
    <x v="5"/>
    <n v="1225.721"/>
  </r>
  <r>
    <x v="2"/>
    <x v="1"/>
    <x v="5"/>
    <n v="1251.146"/>
  </r>
  <r>
    <x v="2"/>
    <x v="1"/>
    <x v="5"/>
    <n v="1330.194"/>
  </r>
  <r>
    <x v="2"/>
    <x v="1"/>
    <x v="5"/>
    <n v="1307.4469999999999"/>
  </r>
  <r>
    <x v="2"/>
    <x v="1"/>
    <x v="5"/>
    <n v="1293.3489999999999"/>
  </r>
  <r>
    <x v="2"/>
    <x v="1"/>
    <x v="5"/>
    <n v="1242.145"/>
  </r>
  <r>
    <x v="2"/>
    <x v="1"/>
    <x v="5"/>
    <n v="1173.5409999999999"/>
  </r>
  <r>
    <x v="2"/>
    <x v="1"/>
    <x v="5"/>
    <n v="1161.1400000000001"/>
  </r>
  <r>
    <x v="2"/>
    <x v="1"/>
    <x v="5"/>
    <n v="1231.43"/>
  </r>
  <r>
    <x v="2"/>
    <x v="1"/>
    <x v="5"/>
    <n v="1293.3489999999999"/>
  </r>
  <r>
    <x v="2"/>
    <x v="1"/>
    <x v="5"/>
    <n v="1306.2809999999999"/>
  </r>
  <r>
    <x v="2"/>
    <x v="1"/>
    <x v="5"/>
    <n v="1208.0650000000001"/>
  </r>
  <r>
    <x v="2"/>
    <x v="1"/>
    <x v="5"/>
    <n v="1263.886"/>
  </r>
  <r>
    <x v="2"/>
    <x v="1"/>
    <x v="5"/>
    <n v="1308.9929999999999"/>
  </r>
  <r>
    <x v="2"/>
    <x v="1"/>
    <x v="5"/>
    <n v="1264.7329999999999"/>
  </r>
  <r>
    <x v="2"/>
    <x v="1"/>
    <x v="5"/>
    <n v="1279.56"/>
  </r>
  <r>
    <x v="2"/>
    <x v="1"/>
    <x v="5"/>
    <n v="1315.942"/>
  </r>
  <r>
    <x v="2"/>
    <x v="1"/>
    <x v="5"/>
    <n v="1280.7950000000001"/>
  </r>
  <r>
    <x v="2"/>
    <x v="1"/>
    <x v="5"/>
    <n v="1292.691"/>
  </r>
  <r>
    <x v="2"/>
    <x v="1"/>
    <x v="5"/>
    <n v="1171.1110000000001"/>
  </r>
  <r>
    <x v="2"/>
    <x v="1"/>
    <x v="5"/>
    <n v="1230.8720000000001"/>
  </r>
  <r>
    <x v="2"/>
    <x v="1"/>
    <x v="5"/>
    <n v="1235.501"/>
  </r>
  <r>
    <x v="2"/>
    <x v="1"/>
    <x v="5"/>
    <n v="1239.6669999999999"/>
  </r>
  <r>
    <x v="2"/>
    <x v="1"/>
    <x v="5"/>
    <n v="1305.075"/>
  </r>
  <r>
    <x v="2"/>
    <x v="1"/>
    <x v="5"/>
    <n v="1282.6510000000001"/>
  </r>
  <r>
    <x v="2"/>
    <x v="1"/>
    <x v="5"/>
    <n v="1256.068"/>
  </r>
  <r>
    <x v="2"/>
    <x v="1"/>
    <x v="5"/>
    <n v="1194.4459999999999"/>
  </r>
  <r>
    <x v="2"/>
    <x v="1"/>
    <x v="5"/>
    <n v="1255.23"/>
  </r>
  <r>
    <x v="2"/>
    <x v="1"/>
    <x v="5"/>
    <n v="1262.5160000000001"/>
  </r>
  <r>
    <x v="2"/>
    <x v="1"/>
    <x v="5"/>
    <n v="1305.0899999999999"/>
  </r>
  <r>
    <x v="2"/>
    <x v="1"/>
    <x v="5"/>
    <n v="1329.2860000000001"/>
  </r>
  <r>
    <x v="2"/>
    <x v="1"/>
    <x v="5"/>
    <n v="1323.845"/>
  </r>
  <r>
    <x v="2"/>
    <x v="1"/>
    <x v="5"/>
    <n v="1274.9580000000001"/>
  </r>
  <r>
    <x v="2"/>
    <x v="1"/>
    <x v="5"/>
    <n v="1213.356"/>
  </r>
  <r>
    <x v="2"/>
    <x v="1"/>
    <x v="5"/>
    <n v="1280.787"/>
  </r>
  <r>
    <x v="2"/>
    <x v="1"/>
    <x v="5"/>
    <n v="1247.8579999999999"/>
  </r>
  <r>
    <x v="2"/>
    <x v="1"/>
    <x v="5"/>
    <n v="1321.7840000000001"/>
  </r>
  <r>
    <x v="2"/>
    <x v="1"/>
    <x v="5"/>
    <n v="1281.009"/>
  </r>
  <r>
    <x v="2"/>
    <x v="1"/>
    <x v="5"/>
    <n v="1261.1010000000001"/>
  </r>
  <r>
    <x v="2"/>
    <x v="1"/>
    <x v="5"/>
    <n v="1300.5709999999999"/>
  </r>
  <r>
    <x v="2"/>
    <x v="1"/>
    <x v="5"/>
    <n v="1274.768"/>
  </r>
  <r>
    <x v="2"/>
    <x v="1"/>
    <x v="5"/>
    <n v="1210.2470000000001"/>
  </r>
  <r>
    <x v="2"/>
    <x v="1"/>
    <x v="5"/>
    <n v="1285.9760000000001"/>
  </r>
  <r>
    <x v="2"/>
    <x v="1"/>
    <x v="5"/>
    <n v="1272.165"/>
  </r>
  <r>
    <x v="2"/>
    <x v="1"/>
    <x v="5"/>
    <n v="1219.24"/>
  </r>
  <r>
    <x v="2"/>
    <x v="1"/>
    <x v="5"/>
    <n v="1242.643"/>
  </r>
  <r>
    <x v="2"/>
    <x v="1"/>
    <x v="5"/>
    <n v="1233.874"/>
  </r>
  <r>
    <x v="2"/>
    <x v="1"/>
    <x v="5"/>
    <n v="1298.9749999999999"/>
  </r>
  <r>
    <x v="2"/>
    <x v="1"/>
    <x v="5"/>
    <n v="1289.606"/>
  </r>
  <r>
    <x v="2"/>
    <x v="1"/>
    <x v="5"/>
    <n v="1246.8920000000001"/>
  </r>
  <r>
    <x v="2"/>
    <x v="1"/>
    <x v="5"/>
    <n v="1309.319"/>
  </r>
  <r>
    <x v="2"/>
    <x v="1"/>
    <x v="5"/>
    <n v="1230.9000000000001"/>
  </r>
  <r>
    <x v="2"/>
    <x v="1"/>
    <x v="5"/>
    <n v="1265.1569999999999"/>
  </r>
  <r>
    <x v="2"/>
    <x v="1"/>
    <x v="5"/>
    <n v="1212.9770000000001"/>
  </r>
  <r>
    <x v="2"/>
    <x v="1"/>
    <x v="5"/>
    <n v="1252.4780000000001"/>
  </r>
  <r>
    <x v="2"/>
    <x v="1"/>
    <x v="5"/>
    <n v="1170.355"/>
  </r>
  <r>
    <x v="2"/>
    <x v="1"/>
    <x v="5"/>
    <n v="1306.297"/>
  </r>
  <r>
    <x v="2"/>
    <x v="1"/>
    <x v="5"/>
    <n v="1245.3610000000001"/>
  </r>
  <r>
    <x v="2"/>
    <x v="1"/>
    <x v="5"/>
    <n v="1243.482"/>
  </r>
  <r>
    <x v="2"/>
    <x v="1"/>
    <x v="5"/>
    <n v="1189.527"/>
  </r>
  <r>
    <x v="2"/>
    <x v="1"/>
    <x v="5"/>
    <n v="1226.778"/>
  </r>
  <r>
    <x v="2"/>
    <x v="1"/>
    <x v="5"/>
    <n v="1307.002"/>
  </r>
  <r>
    <x v="2"/>
    <x v="1"/>
    <x v="5"/>
    <n v="1289.0619999999999"/>
  </r>
  <r>
    <x v="2"/>
    <x v="1"/>
    <x v="5"/>
    <n v="1289.2190000000001"/>
  </r>
  <r>
    <x v="2"/>
    <x v="1"/>
    <x v="5"/>
    <n v="1224.23"/>
  </r>
  <r>
    <x v="2"/>
    <x v="1"/>
    <x v="5"/>
    <n v="1250.7380000000001"/>
  </r>
  <r>
    <x v="2"/>
    <x v="1"/>
    <x v="5"/>
    <n v="1263.7829999999999"/>
  </r>
  <r>
    <x v="2"/>
    <x v="1"/>
    <x v="5"/>
    <n v="1198.4090000000001"/>
  </r>
  <r>
    <x v="2"/>
    <x v="1"/>
    <x v="5"/>
    <n v="1250.1790000000001"/>
  </r>
  <r>
    <x v="2"/>
    <x v="1"/>
    <x v="5"/>
    <n v="1226.203"/>
  </r>
  <r>
    <x v="2"/>
    <x v="1"/>
    <x v="5"/>
    <n v="1210.3900000000001"/>
  </r>
  <r>
    <x v="2"/>
    <x v="1"/>
    <x v="5"/>
    <n v="1342.579"/>
  </r>
  <r>
    <x v="2"/>
    <x v="1"/>
    <x v="5"/>
    <n v="1288.175"/>
  </r>
  <r>
    <x v="2"/>
    <x v="1"/>
    <x v="5"/>
    <n v="1233.8979999999999"/>
  </r>
  <r>
    <x v="2"/>
    <x v="1"/>
    <x v="5"/>
    <n v="1255.8409999999999"/>
  </r>
  <r>
    <x v="2"/>
    <x v="1"/>
    <x v="5"/>
    <n v="1295.318"/>
  </r>
  <r>
    <x v="2"/>
    <x v="1"/>
    <x v="5"/>
    <n v="1246.56"/>
  </r>
  <r>
    <x v="2"/>
    <x v="1"/>
    <x v="5"/>
    <n v="1204.2070000000001"/>
  </r>
  <r>
    <x v="2"/>
    <x v="2"/>
    <x v="5"/>
    <n v="3804.68"/>
  </r>
  <r>
    <x v="2"/>
    <x v="2"/>
    <x v="5"/>
    <n v="3859.433"/>
  </r>
  <r>
    <x v="2"/>
    <x v="2"/>
    <x v="5"/>
    <n v="3819.576"/>
  </r>
  <r>
    <x v="2"/>
    <x v="2"/>
    <x v="5"/>
    <n v="3851.0630000000001"/>
  </r>
  <r>
    <x v="2"/>
    <x v="2"/>
    <x v="5"/>
    <n v="3849.1179999999999"/>
  </r>
  <r>
    <x v="2"/>
    <x v="2"/>
    <x v="5"/>
    <n v="3736.9740000000002"/>
  </r>
  <r>
    <x v="2"/>
    <x v="2"/>
    <x v="5"/>
    <n v="3863.9110000000001"/>
  </r>
  <r>
    <x v="2"/>
    <x v="2"/>
    <x v="5"/>
    <n v="3844.0010000000002"/>
  </r>
  <r>
    <x v="2"/>
    <x v="2"/>
    <x v="5"/>
    <n v="3860.2730000000001"/>
  </r>
  <r>
    <x v="2"/>
    <x v="2"/>
    <x v="5"/>
    <n v="3959.4760000000001"/>
  </r>
  <r>
    <x v="2"/>
    <x v="2"/>
    <x v="5"/>
    <n v="3811.7840000000001"/>
  </r>
  <r>
    <x v="2"/>
    <x v="2"/>
    <x v="5"/>
    <n v="3888.3539999999998"/>
  </r>
  <r>
    <x v="2"/>
    <x v="2"/>
    <x v="5"/>
    <n v="3703.1579999999999"/>
  </r>
  <r>
    <x v="2"/>
    <x v="2"/>
    <x v="5"/>
    <n v="3744.8919999999998"/>
  </r>
  <r>
    <x v="2"/>
    <x v="2"/>
    <x v="5"/>
    <n v="3924.2719999999999"/>
  </r>
  <r>
    <x v="2"/>
    <x v="2"/>
    <x v="5"/>
    <n v="3782.0279999999998"/>
  </r>
  <r>
    <x v="2"/>
    <x v="2"/>
    <x v="5"/>
    <n v="3789.877"/>
  </r>
  <r>
    <x v="2"/>
    <x v="2"/>
    <x v="5"/>
    <n v="3734.2370000000001"/>
  </r>
  <r>
    <x v="2"/>
    <x v="2"/>
    <x v="5"/>
    <n v="3972.0039999999999"/>
  </r>
  <r>
    <x v="2"/>
    <x v="2"/>
    <x v="5"/>
    <n v="3934.93"/>
  </r>
  <r>
    <x v="2"/>
    <x v="2"/>
    <x v="5"/>
    <n v="3895.1149999999998"/>
  </r>
  <r>
    <x v="2"/>
    <x v="2"/>
    <x v="5"/>
    <n v="3725.4189999999999"/>
  </r>
  <r>
    <x v="2"/>
    <x v="2"/>
    <x v="5"/>
    <n v="3736.9850000000001"/>
  </r>
  <r>
    <x v="2"/>
    <x v="2"/>
    <x v="5"/>
    <n v="3742.8180000000002"/>
  </r>
  <r>
    <x v="2"/>
    <x v="2"/>
    <x v="5"/>
    <n v="3969.2220000000002"/>
  </r>
  <r>
    <x v="2"/>
    <x v="2"/>
    <x v="5"/>
    <n v="3786.2150000000001"/>
  </r>
  <r>
    <x v="2"/>
    <x v="2"/>
    <x v="5"/>
    <n v="3973.2370000000001"/>
  </r>
  <r>
    <x v="2"/>
    <x v="2"/>
    <x v="5"/>
    <n v="4020.692"/>
  </r>
  <r>
    <x v="2"/>
    <x v="2"/>
    <x v="5"/>
    <n v="3774.3310000000001"/>
  </r>
  <r>
    <x v="2"/>
    <x v="2"/>
    <x v="5"/>
    <n v="3829.1370000000002"/>
  </r>
  <r>
    <x v="2"/>
    <x v="2"/>
    <x v="5"/>
    <n v="3887.1190000000001"/>
  </r>
  <r>
    <x v="2"/>
    <x v="2"/>
    <x v="5"/>
    <n v="3859.0520000000001"/>
  </r>
  <r>
    <x v="2"/>
    <x v="2"/>
    <x v="5"/>
    <n v="3935.1469999999999"/>
  </r>
  <r>
    <x v="2"/>
    <x v="2"/>
    <x v="5"/>
    <n v="3866.4470000000001"/>
  </r>
  <r>
    <x v="2"/>
    <x v="2"/>
    <x v="5"/>
    <n v="3811.8760000000002"/>
  </r>
  <r>
    <x v="2"/>
    <x v="2"/>
    <x v="5"/>
    <n v="3811.027"/>
  </r>
  <r>
    <x v="2"/>
    <x v="2"/>
    <x v="5"/>
    <n v="3764.2649999999999"/>
  </r>
  <r>
    <x v="2"/>
    <x v="2"/>
    <x v="5"/>
    <n v="3804.1030000000001"/>
  </r>
  <r>
    <x v="2"/>
    <x v="2"/>
    <x v="5"/>
    <n v="3876.654"/>
  </r>
  <r>
    <x v="2"/>
    <x v="2"/>
    <x v="5"/>
    <n v="3960.9090000000001"/>
  </r>
  <r>
    <x v="2"/>
    <x v="2"/>
    <x v="5"/>
    <n v="3829.346"/>
  </r>
  <r>
    <x v="2"/>
    <x v="2"/>
    <x v="5"/>
    <n v="3692.788"/>
  </r>
  <r>
    <x v="2"/>
    <x v="2"/>
    <x v="5"/>
    <n v="3788.0250000000001"/>
  </r>
  <r>
    <x v="2"/>
    <x v="2"/>
    <x v="5"/>
    <n v="3933.0749999999998"/>
  </r>
  <r>
    <x v="2"/>
    <x v="2"/>
    <x v="5"/>
    <n v="3850.5309999999999"/>
  </r>
  <r>
    <x v="2"/>
    <x v="2"/>
    <x v="5"/>
    <n v="3875.3009999999999"/>
  </r>
  <r>
    <x v="2"/>
    <x v="2"/>
    <x v="5"/>
    <n v="3770.5259999999998"/>
  </r>
  <r>
    <x v="2"/>
    <x v="2"/>
    <x v="5"/>
    <n v="4028.7750000000001"/>
  </r>
  <r>
    <x v="2"/>
    <x v="2"/>
    <x v="5"/>
    <n v="4038.4940000000001"/>
  </r>
  <r>
    <x v="2"/>
    <x v="2"/>
    <x v="5"/>
    <n v="3882.5830000000001"/>
  </r>
  <r>
    <x v="2"/>
    <x v="2"/>
    <x v="5"/>
    <n v="3931.587"/>
  </r>
  <r>
    <x v="2"/>
    <x v="2"/>
    <x v="5"/>
    <n v="3876.4290000000001"/>
  </r>
  <r>
    <x v="2"/>
    <x v="2"/>
    <x v="5"/>
    <n v="3741.9940000000001"/>
  </r>
  <r>
    <x v="2"/>
    <x v="2"/>
    <x v="5"/>
    <n v="3800.7579999999998"/>
  </r>
  <r>
    <x v="2"/>
    <x v="2"/>
    <x v="5"/>
    <n v="3840.7750000000001"/>
  </r>
  <r>
    <x v="2"/>
    <x v="2"/>
    <x v="5"/>
    <n v="3932.5819999999999"/>
  </r>
  <r>
    <x v="2"/>
    <x v="2"/>
    <x v="5"/>
    <n v="3851.364"/>
  </r>
  <r>
    <x v="2"/>
    <x v="2"/>
    <x v="5"/>
    <n v="3822.7310000000002"/>
  </r>
  <r>
    <x v="2"/>
    <x v="2"/>
    <x v="5"/>
    <n v="3920.18"/>
  </r>
  <r>
    <x v="2"/>
    <x v="2"/>
    <x v="5"/>
    <n v="3972.5419999999999"/>
  </r>
  <r>
    <x v="2"/>
    <x v="2"/>
    <x v="5"/>
    <n v="3752.1889999999999"/>
  </r>
  <r>
    <x v="2"/>
    <x v="2"/>
    <x v="5"/>
    <n v="3719.002"/>
  </r>
  <r>
    <x v="2"/>
    <x v="2"/>
    <x v="5"/>
    <n v="3741.319"/>
  </r>
  <r>
    <x v="2"/>
    <x v="2"/>
    <x v="5"/>
    <n v="4053.3829999999998"/>
  </r>
  <r>
    <x v="2"/>
    <x v="2"/>
    <x v="5"/>
    <n v="3870.9229999999998"/>
  </r>
  <r>
    <x v="2"/>
    <x v="2"/>
    <x v="5"/>
    <n v="3918.4070000000002"/>
  </r>
  <r>
    <x v="2"/>
    <x v="2"/>
    <x v="5"/>
    <n v="4006.2190000000001"/>
  </r>
  <r>
    <x v="2"/>
    <x v="2"/>
    <x v="5"/>
    <n v="3826.317"/>
  </r>
  <r>
    <x v="2"/>
    <x v="2"/>
    <x v="5"/>
    <n v="3916.241"/>
  </r>
  <r>
    <x v="2"/>
    <x v="2"/>
    <x v="5"/>
    <n v="3887.127"/>
  </r>
  <r>
    <x v="2"/>
    <x v="2"/>
    <x v="5"/>
    <n v="3982.2460000000001"/>
  </r>
  <r>
    <x v="2"/>
    <x v="2"/>
    <x v="5"/>
    <n v="3956.2550000000001"/>
  </r>
  <r>
    <x v="2"/>
    <x v="2"/>
    <x v="5"/>
    <n v="3824.2939999999999"/>
  </r>
  <r>
    <x v="2"/>
    <x v="2"/>
    <x v="5"/>
    <n v="4011.4340000000002"/>
  </r>
  <r>
    <x v="2"/>
    <x v="2"/>
    <x v="5"/>
    <n v="3823.8220000000001"/>
  </r>
  <r>
    <x v="2"/>
    <x v="2"/>
    <x v="5"/>
    <n v="3766.8409999999999"/>
  </r>
  <r>
    <x v="2"/>
    <x v="2"/>
    <x v="5"/>
    <n v="3947.6750000000002"/>
  </r>
  <r>
    <x v="2"/>
    <x v="2"/>
    <x v="5"/>
    <n v="3821.136"/>
  </r>
  <r>
    <x v="2"/>
    <x v="2"/>
    <x v="5"/>
    <n v="3890.16"/>
  </r>
  <r>
    <x v="2"/>
    <x v="2"/>
    <x v="5"/>
    <n v="3671.0720000000001"/>
  </r>
  <r>
    <x v="2"/>
    <x v="2"/>
    <x v="5"/>
    <n v="3897.66"/>
  </r>
  <r>
    <x v="2"/>
    <x v="2"/>
    <x v="5"/>
    <n v="4022.8710000000001"/>
  </r>
  <r>
    <x v="2"/>
    <x v="2"/>
    <x v="5"/>
    <n v="3855.21"/>
  </r>
  <r>
    <x v="2"/>
    <x v="2"/>
    <x v="5"/>
    <n v="4064.895"/>
  </r>
  <r>
    <x v="2"/>
    <x v="2"/>
    <x v="5"/>
    <n v="3937.2730000000001"/>
  </r>
  <r>
    <x v="2"/>
    <x v="2"/>
    <x v="5"/>
    <n v="3981.8969999999999"/>
  </r>
  <r>
    <x v="2"/>
    <x v="2"/>
    <x v="5"/>
    <n v="3688.0410000000002"/>
  </r>
  <r>
    <x v="2"/>
    <x v="2"/>
    <x v="5"/>
    <n v="3833.4140000000002"/>
  </r>
  <r>
    <x v="2"/>
    <x v="2"/>
    <x v="5"/>
    <n v="3887.8029999999999"/>
  </r>
  <r>
    <x v="2"/>
    <x v="2"/>
    <x v="5"/>
    <n v="3868.5320000000002"/>
  </r>
  <r>
    <x v="2"/>
    <x v="2"/>
    <x v="5"/>
    <n v="3892.3270000000002"/>
  </r>
  <r>
    <x v="2"/>
    <x v="2"/>
    <x v="5"/>
    <n v="3892.203"/>
  </r>
  <r>
    <x v="2"/>
    <x v="2"/>
    <x v="5"/>
    <n v="3804.3560000000002"/>
  </r>
  <r>
    <x v="2"/>
    <x v="2"/>
    <x v="5"/>
    <n v="3882.7950000000001"/>
  </r>
  <r>
    <x v="2"/>
    <x v="2"/>
    <x v="5"/>
    <n v="3807.9079999999999"/>
  </r>
  <r>
    <x v="2"/>
    <x v="2"/>
    <x v="5"/>
    <n v="3834.4340000000002"/>
  </r>
  <r>
    <x v="2"/>
    <x v="2"/>
    <x v="5"/>
    <n v="3860.4589999999998"/>
  </r>
  <r>
    <x v="2"/>
    <x v="2"/>
    <x v="5"/>
    <n v="3928.201"/>
  </r>
  <r>
    <x v="2"/>
    <x v="2"/>
    <x v="5"/>
    <n v="3867.29"/>
  </r>
  <r>
    <x v="2"/>
    <x v="2"/>
    <x v="5"/>
    <n v="3886.1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s v="Direct,NSFnet,20"/>
    <x v="0"/>
    <x v="0"/>
    <x v="0"/>
    <n v="318.36799999999999"/>
    <n v="303"/>
    <n v="5.0719471947194696"/>
  </r>
  <r>
    <s v="Direct,NSFnet,20"/>
    <x v="0"/>
    <x v="0"/>
    <x v="0"/>
    <n v="316.36799999999999"/>
    <n v="303"/>
    <n v="4.4118811881188105"/>
  </r>
  <r>
    <s v="Direct,NSFnet,20"/>
    <x v="0"/>
    <x v="0"/>
    <x v="0"/>
    <n v="311.36799999999999"/>
    <n v="303"/>
    <n v="2.7617161716171603"/>
  </r>
  <r>
    <s v="Direct,NSFnet,20"/>
    <x v="0"/>
    <x v="0"/>
    <x v="0"/>
    <n v="319.36799999999999"/>
    <n v="303"/>
    <n v="5.4019801980198006"/>
  </r>
  <r>
    <s v="Direct,NSFnet,20"/>
    <x v="0"/>
    <x v="0"/>
    <x v="0"/>
    <n v="316.36799999999999"/>
    <n v="303"/>
    <n v="4.4118811881188105"/>
  </r>
  <r>
    <s v="Direct,NSFnet,20"/>
    <x v="0"/>
    <x v="0"/>
    <x v="0"/>
    <n v="320.36799999999999"/>
    <n v="303"/>
    <n v="5.7320132013201306"/>
  </r>
  <r>
    <s v="Direct,NSFnet,20"/>
    <x v="0"/>
    <x v="0"/>
    <x v="0"/>
    <n v="318.36799999999999"/>
    <n v="303"/>
    <n v="5.0719471947194696"/>
  </r>
  <r>
    <s v="Direct,NSFnet,20"/>
    <x v="0"/>
    <x v="0"/>
    <x v="0"/>
    <n v="314.36799999999999"/>
    <n v="303"/>
    <n v="3.75181518151815"/>
  </r>
  <r>
    <s v="Direct,NSFnet,20"/>
    <x v="0"/>
    <x v="0"/>
    <x v="0"/>
    <n v="311.36799999999999"/>
    <n v="303"/>
    <n v="2.7617161716171603"/>
  </r>
  <r>
    <s v="Direct,NSFnet,20"/>
    <x v="0"/>
    <x v="0"/>
    <x v="0"/>
    <n v="315.36799999999999"/>
    <n v="303"/>
    <n v="4.0818481848184804"/>
  </r>
  <r>
    <s v="Direct,NSFnet,20"/>
    <x v="0"/>
    <x v="0"/>
    <x v="0"/>
    <n v="315.36799999999999"/>
    <n v="303"/>
    <n v="4.0818481848184804"/>
  </r>
  <r>
    <s v="Direct,NSFnet,20"/>
    <x v="0"/>
    <x v="0"/>
    <x v="0"/>
    <n v="314.36799999999999"/>
    <n v="303"/>
    <n v="3.75181518151815"/>
  </r>
  <r>
    <s v="Direct,NSFnet,20"/>
    <x v="0"/>
    <x v="0"/>
    <x v="0"/>
    <n v="319.36799999999999"/>
    <n v="303"/>
    <n v="5.4019801980198006"/>
  </r>
  <r>
    <s v="Direct,NSFnet,20"/>
    <x v="0"/>
    <x v="0"/>
    <x v="0"/>
    <n v="314.36799999999999"/>
    <n v="303"/>
    <n v="3.75181518151815"/>
  </r>
  <r>
    <s v="Direct,NSFnet,20"/>
    <x v="0"/>
    <x v="0"/>
    <x v="0"/>
    <n v="313.36799999999999"/>
    <n v="303"/>
    <n v="3.4217821782178199"/>
  </r>
  <r>
    <s v="Direct,NSFnet,20"/>
    <x v="0"/>
    <x v="0"/>
    <x v="0"/>
    <n v="318.36799999999999"/>
    <n v="303"/>
    <n v="5.0719471947194696"/>
  </r>
  <r>
    <s v="Direct,NSFnet,20"/>
    <x v="0"/>
    <x v="0"/>
    <x v="0"/>
    <n v="315.36799999999999"/>
    <n v="303"/>
    <n v="4.0818481848184804"/>
  </r>
  <r>
    <s v="Direct,NSFnet,20"/>
    <x v="0"/>
    <x v="0"/>
    <x v="0"/>
    <n v="314.36799999999999"/>
    <n v="303"/>
    <n v="3.75181518151815"/>
  </r>
  <r>
    <s v="Direct,NSFnet,20"/>
    <x v="0"/>
    <x v="0"/>
    <x v="0"/>
    <n v="316.36799999999999"/>
    <n v="303"/>
    <n v="4.4118811881188105"/>
  </r>
  <r>
    <s v="Direct,NSFnet,20"/>
    <x v="0"/>
    <x v="0"/>
    <x v="0"/>
    <n v="314.36799999999999"/>
    <n v="303"/>
    <n v="3.75181518151815"/>
  </r>
  <r>
    <s v="Direct,NSFnet,20"/>
    <x v="0"/>
    <x v="0"/>
    <x v="0"/>
    <n v="316.36799999999999"/>
    <n v="303"/>
    <n v="4.4118811881188105"/>
  </r>
  <r>
    <s v="Direct,NSFnet,20"/>
    <x v="0"/>
    <x v="0"/>
    <x v="0"/>
    <n v="316.36799999999999"/>
    <n v="303"/>
    <n v="4.4118811881188105"/>
  </r>
  <r>
    <s v="Direct,NSFnet,20"/>
    <x v="0"/>
    <x v="0"/>
    <x v="0"/>
    <n v="315.36799999999999"/>
    <n v="303"/>
    <n v="4.0818481848184804"/>
  </r>
  <r>
    <s v="Direct,NSFnet,20"/>
    <x v="0"/>
    <x v="0"/>
    <x v="0"/>
    <n v="315.36799999999999"/>
    <n v="303"/>
    <n v="4.0818481848184804"/>
  </r>
  <r>
    <s v="Direct,NSFnet,20"/>
    <x v="0"/>
    <x v="0"/>
    <x v="0"/>
    <n v="316.36799999999999"/>
    <n v="303"/>
    <n v="4.4118811881188105"/>
  </r>
  <r>
    <s v="Direct,NSFnet,20"/>
    <x v="0"/>
    <x v="0"/>
    <x v="0"/>
    <n v="315.36799999999999"/>
    <n v="303"/>
    <n v="4.0818481848184804"/>
  </r>
  <r>
    <s v="Direct,NSFnet,20"/>
    <x v="0"/>
    <x v="0"/>
    <x v="0"/>
    <n v="316.36799999999999"/>
    <n v="303"/>
    <n v="4.4118811881188105"/>
  </r>
  <r>
    <s v="Direct,NSFnet,20"/>
    <x v="0"/>
    <x v="0"/>
    <x v="0"/>
    <n v="315.36799999999999"/>
    <n v="303"/>
    <n v="4.0818481848184804"/>
  </r>
  <r>
    <s v="Direct,NSFnet,20"/>
    <x v="0"/>
    <x v="0"/>
    <x v="0"/>
    <n v="314.36799999999999"/>
    <n v="303"/>
    <n v="3.75181518151815"/>
  </r>
  <r>
    <s v="Direct,NSFnet,20"/>
    <x v="0"/>
    <x v="0"/>
    <x v="0"/>
    <n v="316.36799999999999"/>
    <n v="303"/>
    <n v="4.4118811881188105"/>
  </r>
  <r>
    <s v="Direct,NSFnet,20"/>
    <x v="0"/>
    <x v="0"/>
    <x v="0"/>
    <n v="321.36799999999999"/>
    <n v="303"/>
    <n v="6.0620462046204606"/>
  </r>
  <r>
    <s v="Direct,NSFnet,20"/>
    <x v="0"/>
    <x v="0"/>
    <x v="0"/>
    <n v="315.36799999999999"/>
    <n v="303"/>
    <n v="4.0818481848184804"/>
  </r>
  <r>
    <s v="Direct,NSFnet,20"/>
    <x v="0"/>
    <x v="0"/>
    <x v="0"/>
    <n v="312.36799999999999"/>
    <n v="303"/>
    <n v="3.0917491749174899"/>
  </r>
  <r>
    <s v="Direct,NSFnet,20"/>
    <x v="0"/>
    <x v="0"/>
    <x v="0"/>
    <n v="315.36799999999999"/>
    <n v="303"/>
    <n v="4.0818481848184804"/>
  </r>
  <r>
    <s v="Direct,NSFnet,20"/>
    <x v="0"/>
    <x v="0"/>
    <x v="0"/>
    <n v="313.36799999999999"/>
    <n v="303"/>
    <n v="3.4217821782178199"/>
  </r>
  <r>
    <s v="Direct,NSFnet,20"/>
    <x v="0"/>
    <x v="0"/>
    <x v="0"/>
    <n v="315.36799999999999"/>
    <n v="303"/>
    <n v="4.0818481848184804"/>
  </r>
  <r>
    <s v="Direct,NSFnet,20"/>
    <x v="0"/>
    <x v="0"/>
    <x v="0"/>
    <n v="317.36799999999999"/>
    <n v="303"/>
    <n v="4.7419141914191405"/>
  </r>
  <r>
    <s v="Direct,NSFnet,20"/>
    <x v="0"/>
    <x v="0"/>
    <x v="0"/>
    <n v="318.36799999999999"/>
    <n v="303"/>
    <n v="5.0719471947194696"/>
  </r>
  <r>
    <s v="Direct,NSFnet,20"/>
    <x v="0"/>
    <x v="0"/>
    <x v="0"/>
    <n v="317.36799999999999"/>
    <n v="303"/>
    <n v="4.7419141914191405"/>
  </r>
  <r>
    <s v="Direct,NSFnet,20"/>
    <x v="0"/>
    <x v="0"/>
    <x v="0"/>
    <n v="312.36799999999999"/>
    <n v="303"/>
    <n v="3.0917491749174899"/>
  </r>
  <r>
    <s v="Direct,NSFnet,20"/>
    <x v="0"/>
    <x v="0"/>
    <x v="0"/>
    <n v="314.36799999999999"/>
    <n v="303"/>
    <n v="3.75181518151815"/>
  </r>
  <r>
    <s v="Direct,NSFnet,20"/>
    <x v="0"/>
    <x v="0"/>
    <x v="0"/>
    <n v="313.36799999999999"/>
    <n v="303"/>
    <n v="3.4217821782178199"/>
  </r>
  <r>
    <s v="Direct,NSFnet,20"/>
    <x v="0"/>
    <x v="0"/>
    <x v="0"/>
    <n v="318.36799999999999"/>
    <n v="303"/>
    <n v="5.0719471947194696"/>
  </r>
  <r>
    <s v="Direct,NSFnet,20"/>
    <x v="0"/>
    <x v="0"/>
    <x v="0"/>
    <n v="315.36799999999999"/>
    <n v="303"/>
    <n v="4.0818481848184804"/>
  </r>
  <r>
    <s v="Direct,NSFnet,20"/>
    <x v="0"/>
    <x v="0"/>
    <x v="0"/>
    <n v="316.36799999999999"/>
    <n v="303"/>
    <n v="4.4118811881188105"/>
  </r>
  <r>
    <s v="Direct,NSFnet,20"/>
    <x v="0"/>
    <x v="0"/>
    <x v="0"/>
    <n v="313.36799999999999"/>
    <n v="303"/>
    <n v="3.4217821782178199"/>
  </r>
  <r>
    <s v="Direct,NSFnet,20"/>
    <x v="0"/>
    <x v="0"/>
    <x v="0"/>
    <n v="317.36799999999999"/>
    <n v="303"/>
    <n v="4.7419141914191405"/>
  </r>
  <r>
    <s v="Direct,NSFnet,20"/>
    <x v="0"/>
    <x v="0"/>
    <x v="0"/>
    <n v="314.36799999999999"/>
    <n v="303"/>
    <n v="3.75181518151815"/>
  </r>
  <r>
    <s v="Direct,NSFnet,20"/>
    <x v="0"/>
    <x v="0"/>
    <x v="0"/>
    <n v="314.36799999999999"/>
    <n v="303"/>
    <n v="3.75181518151815"/>
  </r>
  <r>
    <s v="Direct,NSFnet,20"/>
    <x v="0"/>
    <x v="0"/>
    <x v="0"/>
    <n v="319.36799999999999"/>
    <n v="303"/>
    <n v="5.4019801980198006"/>
  </r>
  <r>
    <s v="Direct,NSFnet,20"/>
    <x v="0"/>
    <x v="0"/>
    <x v="0"/>
    <n v="316.36799999999999"/>
    <n v="303"/>
    <n v="4.4118811881188105"/>
  </r>
  <r>
    <s v="Direct,NSFnet,20"/>
    <x v="0"/>
    <x v="0"/>
    <x v="0"/>
    <n v="317.36799999999999"/>
    <n v="303"/>
    <n v="4.7419141914191405"/>
  </r>
  <r>
    <s v="Direct,NSFnet,20"/>
    <x v="0"/>
    <x v="0"/>
    <x v="0"/>
    <n v="314.36799999999999"/>
    <n v="303"/>
    <n v="3.75181518151815"/>
  </r>
  <r>
    <s v="Direct,NSFnet,20"/>
    <x v="0"/>
    <x v="0"/>
    <x v="0"/>
    <n v="313.36799999999999"/>
    <n v="303"/>
    <n v="3.4217821782178199"/>
  </r>
  <r>
    <s v="Direct,NSFnet,20"/>
    <x v="0"/>
    <x v="0"/>
    <x v="0"/>
    <n v="316.36799999999999"/>
    <n v="303"/>
    <n v="4.4118811881188105"/>
  </r>
  <r>
    <s v="Direct,NSFnet,20"/>
    <x v="0"/>
    <x v="0"/>
    <x v="0"/>
    <n v="318.36799999999999"/>
    <n v="303"/>
    <n v="5.0719471947194696"/>
  </r>
  <r>
    <s v="Direct,NSFnet,20"/>
    <x v="0"/>
    <x v="0"/>
    <x v="0"/>
    <n v="313.36799999999999"/>
    <n v="303"/>
    <n v="3.4217821782178199"/>
  </r>
  <r>
    <s v="Direct,NSFnet,20"/>
    <x v="0"/>
    <x v="0"/>
    <x v="0"/>
    <n v="320.36799999999999"/>
    <n v="303"/>
    <n v="5.7320132013201306"/>
  </r>
  <r>
    <s v="Direct,NSFnet,20"/>
    <x v="0"/>
    <x v="0"/>
    <x v="0"/>
    <n v="316.36799999999999"/>
    <n v="303"/>
    <n v="4.4118811881188105"/>
  </r>
  <r>
    <s v="Direct,NSFnet,20"/>
    <x v="0"/>
    <x v="0"/>
    <x v="0"/>
    <n v="314.36799999999999"/>
    <n v="303"/>
    <n v="3.75181518151815"/>
  </r>
  <r>
    <s v="Direct,NSFnet,20"/>
    <x v="0"/>
    <x v="0"/>
    <x v="0"/>
    <n v="316.36799999999999"/>
    <n v="303"/>
    <n v="4.4118811881188105"/>
  </r>
  <r>
    <s v="Direct,NSFnet,20"/>
    <x v="0"/>
    <x v="0"/>
    <x v="0"/>
    <n v="316.36799999999999"/>
    <n v="303"/>
    <n v="4.4118811881188105"/>
  </r>
  <r>
    <s v="Direct,NSFnet,20"/>
    <x v="0"/>
    <x v="0"/>
    <x v="0"/>
    <n v="319.36799999999999"/>
    <n v="303"/>
    <n v="5.4019801980198006"/>
  </r>
  <r>
    <s v="Direct,NSFnet,20"/>
    <x v="0"/>
    <x v="0"/>
    <x v="0"/>
    <n v="314.36799999999999"/>
    <n v="303"/>
    <n v="3.75181518151815"/>
  </r>
  <r>
    <s v="Direct,NSFnet,20"/>
    <x v="0"/>
    <x v="0"/>
    <x v="0"/>
    <n v="311.36799999999999"/>
    <n v="303"/>
    <n v="2.7617161716171603"/>
  </r>
  <r>
    <s v="Direct,NSFnet,20"/>
    <x v="0"/>
    <x v="0"/>
    <x v="0"/>
    <n v="316.36799999999999"/>
    <n v="303"/>
    <n v="4.4118811881188105"/>
  </r>
  <r>
    <s v="Direct,NSFnet,20"/>
    <x v="0"/>
    <x v="0"/>
    <x v="0"/>
    <n v="316.36799999999999"/>
    <n v="303"/>
    <n v="4.4118811881188105"/>
  </r>
  <r>
    <s v="Direct,NSFnet,20"/>
    <x v="0"/>
    <x v="0"/>
    <x v="0"/>
    <n v="314.36799999999999"/>
    <n v="303"/>
    <n v="3.75181518151815"/>
  </r>
  <r>
    <s v="Direct,NSFnet,20"/>
    <x v="0"/>
    <x v="0"/>
    <x v="0"/>
    <n v="314.36799999999999"/>
    <n v="303"/>
    <n v="3.75181518151815"/>
  </r>
  <r>
    <s v="Direct,NSFnet,20"/>
    <x v="0"/>
    <x v="0"/>
    <x v="0"/>
    <n v="315.36799999999999"/>
    <n v="303"/>
    <n v="4.0818481848184804"/>
  </r>
  <r>
    <s v="Direct,NSFnet,20"/>
    <x v="0"/>
    <x v="0"/>
    <x v="0"/>
    <n v="317.36799999999999"/>
    <n v="303"/>
    <n v="4.7419141914191405"/>
  </r>
  <r>
    <s v="Direct,NSFnet,20"/>
    <x v="0"/>
    <x v="0"/>
    <x v="0"/>
    <n v="316.36799999999999"/>
    <n v="303"/>
    <n v="4.4118811881188105"/>
  </r>
  <r>
    <s v="Direct,NSFnet,20"/>
    <x v="0"/>
    <x v="0"/>
    <x v="0"/>
    <n v="314.36799999999999"/>
    <n v="303"/>
    <n v="3.75181518151815"/>
  </r>
  <r>
    <s v="Direct,NSFnet,20"/>
    <x v="0"/>
    <x v="0"/>
    <x v="0"/>
    <n v="314.36799999999999"/>
    <n v="303"/>
    <n v="3.75181518151815"/>
  </r>
  <r>
    <s v="Direct,NSFnet,20"/>
    <x v="0"/>
    <x v="0"/>
    <x v="0"/>
    <n v="315.36799999999999"/>
    <n v="303"/>
    <n v="4.0818481848184804"/>
  </r>
  <r>
    <s v="Direct,NSFnet,20"/>
    <x v="0"/>
    <x v="0"/>
    <x v="0"/>
    <n v="316.36799999999999"/>
    <n v="303"/>
    <n v="4.4118811881188105"/>
  </r>
  <r>
    <s v="Direct,NSFnet,20"/>
    <x v="0"/>
    <x v="0"/>
    <x v="0"/>
    <n v="320.36799999999999"/>
    <n v="303"/>
    <n v="5.7320132013201306"/>
  </r>
  <r>
    <s v="Direct,NSFnet,20"/>
    <x v="0"/>
    <x v="0"/>
    <x v="0"/>
    <n v="313.36799999999999"/>
    <n v="303"/>
    <n v="3.4217821782178199"/>
  </r>
  <r>
    <s v="Direct,NSFnet,20"/>
    <x v="0"/>
    <x v="0"/>
    <x v="0"/>
    <n v="315.36799999999999"/>
    <n v="303"/>
    <n v="4.0818481848184804"/>
  </r>
  <r>
    <s v="Direct,NSFnet,20"/>
    <x v="0"/>
    <x v="0"/>
    <x v="0"/>
    <n v="317.36799999999999"/>
    <n v="303"/>
    <n v="4.7419141914191405"/>
  </r>
  <r>
    <s v="Direct,NSFnet,20"/>
    <x v="0"/>
    <x v="0"/>
    <x v="0"/>
    <n v="317.36799999999999"/>
    <n v="303"/>
    <n v="4.7419141914191405"/>
  </r>
  <r>
    <s v="Direct,NSFnet,20"/>
    <x v="0"/>
    <x v="0"/>
    <x v="0"/>
    <n v="316.36799999999999"/>
    <n v="303"/>
    <n v="4.4118811881188105"/>
  </r>
  <r>
    <s v="Direct,NSFnet,20"/>
    <x v="0"/>
    <x v="0"/>
    <x v="0"/>
    <n v="316.36799999999999"/>
    <n v="303"/>
    <n v="4.4118811881188105"/>
  </r>
  <r>
    <s v="Direct,NSFnet,20"/>
    <x v="0"/>
    <x v="0"/>
    <x v="0"/>
    <n v="314.36799999999999"/>
    <n v="303"/>
    <n v="3.75181518151815"/>
  </r>
  <r>
    <s v="Direct,NSFnet,20"/>
    <x v="0"/>
    <x v="0"/>
    <x v="0"/>
    <n v="316.36799999999999"/>
    <n v="303"/>
    <n v="4.4118811881188105"/>
  </r>
  <r>
    <s v="Direct,NSFnet,20"/>
    <x v="0"/>
    <x v="0"/>
    <x v="0"/>
    <n v="312.36799999999999"/>
    <n v="303"/>
    <n v="3.0917491749174899"/>
  </r>
  <r>
    <s v="Direct,NSFnet,20"/>
    <x v="0"/>
    <x v="0"/>
    <x v="0"/>
    <n v="316.36799999999999"/>
    <n v="303"/>
    <n v="4.4118811881188105"/>
  </r>
  <r>
    <s v="Direct,NSFnet,20"/>
    <x v="0"/>
    <x v="0"/>
    <x v="0"/>
    <n v="316.36799999999999"/>
    <n v="303"/>
    <n v="4.4118811881188105"/>
  </r>
  <r>
    <s v="Direct,NSFnet,20"/>
    <x v="0"/>
    <x v="0"/>
    <x v="0"/>
    <n v="312.36799999999999"/>
    <n v="303"/>
    <n v="3.0917491749174899"/>
  </r>
  <r>
    <s v="Direct,NSFnet,20"/>
    <x v="0"/>
    <x v="0"/>
    <x v="0"/>
    <n v="316.36799999999999"/>
    <n v="303"/>
    <n v="4.4118811881188105"/>
  </r>
  <r>
    <s v="Direct,NSFnet,20"/>
    <x v="0"/>
    <x v="0"/>
    <x v="0"/>
    <n v="314.36799999999999"/>
    <n v="303"/>
    <n v="3.75181518151815"/>
  </r>
  <r>
    <s v="Direct,NSFnet,20"/>
    <x v="0"/>
    <x v="0"/>
    <x v="0"/>
    <n v="314.36799999999999"/>
    <n v="303"/>
    <n v="3.75181518151815"/>
  </r>
  <r>
    <s v="Direct,NSFnet,20"/>
    <x v="0"/>
    <x v="0"/>
    <x v="0"/>
    <n v="316.36799999999999"/>
    <n v="303"/>
    <n v="4.4118811881188105"/>
  </r>
  <r>
    <s v="Direct,NSFnet,20"/>
    <x v="0"/>
    <x v="0"/>
    <x v="0"/>
    <n v="317.36799999999999"/>
    <n v="303"/>
    <n v="4.7419141914191405"/>
  </r>
  <r>
    <s v="Direct,NSFnet,20"/>
    <x v="0"/>
    <x v="0"/>
    <x v="0"/>
    <n v="313.36799999999999"/>
    <n v="303"/>
    <n v="3.4217821782178199"/>
  </r>
  <r>
    <s v="Direct,NSFnet,20"/>
    <x v="0"/>
    <x v="0"/>
    <x v="0"/>
    <n v="316.36799999999999"/>
    <n v="303"/>
    <n v="4.4118811881188105"/>
  </r>
  <r>
    <s v="Direct,NSFnet,20"/>
    <x v="0"/>
    <x v="0"/>
    <x v="0"/>
    <n v="316.36799999999999"/>
    <n v="303"/>
    <n v="4.4118811881188105"/>
  </r>
  <r>
    <s v="Direct,NSFnet,20"/>
    <x v="0"/>
    <x v="0"/>
    <x v="0"/>
    <n v="316.36799999999999"/>
    <n v="303"/>
    <n v="4.4118811881188105"/>
  </r>
  <r>
    <s v="Direct,NSFnet,20"/>
    <x v="0"/>
    <x v="0"/>
    <x v="0"/>
    <n v="312.36799999999999"/>
    <n v="303"/>
    <n v="3.0917491749174899"/>
  </r>
  <r>
    <s v="Direct,NSFnet,20"/>
    <x v="0"/>
    <x v="0"/>
    <x v="0"/>
    <n v="320.36799999999999"/>
    <n v="303"/>
    <n v="5.7320132013201306"/>
  </r>
  <r>
    <s v="Direct,NSFnet,40"/>
    <x v="0"/>
    <x v="0"/>
    <x v="1"/>
    <n v="494.24"/>
    <n v="497"/>
    <n v="0.55533199195170846"/>
  </r>
  <r>
    <s v="Direct,NSFnet,40"/>
    <x v="0"/>
    <x v="0"/>
    <x v="1"/>
    <n v="512.33799999999997"/>
    <n v="497"/>
    <n v="3.0861167002012002"/>
  </r>
  <r>
    <s v="Direct,NSFnet,40"/>
    <x v="0"/>
    <x v="0"/>
    <x v="1"/>
    <n v="495.02800000000002"/>
    <n v="497"/>
    <n v="0.3967806841046238"/>
  </r>
  <r>
    <s v="Direct,NSFnet,40"/>
    <x v="0"/>
    <x v="0"/>
    <x v="1"/>
    <n v="533.73"/>
    <n v="497"/>
    <n v="7.3903420523138861"/>
  </r>
  <r>
    <s v="Direct,NSFnet,40"/>
    <x v="0"/>
    <x v="0"/>
    <x v="1"/>
    <n v="512.48400000000004"/>
    <n v="497"/>
    <n v="3.1154929577464867"/>
  </r>
  <r>
    <s v="Direct,NSFnet,40"/>
    <x v="0"/>
    <x v="0"/>
    <x v="1"/>
    <n v="541.38099999999997"/>
    <n v="497"/>
    <n v="8.929778672032187"/>
  </r>
  <r>
    <s v="Direct,NSFnet,40"/>
    <x v="0"/>
    <x v="0"/>
    <x v="1"/>
    <n v="530.16899999999998"/>
    <n v="497"/>
    <n v="6.6738430583500969"/>
  </r>
  <r>
    <s v="Direct,NSFnet,40"/>
    <x v="0"/>
    <x v="0"/>
    <x v="1"/>
    <n v="542.42600000000004"/>
    <n v="497"/>
    <n v="9.1400402414487001"/>
  </r>
  <r>
    <s v="Direct,NSFnet,40"/>
    <x v="0"/>
    <x v="0"/>
    <x v="1"/>
    <n v="512.21199999999999"/>
    <n v="497"/>
    <n v="3.0607645875251488"/>
  </r>
  <r>
    <s v="Direct,NSFnet,40"/>
    <x v="0"/>
    <x v="0"/>
    <x v="1"/>
    <n v="530.02"/>
    <n v="497"/>
    <n v="6.6438631790744429"/>
  </r>
  <r>
    <s v="Direct,NSFnet,40"/>
    <x v="0"/>
    <x v="0"/>
    <x v="1"/>
    <n v="505.37799999999999"/>
    <n v="497"/>
    <n v="1.6857142857142828"/>
  </r>
  <r>
    <s v="Direct,NSFnet,40"/>
    <x v="0"/>
    <x v="0"/>
    <x v="1"/>
    <n v="507.44499999999999"/>
    <n v="497"/>
    <n v="2.1016096579476846"/>
  </r>
  <r>
    <s v="Direct,NSFnet,40"/>
    <x v="0"/>
    <x v="0"/>
    <x v="1"/>
    <n v="532.77700000000004"/>
    <n v="497"/>
    <n v="7.1985915492957835"/>
  </r>
  <r>
    <s v="Direct,NSFnet,40"/>
    <x v="0"/>
    <x v="0"/>
    <x v="1"/>
    <n v="491.82"/>
    <n v="497"/>
    <n v="1.0422535211267621"/>
  </r>
  <r>
    <s v="Direct,NSFnet,40"/>
    <x v="0"/>
    <x v="0"/>
    <x v="1"/>
    <n v="509.05700000000002"/>
    <n v="497"/>
    <n v="2.425955734406442"/>
  </r>
  <r>
    <s v="Direct,NSFnet,40"/>
    <x v="0"/>
    <x v="0"/>
    <x v="1"/>
    <n v="509.96"/>
    <n v="497"/>
    <n v="2.6076458752515053"/>
  </r>
  <r>
    <s v="Direct,NSFnet,40"/>
    <x v="0"/>
    <x v="0"/>
    <x v="1"/>
    <n v="495.75099999999998"/>
    <n v="497"/>
    <n v="0.2513078470824997"/>
  </r>
  <r>
    <s v="Direct,NSFnet,40"/>
    <x v="0"/>
    <x v="0"/>
    <x v="1"/>
    <n v="519.99699999999996"/>
    <n v="497"/>
    <n v="4.6271629778671945"/>
  </r>
  <r>
    <s v="Direct,NSFnet,40"/>
    <x v="0"/>
    <x v="0"/>
    <x v="1"/>
    <n v="523.58000000000004"/>
    <n v="497"/>
    <n v="5.3480885311871313"/>
  </r>
  <r>
    <s v="Direct,NSFnet,40"/>
    <x v="0"/>
    <x v="0"/>
    <x v="1"/>
    <n v="518.69200000000001"/>
    <n v="497"/>
    <n v="4.364587525150907"/>
  </r>
  <r>
    <s v="Direct,NSFnet,40"/>
    <x v="0"/>
    <x v="0"/>
    <x v="1"/>
    <n v="509.88200000000001"/>
    <n v="497"/>
    <n v="2.5919517102615703"/>
  </r>
  <r>
    <s v="Direct,NSFnet,40"/>
    <x v="0"/>
    <x v="0"/>
    <x v="1"/>
    <n v="496.57100000000003"/>
    <n v="497"/>
    <n v="8.6317907444662695E-2"/>
  </r>
  <r>
    <s v="Direct,NSFnet,40"/>
    <x v="0"/>
    <x v="0"/>
    <x v="1"/>
    <n v="485.84300000000002"/>
    <n v="497"/>
    <n v="2.2448692152917471"/>
  </r>
  <r>
    <s v="Direct,NSFnet,40"/>
    <x v="0"/>
    <x v="0"/>
    <x v="1"/>
    <n v="506.2"/>
    <n v="497"/>
    <n v="1.8511066398390321"/>
  </r>
  <r>
    <s v="Direct,NSFnet,40"/>
    <x v="0"/>
    <x v="0"/>
    <x v="1"/>
    <n v="507.827"/>
    <n v="497"/>
    <n v="2.1784708249496978"/>
  </r>
  <r>
    <s v="Direct,NSFnet,40"/>
    <x v="0"/>
    <x v="0"/>
    <x v="1"/>
    <n v="539.91099999999994"/>
    <n v="497"/>
    <n v="8.6340040241448577"/>
  </r>
  <r>
    <s v="Direct,NSFnet,40"/>
    <x v="0"/>
    <x v="0"/>
    <x v="1"/>
    <n v="504.38499999999999"/>
    <n v="497"/>
    <n v="1.4859154929577445"/>
  </r>
  <r>
    <s v="Direct,NSFnet,40"/>
    <x v="0"/>
    <x v="0"/>
    <x v="1"/>
    <n v="500.23099999999999"/>
    <n v="497"/>
    <n v="0.65010060362172928"/>
  </r>
  <r>
    <s v="Direct,NSFnet,40"/>
    <x v="0"/>
    <x v="0"/>
    <x v="1"/>
    <n v="496.55500000000001"/>
    <n v="497"/>
    <n v="8.9537223340038871E-2"/>
  </r>
  <r>
    <s v="Direct,NSFnet,40"/>
    <x v="0"/>
    <x v="0"/>
    <x v="1"/>
    <n v="496.78399999999999"/>
    <n v="497"/>
    <n v="4.3460764587526797E-2"/>
  </r>
  <r>
    <s v="Direct,NSFnet,40"/>
    <x v="0"/>
    <x v="0"/>
    <x v="1"/>
    <n v="512.08600000000001"/>
    <n v="497"/>
    <n v="3.0354124748490969"/>
  </r>
  <r>
    <s v="Direct,NSFnet,40"/>
    <x v="0"/>
    <x v="0"/>
    <x v="1"/>
    <n v="497.90499999999997"/>
    <n v="497"/>
    <n v="0.18209255533198646"/>
  </r>
  <r>
    <s v="Direct,NSFnet,40"/>
    <x v="0"/>
    <x v="0"/>
    <x v="1"/>
    <n v="512.09400000000005"/>
    <n v="497"/>
    <n v="3.0370221327967908"/>
  </r>
  <r>
    <s v="Direct,NSFnet,40"/>
    <x v="0"/>
    <x v="0"/>
    <x v="1"/>
    <n v="516.41899999999998"/>
    <n v="497"/>
    <n v="3.9072434607645841"/>
  </r>
  <r>
    <s v="Direct,NSFnet,40"/>
    <x v="0"/>
    <x v="0"/>
    <x v="1"/>
    <n v="503.47"/>
    <n v="497"/>
    <n v="1.3018108651911524"/>
  </r>
  <r>
    <s v="Direct,NSFnet,40"/>
    <x v="0"/>
    <x v="0"/>
    <x v="1"/>
    <n v="495.57900000000001"/>
    <n v="497"/>
    <n v="0.28591549295774493"/>
  </r>
  <r>
    <s v="Direct,NSFnet,40"/>
    <x v="0"/>
    <x v="0"/>
    <x v="1"/>
    <n v="535.72900000000004"/>
    <n v="497"/>
    <n v="7.7925553319919603"/>
  </r>
  <r>
    <s v="Direct,NSFnet,40"/>
    <x v="0"/>
    <x v="0"/>
    <x v="1"/>
    <n v="549.44200000000001"/>
    <n v="497"/>
    <n v="10.551710261569418"/>
  </r>
  <r>
    <s v="Direct,NSFnet,40"/>
    <x v="0"/>
    <x v="0"/>
    <x v="1"/>
    <n v="519.11900000000003"/>
    <n v="497"/>
    <n v="4.450503018108658"/>
  </r>
  <r>
    <s v="Direct,NSFnet,40"/>
    <x v="0"/>
    <x v="0"/>
    <x v="1"/>
    <n v="515.1"/>
    <n v="497"/>
    <n v="3.6418511066398436"/>
  </r>
  <r>
    <s v="Direct,NSFnet,40"/>
    <x v="0"/>
    <x v="0"/>
    <x v="1"/>
    <n v="510.10599999999999"/>
    <n v="497"/>
    <n v="2.6370221327967793"/>
  </r>
  <r>
    <s v="Direct,NSFnet,40"/>
    <x v="0"/>
    <x v="0"/>
    <x v="1"/>
    <n v="517.08600000000001"/>
    <n v="497"/>
    <n v="4.0414486921529198"/>
  </r>
  <r>
    <s v="Direct,NSFnet,40"/>
    <x v="0"/>
    <x v="0"/>
    <x v="1"/>
    <n v="515.47799999999995"/>
    <n v="497"/>
    <n v="3.7179074446679983"/>
  </r>
  <r>
    <s v="Direct,NSFnet,40"/>
    <x v="0"/>
    <x v="0"/>
    <x v="1"/>
    <n v="507.80500000000001"/>
    <n v="497"/>
    <n v="2.1740442655935626"/>
  </r>
  <r>
    <s v="Direct,NSFnet,40"/>
    <x v="0"/>
    <x v="0"/>
    <x v="1"/>
    <n v="497.52499999999998"/>
    <n v="497"/>
    <n v="0.10563380281689684"/>
  </r>
  <r>
    <s v="Direct,NSFnet,40"/>
    <x v="0"/>
    <x v="0"/>
    <x v="1"/>
    <n v="510.51799999999997"/>
    <n v="497"/>
    <n v="2.71991951710261"/>
  </r>
  <r>
    <s v="Direct,NSFnet,40"/>
    <x v="0"/>
    <x v="0"/>
    <x v="1"/>
    <n v="501.92500000000001"/>
    <n v="497"/>
    <n v="0.99094567404426781"/>
  </r>
  <r>
    <s v="Direct,NSFnet,40"/>
    <x v="0"/>
    <x v="0"/>
    <x v="1"/>
    <n v="508.553"/>
    <n v="497"/>
    <n v="2.3245472837022128"/>
  </r>
  <r>
    <s v="Direct,NSFnet,40"/>
    <x v="0"/>
    <x v="0"/>
    <x v="1"/>
    <n v="504.36500000000001"/>
    <n v="497"/>
    <n v="1.481891348088533"/>
  </r>
  <r>
    <s v="Direct,NSFnet,40"/>
    <x v="0"/>
    <x v="0"/>
    <x v="1"/>
    <n v="517.35500000000002"/>
    <n v="497"/>
    <n v="4.0955734406438671"/>
  </r>
  <r>
    <s v="Direct,NSFnet,40"/>
    <x v="0"/>
    <x v="0"/>
    <x v="1"/>
    <n v="523.73500000000001"/>
    <n v="497"/>
    <n v="5.3792756539235436"/>
  </r>
  <r>
    <s v="Direct,NSFnet,40"/>
    <x v="0"/>
    <x v="0"/>
    <x v="1"/>
    <n v="547.67100000000005"/>
    <n v="497"/>
    <n v="10.195372233400413"/>
  </r>
  <r>
    <s v="Direct,NSFnet,40"/>
    <x v="0"/>
    <x v="0"/>
    <x v="1"/>
    <n v="513.30899999999997"/>
    <n v="497"/>
    <n v="3.2814889336016035"/>
  </r>
  <r>
    <s v="Direct,NSFnet,40"/>
    <x v="0"/>
    <x v="0"/>
    <x v="1"/>
    <n v="510.017"/>
    <n v="497"/>
    <n v="2.6191146881287719"/>
  </r>
  <r>
    <s v="Direct,NSFnet,40"/>
    <x v="0"/>
    <x v="0"/>
    <x v="1"/>
    <n v="523.47299999999996"/>
    <n v="497"/>
    <n v="5.3265593561368121"/>
  </r>
  <r>
    <s v="Direct,NSFnet,40"/>
    <x v="0"/>
    <x v="0"/>
    <x v="1"/>
    <n v="505.40699999999998"/>
    <n v="497"/>
    <n v="1.6915492957746441"/>
  </r>
  <r>
    <s v="Direct,NSFnet,40"/>
    <x v="0"/>
    <x v="0"/>
    <x v="1"/>
    <n v="502.22399999999999"/>
    <n v="497"/>
    <n v="1.0511066398390321"/>
  </r>
  <r>
    <s v="Direct,NSFnet,40"/>
    <x v="0"/>
    <x v="0"/>
    <x v="1"/>
    <n v="536.43799999999999"/>
    <n v="497"/>
    <n v="7.9352112676056308"/>
  </r>
  <r>
    <s v="Direct,NSFnet,40"/>
    <x v="0"/>
    <x v="0"/>
    <x v="1"/>
    <n v="528.82399999999996"/>
    <n v="497"/>
    <n v="6.4032193158953632"/>
  </r>
  <r>
    <s v="Direct,NSFnet,40"/>
    <x v="0"/>
    <x v="0"/>
    <x v="1"/>
    <n v="523.50900000000001"/>
    <n v="497"/>
    <n v="5.3338028169014109"/>
  </r>
  <r>
    <s v="Direct,NSFnet,40"/>
    <x v="0"/>
    <x v="0"/>
    <x v="1"/>
    <n v="546.80200000000002"/>
    <n v="497"/>
    <n v="10.020523138833003"/>
  </r>
  <r>
    <s v="Direct,NSFnet,40"/>
    <x v="0"/>
    <x v="0"/>
    <x v="1"/>
    <n v="519.58199999999999"/>
    <n v="497"/>
    <n v="4.5436619718309847"/>
  </r>
  <r>
    <s v="Direct,NSFnet,40"/>
    <x v="0"/>
    <x v="0"/>
    <x v="1"/>
    <n v="518.96299999999997"/>
    <n v="497"/>
    <n v="4.4191146881287651"/>
  </r>
  <r>
    <s v="Direct,NSFnet,40"/>
    <x v="0"/>
    <x v="0"/>
    <x v="1"/>
    <n v="522.73199999999997"/>
    <n v="497"/>
    <n v="5.1774647887323884"/>
  </r>
  <r>
    <s v="Direct,NSFnet,40"/>
    <x v="0"/>
    <x v="0"/>
    <x v="1"/>
    <n v="529.09299999999996"/>
    <n v="497"/>
    <n v="6.4573440643863096"/>
  </r>
  <r>
    <s v="Direct,NSFnet,40"/>
    <x v="0"/>
    <x v="0"/>
    <x v="1"/>
    <n v="523.23699999999997"/>
    <n v="497"/>
    <n v="5.2790744466800739"/>
  </r>
  <r>
    <s v="Direct,NSFnet,40"/>
    <x v="0"/>
    <x v="0"/>
    <x v="1"/>
    <n v="520.9"/>
    <n v="497"/>
    <n v="4.8088531187122685"/>
  </r>
  <r>
    <s v="Direct,NSFnet,40"/>
    <x v="0"/>
    <x v="0"/>
    <x v="1"/>
    <n v="519.524"/>
    <n v="497"/>
    <n v="4.5319919517102614"/>
  </r>
  <r>
    <s v="Direct,NSFnet,40"/>
    <x v="0"/>
    <x v="0"/>
    <x v="1"/>
    <n v="509.81"/>
    <n v="497"/>
    <n v="2.5774647887323949"/>
  </r>
  <r>
    <s v="Direct,NSFnet,40"/>
    <x v="0"/>
    <x v="0"/>
    <x v="1"/>
    <n v="518.42200000000003"/>
    <n v="497"/>
    <n v="4.3102615694165038"/>
  </r>
  <r>
    <s v="Direct,NSFnet,40"/>
    <x v="0"/>
    <x v="0"/>
    <x v="1"/>
    <n v="505.40100000000001"/>
    <n v="497"/>
    <n v="1.6903420523138855"/>
  </r>
  <r>
    <s v="Direct,NSFnet,40"/>
    <x v="0"/>
    <x v="0"/>
    <x v="1"/>
    <n v="515.93799999999999"/>
    <n v="497"/>
    <n v="3.810462776659957"/>
  </r>
  <r>
    <s v="Direct,NSFnet,40"/>
    <x v="0"/>
    <x v="0"/>
    <x v="1"/>
    <n v="510.82600000000002"/>
    <n v="497"/>
    <n v="2.7818913480885357"/>
  </r>
  <r>
    <s v="Direct,NSFnet,40"/>
    <x v="0"/>
    <x v="0"/>
    <x v="1"/>
    <n v="480.56099999999998"/>
    <n v="497"/>
    <n v="3.3076458752515139"/>
  </r>
  <r>
    <s v="Direct,NSFnet,40"/>
    <x v="0"/>
    <x v="0"/>
    <x v="1"/>
    <n v="530.15700000000004"/>
    <n v="497"/>
    <n v="6.6714285714285797"/>
  </r>
  <r>
    <s v="Direct,NSFnet,40"/>
    <x v="0"/>
    <x v="0"/>
    <x v="1"/>
    <n v="514.95000000000005"/>
    <n v="497"/>
    <n v="3.6116700201207337"/>
  </r>
  <r>
    <s v="Direct,NSFnet,40"/>
    <x v="0"/>
    <x v="0"/>
    <x v="1"/>
    <n v="495.15899999999999"/>
    <n v="497"/>
    <n v="0.37042253521126928"/>
  </r>
  <r>
    <s v="Direct,NSFnet,40"/>
    <x v="0"/>
    <x v="0"/>
    <x v="1"/>
    <n v="540.673"/>
    <n v="497"/>
    <n v="8.7873239436619723"/>
  </r>
  <r>
    <s v="Direct,NSFnet,40"/>
    <x v="0"/>
    <x v="0"/>
    <x v="1"/>
    <n v="528.79700000000003"/>
    <n v="497"/>
    <n v="6.3977867203219363"/>
  </r>
  <r>
    <s v="Direct,NSFnet,40"/>
    <x v="0"/>
    <x v="0"/>
    <x v="1"/>
    <n v="519.71799999999996"/>
    <n v="497"/>
    <n v="4.5710261569416417"/>
  </r>
  <r>
    <s v="Direct,NSFnet,40"/>
    <x v="0"/>
    <x v="0"/>
    <x v="1"/>
    <n v="512.01700000000005"/>
    <n v="497"/>
    <n v="3.0215291750503122"/>
  </r>
  <r>
    <s v="Direct,NSFnet,40"/>
    <x v="0"/>
    <x v="0"/>
    <x v="1"/>
    <n v="512.30899999999997"/>
    <n v="497"/>
    <n v="3.080281690140839"/>
  </r>
  <r>
    <s v="Direct,NSFnet,40"/>
    <x v="0"/>
    <x v="0"/>
    <x v="1"/>
    <n v="519.58000000000004"/>
    <n v="497"/>
    <n v="4.5432595573440722"/>
  </r>
  <r>
    <s v="Direct,NSFnet,40"/>
    <x v="0"/>
    <x v="0"/>
    <x v="1"/>
    <n v="532.38"/>
    <n v="497"/>
    <n v="7.11871227364185"/>
  </r>
  <r>
    <s v="Direct,NSFnet,40"/>
    <x v="0"/>
    <x v="0"/>
    <x v="1"/>
    <n v="520.15200000000004"/>
    <n v="497"/>
    <n v="4.6583501006036299"/>
  </r>
  <r>
    <s v="Direct,NSFnet,40"/>
    <x v="0"/>
    <x v="0"/>
    <x v="1"/>
    <n v="519.64099999999996"/>
    <n v="497"/>
    <n v="4.555533199195164"/>
  </r>
  <r>
    <s v="Direct,NSFnet,40"/>
    <x v="0"/>
    <x v="0"/>
    <x v="1"/>
    <n v="513.96600000000001"/>
    <n v="497"/>
    <n v="3.4136820925553333"/>
  </r>
  <r>
    <s v="Direct,NSFnet,40"/>
    <x v="0"/>
    <x v="0"/>
    <x v="1"/>
    <n v="506.30099999999999"/>
    <n v="497"/>
    <n v="1.871428571428569"/>
  </r>
  <r>
    <s v="Direct,NSFnet,40"/>
    <x v="0"/>
    <x v="0"/>
    <x v="1"/>
    <n v="535.80399999999997"/>
    <n v="497"/>
    <n v="7.8076458752515041"/>
  </r>
  <r>
    <s v="Direct,NSFnet,40"/>
    <x v="0"/>
    <x v="0"/>
    <x v="1"/>
    <n v="532.66200000000003"/>
    <n v="497"/>
    <n v="7.1754527162977935"/>
  </r>
  <r>
    <s v="Direct,NSFnet,40"/>
    <x v="0"/>
    <x v="0"/>
    <x v="1"/>
    <n v="522.15899999999999"/>
    <n v="497"/>
    <n v="5.0621730382293748"/>
  </r>
  <r>
    <s v="Direct,NSFnet,40"/>
    <x v="0"/>
    <x v="0"/>
    <x v="1"/>
    <n v="508.48099999999999"/>
    <n v="497"/>
    <n v="2.3100603621730373"/>
  </r>
  <r>
    <s v="Direct,NSFnet,40"/>
    <x v="0"/>
    <x v="0"/>
    <x v="1"/>
    <n v="522.36800000000005"/>
    <n v="497"/>
    <n v="5.104225352112687"/>
  </r>
  <r>
    <s v="Direct,NSFnet,40"/>
    <x v="0"/>
    <x v="0"/>
    <x v="1"/>
    <n v="495.61599999999999"/>
    <n v="497"/>
    <n v="0.2784708249497011"/>
  </r>
  <r>
    <s v="Direct,NSFnet,40"/>
    <x v="0"/>
    <x v="0"/>
    <x v="1"/>
    <n v="502.41899999999998"/>
    <n v="497"/>
    <n v="1.0903420523138798"/>
  </r>
  <r>
    <s v="Direct,NSFnet,40"/>
    <x v="0"/>
    <x v="0"/>
    <x v="1"/>
    <n v="498.279"/>
    <n v="497"/>
    <n v="0.25734406438631718"/>
  </r>
  <r>
    <s v="Direct,NSFnet,40"/>
    <x v="0"/>
    <x v="0"/>
    <x v="1"/>
    <n v="524.61300000000006"/>
    <n v="497"/>
    <n v="5.5559356136821041"/>
  </r>
  <r>
    <s v="Direct,NSFnet,40"/>
    <x v="0"/>
    <x v="0"/>
    <x v="1"/>
    <n v="484.75099999999998"/>
    <n v="497"/>
    <n v="2.4645875251509102"/>
  </r>
  <r>
    <s v="Direct,NSFnet,40"/>
    <x v="0"/>
    <x v="0"/>
    <x v="1"/>
    <n v="538.75699999999995"/>
    <n v="497"/>
    <n v="8.4018108651911358"/>
  </r>
  <r>
    <s v="Direct,NSFnet,40"/>
    <x v="0"/>
    <x v="0"/>
    <x v="1"/>
    <n v="538.30100000000004"/>
    <n v="497"/>
    <n v="8.3100603621730471"/>
  </r>
  <r>
    <s v="Direct,NSFnet,60"/>
    <x v="0"/>
    <x v="0"/>
    <x v="2"/>
    <n v="702.56299999999999"/>
    <n v="687"/>
    <n v="2.2653566229985427"/>
  </r>
  <r>
    <s v="Direct,NSFnet,60"/>
    <x v="0"/>
    <x v="0"/>
    <x v="2"/>
    <n v="678.61199999999997"/>
    <n v="687"/>
    <n v="1.2209606986899613"/>
  </r>
  <r>
    <s v="Direct,NSFnet,60"/>
    <x v="0"/>
    <x v="0"/>
    <x v="2"/>
    <n v="694.56399999999996"/>
    <n v="687"/>
    <n v="1.101018922852979"/>
  </r>
  <r>
    <s v="Direct,NSFnet,60"/>
    <x v="0"/>
    <x v="0"/>
    <x v="2"/>
    <n v="713.60799999999995"/>
    <n v="687"/>
    <n v="3.8730713245997013"/>
  </r>
  <r>
    <s v="Direct,NSFnet,60"/>
    <x v="0"/>
    <x v="0"/>
    <x v="2"/>
    <n v="670.29"/>
    <n v="687"/>
    <n v="2.4323144104803545"/>
  </r>
  <r>
    <s v="Direct,NSFnet,60"/>
    <x v="0"/>
    <x v="0"/>
    <x v="2"/>
    <n v="663.28499999999997"/>
    <n v="687"/>
    <n v="3.4519650655021881"/>
  </r>
  <r>
    <s v="Direct,NSFnet,60"/>
    <x v="0"/>
    <x v="0"/>
    <x v="2"/>
    <n v="719.447"/>
    <n v="687"/>
    <n v="4.7229985443959244"/>
  </r>
  <r>
    <s v="Direct,NSFnet,60"/>
    <x v="0"/>
    <x v="0"/>
    <x v="2"/>
    <n v="726.22"/>
    <n v="687"/>
    <n v="5.708879184861722"/>
  </r>
  <r>
    <s v="Direct,NSFnet,60"/>
    <x v="0"/>
    <x v="0"/>
    <x v="2"/>
    <n v="694.23800000000006"/>
    <n v="687"/>
    <n v="1.053566229985452"/>
  </r>
  <r>
    <s v="Direct,NSFnet,60"/>
    <x v="0"/>
    <x v="0"/>
    <x v="2"/>
    <n v="747.22699999999998"/>
    <n v="687"/>
    <n v="8.7666666666666622"/>
  </r>
  <r>
    <s v="Direct,NSFnet,60"/>
    <x v="0"/>
    <x v="0"/>
    <x v="2"/>
    <n v="724.53899999999999"/>
    <n v="687"/>
    <n v="5.4641921397379898"/>
  </r>
  <r>
    <s v="Direct,NSFnet,60"/>
    <x v="0"/>
    <x v="0"/>
    <x v="2"/>
    <n v="713.29"/>
    <n v="687"/>
    <n v="3.8267831149927169"/>
  </r>
  <r>
    <s v="Direct,NSFnet,60"/>
    <x v="0"/>
    <x v="0"/>
    <x v="2"/>
    <n v="708.154"/>
    <n v="687"/>
    <n v="3.0791848617176121"/>
  </r>
  <r>
    <s v="Direct,NSFnet,60"/>
    <x v="0"/>
    <x v="0"/>
    <x v="2"/>
    <n v="703.28300000000002"/>
    <n v="687"/>
    <n v="2.3701601164483286"/>
  </r>
  <r>
    <s v="Direct,NSFnet,60"/>
    <x v="0"/>
    <x v="0"/>
    <x v="2"/>
    <n v="744.80499999999995"/>
    <n v="687"/>
    <n v="8.414119359534201"/>
  </r>
  <r>
    <s v="Direct,NSFnet,60"/>
    <x v="0"/>
    <x v="0"/>
    <x v="2"/>
    <n v="715.87699999999995"/>
    <n v="687"/>
    <n v="4.2033478893740828"/>
  </r>
  <r>
    <s v="Direct,NSFnet,60"/>
    <x v="0"/>
    <x v="0"/>
    <x v="2"/>
    <n v="739.91800000000001"/>
    <n v="687"/>
    <n v="7.7027656477438144"/>
  </r>
  <r>
    <s v="Direct,NSFnet,60"/>
    <x v="0"/>
    <x v="0"/>
    <x v="2"/>
    <n v="697.91099999999994"/>
    <n v="687"/>
    <n v="1.5882096069868914"/>
  </r>
  <r>
    <s v="Direct,NSFnet,60"/>
    <x v="0"/>
    <x v="0"/>
    <x v="2"/>
    <n v="693.51"/>
    <n v="687"/>
    <n v="0.94759825327510783"/>
  </r>
  <r>
    <s v="Direct,NSFnet,60"/>
    <x v="0"/>
    <x v="0"/>
    <x v="2"/>
    <n v="712.96699999999998"/>
    <n v="687"/>
    <n v="3.7797671033478872"/>
  </r>
  <r>
    <s v="Direct,NSFnet,60"/>
    <x v="0"/>
    <x v="0"/>
    <x v="2"/>
    <n v="750.34900000000005"/>
    <n v="687"/>
    <n v="9.2211062590975317"/>
  </r>
  <r>
    <s v="Direct,NSFnet,60"/>
    <x v="0"/>
    <x v="0"/>
    <x v="2"/>
    <n v="757.42200000000003"/>
    <n v="687"/>
    <n v="10.250655021834065"/>
  </r>
  <r>
    <s v="Direct,NSFnet,60"/>
    <x v="0"/>
    <x v="0"/>
    <x v="2"/>
    <n v="682.08199999999999"/>
    <n v="687"/>
    <n v="0.7158660844250373"/>
  </r>
  <r>
    <s v="Direct,NSFnet,60"/>
    <x v="0"/>
    <x v="0"/>
    <x v="2"/>
    <n v="668.35900000000004"/>
    <n v="687"/>
    <n v="2.7133915574963554"/>
  </r>
  <r>
    <s v="Direct,NSFnet,60"/>
    <x v="0"/>
    <x v="0"/>
    <x v="2"/>
    <n v="728.19200000000001"/>
    <n v="687"/>
    <n v="5.9959243085880649"/>
  </r>
  <r>
    <s v="Direct,NSFnet,60"/>
    <x v="0"/>
    <x v="0"/>
    <x v="2"/>
    <n v="716.77200000000005"/>
    <n v="687"/>
    <n v="4.3336244541484783"/>
  </r>
  <r>
    <s v="Direct,NSFnet,60"/>
    <x v="0"/>
    <x v="0"/>
    <x v="2"/>
    <n v="684.12300000000005"/>
    <n v="687"/>
    <n v="0.41877729257641233"/>
  </r>
  <r>
    <s v="Direct,NSFnet,60"/>
    <x v="0"/>
    <x v="0"/>
    <x v="2"/>
    <n v="692.00599999999997"/>
    <n v="687"/>
    <n v="0.72867540029111677"/>
  </r>
  <r>
    <s v="Direct,NSFnet,60"/>
    <x v="0"/>
    <x v="0"/>
    <x v="2"/>
    <n v="704.89200000000005"/>
    <n v="687"/>
    <n v="2.6043668122270818"/>
  </r>
  <r>
    <s v="Direct,NSFnet,60"/>
    <x v="0"/>
    <x v="0"/>
    <x v="2"/>
    <n v="728.221"/>
    <n v="687"/>
    <n v="6.0001455604075691"/>
  </r>
  <r>
    <s v="Direct,NSFnet,60"/>
    <x v="0"/>
    <x v="0"/>
    <x v="2"/>
    <n v="698.024"/>
    <n v="687"/>
    <n v="1.6046579330422126"/>
  </r>
  <r>
    <s v="Direct,NSFnet,60"/>
    <x v="0"/>
    <x v="0"/>
    <x v="2"/>
    <n v="698.50900000000001"/>
    <n v="687"/>
    <n v="1.6752547307132482"/>
  </r>
  <r>
    <s v="Direct,NSFnet,60"/>
    <x v="0"/>
    <x v="0"/>
    <x v="2"/>
    <n v="697.35"/>
    <n v="687"/>
    <n v="1.5065502183406145"/>
  </r>
  <r>
    <s v="Direct,NSFnet,60"/>
    <x v="0"/>
    <x v="0"/>
    <x v="2"/>
    <n v="667.09100000000001"/>
    <n v="687"/>
    <n v="2.8979621542940306"/>
  </r>
  <r>
    <s v="Direct,NSFnet,60"/>
    <x v="0"/>
    <x v="0"/>
    <x v="2"/>
    <n v="706.57600000000002"/>
    <n v="687"/>
    <n v="2.849490538573511"/>
  </r>
  <r>
    <s v="Direct,NSFnet,60"/>
    <x v="0"/>
    <x v="0"/>
    <x v="2"/>
    <n v="710.59799999999996"/>
    <n v="687"/>
    <n v="3.4349344978165877"/>
  </r>
  <r>
    <s v="Direct,NSFnet,60"/>
    <x v="0"/>
    <x v="0"/>
    <x v="2"/>
    <n v="737.16200000000003"/>
    <n v="687"/>
    <n v="7.301601164483265"/>
  </r>
  <r>
    <s v="Direct,NSFnet,60"/>
    <x v="0"/>
    <x v="0"/>
    <x v="2"/>
    <n v="713.97199999999998"/>
    <n v="687"/>
    <n v="3.9260553129548734"/>
  </r>
  <r>
    <s v="Direct,NSFnet,60"/>
    <x v="0"/>
    <x v="0"/>
    <x v="2"/>
    <n v="725.41"/>
    <n v="687"/>
    <n v="5.5909752547307088"/>
  </r>
  <r>
    <s v="Direct,NSFnet,60"/>
    <x v="0"/>
    <x v="0"/>
    <x v="2"/>
    <n v="743.99599999999998"/>
    <n v="687"/>
    <n v="8.2963609898107684"/>
  </r>
  <r>
    <s v="Direct,NSFnet,60"/>
    <x v="0"/>
    <x v="0"/>
    <x v="2"/>
    <n v="705.48800000000006"/>
    <n v="687"/>
    <n v="2.6911208151382904"/>
  </r>
  <r>
    <s v="Direct,NSFnet,60"/>
    <x v="0"/>
    <x v="0"/>
    <x v="2"/>
    <n v="697.62199999999996"/>
    <n v="687"/>
    <n v="1.5461426491994117"/>
  </r>
  <r>
    <s v="Direct,NSFnet,60"/>
    <x v="0"/>
    <x v="0"/>
    <x v="2"/>
    <n v="697.10699999999997"/>
    <n v="687"/>
    <n v="1.4711790393013058"/>
  </r>
  <r>
    <s v="Direct,NSFnet,60"/>
    <x v="0"/>
    <x v="0"/>
    <x v="2"/>
    <n v="708.58100000000002"/>
    <n v="687"/>
    <n v="3.1413391557496388"/>
  </r>
  <r>
    <s v="Direct,NSFnet,60"/>
    <x v="0"/>
    <x v="0"/>
    <x v="2"/>
    <n v="718.68100000000004"/>
    <n v="687"/>
    <n v="4.6114992721979675"/>
  </r>
  <r>
    <s v="Direct,NSFnet,60"/>
    <x v="0"/>
    <x v="0"/>
    <x v="2"/>
    <n v="727.49"/>
    <n v="687"/>
    <n v="5.8937409024745282"/>
  </r>
  <r>
    <s v="Direct,NSFnet,60"/>
    <x v="0"/>
    <x v="0"/>
    <x v="2"/>
    <n v="696.721"/>
    <n v="687"/>
    <n v="1.4149927219796221"/>
  </r>
  <r>
    <s v="Direct,NSFnet,60"/>
    <x v="0"/>
    <x v="0"/>
    <x v="2"/>
    <n v="706.51300000000003"/>
    <n v="687"/>
    <n v="2.8403202328966572"/>
  </r>
  <r>
    <s v="Direct,NSFnet,60"/>
    <x v="0"/>
    <x v="0"/>
    <x v="2"/>
    <n v="697.23"/>
    <n v="687"/>
    <n v="1.4890829694323171"/>
  </r>
  <r>
    <s v="Direct,NSFnet,60"/>
    <x v="0"/>
    <x v="0"/>
    <x v="2"/>
    <n v="750.84900000000005"/>
    <n v="687"/>
    <n v="9.293886462882103"/>
  </r>
  <r>
    <s v="Direct,NSFnet,60"/>
    <x v="0"/>
    <x v="0"/>
    <x v="2"/>
    <n v="746.00099999999998"/>
    <n v="687"/>
    <n v="8.5882096069868972"/>
  </r>
  <r>
    <s v="Direct,NSFnet,60"/>
    <x v="0"/>
    <x v="0"/>
    <x v="2"/>
    <n v="713.94"/>
    <n v="687"/>
    <n v="3.9213973799126713"/>
  </r>
  <r>
    <s v="Direct,NSFnet,60"/>
    <x v="0"/>
    <x v="0"/>
    <x v="2"/>
    <n v="664.60199999999998"/>
    <n v="687"/>
    <n v="3.2602620087336285"/>
  </r>
  <r>
    <s v="Direct,NSFnet,60"/>
    <x v="0"/>
    <x v="0"/>
    <x v="2"/>
    <n v="726.25599999999997"/>
    <n v="687"/>
    <n v="5.7141193595342026"/>
  </r>
  <r>
    <s v="Direct,NSFnet,60"/>
    <x v="0"/>
    <x v="0"/>
    <x v="2"/>
    <n v="728.51300000000003"/>
    <n v="687"/>
    <n v="6.0426491994177631"/>
  </r>
  <r>
    <s v="Direct,NSFnet,60"/>
    <x v="0"/>
    <x v="0"/>
    <x v="2"/>
    <n v="721.84799999999996"/>
    <n v="687"/>
    <n v="5.072489082969426"/>
  </r>
  <r>
    <s v="Direct,NSFnet,60"/>
    <x v="0"/>
    <x v="0"/>
    <x v="2"/>
    <n v="690.26099999999997"/>
    <n v="687"/>
    <n v="0.47467248908296467"/>
  </r>
  <r>
    <s v="Direct,NSFnet,60"/>
    <x v="0"/>
    <x v="0"/>
    <x v="2"/>
    <n v="701.80600000000004"/>
    <n v="687"/>
    <n v="2.1551673944687102"/>
  </r>
  <r>
    <s v="Direct,NSFnet,60"/>
    <x v="0"/>
    <x v="0"/>
    <x v="2"/>
    <n v="676.053"/>
    <n v="687"/>
    <n v="1.5934497816593891"/>
  </r>
  <r>
    <s v="Direct,NSFnet,60"/>
    <x v="0"/>
    <x v="0"/>
    <x v="2"/>
    <n v="739.21"/>
    <n v="687"/>
    <n v="7.5997088791848677"/>
  </r>
  <r>
    <s v="Direct,NSFnet,60"/>
    <x v="0"/>
    <x v="0"/>
    <x v="2"/>
    <n v="723.01800000000003"/>
    <n v="687"/>
    <n v="5.2427947598253315"/>
  </r>
  <r>
    <s v="Direct,NSFnet,60"/>
    <x v="0"/>
    <x v="0"/>
    <x v="2"/>
    <n v="703.01400000000001"/>
    <n v="687"/>
    <n v="2.3310043668122287"/>
  </r>
  <r>
    <s v="Direct,NSFnet,60"/>
    <x v="0"/>
    <x v="0"/>
    <x v="2"/>
    <n v="703.78"/>
    <n v="687"/>
    <n v="2.4425036390101855"/>
  </r>
  <r>
    <s v="Direct,NSFnet,60"/>
    <x v="0"/>
    <x v="0"/>
    <x v="2"/>
    <n v="679.49699999999996"/>
    <n v="687"/>
    <n v="1.0921397379912725"/>
  </r>
  <r>
    <s v="Direct,NSFnet,60"/>
    <x v="0"/>
    <x v="0"/>
    <x v="2"/>
    <n v="694.74300000000005"/>
    <n v="687"/>
    <n v="1.1270742358078678"/>
  </r>
  <r>
    <s v="Direct,NSFnet,60"/>
    <x v="0"/>
    <x v="0"/>
    <x v="2"/>
    <n v="723.17399999999998"/>
    <n v="687"/>
    <n v="5.2655021834061104"/>
  </r>
  <r>
    <s v="Direct,NSFnet,60"/>
    <x v="0"/>
    <x v="0"/>
    <x v="2"/>
    <n v="718.28499999999997"/>
    <n v="687"/>
    <n v="4.5538573508005777"/>
  </r>
  <r>
    <s v="Direct,NSFnet,60"/>
    <x v="0"/>
    <x v="0"/>
    <x v="2"/>
    <n v="714.08299999999997"/>
    <n v="687"/>
    <n v="3.9422125181950465"/>
  </r>
  <r>
    <s v="Direct,NSFnet,60"/>
    <x v="0"/>
    <x v="0"/>
    <x v="2"/>
    <n v="700.38499999999999"/>
    <n v="687"/>
    <n v="1.9483260553129533"/>
  </r>
  <r>
    <s v="Direct,NSFnet,60"/>
    <x v="0"/>
    <x v="0"/>
    <x v="2"/>
    <n v="759.56"/>
    <n v="687"/>
    <n v="10.561863173216878"/>
  </r>
  <r>
    <s v="Direct,NSFnet,60"/>
    <x v="0"/>
    <x v="0"/>
    <x v="2"/>
    <n v="744.803"/>
    <n v="687"/>
    <n v="8.4138282387190682"/>
  </r>
  <r>
    <s v="Direct,NSFnet,60"/>
    <x v="0"/>
    <x v="0"/>
    <x v="2"/>
    <n v="741.59199999999998"/>
    <n v="687"/>
    <n v="7.9464337700145533"/>
  </r>
  <r>
    <s v="Direct,NSFnet,60"/>
    <x v="0"/>
    <x v="0"/>
    <x v="2"/>
    <n v="725.05200000000002"/>
    <n v="687"/>
    <n v="5.5388646288209635"/>
  </r>
  <r>
    <s v="Direct,NSFnet,60"/>
    <x v="0"/>
    <x v="0"/>
    <x v="2"/>
    <n v="729.87900000000002"/>
    <n v="687"/>
    <n v="6.241484716157208"/>
  </r>
  <r>
    <s v="Direct,NSFnet,60"/>
    <x v="0"/>
    <x v="0"/>
    <x v="2"/>
    <n v="700.38099999999997"/>
    <n v="687"/>
    <n v="1.9477438136826741"/>
  </r>
  <r>
    <s v="Direct,NSFnet,60"/>
    <x v="0"/>
    <x v="0"/>
    <x v="2"/>
    <n v="707.71299999999997"/>
    <n v="687"/>
    <n v="3.0149927219796164"/>
  </r>
  <r>
    <s v="Direct,NSFnet,60"/>
    <x v="0"/>
    <x v="0"/>
    <x v="2"/>
    <n v="728.68499999999995"/>
    <n v="687"/>
    <n v="6.0676855895196429"/>
  </r>
  <r>
    <s v="Direct,NSFnet,60"/>
    <x v="0"/>
    <x v="0"/>
    <x v="2"/>
    <n v="752.48199999999997"/>
    <n v="687"/>
    <n v="9.5315866084424989"/>
  </r>
  <r>
    <s v="Direct,NSFnet,60"/>
    <x v="0"/>
    <x v="0"/>
    <x v="2"/>
    <n v="655.98"/>
    <n v="687"/>
    <n v="4.5152838427947577"/>
  </r>
  <r>
    <s v="Direct,NSFnet,60"/>
    <x v="0"/>
    <x v="0"/>
    <x v="2"/>
    <n v="704.57500000000005"/>
    <n v="687"/>
    <n v="2.558224163027663"/>
  </r>
  <r>
    <s v="Direct,NSFnet,60"/>
    <x v="0"/>
    <x v="0"/>
    <x v="2"/>
    <n v="738.92600000000004"/>
    <n v="687"/>
    <n v="7.5583697234352325"/>
  </r>
  <r>
    <s v="Direct,NSFnet,60"/>
    <x v="0"/>
    <x v="0"/>
    <x v="2"/>
    <n v="719.66800000000001"/>
    <n v="687"/>
    <n v="4.755167394468705"/>
  </r>
  <r>
    <s v="Direct,NSFnet,60"/>
    <x v="0"/>
    <x v="0"/>
    <x v="2"/>
    <n v="735.67899999999997"/>
    <n v="687"/>
    <n v="7.0857350800582193"/>
  </r>
  <r>
    <s v="Direct,NSFnet,60"/>
    <x v="0"/>
    <x v="0"/>
    <x v="2"/>
    <n v="677.37300000000005"/>
    <n v="687"/>
    <n v="1.4013100436681154"/>
  </r>
  <r>
    <s v="Direct,NSFnet,60"/>
    <x v="0"/>
    <x v="0"/>
    <x v="2"/>
    <n v="759.73099999999999"/>
    <n v="687"/>
    <n v="10.586754002911206"/>
  </r>
  <r>
    <s v="Direct,NSFnet,60"/>
    <x v="0"/>
    <x v="0"/>
    <x v="2"/>
    <n v="707.202"/>
    <n v="687"/>
    <n v="2.9406113537117902"/>
  </r>
  <r>
    <s v="Direct,NSFnet,60"/>
    <x v="0"/>
    <x v="0"/>
    <x v="2"/>
    <n v="674.76"/>
    <n v="687"/>
    <n v="1.7816593886462895"/>
  </r>
  <r>
    <s v="Direct,NSFnet,60"/>
    <x v="0"/>
    <x v="0"/>
    <x v="2"/>
    <n v="721.02700000000004"/>
    <n v="687"/>
    <n v="4.9529839883551734"/>
  </r>
  <r>
    <s v="Direct,NSFnet,60"/>
    <x v="0"/>
    <x v="0"/>
    <x v="2"/>
    <n v="716.94799999999998"/>
    <n v="687"/>
    <n v="4.359243085880637"/>
  </r>
  <r>
    <s v="Direct,NSFnet,60"/>
    <x v="0"/>
    <x v="0"/>
    <x v="2"/>
    <n v="715.85900000000004"/>
    <n v="687"/>
    <n v="4.2007278020378518"/>
  </r>
  <r>
    <s v="Direct,NSFnet,60"/>
    <x v="0"/>
    <x v="0"/>
    <x v="2"/>
    <n v="706.44"/>
    <n v="687"/>
    <n v="2.8296943231441127"/>
  </r>
  <r>
    <s v="Direct,NSFnet,60"/>
    <x v="0"/>
    <x v="0"/>
    <x v="2"/>
    <n v="696.221"/>
    <n v="687"/>
    <n v="1.3422125181950515"/>
  </r>
  <r>
    <s v="Direct,NSFnet,60"/>
    <x v="0"/>
    <x v="0"/>
    <x v="2"/>
    <n v="722.41300000000001"/>
    <n v="687"/>
    <n v="5.154730713245999"/>
  </r>
  <r>
    <s v="Direct,NSFnet,60"/>
    <x v="0"/>
    <x v="0"/>
    <x v="2"/>
    <n v="694.15599999999995"/>
    <n v="687"/>
    <n v="1.0416302765647669"/>
  </r>
  <r>
    <s v="Direct,NSFnet,60"/>
    <x v="0"/>
    <x v="0"/>
    <x v="2"/>
    <n v="729.553"/>
    <n v="687"/>
    <n v="6.1940320232896644"/>
  </r>
  <r>
    <s v="Direct,NSFnet,60"/>
    <x v="0"/>
    <x v="0"/>
    <x v="2"/>
    <n v="697.673"/>
    <n v="687"/>
    <n v="1.5535662299854442"/>
  </r>
  <r>
    <s v="Direct,NSFnet,60"/>
    <x v="0"/>
    <x v="0"/>
    <x v="2"/>
    <n v="679.75400000000002"/>
    <n v="687"/>
    <n v="1.0547307132459942"/>
  </r>
  <r>
    <s v="Direct,NSFnet,60"/>
    <x v="0"/>
    <x v="0"/>
    <x v="2"/>
    <n v="724.97799999999995"/>
    <n v="687"/>
    <n v="5.5280931586608375"/>
  </r>
  <r>
    <s v="Direct,NSFnet,60"/>
    <x v="0"/>
    <x v="0"/>
    <x v="2"/>
    <n v="736.67100000000005"/>
    <n v="687"/>
    <n v="7.230131004366819"/>
  </r>
  <r>
    <s v="Direct,NSFnet,60"/>
    <x v="0"/>
    <x v="0"/>
    <x v="2"/>
    <n v="709.14800000000002"/>
    <n v="687"/>
    <n v="3.2238719068413428"/>
  </r>
  <r>
    <s v="Direct,NSFnet,80"/>
    <x v="0"/>
    <x v="0"/>
    <x v="3"/>
    <n v="927.39"/>
    <n v="877"/>
    <n v="5.7457240592930425"/>
  </r>
  <r>
    <s v="Direct,NSFnet,80"/>
    <x v="0"/>
    <x v="0"/>
    <x v="3"/>
    <n v="929.76300000000003"/>
    <n v="877"/>
    <n v="6.0163055872291942"/>
  </r>
  <r>
    <s v="Direct,NSFnet,80"/>
    <x v="0"/>
    <x v="0"/>
    <x v="3"/>
    <n v="911.50099999999998"/>
    <n v="877"/>
    <n v="3.9339794754846036"/>
  </r>
  <r>
    <s v="Direct,NSFnet,80"/>
    <x v="0"/>
    <x v="0"/>
    <x v="3"/>
    <n v="896.2"/>
    <n v="877"/>
    <n v="2.1892816419612369"/>
  </r>
  <r>
    <s v="Direct,NSFnet,80"/>
    <x v="0"/>
    <x v="0"/>
    <x v="3"/>
    <n v="877.327"/>
    <n v="877"/>
    <n v="3.7286202964652015E-2"/>
  </r>
  <r>
    <s v="Direct,NSFnet,80"/>
    <x v="0"/>
    <x v="0"/>
    <x v="3"/>
    <n v="883.98699999999997"/>
    <n v="877"/>
    <n v="0.79669327251995059"/>
  </r>
  <r>
    <s v="Direct,NSFnet,80"/>
    <x v="0"/>
    <x v="0"/>
    <x v="3"/>
    <n v="886.32799999999997"/>
    <n v="877"/>
    <n v="1.0636259977194953"/>
  </r>
  <r>
    <s v="Direct,NSFnet,80"/>
    <x v="0"/>
    <x v="0"/>
    <x v="3"/>
    <n v="862.66499999999996"/>
    <n v="877"/>
    <n v="1.6345496009122047"/>
  </r>
  <r>
    <s v="Direct,NSFnet,80"/>
    <x v="0"/>
    <x v="0"/>
    <x v="3"/>
    <n v="878.79600000000005"/>
    <n v="877"/>
    <n v="0.20478905359179581"/>
  </r>
  <r>
    <s v="Direct,NSFnet,80"/>
    <x v="0"/>
    <x v="0"/>
    <x v="3"/>
    <n v="963.74400000000003"/>
    <n v="877"/>
    <n v="9.8909920182440167"/>
  </r>
  <r>
    <s v="Direct,NSFnet,80"/>
    <x v="0"/>
    <x v="0"/>
    <x v="3"/>
    <n v="957.15300000000002"/>
    <n v="877"/>
    <n v="9.1394526795895121"/>
  </r>
  <r>
    <s v="Direct,NSFnet,80"/>
    <x v="0"/>
    <x v="0"/>
    <x v="3"/>
    <n v="851.63699999999994"/>
    <n v="877"/>
    <n v="2.8920182440136895"/>
  </r>
  <r>
    <s v="Direct,NSFnet,80"/>
    <x v="0"/>
    <x v="0"/>
    <x v="3"/>
    <n v="842.38900000000001"/>
    <n v="877"/>
    <n v="3.9465222348916749"/>
  </r>
  <r>
    <s v="Direct,NSFnet,80"/>
    <x v="0"/>
    <x v="0"/>
    <x v="3"/>
    <n v="881.41300000000001"/>
    <n v="877"/>
    <n v="0.50319270239452796"/>
  </r>
  <r>
    <s v="Direct,NSFnet,80"/>
    <x v="0"/>
    <x v="0"/>
    <x v="3"/>
    <n v="893.36699999999996"/>
    <n v="877"/>
    <n v="1.8662485746864268"/>
  </r>
  <r>
    <s v="Direct,NSFnet,80"/>
    <x v="0"/>
    <x v="0"/>
    <x v="3"/>
    <n v="910.05499999999995"/>
    <n v="877"/>
    <n v="3.7690992018243956"/>
  </r>
  <r>
    <s v="Direct,NSFnet,80"/>
    <x v="0"/>
    <x v="0"/>
    <x v="3"/>
    <n v="910.28399999999999"/>
    <n v="877"/>
    <n v="3.7952109464082091"/>
  </r>
  <r>
    <s v="Direct,NSFnet,80"/>
    <x v="0"/>
    <x v="0"/>
    <x v="3"/>
    <n v="909.33500000000004"/>
    <n v="877"/>
    <n v="3.6870011402508589"/>
  </r>
  <r>
    <s v="Direct,NSFnet,80"/>
    <x v="0"/>
    <x v="0"/>
    <x v="3"/>
    <n v="943.06799999999998"/>
    <n v="877"/>
    <n v="7.5334093500570107"/>
  </r>
  <r>
    <s v="Direct,NSFnet,80"/>
    <x v="0"/>
    <x v="0"/>
    <x v="3"/>
    <n v="964.79100000000005"/>
    <n v="877"/>
    <n v="10.010376282782218"/>
  </r>
  <r>
    <s v="Direct,NSFnet,80"/>
    <x v="0"/>
    <x v="0"/>
    <x v="3"/>
    <n v="913.64"/>
    <n v="877"/>
    <n v="4.1778791334093484"/>
  </r>
  <r>
    <s v="Direct,NSFnet,80"/>
    <x v="0"/>
    <x v="0"/>
    <x v="3"/>
    <n v="917.077"/>
    <n v="877"/>
    <n v="4.569783352337514"/>
  </r>
  <r>
    <s v="Direct,NSFnet,80"/>
    <x v="0"/>
    <x v="0"/>
    <x v="3"/>
    <n v="885.31500000000005"/>
    <n v="877"/>
    <n v="0.94811858608894584"/>
  </r>
  <r>
    <s v="Direct,NSFnet,80"/>
    <x v="0"/>
    <x v="0"/>
    <x v="3"/>
    <n v="929.90200000000004"/>
    <n v="877"/>
    <n v="6.0321550741163108"/>
  </r>
  <r>
    <s v="Direct,NSFnet,80"/>
    <x v="0"/>
    <x v="0"/>
    <x v="3"/>
    <n v="919.13900000000001"/>
    <n v="877"/>
    <n v="4.8049030786773104"/>
  </r>
  <r>
    <s v="Direct,NSFnet,80"/>
    <x v="0"/>
    <x v="0"/>
    <x v="3"/>
    <n v="877.54"/>
    <n v="877"/>
    <n v="6.1573546180155488E-2"/>
  </r>
  <r>
    <s v="Direct,NSFnet,80"/>
    <x v="0"/>
    <x v="0"/>
    <x v="3"/>
    <n v="834.31600000000003"/>
    <n v="877"/>
    <n v="4.8670467502850592"/>
  </r>
  <r>
    <s v="Direct,NSFnet,80"/>
    <x v="0"/>
    <x v="0"/>
    <x v="3"/>
    <n v="894.74"/>
    <n v="877"/>
    <n v="2.0228050171037641"/>
  </r>
  <r>
    <s v="Direct,NSFnet,80"/>
    <x v="0"/>
    <x v="0"/>
    <x v="3"/>
    <n v="904.71299999999997"/>
    <n v="877"/>
    <n v="3.1599771949828921"/>
  </r>
  <r>
    <s v="Direct,NSFnet,80"/>
    <x v="0"/>
    <x v="0"/>
    <x v="3"/>
    <n v="928.88599999999997"/>
    <n v="877"/>
    <n v="5.9163055872291874"/>
  </r>
  <r>
    <s v="Direct,NSFnet,80"/>
    <x v="0"/>
    <x v="0"/>
    <x v="3"/>
    <n v="922.43100000000004"/>
    <n v="877"/>
    <n v="5.1802736602052502"/>
  </r>
  <r>
    <s v="Direct,NSFnet,80"/>
    <x v="0"/>
    <x v="0"/>
    <x v="3"/>
    <n v="944.60599999999999"/>
    <n v="877"/>
    <n v="7.7087799315849486"/>
  </r>
  <r>
    <s v="Direct,NSFnet,80"/>
    <x v="0"/>
    <x v="0"/>
    <x v="3"/>
    <n v="904.34100000000001"/>
    <n v="877"/>
    <n v="3.1175598631698982"/>
  </r>
  <r>
    <s v="Direct,NSFnet,80"/>
    <x v="0"/>
    <x v="0"/>
    <x v="3"/>
    <n v="943.63300000000004"/>
    <n v="877"/>
    <n v="7.5978335233751473"/>
  </r>
  <r>
    <s v="Direct,NSFnet,80"/>
    <x v="0"/>
    <x v="0"/>
    <x v="3"/>
    <n v="922.654"/>
    <n v="877"/>
    <n v="5.2057012542759402"/>
  </r>
  <r>
    <s v="Direct,NSFnet,80"/>
    <x v="0"/>
    <x v="0"/>
    <x v="3"/>
    <n v="950.10400000000004"/>
    <n v="877"/>
    <n v="8.335689851767393"/>
  </r>
  <r>
    <s v="Direct,NSFnet,80"/>
    <x v="0"/>
    <x v="0"/>
    <x v="3"/>
    <n v="928.44799999999998"/>
    <n v="877"/>
    <n v="5.8663625997719473"/>
  </r>
  <r>
    <s v="Direct,NSFnet,80"/>
    <x v="0"/>
    <x v="0"/>
    <x v="3"/>
    <n v="903.755"/>
    <n v="877"/>
    <n v="3.0507411630558718"/>
  </r>
  <r>
    <s v="Direct,NSFnet,80"/>
    <x v="0"/>
    <x v="0"/>
    <x v="3"/>
    <n v="904.43799999999999"/>
    <n v="877"/>
    <n v="3.128620296465221"/>
  </r>
  <r>
    <s v="Direct,NSFnet,80"/>
    <x v="0"/>
    <x v="0"/>
    <x v="3"/>
    <n v="914.45500000000004"/>
    <n v="877"/>
    <n v="4.2708095781071886"/>
  </r>
  <r>
    <s v="Direct,NSFnet,80"/>
    <x v="0"/>
    <x v="0"/>
    <x v="3"/>
    <n v="933.46699999999998"/>
    <n v="877"/>
    <n v="6.4386545039908762"/>
  </r>
  <r>
    <s v="Direct,NSFnet,80"/>
    <x v="0"/>
    <x v="0"/>
    <x v="3"/>
    <n v="940.79700000000003"/>
    <n v="877"/>
    <n v="7.2744583808437886"/>
  </r>
  <r>
    <s v="Direct,NSFnet,80"/>
    <x v="0"/>
    <x v="0"/>
    <x v="3"/>
    <n v="945.19200000000001"/>
    <n v="877"/>
    <n v="7.7755986316989736"/>
  </r>
  <r>
    <s v="Direct,NSFnet,80"/>
    <x v="0"/>
    <x v="0"/>
    <x v="3"/>
    <n v="940.39800000000002"/>
    <n v="877"/>
    <n v="7.2289623717217815"/>
  </r>
  <r>
    <s v="Direct,NSFnet,80"/>
    <x v="0"/>
    <x v="0"/>
    <x v="3"/>
    <n v="910.97400000000005"/>
    <n v="877"/>
    <n v="3.8738882554161966"/>
  </r>
  <r>
    <s v="Direct,NSFnet,80"/>
    <x v="0"/>
    <x v="0"/>
    <x v="3"/>
    <n v="934.03800000000001"/>
    <n v="877"/>
    <n v="6.503762827822122"/>
  </r>
  <r>
    <s v="Direct,NSFnet,80"/>
    <x v="0"/>
    <x v="0"/>
    <x v="3"/>
    <n v="942.7"/>
    <n v="877"/>
    <n v="7.4914481185860939"/>
  </r>
  <r>
    <s v="Direct,NSFnet,80"/>
    <x v="0"/>
    <x v="0"/>
    <x v="3"/>
    <n v="954.36400000000003"/>
    <n v="877"/>
    <n v="8.8214367160775407"/>
  </r>
  <r>
    <s v="Direct,NSFnet,80"/>
    <x v="0"/>
    <x v="0"/>
    <x v="3"/>
    <n v="917.39300000000003"/>
    <n v="877"/>
    <n v="4.6058152793614626"/>
  </r>
  <r>
    <s v="Direct,NSFnet,80"/>
    <x v="0"/>
    <x v="0"/>
    <x v="3"/>
    <n v="869.95100000000002"/>
    <n v="877"/>
    <n v="0.80376282782211839"/>
  </r>
  <r>
    <s v="Direct,NSFnet,80"/>
    <x v="0"/>
    <x v="0"/>
    <x v="3"/>
    <n v="862.09199999999998"/>
    <n v="877"/>
    <n v="1.699885974914483"/>
  </r>
  <r>
    <s v="Direct,NSFnet,80"/>
    <x v="0"/>
    <x v="0"/>
    <x v="3"/>
    <n v="886.01400000000001"/>
    <n v="877"/>
    <n v="1.0278221208665919"/>
  </r>
  <r>
    <s v="Direct,NSFnet,80"/>
    <x v="0"/>
    <x v="0"/>
    <x v="3"/>
    <n v="951.93"/>
    <n v="877"/>
    <n v="8.5438996579247384"/>
  </r>
  <r>
    <s v="Direct,NSFnet,80"/>
    <x v="0"/>
    <x v="0"/>
    <x v="3"/>
    <n v="888.83100000000002"/>
    <n v="877"/>
    <n v="1.349030786773092"/>
  </r>
  <r>
    <s v="Direct,NSFnet,80"/>
    <x v="0"/>
    <x v="0"/>
    <x v="3"/>
    <n v="915.13900000000001"/>
    <n v="877"/>
    <n v="4.3488027366020541"/>
  </r>
  <r>
    <s v="Direct,NSFnet,80"/>
    <x v="0"/>
    <x v="0"/>
    <x v="3"/>
    <n v="941"/>
    <n v="877"/>
    <n v="7.2976054732041051"/>
  </r>
  <r>
    <s v="Direct,NSFnet,80"/>
    <x v="0"/>
    <x v="0"/>
    <x v="3"/>
    <n v="947.26"/>
    <n v="877"/>
    <n v="8.0114025085518801"/>
  </r>
  <r>
    <s v="Direct,NSFnet,80"/>
    <x v="0"/>
    <x v="0"/>
    <x v="3"/>
    <n v="957.11900000000003"/>
    <n v="877"/>
    <n v="9.1355758266818725"/>
  </r>
  <r>
    <s v="Direct,NSFnet,80"/>
    <x v="0"/>
    <x v="0"/>
    <x v="3"/>
    <n v="893.34799999999996"/>
    <n v="877"/>
    <n v="1.8640820980615684"/>
  </r>
  <r>
    <s v="Direct,NSFnet,80"/>
    <x v="0"/>
    <x v="0"/>
    <x v="3"/>
    <n v="913.02300000000002"/>
    <n v="877"/>
    <n v="4.1075256556442445"/>
  </r>
  <r>
    <s v="Direct,NSFnet,80"/>
    <x v="0"/>
    <x v="0"/>
    <x v="3"/>
    <n v="938.30700000000002"/>
    <n v="877"/>
    <n v="6.9905359179019397"/>
  </r>
  <r>
    <s v="Direct,NSFnet,80"/>
    <x v="0"/>
    <x v="0"/>
    <x v="3"/>
    <n v="920.654"/>
    <n v="877"/>
    <n v="4.9776510832383121"/>
  </r>
  <r>
    <s v="Direct,NSFnet,80"/>
    <x v="0"/>
    <x v="0"/>
    <x v="3"/>
    <n v="859.88699999999994"/>
    <n v="877"/>
    <n v="1.9513112884834729"/>
  </r>
  <r>
    <s v="Direct,NSFnet,80"/>
    <x v="0"/>
    <x v="0"/>
    <x v="3"/>
    <n v="874.82899999999995"/>
    <n v="877"/>
    <n v="0.24754846066135111"/>
  </r>
  <r>
    <s v="Direct,NSFnet,80"/>
    <x v="0"/>
    <x v="0"/>
    <x v="3"/>
    <n v="954.30700000000002"/>
    <n v="877"/>
    <n v="8.8149372862029658"/>
  </r>
  <r>
    <s v="Direct,NSFnet,80"/>
    <x v="0"/>
    <x v="0"/>
    <x v="3"/>
    <n v="978.64200000000005"/>
    <n v="877"/>
    <n v="11.589737742303313"/>
  </r>
  <r>
    <s v="Direct,NSFnet,80"/>
    <x v="0"/>
    <x v="0"/>
    <x v="3"/>
    <n v="986.66499999999996"/>
    <n v="877"/>
    <n v="12.504561003420747"/>
  </r>
  <r>
    <s v="Direct,NSFnet,80"/>
    <x v="0"/>
    <x v="0"/>
    <x v="3"/>
    <n v="919.61"/>
    <n v="877"/>
    <n v="4.8586088939566725"/>
  </r>
  <r>
    <s v="Direct,NSFnet,80"/>
    <x v="0"/>
    <x v="0"/>
    <x v="3"/>
    <n v="869.28200000000004"/>
    <n v="877"/>
    <n v="0.88004561003420312"/>
  </r>
  <r>
    <s v="Direct,NSFnet,80"/>
    <x v="0"/>
    <x v="0"/>
    <x v="3"/>
    <n v="957.221"/>
    <n v="877"/>
    <n v="9.1472063854047896"/>
  </r>
  <r>
    <s v="Direct,NSFnet,80"/>
    <x v="0"/>
    <x v="0"/>
    <x v="3"/>
    <n v="931.25099999999998"/>
    <n v="877"/>
    <n v="6.1859749144811831"/>
  </r>
  <r>
    <s v="Direct,NSFnet,80"/>
    <x v="0"/>
    <x v="0"/>
    <x v="3"/>
    <n v="889.32100000000003"/>
    <n v="877"/>
    <n v="1.404903078677312"/>
  </r>
  <r>
    <s v="Direct,NSFnet,80"/>
    <x v="0"/>
    <x v="0"/>
    <x v="3"/>
    <n v="934.08900000000006"/>
    <n v="877"/>
    <n v="6.5095781071835859"/>
  </r>
  <r>
    <s v="Direct,NSFnet,80"/>
    <x v="0"/>
    <x v="0"/>
    <x v="3"/>
    <n v="931.45699999999999"/>
    <n v="877"/>
    <n v="6.2094640820980613"/>
  </r>
  <r>
    <s v="Direct,NSFnet,80"/>
    <x v="0"/>
    <x v="0"/>
    <x v="3"/>
    <n v="961.09500000000003"/>
    <n v="877"/>
    <n v="9.5889395667046777"/>
  </r>
  <r>
    <s v="Direct,NSFnet,80"/>
    <x v="0"/>
    <x v="0"/>
    <x v="3"/>
    <n v="915.19"/>
    <n v="877"/>
    <n v="4.3546180159635188"/>
  </r>
  <r>
    <s v="Direct,NSFnet,80"/>
    <x v="0"/>
    <x v="0"/>
    <x v="3"/>
    <n v="898.54399999999998"/>
    <n v="877"/>
    <n v="2.4565564424173298"/>
  </r>
  <r>
    <s v="Direct,NSFnet,80"/>
    <x v="0"/>
    <x v="0"/>
    <x v="3"/>
    <n v="907.94500000000005"/>
    <n v="877"/>
    <n v="3.5285062713797091"/>
  </r>
  <r>
    <s v="Direct,NSFnet,80"/>
    <x v="0"/>
    <x v="0"/>
    <x v="3"/>
    <n v="966.31500000000005"/>
    <n v="877"/>
    <n v="10.184150513112892"/>
  </r>
  <r>
    <s v="Direct,NSFnet,80"/>
    <x v="0"/>
    <x v="0"/>
    <x v="3"/>
    <n v="935.46799999999996"/>
    <n v="877"/>
    <n v="6.6668187001140202"/>
  </r>
  <r>
    <s v="Direct,NSFnet,80"/>
    <x v="0"/>
    <x v="0"/>
    <x v="3"/>
    <n v="881.02599999999995"/>
    <n v="877"/>
    <n v="0.45906499429874048"/>
  </r>
  <r>
    <s v="Direct,NSFnet,80"/>
    <x v="0"/>
    <x v="0"/>
    <x v="3"/>
    <n v="889.61699999999996"/>
    <n v="877"/>
    <n v="1.4386545039908736"/>
  </r>
  <r>
    <s v="Direct,NSFnet,80"/>
    <x v="0"/>
    <x v="0"/>
    <x v="3"/>
    <n v="935.86400000000003"/>
    <n v="877"/>
    <n v="6.7119726339794799"/>
  </r>
  <r>
    <s v="Direct,NSFnet,80"/>
    <x v="0"/>
    <x v="0"/>
    <x v="3"/>
    <n v="950.82799999999997"/>
    <n v="877"/>
    <n v="8.4182440136830081"/>
  </r>
  <r>
    <s v="Direct,NSFnet,80"/>
    <x v="0"/>
    <x v="0"/>
    <x v="3"/>
    <n v="878.86599999999999"/>
    <n v="877"/>
    <n v="0.21277080957810551"/>
  </r>
  <r>
    <s v="Direct,NSFnet,80"/>
    <x v="0"/>
    <x v="0"/>
    <x v="3"/>
    <n v="908.42399999999998"/>
    <n v="877"/>
    <n v="3.583124287343213"/>
  </r>
  <r>
    <s v="Direct,NSFnet,80"/>
    <x v="0"/>
    <x v="0"/>
    <x v="3"/>
    <n v="957.10599999999999"/>
    <n v="877"/>
    <n v="9.134093500570124"/>
  </r>
  <r>
    <s v="Direct,NSFnet,80"/>
    <x v="0"/>
    <x v="0"/>
    <x v="3"/>
    <n v="910.82100000000003"/>
    <n v="877"/>
    <n v="3.8564424173318157"/>
  </r>
  <r>
    <s v="Direct,NSFnet,80"/>
    <x v="0"/>
    <x v="0"/>
    <x v="3"/>
    <n v="883.00800000000004"/>
    <n v="877"/>
    <n v="0.68506271379703976"/>
  </r>
  <r>
    <s v="Direct,NSFnet,80"/>
    <x v="0"/>
    <x v="0"/>
    <x v="3"/>
    <n v="852.63900000000001"/>
    <n v="877"/>
    <n v="2.7777651083238304"/>
  </r>
  <r>
    <s v="Direct,NSFnet,80"/>
    <x v="0"/>
    <x v="0"/>
    <x v="3"/>
    <n v="950.61900000000003"/>
    <n v="877"/>
    <n v="8.3944127708095806"/>
  </r>
  <r>
    <s v="Direct,NSFnet,80"/>
    <x v="0"/>
    <x v="0"/>
    <x v="3"/>
    <n v="951.59199999999998"/>
    <n v="877"/>
    <n v="8.5053591790193828"/>
  </r>
  <r>
    <s v="Direct,NSFnet,80"/>
    <x v="0"/>
    <x v="0"/>
    <x v="3"/>
    <n v="837.42100000000005"/>
    <n v="877"/>
    <n v="4.5129988597491391"/>
  </r>
  <r>
    <s v="Direct,NSFnet,80"/>
    <x v="0"/>
    <x v="0"/>
    <x v="3"/>
    <n v="848.947"/>
    <n v="877"/>
    <n v="3.1987457240592923"/>
  </r>
  <r>
    <s v="Direct,NSFnet,80"/>
    <x v="0"/>
    <x v="0"/>
    <x v="3"/>
    <n v="896.00300000000004"/>
    <n v="877"/>
    <n v="2.16681870011403"/>
  </r>
  <r>
    <s v="Direct,NSFnet,80"/>
    <x v="0"/>
    <x v="0"/>
    <x v="3"/>
    <n v="969.27099999999996"/>
    <n v="877"/>
    <n v="10.521208665906496"/>
  </r>
  <r>
    <s v="Direct,NSFnet,80"/>
    <x v="0"/>
    <x v="0"/>
    <x v="3"/>
    <n v="918.70799999999997"/>
    <n v="877"/>
    <n v="4.7557582668186962"/>
  </r>
  <r>
    <s v="Direct,NSFnet,80"/>
    <x v="0"/>
    <x v="0"/>
    <x v="3"/>
    <n v="913.726"/>
    <n v="877"/>
    <n v="4.1876852907639677"/>
  </r>
  <r>
    <s v="Direct,NSFnet,80"/>
    <x v="0"/>
    <x v="0"/>
    <x v="3"/>
    <n v="971.26300000000003"/>
    <n v="877"/>
    <n v="10.748346636259981"/>
  </r>
  <r>
    <s v="Direct,NSFnet,80"/>
    <x v="0"/>
    <x v="0"/>
    <x v="3"/>
    <n v="911.78800000000001"/>
    <n v="877"/>
    <n v="3.9667046750285073"/>
  </r>
  <r>
    <s v="Direct,NSFnet,100"/>
    <x v="0"/>
    <x v="0"/>
    <x v="4"/>
    <n v="1085.7650000000001"/>
    <n v="1093"/>
    <n v="0.66193961573649596"/>
  </r>
  <r>
    <s v="Direct,NSFnet,100"/>
    <x v="0"/>
    <x v="0"/>
    <x v="4"/>
    <n v="1098.45"/>
    <n v="1093"/>
    <n v="0.49862763037511854"/>
  </r>
  <r>
    <s v="Direct,NSFnet,100"/>
    <x v="0"/>
    <x v="0"/>
    <x v="4"/>
    <n v="1152.4649999999999"/>
    <n v="1093"/>
    <n v="5.4405306495882817"/>
  </r>
  <r>
    <s v="Direct,NSFnet,100"/>
    <x v="0"/>
    <x v="0"/>
    <x v="4"/>
    <n v="1082.6420000000001"/>
    <n v="1093"/>
    <n v="0.94766697163768954"/>
  </r>
  <r>
    <s v="Direct,NSFnet,100"/>
    <x v="0"/>
    <x v="0"/>
    <x v="4"/>
    <n v="1137.684"/>
    <n v="1093"/>
    <n v="4.088197621225981"/>
  </r>
  <r>
    <s v="Direct,NSFnet,100"/>
    <x v="0"/>
    <x v="0"/>
    <x v="4"/>
    <n v="1158.2049999999999"/>
    <n v="1093"/>
    <n v="5.9656907593778525"/>
  </r>
  <r>
    <s v="Direct,NSFnet,100"/>
    <x v="0"/>
    <x v="0"/>
    <x v="4"/>
    <n v="1139"/>
    <n v="1093"/>
    <n v="4.2086001829826163"/>
  </r>
  <r>
    <s v="Direct,NSFnet,100"/>
    <x v="0"/>
    <x v="0"/>
    <x v="4"/>
    <n v="1133.722"/>
    <n v="1093"/>
    <n v="3.7257090576395222"/>
  </r>
  <r>
    <s v="Direct,NSFnet,100"/>
    <x v="0"/>
    <x v="0"/>
    <x v="4"/>
    <n v="1094.6379999999999"/>
    <n v="1093"/>
    <n v="0.14986276303750412"/>
  </r>
  <r>
    <s v="Direct,NSFnet,100"/>
    <x v="0"/>
    <x v="0"/>
    <x v="4"/>
    <n v="1123.5250000000001"/>
    <n v="1093"/>
    <n v="2.7927721866422774"/>
  </r>
  <r>
    <s v="Direct,NSFnet,100"/>
    <x v="0"/>
    <x v="0"/>
    <x v="4"/>
    <n v="1097.287"/>
    <n v="1093"/>
    <n v="0.39222323879231791"/>
  </r>
  <r>
    <s v="Direct,NSFnet,100"/>
    <x v="0"/>
    <x v="0"/>
    <x v="4"/>
    <n v="1147.48"/>
    <n v="1093"/>
    <n v="4.9844464775846307"/>
  </r>
  <r>
    <s v="Direct,NSFnet,100"/>
    <x v="0"/>
    <x v="0"/>
    <x v="4"/>
    <n v="1086.125"/>
    <n v="1093"/>
    <n v="0.62900274473924978"/>
  </r>
  <r>
    <s v="Direct,NSFnet,100"/>
    <x v="0"/>
    <x v="0"/>
    <x v="4"/>
    <n v="1166.8420000000001"/>
    <n v="1093"/>
    <n v="6.7559011893870178"/>
  </r>
  <r>
    <s v="Direct,NSFnet,100"/>
    <x v="0"/>
    <x v="0"/>
    <x v="4"/>
    <n v="1058.0360000000001"/>
    <n v="1093"/>
    <n v="3.1989021043000858"/>
  </r>
  <r>
    <s v="Direct,NSFnet,100"/>
    <x v="0"/>
    <x v="0"/>
    <x v="4"/>
    <n v="1104.3679999999999"/>
    <n v="1093"/>
    <n v="1.0400731930466549"/>
  </r>
  <r>
    <s v="Direct,NSFnet,100"/>
    <x v="0"/>
    <x v="0"/>
    <x v="4"/>
    <n v="1160.375"/>
    <n v="1093"/>
    <n v="6.1642268984446478"/>
  </r>
  <r>
    <s v="Direct,NSFnet,100"/>
    <x v="0"/>
    <x v="0"/>
    <x v="4"/>
    <n v="1062.143"/>
    <n v="1093"/>
    <n v="2.8231473010064017"/>
  </r>
  <r>
    <s v="Direct,NSFnet,100"/>
    <x v="0"/>
    <x v="0"/>
    <x v="4"/>
    <n v="1157.4280000000001"/>
    <n v="1093"/>
    <n v="5.894602012808793"/>
  </r>
  <r>
    <s v="Direct,NSFnet,100"/>
    <x v="0"/>
    <x v="0"/>
    <x v="4"/>
    <n v="1083.0309999999999"/>
    <n v="1093"/>
    <n v="0.9120768526989983"/>
  </r>
  <r>
    <s v="Direct,NSFnet,100"/>
    <x v="0"/>
    <x v="0"/>
    <x v="4"/>
    <n v="1102.2059999999999"/>
    <n v="1093"/>
    <n v="0.8422689844464688"/>
  </r>
  <r>
    <s v="Direct,NSFnet,100"/>
    <x v="0"/>
    <x v="0"/>
    <x v="4"/>
    <n v="1074.9549999999999"/>
    <n v="1093"/>
    <n v="1.6509606587374266"/>
  </r>
  <r>
    <s v="Direct,NSFnet,100"/>
    <x v="0"/>
    <x v="0"/>
    <x v="4"/>
    <n v="1216.8420000000001"/>
    <n v="1093"/>
    <n v="11.33046660567247"/>
  </r>
  <r>
    <s v="Direct,NSFnet,100"/>
    <x v="0"/>
    <x v="0"/>
    <x v="4"/>
    <n v="1073.268"/>
    <n v="1093"/>
    <n v="1.8053064958828884"/>
  </r>
  <r>
    <s v="Direct,NSFnet,100"/>
    <x v="0"/>
    <x v="0"/>
    <x v="4"/>
    <n v="1155.068"/>
    <n v="1093"/>
    <n v="5.6786825251601085"/>
  </r>
  <r>
    <s v="Direct,NSFnet,100"/>
    <x v="0"/>
    <x v="0"/>
    <x v="4"/>
    <n v="1118.9780000000001"/>
    <n v="1093"/>
    <n v="2.3767612076852758"/>
  </r>
  <r>
    <s v="Direct,NSFnet,100"/>
    <x v="0"/>
    <x v="0"/>
    <x v="4"/>
    <n v="1140.3119999999999"/>
    <n v="1093"/>
    <n v="4.3286367795059375"/>
  </r>
  <r>
    <s v="Direct,NSFnet,100"/>
    <x v="0"/>
    <x v="0"/>
    <x v="4"/>
    <n v="1103.845"/>
    <n v="1093"/>
    <n v="0.99222323879231722"/>
  </r>
  <r>
    <s v="Direct,NSFnet,100"/>
    <x v="0"/>
    <x v="0"/>
    <x v="4"/>
    <n v="1098.6600000000001"/>
    <n v="1093"/>
    <n v="0.51784080512352082"/>
  </r>
  <r>
    <s v="Direct,NSFnet,100"/>
    <x v="0"/>
    <x v="0"/>
    <x v="4"/>
    <n v="1090.1780000000001"/>
    <n v="1093"/>
    <n v="0.25818847209514079"/>
  </r>
  <r>
    <s v="Direct,NSFnet,100"/>
    <x v="0"/>
    <x v="0"/>
    <x v="4"/>
    <n v="1124.278"/>
    <n v="1093"/>
    <n v="2.8616651418115295"/>
  </r>
  <r>
    <s v="Direct,NSFnet,100"/>
    <x v="0"/>
    <x v="0"/>
    <x v="4"/>
    <n v="1161.1600000000001"/>
    <n v="1093"/>
    <n v="6.2360475754803373"/>
  </r>
  <r>
    <s v="Direct,NSFnet,100"/>
    <x v="0"/>
    <x v="0"/>
    <x v="4"/>
    <n v="1151.48"/>
    <n v="1093"/>
    <n v="5.3504117108874674"/>
  </r>
  <r>
    <s v="Direct,NSFnet,100"/>
    <x v="0"/>
    <x v="0"/>
    <x v="4"/>
    <n v="1093.662"/>
    <n v="1093"/>
    <n v="6.0567246111622564E-2"/>
  </r>
  <r>
    <s v="Direct,NSFnet,100"/>
    <x v="0"/>
    <x v="0"/>
    <x v="4"/>
    <n v="1082.1400000000001"/>
    <n v="1093"/>
    <n v="0.99359560841719119"/>
  </r>
  <r>
    <s v="Direct,NSFnet,100"/>
    <x v="0"/>
    <x v="0"/>
    <x v="4"/>
    <n v="1076.722"/>
    <n v="1093"/>
    <n v="1.4892955169258937"/>
  </r>
  <r>
    <s v="Direct,NSFnet,100"/>
    <x v="0"/>
    <x v="0"/>
    <x v="4"/>
    <n v="1054.866"/>
    <n v="1093"/>
    <n v="3.4889295516925904"/>
  </r>
  <r>
    <s v="Direct,NSFnet,100"/>
    <x v="0"/>
    <x v="0"/>
    <x v="4"/>
    <n v="1152.425"/>
    <n v="1093"/>
    <n v="5.4368709972552569"/>
  </r>
  <r>
    <s v="Direct,NSFnet,100"/>
    <x v="0"/>
    <x v="0"/>
    <x v="4"/>
    <n v="1093.2650000000001"/>
    <n v="1093"/>
    <n v="2.4245196706322053E-2"/>
  </r>
  <r>
    <s v="Direct,NSFnet,100"/>
    <x v="0"/>
    <x v="0"/>
    <x v="4"/>
    <n v="1087.403"/>
    <n v="1093"/>
    <n v="0.51207685269899172"/>
  </r>
  <r>
    <s v="Direct,NSFnet,100"/>
    <x v="0"/>
    <x v="0"/>
    <x v="4"/>
    <n v="1173.278"/>
    <n v="1093"/>
    <n v="7.3447392497712736"/>
  </r>
  <r>
    <s v="Direct,NSFnet,100"/>
    <x v="0"/>
    <x v="0"/>
    <x v="4"/>
    <n v="1142.606"/>
    <n v="1093"/>
    <n v="4.538517840805123"/>
  </r>
  <r>
    <s v="Direct,NSFnet,100"/>
    <x v="0"/>
    <x v="0"/>
    <x v="4"/>
    <n v="1073.5070000000001"/>
    <n v="1093"/>
    <n v="1.7834400731930409"/>
  </r>
  <r>
    <s v="Direct,NSFnet,100"/>
    <x v="0"/>
    <x v="0"/>
    <x v="4"/>
    <n v="1127.575"/>
    <n v="1093"/>
    <n v="3.1633119853613954"/>
  </r>
  <r>
    <s v="Direct,NSFnet,100"/>
    <x v="0"/>
    <x v="0"/>
    <x v="4"/>
    <n v="1096.4760000000001"/>
    <n v="1093"/>
    <n v="0.31802378774017498"/>
  </r>
  <r>
    <s v="Direct,NSFnet,100"/>
    <x v="0"/>
    <x v="0"/>
    <x v="4"/>
    <n v="1147.8789999999999"/>
    <n v="1093"/>
    <n v="5.0209515096065793"/>
  </r>
  <r>
    <s v="Direct,NSFnet,100"/>
    <x v="0"/>
    <x v="0"/>
    <x v="4"/>
    <n v="1119.037"/>
    <n v="1093"/>
    <n v="2.3821591948764897"/>
  </r>
  <r>
    <s v="Direct,NSFnet,100"/>
    <x v="0"/>
    <x v="0"/>
    <x v="4"/>
    <n v="1165.3800000000001"/>
    <n v="1093"/>
    <n v="6.6221408966148312"/>
  </r>
  <r>
    <s v="Direct,NSFnet,100"/>
    <x v="0"/>
    <x v="0"/>
    <x v="4"/>
    <n v="1159.94"/>
    <n v="1093"/>
    <n v="6.1244281793229698"/>
  </r>
  <r>
    <s v="Direct,NSFnet,100"/>
    <x v="0"/>
    <x v="0"/>
    <x v="4"/>
    <n v="1160.1389999999999"/>
    <n v="1093"/>
    <n v="6.1426349496797714"/>
  </r>
  <r>
    <s v="Direct,NSFnet,100"/>
    <x v="0"/>
    <x v="0"/>
    <x v="4"/>
    <n v="1152.6600000000001"/>
    <n v="1093"/>
    <n v="5.4583714547118101"/>
  </r>
  <r>
    <s v="Direct,NSFnet,100"/>
    <x v="0"/>
    <x v="0"/>
    <x v="4"/>
    <n v="1142.9459999999999"/>
    <n v="1093"/>
    <n v="4.5696248856358572"/>
  </r>
  <r>
    <s v="Direct,NSFnet,100"/>
    <x v="0"/>
    <x v="0"/>
    <x v="4"/>
    <n v="1098.027"/>
    <n v="1093"/>
    <n v="0.45992680695334348"/>
  </r>
  <r>
    <s v="Direct,NSFnet,100"/>
    <x v="0"/>
    <x v="0"/>
    <x v="4"/>
    <n v="1112.723"/>
    <n v="1093"/>
    <n v="1.8044830741079556"/>
  </r>
  <r>
    <s v="Direct,NSFnet,100"/>
    <x v="0"/>
    <x v="0"/>
    <x v="4"/>
    <n v="1135.2149999999999"/>
    <n v="1093"/>
    <n v="3.8623055809698008"/>
  </r>
  <r>
    <s v="Direct,NSFnet,100"/>
    <x v="0"/>
    <x v="0"/>
    <x v="4"/>
    <n v="1120.5239999999999"/>
    <n v="1093"/>
    <n v="2.5182067703568056"/>
  </r>
  <r>
    <s v="Direct,NSFnet,100"/>
    <x v="0"/>
    <x v="0"/>
    <x v="4"/>
    <n v="1094.643"/>
    <n v="1093"/>
    <n v="0.15032021957914263"/>
  </r>
  <r>
    <s v="Direct,NSFnet,100"/>
    <x v="0"/>
    <x v="0"/>
    <x v="4"/>
    <n v="1043.914"/>
    <n v="1093"/>
    <n v="4.4909423604757563"/>
  </r>
  <r>
    <s v="Direct,NSFnet,100"/>
    <x v="0"/>
    <x v="0"/>
    <x v="4"/>
    <n v="1104.4949999999999"/>
    <n v="1093"/>
    <n v="1.0516925892040156"/>
  </r>
  <r>
    <s v="Direct,NSFnet,100"/>
    <x v="0"/>
    <x v="0"/>
    <x v="4"/>
    <n v="1081.3309999999999"/>
    <n v="1093"/>
    <n v="1.0676120768527078"/>
  </r>
  <r>
    <s v="Direct,NSFnet,100"/>
    <x v="0"/>
    <x v="0"/>
    <x v="4"/>
    <n v="1125.9639999999999"/>
    <n v="1093"/>
    <n v="3.0159194876486684"/>
  </r>
  <r>
    <s v="Direct,NSFnet,100"/>
    <x v="0"/>
    <x v="0"/>
    <x v="4"/>
    <n v="1068.751"/>
    <n v="1093"/>
    <n v="2.2185727355901208"/>
  </r>
  <r>
    <s v="Direct,NSFnet,100"/>
    <x v="0"/>
    <x v="0"/>
    <x v="4"/>
    <n v="1099.5419999999999"/>
    <n v="1093"/>
    <n v="0.59853613906678105"/>
  </r>
  <r>
    <s v="Direct,NSFnet,100"/>
    <x v="0"/>
    <x v="0"/>
    <x v="4"/>
    <n v="1096.3679999999999"/>
    <n v="1093"/>
    <n v="0.30814272644098245"/>
  </r>
  <r>
    <s v="Direct,NSFnet,100"/>
    <x v="0"/>
    <x v="0"/>
    <x v="4"/>
    <n v="1087.547"/>
    <n v="1093"/>
    <n v="0.49890210430008919"/>
  </r>
  <r>
    <s v="Direct,NSFnet,100"/>
    <x v="0"/>
    <x v="0"/>
    <x v="4"/>
    <n v="1135.1020000000001"/>
    <n v="1093"/>
    <n v="3.851967063129011"/>
  </r>
  <r>
    <s v="Direct,NSFnet,100"/>
    <x v="0"/>
    <x v="0"/>
    <x v="4"/>
    <n v="1147.5899999999999"/>
    <n v="1093"/>
    <n v="4.9945105215004499"/>
  </r>
  <r>
    <s v="Direct,NSFnet,100"/>
    <x v="0"/>
    <x v="0"/>
    <x v="4"/>
    <n v="1156.972"/>
    <n v="1093"/>
    <n v="5.8528819762122586"/>
  </r>
  <r>
    <s v="Direct,NSFnet,100"/>
    <x v="0"/>
    <x v="0"/>
    <x v="4"/>
    <n v="1118.569"/>
    <n v="1093"/>
    <n v="2.3393412625800512"/>
  </r>
  <r>
    <s v="Direct,NSFnet,100"/>
    <x v="0"/>
    <x v="0"/>
    <x v="4"/>
    <n v="1130.51"/>
    <n v="1093"/>
    <n v="3.4318389752973459"/>
  </r>
  <r>
    <s v="Direct,NSFnet,100"/>
    <x v="0"/>
    <x v="0"/>
    <x v="4"/>
    <n v="1203.356"/>
    <n v="1093"/>
    <n v="10.096614821591949"/>
  </r>
  <r>
    <s v="Direct,NSFnet,100"/>
    <x v="0"/>
    <x v="0"/>
    <x v="4"/>
    <n v="1116.826"/>
    <n v="1093"/>
    <n v="2.1798719121683461"/>
  </r>
  <r>
    <s v="Direct,NSFnet,100"/>
    <x v="0"/>
    <x v="0"/>
    <x v="4"/>
    <n v="1140.1890000000001"/>
    <n v="1093"/>
    <n v="4.3173833485818918"/>
  </r>
  <r>
    <s v="Direct,NSFnet,100"/>
    <x v="0"/>
    <x v="0"/>
    <x v="4"/>
    <n v="1114.127"/>
    <n v="1093"/>
    <n v="1.932936870997251"/>
  </r>
  <r>
    <s v="Direct,NSFnet,100"/>
    <x v="0"/>
    <x v="0"/>
    <x v="4"/>
    <n v="1078.03"/>
    <n v="1093"/>
    <n v="1.369624885635867"/>
  </r>
  <r>
    <s v="Direct,NSFnet,100"/>
    <x v="0"/>
    <x v="0"/>
    <x v="4"/>
    <n v="1030.9480000000001"/>
    <n v="1093"/>
    <n v="5.6772186642268903"/>
  </r>
  <r>
    <s v="Direct,NSFnet,100"/>
    <x v="0"/>
    <x v="0"/>
    <x v="4"/>
    <n v="1120.624"/>
    <n v="1093"/>
    <n v="2.5273559011893894"/>
  </r>
  <r>
    <s v="Direct,NSFnet,100"/>
    <x v="0"/>
    <x v="0"/>
    <x v="4"/>
    <n v="1101.2760000000001"/>
    <n v="1093"/>
    <n v="0.75718206770357432"/>
  </r>
  <r>
    <s v="Direct,NSFnet,100"/>
    <x v="0"/>
    <x v="0"/>
    <x v="4"/>
    <n v="1044.498"/>
    <n v="1093"/>
    <n v="4.4375114364135362"/>
  </r>
  <r>
    <s v="Direct,NSFnet,100"/>
    <x v="0"/>
    <x v="0"/>
    <x v="4"/>
    <n v="1074.5070000000001"/>
    <n v="1093"/>
    <n v="1.6919487648673321"/>
  </r>
  <r>
    <s v="Direct,NSFnet,100"/>
    <x v="0"/>
    <x v="0"/>
    <x v="4"/>
    <n v="1134.616"/>
    <n v="1093"/>
    <n v="3.8075022872827069"/>
  </r>
  <r>
    <s v="Direct,NSFnet,100"/>
    <x v="0"/>
    <x v="0"/>
    <x v="4"/>
    <n v="1079.7809999999999"/>
    <n v="1093"/>
    <n v="1.2094236047575526"/>
  </r>
  <r>
    <s v="Direct,NSFnet,100"/>
    <x v="0"/>
    <x v="0"/>
    <x v="4"/>
    <n v="1079.7370000000001"/>
    <n v="1093"/>
    <n v="1.213449222323872"/>
  </r>
  <r>
    <s v="Direct,NSFnet,100"/>
    <x v="0"/>
    <x v="0"/>
    <x v="4"/>
    <n v="1101.421"/>
    <n v="1093"/>
    <n v="0.77044830741080039"/>
  </r>
  <r>
    <s v="Direct,NSFnet,100"/>
    <x v="0"/>
    <x v="0"/>
    <x v="4"/>
    <n v="1104.01"/>
    <n v="1093"/>
    <n v="1.0073193046660558"/>
  </r>
  <r>
    <s v="Direct,NSFnet,100"/>
    <x v="0"/>
    <x v="0"/>
    <x v="4"/>
    <n v="1091.615"/>
    <n v="1093"/>
    <n v="0.12671546203110623"/>
  </r>
  <r>
    <s v="Direct,NSFnet,100"/>
    <x v="0"/>
    <x v="0"/>
    <x v="4"/>
    <n v="1081.6199999999999"/>
    <n v="1093"/>
    <n v="1.041171088746579"/>
  </r>
  <r>
    <s v="Direct,NSFnet,100"/>
    <x v="0"/>
    <x v="0"/>
    <x v="4"/>
    <n v="1051.2950000000001"/>
    <n v="1093"/>
    <n v="3.8156450137236897"/>
  </r>
  <r>
    <s v="Direct,NSFnet,100"/>
    <x v="0"/>
    <x v="0"/>
    <x v="4"/>
    <n v="1105.9680000000001"/>
    <n v="1093"/>
    <n v="1.1864592863678018"/>
  </r>
  <r>
    <s v="Direct,NSFnet,100"/>
    <x v="0"/>
    <x v="0"/>
    <x v="4"/>
    <n v="1157.095"/>
    <n v="1093"/>
    <n v="5.8641354071363248"/>
  </r>
  <r>
    <s v="Direct,NSFnet,100"/>
    <x v="0"/>
    <x v="0"/>
    <x v="4"/>
    <n v="1058.752"/>
    <n v="1093"/>
    <n v="3.133394327538888"/>
  </r>
  <r>
    <s v="Direct,NSFnet,100"/>
    <x v="0"/>
    <x v="0"/>
    <x v="4"/>
    <n v="1136.2249999999999"/>
    <n v="1093"/>
    <n v="3.9547118023787657"/>
  </r>
  <r>
    <s v="Direct,NSFnet,100"/>
    <x v="0"/>
    <x v="0"/>
    <x v="4"/>
    <n v="1096.616"/>
    <n v="1093"/>
    <n v="0.33083257090576262"/>
  </r>
  <r>
    <s v="Direct,NSFnet,100"/>
    <x v="0"/>
    <x v="0"/>
    <x v="4"/>
    <n v="1122.8219999999999"/>
    <n v="1093"/>
    <n v="2.7284537968892852"/>
  </r>
  <r>
    <s v="Direct,NSFnet,100"/>
    <x v="0"/>
    <x v="0"/>
    <x v="4"/>
    <n v="1192.7280000000001"/>
    <n v="1093"/>
    <n v="9.1242451967063189"/>
  </r>
  <r>
    <s v="Direct,NSFnet,100"/>
    <x v="0"/>
    <x v="0"/>
    <x v="4"/>
    <n v="1055.58"/>
    <n v="1093"/>
    <n v="3.4236047575480399"/>
  </r>
  <r>
    <s v="Direct,NSFnet,100"/>
    <x v="0"/>
    <x v="0"/>
    <x v="4"/>
    <n v="1108.0319999999999"/>
    <n v="1093"/>
    <n v="1.3752973467520517"/>
  </r>
  <r>
    <s v="Direct,NSFnet,100"/>
    <x v="0"/>
    <x v="0"/>
    <x v="4"/>
    <n v="1144.4469999999999"/>
    <n v="1093"/>
    <n v="4.7069533394327436"/>
  </r>
  <r>
    <s v="Direct,NSFnet,100"/>
    <x v="0"/>
    <x v="0"/>
    <x v="4"/>
    <n v="1108.57"/>
    <n v="1093"/>
    <n v="1.4245196706312842"/>
  </r>
  <r>
    <s v="Direct,NSFnet,100"/>
    <x v="0"/>
    <x v="0"/>
    <x v="4"/>
    <n v="1067.5039999999999"/>
    <n v="1093"/>
    <n v="2.3326623970722866"/>
  </r>
  <r>
    <s v="Direct,NSFnet,120"/>
    <x v="0"/>
    <x v="0"/>
    <x v="5"/>
    <n v="1310.3510000000001"/>
    <n v="1295"/>
    <n v="1.1854054054054142"/>
  </r>
  <r>
    <s v="Direct,NSFnet,120"/>
    <x v="0"/>
    <x v="0"/>
    <x v="5"/>
    <n v="1345.348"/>
    <n v="1295"/>
    <n v="3.8878764478764447"/>
  </r>
  <r>
    <s v="Direct,NSFnet,120"/>
    <x v="0"/>
    <x v="0"/>
    <x v="5"/>
    <n v="1347.6510000000001"/>
    <n v="1295"/>
    <n v="4.0657142857142912"/>
  </r>
  <r>
    <s v="Direct,NSFnet,120"/>
    <x v="0"/>
    <x v="0"/>
    <x v="5"/>
    <n v="1397.2339999999999"/>
    <n v="1295"/>
    <n v="7.8945173745173678"/>
  </r>
  <r>
    <s v="Direct,NSFnet,120"/>
    <x v="0"/>
    <x v="0"/>
    <x v="5"/>
    <n v="1304.123"/>
    <n v="1295"/>
    <n v="0.70447876447876812"/>
  </r>
  <r>
    <s v="Direct,NSFnet,120"/>
    <x v="0"/>
    <x v="0"/>
    <x v="5"/>
    <n v="1418.8820000000001"/>
    <n v="1295"/>
    <n v="9.5661776061776109"/>
  </r>
  <r>
    <s v="Direct,NSFnet,120"/>
    <x v="0"/>
    <x v="0"/>
    <x v="5"/>
    <n v="1333.7380000000001"/>
    <n v="1295"/>
    <n v="2.9913513513513559"/>
  </r>
  <r>
    <s v="Direct,NSFnet,120"/>
    <x v="0"/>
    <x v="0"/>
    <x v="5"/>
    <n v="1164.193"/>
    <n v="1295"/>
    <n v="10.100926640926643"/>
  </r>
  <r>
    <s v="Direct,NSFnet,120"/>
    <x v="0"/>
    <x v="0"/>
    <x v="5"/>
    <n v="1318.376"/>
    <n v="1295"/>
    <n v="1.8050965250965234"/>
  </r>
  <r>
    <s v="Direct,NSFnet,120"/>
    <x v="0"/>
    <x v="0"/>
    <x v="5"/>
    <n v="1382.7919999999999"/>
    <n v="1295"/>
    <n v="6.7793050193050126"/>
  </r>
  <r>
    <s v="Direct,NSFnet,120"/>
    <x v="0"/>
    <x v="0"/>
    <x v="5"/>
    <n v="1321.3579999999999"/>
    <n v="1295"/>
    <n v="2.0353667953667913"/>
  </r>
  <r>
    <s v="Direct,NSFnet,120"/>
    <x v="0"/>
    <x v="0"/>
    <x v="5"/>
    <n v="1322.2460000000001"/>
    <n v="1295"/>
    <n v="2.1039382239382309"/>
  </r>
  <r>
    <s v="Direct,NSFnet,120"/>
    <x v="0"/>
    <x v="0"/>
    <x v="5"/>
    <n v="1356.2829999999999"/>
    <n v="1295"/>
    <n v="4.732277992277985"/>
  </r>
  <r>
    <s v="Direct,NSFnet,120"/>
    <x v="0"/>
    <x v="0"/>
    <x v="5"/>
    <n v="1361.059"/>
    <n v="1295"/>
    <n v="5.1010810810810794"/>
  </r>
  <r>
    <s v="Direct,NSFnet,120"/>
    <x v="0"/>
    <x v="0"/>
    <x v="5"/>
    <n v="1335.105"/>
    <n v="1295"/>
    <n v="3.0969111969111984"/>
  </r>
  <r>
    <s v="Direct,NSFnet,120"/>
    <x v="0"/>
    <x v="0"/>
    <x v="5"/>
    <n v="1290.078"/>
    <n v="1295"/>
    <n v="0.38007722007722206"/>
  </r>
  <r>
    <s v="Direct,NSFnet,120"/>
    <x v="0"/>
    <x v="0"/>
    <x v="5"/>
    <n v="1310.377"/>
    <n v="1295"/>
    <n v="1.1874131274131239"/>
  </r>
  <r>
    <s v="Direct,NSFnet,120"/>
    <x v="0"/>
    <x v="0"/>
    <x v="5"/>
    <n v="1325.232"/>
    <n v="1295"/>
    <n v="2.3345173745173722"/>
  </r>
  <r>
    <s v="Direct,NSFnet,120"/>
    <x v="0"/>
    <x v="0"/>
    <x v="5"/>
    <n v="1337.357"/>
    <n v="1295"/>
    <n v="3.2708108108108083"/>
  </r>
  <r>
    <s v="Direct,NSFnet,120"/>
    <x v="0"/>
    <x v="0"/>
    <x v="5"/>
    <n v="1418.0129999999999"/>
    <n v="1295"/>
    <n v="9.4990733590733534"/>
  </r>
  <r>
    <s v="Direct,NSFnet,120"/>
    <x v="0"/>
    <x v="0"/>
    <x v="5"/>
    <n v="1291.692"/>
    <n v="1295"/>
    <n v="0.2554440154440149"/>
  </r>
  <r>
    <s v="Direct,NSFnet,120"/>
    <x v="0"/>
    <x v="0"/>
    <x v="5"/>
    <n v="1316.847"/>
    <n v="1295"/>
    <n v="1.6870270270270253"/>
  </r>
  <r>
    <s v="Direct,NSFnet,120"/>
    <x v="0"/>
    <x v="0"/>
    <x v="5"/>
    <n v="1365.789"/>
    <n v="1295"/>
    <n v="5.4663320463320453"/>
  </r>
  <r>
    <s v="Direct,NSFnet,120"/>
    <x v="0"/>
    <x v="0"/>
    <x v="5"/>
    <n v="1341.6"/>
    <n v="1295"/>
    <n v="3.5984555984555917"/>
  </r>
  <r>
    <s v="Direct,NSFnet,120"/>
    <x v="0"/>
    <x v="0"/>
    <x v="5"/>
    <n v="1352.6410000000001"/>
    <n v="1295"/>
    <n v="4.4510424710424772"/>
  </r>
  <r>
    <s v="Direct,NSFnet,120"/>
    <x v="0"/>
    <x v="0"/>
    <x v="5"/>
    <n v="1327.5060000000001"/>
    <n v="1295"/>
    <n v="2.5101158301158368"/>
  </r>
  <r>
    <s v="Direct,NSFnet,120"/>
    <x v="0"/>
    <x v="0"/>
    <x v="5"/>
    <n v="1377.826"/>
    <n v="1295"/>
    <n v="6.3958301158301172"/>
  </r>
  <r>
    <s v="Direct,NSFnet,120"/>
    <x v="0"/>
    <x v="0"/>
    <x v="5"/>
    <n v="1311.3130000000001"/>
    <n v="1295"/>
    <n v="1.2596911196911276"/>
  </r>
  <r>
    <s v="Direct,NSFnet,120"/>
    <x v="0"/>
    <x v="0"/>
    <x v="5"/>
    <n v="1331.827"/>
    <n v="1295"/>
    <n v="2.8437837837837838"/>
  </r>
  <r>
    <s v="Direct,NSFnet,120"/>
    <x v="0"/>
    <x v="0"/>
    <x v="5"/>
    <n v="1372.7280000000001"/>
    <n v="1295"/>
    <n v="6.0021621621621675"/>
  </r>
  <r>
    <s v="Direct,NSFnet,120"/>
    <x v="0"/>
    <x v="0"/>
    <x v="5"/>
    <n v="1339.2049999999999"/>
    <n v="1295"/>
    <n v="3.4135135135135082"/>
  </r>
  <r>
    <s v="Direct,NSFnet,120"/>
    <x v="0"/>
    <x v="0"/>
    <x v="5"/>
    <n v="1261.877"/>
    <n v="1295"/>
    <n v="2.5577606177606214"/>
  </r>
  <r>
    <s v="Direct,NSFnet,120"/>
    <x v="0"/>
    <x v="0"/>
    <x v="5"/>
    <n v="1296.643"/>
    <n v="1295"/>
    <n v="0.12687258687258912"/>
  </r>
  <r>
    <s v="Direct,NSFnet,120"/>
    <x v="0"/>
    <x v="0"/>
    <x v="5"/>
    <n v="1247.663"/>
    <n v="1295"/>
    <n v="3.655366795366795"/>
  </r>
  <r>
    <s v="Direct,NSFnet,120"/>
    <x v="0"/>
    <x v="0"/>
    <x v="5"/>
    <n v="1195.2909999999999"/>
    <n v="1295"/>
    <n v="7.699536679536684"/>
  </r>
  <r>
    <s v="Direct,NSFnet,120"/>
    <x v="0"/>
    <x v="0"/>
    <x v="5"/>
    <n v="1277.961"/>
    <n v="1295"/>
    <n v="1.3157528957528948"/>
  </r>
  <r>
    <s v="Direct,NSFnet,120"/>
    <x v="0"/>
    <x v="0"/>
    <x v="5"/>
    <n v="1340.6869999999999"/>
    <n v="1295"/>
    <n v="3.5279536679536601"/>
  </r>
  <r>
    <s v="Direct,NSFnet,120"/>
    <x v="0"/>
    <x v="0"/>
    <x v="5"/>
    <n v="1299.77"/>
    <n v="1295"/>
    <n v="0.36833976833976695"/>
  </r>
  <r>
    <s v="Direct,NSFnet,120"/>
    <x v="0"/>
    <x v="0"/>
    <x v="5"/>
    <n v="1359.596"/>
    <n v="1295"/>
    <n v="4.9881081081081087"/>
  </r>
  <r>
    <s v="Direct,NSFnet,120"/>
    <x v="0"/>
    <x v="0"/>
    <x v="5"/>
    <n v="1289.24"/>
    <n v="1295"/>
    <n v="0.4447876447876441"/>
  </r>
  <r>
    <s v="Direct,NSFnet,120"/>
    <x v="0"/>
    <x v="0"/>
    <x v="5"/>
    <n v="1287.3"/>
    <n v="1295"/>
    <n v="0.59459459459459818"/>
  </r>
  <r>
    <s v="Direct,NSFnet,120"/>
    <x v="0"/>
    <x v="0"/>
    <x v="5"/>
    <n v="1327.0650000000001"/>
    <n v="1295"/>
    <n v="2.4760617760617802"/>
  </r>
  <r>
    <s v="Direct,NSFnet,120"/>
    <x v="0"/>
    <x v="0"/>
    <x v="5"/>
    <n v="1313.229"/>
    <n v="1295"/>
    <n v="1.4076447876447908"/>
  </r>
  <r>
    <s v="Direct,NSFnet,120"/>
    <x v="0"/>
    <x v="0"/>
    <x v="5"/>
    <n v="1353.2270000000001"/>
    <n v="1295"/>
    <n v="4.4962934362934428"/>
  </r>
  <r>
    <s v="Direct,NSFnet,120"/>
    <x v="0"/>
    <x v="0"/>
    <x v="5"/>
    <n v="1341.877"/>
    <n v="1295"/>
    <n v="3.6198455598455559"/>
  </r>
  <r>
    <s v="Direct,NSFnet,120"/>
    <x v="0"/>
    <x v="0"/>
    <x v="5"/>
    <n v="1281.749"/>
    <n v="1295"/>
    <n v="1.0232432432432415"/>
  </r>
  <r>
    <s v="Direct,NSFnet,120"/>
    <x v="0"/>
    <x v="0"/>
    <x v="5"/>
    <n v="1329.598"/>
    <n v="1295"/>
    <n v="2.671660231660228"/>
  </r>
  <r>
    <s v="Direct,NSFnet,120"/>
    <x v="0"/>
    <x v="0"/>
    <x v="5"/>
    <n v="1275.229"/>
    <n v="1295"/>
    <n v="1.5267181467181434"/>
  </r>
  <r>
    <s v="Direct,NSFnet,120"/>
    <x v="0"/>
    <x v="0"/>
    <x v="5"/>
    <n v="1303.902"/>
    <n v="1295"/>
    <n v="0.68741312741313088"/>
  </r>
  <r>
    <s v="Direct,NSFnet,120"/>
    <x v="0"/>
    <x v="0"/>
    <x v="5"/>
    <n v="1345.414"/>
    <n v="1295"/>
    <n v="3.8929729729729718"/>
  </r>
  <r>
    <s v="Direct,NSFnet,120"/>
    <x v="0"/>
    <x v="0"/>
    <x v="5"/>
    <n v="1394.93"/>
    <n v="1295"/>
    <n v="7.7166023166023212"/>
  </r>
  <r>
    <s v="Direct,NSFnet,120"/>
    <x v="0"/>
    <x v="0"/>
    <x v="5"/>
    <n v="1307.0429999999999"/>
    <n v="1295"/>
    <n v="0.92996138996138178"/>
  </r>
  <r>
    <s v="Direct,NSFnet,120"/>
    <x v="0"/>
    <x v="0"/>
    <x v="5"/>
    <n v="1409.386"/>
    <n v="1295"/>
    <n v="8.8328957528957499"/>
  </r>
  <r>
    <s v="Direct,NSFnet,120"/>
    <x v="0"/>
    <x v="0"/>
    <x v="5"/>
    <n v="1426.2260000000001"/>
    <n v="1295"/>
    <n v="10.133281853281861"/>
  </r>
  <r>
    <s v="Direct,NSFnet,120"/>
    <x v="0"/>
    <x v="0"/>
    <x v="5"/>
    <n v="1288.692"/>
    <n v="1295"/>
    <n v="0.48710424710424655"/>
  </r>
  <r>
    <s v="Direct,NSFnet,120"/>
    <x v="0"/>
    <x v="0"/>
    <x v="5"/>
    <n v="1370.502"/>
    <n v="1295"/>
    <n v="5.8302702702702662"/>
  </r>
  <r>
    <s v="Direct,NSFnet,120"/>
    <x v="0"/>
    <x v="0"/>
    <x v="5"/>
    <n v="1353.7629999999999"/>
    <n v="1295"/>
    <n v="4.5376833976833915"/>
  </r>
  <r>
    <s v="Direct,NSFnet,120"/>
    <x v="0"/>
    <x v="0"/>
    <x v="5"/>
    <n v="1262.729"/>
    <n v="1295"/>
    <n v="2.4919691119691088"/>
  </r>
  <r>
    <s v="Direct,NSFnet,120"/>
    <x v="0"/>
    <x v="0"/>
    <x v="5"/>
    <n v="1261.6600000000001"/>
    <n v="1295"/>
    <n v="2.5745173745173684"/>
  </r>
  <r>
    <s v="Direct,NSFnet,120"/>
    <x v="0"/>
    <x v="0"/>
    <x v="5"/>
    <n v="1303.769"/>
    <n v="1295"/>
    <n v="0.6771428571428576"/>
  </r>
  <r>
    <s v="Direct,NSFnet,120"/>
    <x v="0"/>
    <x v="0"/>
    <x v="5"/>
    <n v="1334.279"/>
    <n v="1295"/>
    <n v="3.0331274131274131"/>
  </r>
  <r>
    <s v="Direct,NSFnet,120"/>
    <x v="0"/>
    <x v="0"/>
    <x v="5"/>
    <n v="1342.107"/>
    <n v="1295"/>
    <n v="3.637606177606175"/>
  </r>
  <r>
    <s v="Direct,NSFnet,120"/>
    <x v="0"/>
    <x v="0"/>
    <x v="5"/>
    <n v="1266.893"/>
    <n v="1295"/>
    <n v="2.1704247104247081"/>
  </r>
  <r>
    <s v="Direct,NSFnet,120"/>
    <x v="0"/>
    <x v="0"/>
    <x v="5"/>
    <n v="1316.202"/>
    <n v="1295"/>
    <n v="1.6372200772200771"/>
  </r>
  <r>
    <s v="Direct,NSFnet,120"/>
    <x v="0"/>
    <x v="0"/>
    <x v="5"/>
    <n v="1323.3889999999999"/>
    <n v="1295"/>
    <n v="2.1922007722007644"/>
  </r>
  <r>
    <s v="Direct,NSFnet,120"/>
    <x v="0"/>
    <x v="0"/>
    <x v="5"/>
    <n v="1272.7270000000001"/>
    <n v="1295"/>
    <n v="1.719922779922773"/>
  </r>
  <r>
    <s v="Direct,NSFnet,120"/>
    <x v="0"/>
    <x v="0"/>
    <x v="5"/>
    <n v="1312.2909999999999"/>
    <n v="1295"/>
    <n v="1.3352123552123505"/>
  </r>
  <r>
    <s v="Direct,NSFnet,120"/>
    <x v="0"/>
    <x v="0"/>
    <x v="5"/>
    <n v="1257.377"/>
    <n v="1295"/>
    <n v="2.905250965250969"/>
  </r>
  <r>
    <s v="Direct,NSFnet,120"/>
    <x v="0"/>
    <x v="0"/>
    <x v="5"/>
    <n v="1267.9649999999999"/>
    <n v="1295"/>
    <n v="2.0876447876447943"/>
  </r>
  <r>
    <s v="Direct,NSFnet,120"/>
    <x v="0"/>
    <x v="0"/>
    <x v="5"/>
    <n v="1321.616"/>
    <n v="1295"/>
    <n v="2.0552895752895739"/>
  </r>
  <r>
    <s v="Direct,NSFnet,120"/>
    <x v="0"/>
    <x v="0"/>
    <x v="5"/>
    <n v="1283.6389999999999"/>
    <n v="1295"/>
    <n v="0.87729729729730532"/>
  </r>
  <r>
    <s v="Direct,NSFnet,120"/>
    <x v="0"/>
    <x v="0"/>
    <x v="5"/>
    <n v="1296.9590000000001"/>
    <n v="1295"/>
    <n v="0.15127413127413591"/>
  </r>
  <r>
    <s v="Direct,NSFnet,120"/>
    <x v="0"/>
    <x v="0"/>
    <x v="5"/>
    <n v="1306.5889999999999"/>
    <n v="1295"/>
    <n v="0.89490347490347033"/>
  </r>
  <r>
    <s v="Direct,NSFnet,120"/>
    <x v="0"/>
    <x v="0"/>
    <x v="5"/>
    <n v="1380.2760000000001"/>
    <n v="1295"/>
    <n v="6.5850193050193102"/>
  </r>
  <r>
    <s v="Direct,NSFnet,120"/>
    <x v="0"/>
    <x v="0"/>
    <x v="5"/>
    <n v="1391.682"/>
    <n v="1295"/>
    <n v="7.4657915057915067"/>
  </r>
  <r>
    <s v="Direct,NSFnet,120"/>
    <x v="0"/>
    <x v="0"/>
    <x v="5"/>
    <n v="1340.2929999999999"/>
    <n v="1295"/>
    <n v="3.497528957528949"/>
  </r>
  <r>
    <s v="Direct,NSFnet,120"/>
    <x v="0"/>
    <x v="0"/>
    <x v="5"/>
    <n v="1284.0409999999999"/>
    <n v="1295"/>
    <n v="0.84625482625483084"/>
  </r>
  <r>
    <s v="Direct,NSFnet,120"/>
    <x v="0"/>
    <x v="0"/>
    <x v="5"/>
    <n v="1267.93"/>
    <n v="1295"/>
    <n v="2.0903474903474857"/>
  </r>
  <r>
    <s v="Direct,NSFnet,120"/>
    <x v="0"/>
    <x v="0"/>
    <x v="5"/>
    <n v="1368.6010000000001"/>
    <n v="1295"/>
    <n v="5.6834749034749121"/>
  </r>
  <r>
    <s v="Direct,NSFnet,120"/>
    <x v="0"/>
    <x v="0"/>
    <x v="5"/>
    <n v="1337.0060000000001"/>
    <n v="1295"/>
    <n v="3.2437065637065698"/>
  </r>
  <r>
    <s v="Direct,NSFnet,120"/>
    <x v="0"/>
    <x v="0"/>
    <x v="5"/>
    <n v="1238.3699999999999"/>
    <n v="1295"/>
    <n v="4.3729729729729812"/>
  </r>
  <r>
    <s v="Direct,NSFnet,120"/>
    <x v="0"/>
    <x v="0"/>
    <x v="5"/>
    <n v="1274.2819999999999"/>
    <n v="1295"/>
    <n v="1.5998455598455654"/>
  </r>
  <r>
    <s v="Direct,NSFnet,120"/>
    <x v="0"/>
    <x v="0"/>
    <x v="5"/>
    <n v="1305.79"/>
    <n v="1295"/>
    <n v="0.83320463320463045"/>
  </r>
  <r>
    <s v="Direct,NSFnet,120"/>
    <x v="0"/>
    <x v="0"/>
    <x v="5"/>
    <n v="1324.4010000000001"/>
    <n v="1295"/>
    <n v="2.2703474903474956"/>
  </r>
  <r>
    <s v="Direct,NSFnet,120"/>
    <x v="0"/>
    <x v="0"/>
    <x v="5"/>
    <n v="1348.258"/>
    <n v="1295"/>
    <n v="4.1125868725868759"/>
  </r>
  <r>
    <s v="Direct,NSFnet,120"/>
    <x v="0"/>
    <x v="0"/>
    <x v="5"/>
    <n v="1375.173"/>
    <n v="1295"/>
    <n v="6.1909652509652506"/>
  </r>
  <r>
    <s v="Direct,NSFnet,120"/>
    <x v="0"/>
    <x v="0"/>
    <x v="5"/>
    <n v="1331.8889999999999"/>
    <n v="1295"/>
    <n v="2.8485714285714203"/>
  </r>
  <r>
    <s v="Direct,NSFnet,120"/>
    <x v="0"/>
    <x v="0"/>
    <x v="5"/>
    <n v="1310.078"/>
    <n v="1295"/>
    <n v="1.1643243243243224"/>
  </r>
  <r>
    <s v="Direct,NSFnet,120"/>
    <x v="0"/>
    <x v="0"/>
    <x v="5"/>
    <n v="1319.98"/>
    <n v="1295"/>
    <n v="1.9289575289575305"/>
  </r>
  <r>
    <s v="Direct,NSFnet,120"/>
    <x v="0"/>
    <x v="0"/>
    <x v="5"/>
    <n v="1320.595"/>
    <n v="1295"/>
    <n v="1.9764478764478783"/>
  </r>
  <r>
    <s v="Direct,NSFnet,120"/>
    <x v="0"/>
    <x v="0"/>
    <x v="5"/>
    <n v="1399.9469999999999"/>
    <n v="1295"/>
    <n v="8.1040154440154364"/>
  </r>
  <r>
    <s v="Direct,NSFnet,120"/>
    <x v="0"/>
    <x v="0"/>
    <x v="5"/>
    <n v="1362.5550000000001"/>
    <n v="1295"/>
    <n v="5.2166023166023212"/>
  </r>
  <r>
    <s v="Direct,NSFnet,120"/>
    <x v="0"/>
    <x v="0"/>
    <x v="5"/>
    <n v="1384.972"/>
    <n v="1295"/>
    <n v="6.9476447876447853"/>
  </r>
  <r>
    <s v="Direct,NSFnet,120"/>
    <x v="0"/>
    <x v="0"/>
    <x v="5"/>
    <n v="1315.307"/>
    <n v="1295"/>
    <n v="1.5681081081081092"/>
  </r>
  <r>
    <s v="Direct,NSFnet,120"/>
    <x v="0"/>
    <x v="0"/>
    <x v="5"/>
    <n v="1355.231"/>
    <n v="1295"/>
    <n v="4.6510424710424703"/>
  </r>
  <r>
    <s v="Direct,NSFnet,120"/>
    <x v="0"/>
    <x v="0"/>
    <x v="5"/>
    <n v="1267.7560000000001"/>
    <n v="1295"/>
    <n v="2.103783783783777"/>
  </r>
  <r>
    <s v="Direct,NSFnet,120"/>
    <x v="0"/>
    <x v="0"/>
    <x v="5"/>
    <n v="1255.9380000000001"/>
    <n v="1295"/>
    <n v="3.0163706563706487"/>
  </r>
  <r>
    <s v="Direct,NSFnet,120"/>
    <x v="0"/>
    <x v="0"/>
    <x v="5"/>
    <n v="1346.4449999999999"/>
    <n v="1295"/>
    <n v="3.9725868725868674"/>
  </r>
  <r>
    <s v="Direct,NSFnet,120"/>
    <x v="0"/>
    <x v="0"/>
    <x v="5"/>
    <n v="1359.3979999999999"/>
    <n v="1295"/>
    <n v="4.9728185328185255"/>
  </r>
  <r>
    <s v="Direct,NSFnet,120"/>
    <x v="0"/>
    <x v="0"/>
    <x v="5"/>
    <n v="1291.771"/>
    <n v="1295"/>
    <n v="0.24934362934363261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49.805999999999997"/>
    <n v="52.2"/>
    <n v="4.5862068965517349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0.805999999999997"/>
    <n v="52.2"/>
    <n v="2.6704980842911978"/>
  </r>
  <r>
    <s v="Direct,STnet,20"/>
    <x v="0"/>
    <x v="1"/>
    <x v="0"/>
    <n v="52.805999999999997"/>
    <n v="52.2"/>
    <n v="1.1609195402298746"/>
  </r>
  <r>
    <s v="Direct,STnet,20"/>
    <x v="0"/>
    <x v="1"/>
    <x v="0"/>
    <n v="49.805999999999997"/>
    <n v="52.2"/>
    <n v="4.5862068965517349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2.805999999999997"/>
    <n v="52.2"/>
    <n v="1.1609195402298746"/>
  </r>
  <r>
    <s v="Direct,STnet,20"/>
    <x v="0"/>
    <x v="1"/>
    <x v="0"/>
    <n v="50.805999999999997"/>
    <n v="52.2"/>
    <n v="2.6704980842911978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49.805999999999997"/>
    <n v="52.2"/>
    <n v="4.5862068965517349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49.805999999999997"/>
    <n v="52.2"/>
    <n v="4.5862068965517349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0.805999999999997"/>
    <n v="52.2"/>
    <n v="2.6704980842911978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0.805999999999997"/>
    <n v="52.2"/>
    <n v="2.6704980842911978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3.805999999999997"/>
    <n v="52.2"/>
    <n v="3.076628352490411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3.805999999999997"/>
    <n v="52.2"/>
    <n v="3.076628352490411"/>
  </r>
  <r>
    <s v="Direct,STnet,20"/>
    <x v="0"/>
    <x v="1"/>
    <x v="0"/>
    <n v="50.805999999999997"/>
    <n v="52.2"/>
    <n v="2.6704980842911978"/>
  </r>
  <r>
    <s v="Direct,STnet,20"/>
    <x v="0"/>
    <x v="1"/>
    <x v="0"/>
    <n v="53.805999999999997"/>
    <n v="52.2"/>
    <n v="3.076628352490411"/>
  </r>
  <r>
    <s v="Direct,STnet,20"/>
    <x v="0"/>
    <x v="1"/>
    <x v="0"/>
    <n v="51.805999999999997"/>
    <n v="52.2"/>
    <n v="0.75478927203066182"/>
  </r>
  <r>
    <s v="Direct,STnet,20"/>
    <x v="0"/>
    <x v="1"/>
    <x v="0"/>
    <n v="50.805999999999997"/>
    <n v="52.2"/>
    <n v="2.6704980842911978"/>
  </r>
  <r>
    <s v="Direct,STnet,20"/>
    <x v="0"/>
    <x v="1"/>
    <x v="0"/>
    <n v="52.805999999999997"/>
    <n v="52.2"/>
    <n v="1.1609195402298746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0.805999999999997"/>
    <n v="52.2"/>
    <n v="2.6704980842911978"/>
  </r>
  <r>
    <s v="Direct,STnet,20"/>
    <x v="0"/>
    <x v="1"/>
    <x v="0"/>
    <n v="51.805999999999997"/>
    <n v="52.2"/>
    <n v="0.75478927203066182"/>
  </r>
  <r>
    <s v="Direct,STnet,20"/>
    <x v="0"/>
    <x v="1"/>
    <x v="0"/>
    <n v="52.805999999999997"/>
    <n v="52.2"/>
    <n v="1.1609195402298746"/>
  </r>
  <r>
    <s v="Direct,STnet,20"/>
    <x v="0"/>
    <x v="1"/>
    <x v="0"/>
    <n v="50.805999999999997"/>
    <n v="52.2"/>
    <n v="2.6704980842911978"/>
  </r>
  <r>
    <s v="Direct,STnet,20"/>
    <x v="0"/>
    <x v="1"/>
    <x v="0"/>
    <n v="50.805999999999997"/>
    <n v="52.2"/>
    <n v="2.6704980842911978"/>
  </r>
  <r>
    <s v="Direct,STnet,20"/>
    <x v="0"/>
    <x v="1"/>
    <x v="0"/>
    <n v="50.805999999999997"/>
    <n v="52.2"/>
    <n v="2.6704980842911978"/>
  </r>
  <r>
    <s v="Direct,STnet,40"/>
    <x v="0"/>
    <x v="1"/>
    <x v="1"/>
    <n v="74.828000000000003"/>
    <n v="85.4"/>
    <n v="12.379391100702579"/>
  </r>
  <r>
    <s v="Direct,STnet,40"/>
    <x v="0"/>
    <x v="1"/>
    <x v="1"/>
    <n v="79.265000000000001"/>
    <n v="85.4"/>
    <n v="7.183840749414526"/>
  </r>
  <r>
    <s v="Direct,STnet,40"/>
    <x v="0"/>
    <x v="1"/>
    <x v="1"/>
    <n v="85.775999999999996"/>
    <n v="85.4"/>
    <n v="0.44028103044495376"/>
  </r>
  <r>
    <s v="Direct,STnet,40"/>
    <x v="0"/>
    <x v="1"/>
    <x v="1"/>
    <n v="92.141000000000005"/>
    <n v="85.4"/>
    <n v="7.8934426229508192"/>
  </r>
  <r>
    <s v="Direct,STnet,40"/>
    <x v="0"/>
    <x v="1"/>
    <x v="1"/>
    <n v="77.337999999999994"/>
    <n v="85.4"/>
    <n v="9.4402810304449769"/>
  </r>
  <r>
    <s v="Direct,STnet,40"/>
    <x v="0"/>
    <x v="1"/>
    <x v="1"/>
    <n v="88.921999999999997"/>
    <n v="85.4"/>
    <n v="4.1241217798594745"/>
  </r>
  <r>
    <s v="Direct,STnet,40"/>
    <x v="0"/>
    <x v="1"/>
    <x v="1"/>
    <n v="90.141000000000005"/>
    <n v="85.4"/>
    <n v="5.5515222482435584"/>
  </r>
  <r>
    <s v="Direct,STnet,40"/>
    <x v="0"/>
    <x v="1"/>
    <x v="1"/>
    <n v="85.558000000000007"/>
    <n v="85.4"/>
    <n v="0.18501170960187499"/>
  </r>
  <r>
    <s v="Direct,STnet,40"/>
    <x v="0"/>
    <x v="1"/>
    <x v="1"/>
    <n v="76.046999999999997"/>
    <n v="85.4"/>
    <n v="10.951990632318511"/>
  </r>
  <r>
    <s v="Direct,STnet,40"/>
    <x v="0"/>
    <x v="1"/>
    <x v="1"/>
    <n v="84.775999999999996"/>
    <n v="85.4"/>
    <n v="0.73067915690867613"/>
  </r>
  <r>
    <s v="Direct,STnet,40"/>
    <x v="0"/>
    <x v="1"/>
    <x v="1"/>
    <n v="82.483999999999995"/>
    <n v="85.4"/>
    <n v="3.4145199063231977"/>
  </r>
  <r>
    <s v="Direct,STnet,40"/>
    <x v="0"/>
    <x v="1"/>
    <x v="1"/>
    <n v="84.557000000000002"/>
    <n v="85.4"/>
    <n v="0.98711943793911416"/>
  </r>
  <r>
    <s v="Direct,STnet,40"/>
    <x v="0"/>
    <x v="1"/>
    <x v="1"/>
    <n v="82.63"/>
    <n v="85.4"/>
    <n v="3.2435597189695664"/>
  </r>
  <r>
    <s v="Direct,STnet,40"/>
    <x v="0"/>
    <x v="1"/>
    <x v="1"/>
    <n v="91.141000000000005"/>
    <n v="85.4"/>
    <n v="6.7224824355971897"/>
  </r>
  <r>
    <s v="Direct,STnet,40"/>
    <x v="0"/>
    <x v="1"/>
    <x v="1"/>
    <n v="82.411000000000001"/>
    <n v="85.4"/>
    <n v="3.5000000000000044"/>
  </r>
  <r>
    <s v="Direct,STnet,40"/>
    <x v="0"/>
    <x v="1"/>
    <x v="1"/>
    <n v="84.703000000000003"/>
    <n v="85.4"/>
    <n v="0.81615925058548322"/>
  </r>
  <r>
    <s v="Direct,STnet,40"/>
    <x v="0"/>
    <x v="1"/>
    <x v="1"/>
    <n v="81.63"/>
    <n v="85.4"/>
    <n v="4.4145199063231964"/>
  </r>
  <r>
    <s v="Direct,STnet,40"/>
    <x v="0"/>
    <x v="1"/>
    <x v="1"/>
    <n v="91.921999999999997"/>
    <n v="85.4"/>
    <n v="7.6370023419203639"/>
  </r>
  <r>
    <s v="Direct,STnet,40"/>
    <x v="0"/>
    <x v="1"/>
    <x v="1"/>
    <n v="89.775999999999996"/>
    <n v="85.4"/>
    <n v="5.1241217798594727"/>
  </r>
  <r>
    <s v="Direct,STnet,40"/>
    <x v="0"/>
    <x v="1"/>
    <x v="1"/>
    <n v="85.849000000000004"/>
    <n v="85.4"/>
    <n v="0.52576112412177756"/>
  </r>
  <r>
    <s v="Direct,STnet,40"/>
    <x v="0"/>
    <x v="1"/>
    <x v="1"/>
    <n v="85.483999999999995"/>
    <n v="85.4"/>
    <n v="9.8360655737691996E-2"/>
  </r>
  <r>
    <s v="Direct,STnet,40"/>
    <x v="0"/>
    <x v="1"/>
    <x v="1"/>
    <n v="83.557000000000002"/>
    <n v="85.4"/>
    <n v="2.1580796252927437"/>
  </r>
  <r>
    <s v="Direct,STnet,40"/>
    <x v="0"/>
    <x v="1"/>
    <x v="1"/>
    <n v="85.557000000000002"/>
    <n v="85.4"/>
    <n v="0.18384074941451578"/>
  </r>
  <r>
    <s v="Direct,STnet,40"/>
    <x v="0"/>
    <x v="1"/>
    <x v="1"/>
    <n v="85.995000000000005"/>
    <n v="85.4"/>
    <n v="0.6967213114754085"/>
  </r>
  <r>
    <s v="Direct,STnet,40"/>
    <x v="0"/>
    <x v="1"/>
    <x v="1"/>
    <n v="87.995000000000005"/>
    <n v="85.4"/>
    <n v="3.0386416861826682"/>
  </r>
  <r>
    <s v="Direct,STnet,40"/>
    <x v="0"/>
    <x v="1"/>
    <x v="1"/>
    <n v="80.337999999999994"/>
    <n v="85.4"/>
    <n v="5.9274004683840884"/>
  </r>
  <r>
    <s v="Direct,STnet,40"/>
    <x v="0"/>
    <x v="1"/>
    <x v="1"/>
    <n v="78.974000000000004"/>
    <n v="85.4"/>
    <n v="7.5245901639344277"/>
  </r>
  <r>
    <s v="Direct,STnet,40"/>
    <x v="0"/>
    <x v="1"/>
    <x v="1"/>
    <n v="80.265000000000001"/>
    <n v="85.4"/>
    <n v="6.0128805620608956"/>
  </r>
  <r>
    <s v="Direct,STnet,40"/>
    <x v="0"/>
    <x v="1"/>
    <x v="1"/>
    <n v="77.411000000000001"/>
    <n v="85.4"/>
    <n v="9.3548009367681537"/>
  </r>
  <r>
    <s v="Direct,STnet,40"/>
    <x v="0"/>
    <x v="1"/>
    <x v="1"/>
    <n v="90.213999999999999"/>
    <n v="85.4"/>
    <n v="5.6370023419203665"/>
  </r>
  <r>
    <s v="Direct,STnet,40"/>
    <x v="0"/>
    <x v="1"/>
    <x v="1"/>
    <n v="86.63"/>
    <n v="85.4"/>
    <n v="1.4402810304449529"/>
  </r>
  <r>
    <s v="Direct,STnet,40"/>
    <x v="0"/>
    <x v="1"/>
    <x v="1"/>
    <n v="84.995000000000005"/>
    <n v="85.4"/>
    <n v="0.47423887587822144"/>
  </r>
  <r>
    <s v="Direct,STnet,40"/>
    <x v="0"/>
    <x v="1"/>
    <x v="1"/>
    <n v="82.484999999999999"/>
    <n v="85.4"/>
    <n v="3.4133489461358386"/>
  </r>
  <r>
    <s v="Direct,STnet,40"/>
    <x v="0"/>
    <x v="1"/>
    <x v="1"/>
    <n v="88.849000000000004"/>
    <n v="85.4"/>
    <n v="4.0386416861826673"/>
  </r>
  <r>
    <s v="Direct,STnet,40"/>
    <x v="0"/>
    <x v="1"/>
    <x v="1"/>
    <n v="77.046999999999997"/>
    <n v="85.4"/>
    <n v="9.7810304449648804"/>
  </r>
  <r>
    <s v="Direct,STnet,40"/>
    <x v="0"/>
    <x v="1"/>
    <x v="1"/>
    <n v="78.265000000000001"/>
    <n v="85.4"/>
    <n v="8.3548009367681555"/>
  </r>
  <r>
    <s v="Direct,STnet,40"/>
    <x v="0"/>
    <x v="1"/>
    <x v="1"/>
    <n v="75.974000000000004"/>
    <n v="85.4"/>
    <n v="11.037470725995318"/>
  </r>
  <r>
    <s v="Direct,STnet,40"/>
    <x v="0"/>
    <x v="1"/>
    <x v="1"/>
    <n v="90.995000000000005"/>
    <n v="85.4"/>
    <n v="6.5515222482435576"/>
  </r>
  <r>
    <s v="Direct,STnet,40"/>
    <x v="0"/>
    <x v="1"/>
    <x v="1"/>
    <n v="86.849000000000004"/>
    <n v="85.4"/>
    <n v="1.6967213114754076"/>
  </r>
  <r>
    <s v="Direct,STnet,40"/>
    <x v="0"/>
    <x v="1"/>
    <x v="1"/>
    <n v="93.213999999999999"/>
    <n v="85.4"/>
    <n v="9.1498829039812559"/>
  </r>
  <r>
    <s v="Direct,STnet,40"/>
    <x v="0"/>
    <x v="1"/>
    <x v="1"/>
    <n v="87.63"/>
    <n v="85.4"/>
    <n v="2.6112412177985824"/>
  </r>
  <r>
    <s v="Direct,STnet,40"/>
    <x v="0"/>
    <x v="1"/>
    <x v="1"/>
    <n v="79.63"/>
    <n v="85.4"/>
    <n v="6.7564402810304571"/>
  </r>
  <r>
    <s v="Direct,STnet,40"/>
    <x v="0"/>
    <x v="1"/>
    <x v="1"/>
    <n v="83.483999999999995"/>
    <n v="85.4"/>
    <n v="2.2435597189695677"/>
  </r>
  <r>
    <s v="Direct,STnet,40"/>
    <x v="0"/>
    <x v="1"/>
    <x v="1"/>
    <n v="80.557000000000002"/>
    <n v="85.4"/>
    <n v="5.6709601873536339"/>
  </r>
  <r>
    <s v="Direct,STnet,40"/>
    <x v="0"/>
    <x v="1"/>
    <x v="1"/>
    <n v="83.483999999999995"/>
    <n v="85.4"/>
    <n v="2.2435597189695677"/>
  </r>
  <r>
    <s v="Direct,STnet,40"/>
    <x v="0"/>
    <x v="1"/>
    <x v="1"/>
    <n v="82.337999999999994"/>
    <n v="85.4"/>
    <n v="3.5854800936768285"/>
  </r>
  <r>
    <s v="Direct,STnet,40"/>
    <x v="0"/>
    <x v="1"/>
    <x v="1"/>
    <n v="80.411000000000001"/>
    <n v="85.4"/>
    <n v="5.8419203747072652"/>
  </r>
  <r>
    <s v="Direct,STnet,40"/>
    <x v="0"/>
    <x v="1"/>
    <x v="1"/>
    <n v="75.046000000000006"/>
    <n v="85.4"/>
    <n v="12.124121779859482"/>
  </r>
  <r>
    <s v="Direct,STnet,40"/>
    <x v="0"/>
    <x v="1"/>
    <x v="1"/>
    <n v="78.337999999999994"/>
    <n v="85.4"/>
    <n v="8.2693208430913483"/>
  </r>
  <r>
    <s v="Direct,STnet,40"/>
    <x v="0"/>
    <x v="1"/>
    <x v="1"/>
    <n v="79.337999999999994"/>
    <n v="85.4"/>
    <n v="7.0983606557377179"/>
  </r>
  <r>
    <s v="Direct,STnet,40"/>
    <x v="0"/>
    <x v="1"/>
    <x v="1"/>
    <n v="81.411000000000001"/>
    <n v="85.4"/>
    <n v="4.6709601873536339"/>
  </r>
  <r>
    <s v="Direct,STnet,40"/>
    <x v="0"/>
    <x v="1"/>
    <x v="1"/>
    <n v="76.974000000000004"/>
    <n v="85.4"/>
    <n v="9.8665105386416876"/>
  </r>
  <r>
    <s v="Direct,STnet,40"/>
    <x v="0"/>
    <x v="1"/>
    <x v="1"/>
    <n v="80.191999999999993"/>
    <n v="85.4"/>
    <n v="6.0983606557377197"/>
  </r>
  <r>
    <s v="Direct,STnet,40"/>
    <x v="0"/>
    <x v="1"/>
    <x v="1"/>
    <n v="83.849000000000004"/>
    <n v="85.4"/>
    <n v="1.8161592505854824"/>
  </r>
  <r>
    <s v="Direct,STnet,40"/>
    <x v="0"/>
    <x v="1"/>
    <x v="1"/>
    <n v="95.36"/>
    <n v="85.4"/>
    <n v="11.662763466042145"/>
  </r>
  <r>
    <s v="Direct,STnet,40"/>
    <x v="0"/>
    <x v="1"/>
    <x v="1"/>
    <n v="81.265000000000001"/>
    <n v="85.4"/>
    <n v="4.8419203747072652"/>
  </r>
  <r>
    <s v="Direct,STnet,40"/>
    <x v="0"/>
    <x v="1"/>
    <x v="1"/>
    <n v="81.411000000000001"/>
    <n v="85.4"/>
    <n v="4.6709601873536339"/>
  </r>
  <r>
    <s v="Direct,STnet,40"/>
    <x v="0"/>
    <x v="1"/>
    <x v="1"/>
    <n v="85.703000000000003"/>
    <n v="85.4"/>
    <n v="0.35480093676814667"/>
  </r>
  <r>
    <s v="Direct,STnet,40"/>
    <x v="0"/>
    <x v="1"/>
    <x v="1"/>
    <n v="83.849000000000004"/>
    <n v="85.4"/>
    <n v="1.8161592505854824"/>
  </r>
  <r>
    <s v="Direct,STnet,40"/>
    <x v="0"/>
    <x v="1"/>
    <x v="1"/>
    <n v="90.921999999999997"/>
    <n v="85.4"/>
    <n v="6.4660421545667344"/>
  </r>
  <r>
    <s v="Direct,STnet,40"/>
    <x v="0"/>
    <x v="1"/>
    <x v="1"/>
    <n v="82.483999999999995"/>
    <n v="85.4"/>
    <n v="3.4145199063231977"/>
  </r>
  <r>
    <s v="Direct,STnet,40"/>
    <x v="0"/>
    <x v="1"/>
    <x v="1"/>
    <n v="80.703000000000003"/>
    <n v="85.4"/>
    <n v="5.5000000000000027"/>
  </r>
  <r>
    <s v="Direct,STnet,40"/>
    <x v="0"/>
    <x v="1"/>
    <x v="1"/>
    <n v="86.775999999999996"/>
    <n v="85.4"/>
    <n v="1.6112412177985838"/>
  </r>
  <r>
    <s v="Direct,STnet,40"/>
    <x v="0"/>
    <x v="1"/>
    <x v="1"/>
    <n v="89.849000000000004"/>
    <n v="85.4"/>
    <n v="5.2096018735362977"/>
  </r>
  <r>
    <s v="Direct,STnet,40"/>
    <x v="0"/>
    <x v="1"/>
    <x v="1"/>
    <n v="83.63"/>
    <n v="85.4"/>
    <n v="2.0725995316159369"/>
  </r>
  <r>
    <s v="Direct,STnet,40"/>
    <x v="0"/>
    <x v="1"/>
    <x v="1"/>
    <n v="86.703000000000003"/>
    <n v="85.4"/>
    <n v="1.5257611241217766"/>
  </r>
  <r>
    <s v="Direct,STnet,40"/>
    <x v="0"/>
    <x v="1"/>
    <x v="1"/>
    <n v="79.192999999999998"/>
    <n v="85.4"/>
    <n v="7.2681498829039901"/>
  </r>
  <r>
    <s v="Direct,STnet,40"/>
    <x v="0"/>
    <x v="1"/>
    <x v="1"/>
    <n v="76.411000000000001"/>
    <n v="85.4"/>
    <n v="10.525761124121784"/>
  </r>
  <r>
    <s v="Direct,STnet,40"/>
    <x v="0"/>
    <x v="1"/>
    <x v="1"/>
    <n v="91.141000000000005"/>
    <n v="85.4"/>
    <n v="6.7224824355971897"/>
  </r>
  <r>
    <s v="Direct,STnet,40"/>
    <x v="0"/>
    <x v="1"/>
    <x v="1"/>
    <n v="76.191999999999993"/>
    <n v="85.4"/>
    <n v="10.782201405152239"/>
  </r>
  <r>
    <s v="Direct,STnet,40"/>
    <x v="0"/>
    <x v="1"/>
    <x v="1"/>
    <n v="78.557000000000002"/>
    <n v="85.4"/>
    <n v="8.0128805620608929"/>
  </r>
  <r>
    <s v="Direct,STnet,40"/>
    <x v="0"/>
    <x v="1"/>
    <x v="1"/>
    <n v="88.995000000000005"/>
    <n v="85.4"/>
    <n v="4.2096018735362986"/>
  </r>
  <r>
    <s v="Direct,STnet,40"/>
    <x v="0"/>
    <x v="1"/>
    <x v="1"/>
    <n v="80.337999999999994"/>
    <n v="85.4"/>
    <n v="5.9274004683840884"/>
  </r>
  <r>
    <s v="Direct,STnet,40"/>
    <x v="0"/>
    <x v="1"/>
    <x v="1"/>
    <n v="81.557000000000002"/>
    <n v="85.4"/>
    <n v="4.5000000000000036"/>
  </r>
  <r>
    <s v="Direct,STnet,40"/>
    <x v="0"/>
    <x v="1"/>
    <x v="1"/>
    <n v="90.921999999999997"/>
    <n v="85.4"/>
    <n v="6.4660421545667344"/>
  </r>
  <r>
    <s v="Direct,STnet,40"/>
    <x v="0"/>
    <x v="1"/>
    <x v="1"/>
    <n v="96.287000000000006"/>
    <n v="85.4"/>
    <n v="12.748243559718968"/>
  </r>
  <r>
    <s v="Direct,STnet,40"/>
    <x v="0"/>
    <x v="1"/>
    <x v="1"/>
    <n v="77.411000000000001"/>
    <n v="85.4"/>
    <n v="9.3548009367681537"/>
  </r>
  <r>
    <s v="Direct,STnet,40"/>
    <x v="0"/>
    <x v="1"/>
    <x v="1"/>
    <n v="81.483999999999995"/>
    <n v="85.4"/>
    <n v="4.5854800936768276"/>
  </r>
  <r>
    <s v="Direct,STnet,40"/>
    <x v="0"/>
    <x v="1"/>
    <x v="1"/>
    <n v="82.775999999999996"/>
    <n v="85.4"/>
    <n v="3.072599531615936"/>
  </r>
  <r>
    <s v="Direct,STnet,40"/>
    <x v="0"/>
    <x v="1"/>
    <x v="1"/>
    <n v="80.411000000000001"/>
    <n v="85.4"/>
    <n v="5.8419203747072652"/>
  </r>
  <r>
    <s v="Direct,STnet,40"/>
    <x v="0"/>
    <x v="1"/>
    <x v="1"/>
    <n v="84.849000000000004"/>
    <n v="85.4"/>
    <n v="0.64519906323185239"/>
  </r>
  <r>
    <s v="Direct,STnet,40"/>
    <x v="0"/>
    <x v="1"/>
    <x v="1"/>
    <n v="80.483999999999995"/>
    <n v="85.4"/>
    <n v="5.7564402810304571"/>
  </r>
  <r>
    <s v="Direct,STnet,40"/>
    <x v="0"/>
    <x v="1"/>
    <x v="1"/>
    <n v="89.995000000000005"/>
    <n v="85.4"/>
    <n v="5.3805620608899281"/>
  </r>
  <r>
    <s v="Direct,STnet,40"/>
    <x v="0"/>
    <x v="1"/>
    <x v="1"/>
    <n v="90.849000000000004"/>
    <n v="85.4"/>
    <n v="6.3805620608899272"/>
  </r>
  <r>
    <s v="Direct,STnet,40"/>
    <x v="0"/>
    <x v="1"/>
    <x v="1"/>
    <n v="91.921999999999997"/>
    <n v="85.4"/>
    <n v="7.6370023419203639"/>
  </r>
  <r>
    <s v="Direct,STnet,40"/>
    <x v="0"/>
    <x v="1"/>
    <x v="1"/>
    <n v="87.995000000000005"/>
    <n v="85.4"/>
    <n v="3.0386416861826682"/>
  </r>
  <r>
    <s v="Direct,STnet,40"/>
    <x v="0"/>
    <x v="1"/>
    <x v="1"/>
    <n v="84.849000000000004"/>
    <n v="85.4"/>
    <n v="0.64519906323185239"/>
  </r>
  <r>
    <s v="Direct,STnet,40"/>
    <x v="0"/>
    <x v="1"/>
    <x v="1"/>
    <n v="67.39"/>
    <n v="85.4"/>
    <n v="21.088992974238881"/>
  </r>
  <r>
    <s v="Direct,STnet,40"/>
    <x v="0"/>
    <x v="1"/>
    <x v="1"/>
    <n v="90.995000000000005"/>
    <n v="85.4"/>
    <n v="6.5515222482435576"/>
  </r>
  <r>
    <s v="Direct,STnet,40"/>
    <x v="0"/>
    <x v="1"/>
    <x v="1"/>
    <n v="84.411000000000001"/>
    <n v="85.4"/>
    <n v="1.158079625292745"/>
  </r>
  <r>
    <s v="Direct,STnet,40"/>
    <x v="0"/>
    <x v="1"/>
    <x v="1"/>
    <n v="84.557000000000002"/>
    <n v="85.4"/>
    <n v="0.98711943793911416"/>
  </r>
  <r>
    <s v="Direct,STnet,40"/>
    <x v="0"/>
    <x v="1"/>
    <x v="1"/>
    <n v="92.287000000000006"/>
    <n v="85.4"/>
    <n v="8.0644028103044505"/>
  </r>
  <r>
    <s v="Direct,STnet,40"/>
    <x v="0"/>
    <x v="1"/>
    <x v="1"/>
    <n v="78.12"/>
    <n v="85.4"/>
    <n v="8.5245901639344268"/>
  </r>
  <r>
    <s v="Direct,STnet,40"/>
    <x v="0"/>
    <x v="1"/>
    <x v="1"/>
    <n v="82.703000000000003"/>
    <n v="85.4"/>
    <n v="3.1580796252927432"/>
  </r>
  <r>
    <s v="Direct,STnet,40"/>
    <x v="0"/>
    <x v="1"/>
    <x v="1"/>
    <n v="85.483999999999995"/>
    <n v="85.4"/>
    <n v="9.8360655737691996E-2"/>
  </r>
  <r>
    <s v="Direct,STnet,40"/>
    <x v="0"/>
    <x v="1"/>
    <x v="1"/>
    <n v="80.63"/>
    <n v="85.4"/>
    <n v="5.5854800936768267"/>
  </r>
  <r>
    <s v="Direct,STnet,40"/>
    <x v="0"/>
    <x v="1"/>
    <x v="1"/>
    <n v="79.046999999999997"/>
    <n v="85.4"/>
    <n v="7.4391100702576205"/>
  </r>
  <r>
    <s v="Direct,STnet,40"/>
    <x v="0"/>
    <x v="1"/>
    <x v="1"/>
    <n v="70.900999999999996"/>
    <n v="85.4"/>
    <n v="16.977751756440291"/>
  </r>
  <r>
    <s v="Direct,STnet,40"/>
    <x v="0"/>
    <x v="1"/>
    <x v="1"/>
    <n v="89.775999999999996"/>
    <n v="85.4"/>
    <n v="5.1241217798594727"/>
  </r>
  <r>
    <s v="Direct,STnet,40"/>
    <x v="0"/>
    <x v="1"/>
    <x v="1"/>
    <n v="93.067999999999998"/>
    <n v="85.4"/>
    <n v="8.9789227166276238"/>
  </r>
  <r>
    <s v="Direct,STnet,60"/>
    <x v="0"/>
    <x v="1"/>
    <x v="2"/>
    <n v="110.57899999999999"/>
    <n v="113.5"/>
    <n v="2.5735682819383316"/>
  </r>
  <r>
    <s v="Direct,STnet,60"/>
    <x v="0"/>
    <x v="1"/>
    <x v="2"/>
    <n v="122.747"/>
    <n v="113.5"/>
    <n v="8.1471365638766517"/>
  </r>
  <r>
    <s v="Direct,STnet,60"/>
    <x v="0"/>
    <x v="1"/>
    <x v="2"/>
    <n v="113.309"/>
    <n v="113.5"/>
    <n v="0.16828193832599339"/>
  </r>
  <r>
    <s v="Direct,STnet,60"/>
    <x v="0"/>
    <x v="1"/>
    <x v="2"/>
    <n v="113.309"/>
    <n v="113.5"/>
    <n v="0.16828193832599339"/>
  </r>
  <r>
    <s v="Direct,STnet,60"/>
    <x v="0"/>
    <x v="1"/>
    <x v="2"/>
    <n v="114.017"/>
    <n v="113.5"/>
    <n v="0.45550660792951181"/>
  </r>
  <r>
    <s v="Direct,STnet,60"/>
    <x v="0"/>
    <x v="1"/>
    <x v="2"/>
    <n v="104.72499999999999"/>
    <n v="113.5"/>
    <n v="7.7312775330396528"/>
  </r>
  <r>
    <s v="Direct,STnet,60"/>
    <x v="0"/>
    <x v="1"/>
    <x v="2"/>
    <n v="115.309"/>
    <n v="113.5"/>
    <n v="1.5938325991189404"/>
  </r>
  <r>
    <s v="Direct,STnet,60"/>
    <x v="0"/>
    <x v="1"/>
    <x v="2"/>
    <n v="126.331"/>
    <n v="113.5"/>
    <n v="11.304845814977977"/>
  </r>
  <r>
    <s v="Direct,STnet,60"/>
    <x v="0"/>
    <x v="1"/>
    <x v="2"/>
    <n v="111.309"/>
    <n v="113.5"/>
    <n v="1.9303964757709273"/>
  </r>
  <r>
    <s v="Direct,STnet,60"/>
    <x v="0"/>
    <x v="1"/>
    <x v="2"/>
    <n v="118.38200000000001"/>
    <n v="113.5"/>
    <n v="4.3013215859030884"/>
  </r>
  <r>
    <s v="Direct,STnet,60"/>
    <x v="0"/>
    <x v="1"/>
    <x v="2"/>
    <n v="100.43300000000001"/>
    <n v="113.5"/>
    <n v="11.512775330396471"/>
  </r>
  <r>
    <s v="Direct,STnet,60"/>
    <x v="0"/>
    <x v="1"/>
    <x v="2"/>
    <n v="118.38200000000001"/>
    <n v="113.5"/>
    <n v="4.3013215859030884"/>
  </r>
  <r>
    <s v="Direct,STnet,60"/>
    <x v="0"/>
    <x v="1"/>
    <x v="2"/>
    <n v="124.747"/>
    <n v="113.5"/>
    <n v="9.9092511013215852"/>
  </r>
  <r>
    <s v="Direct,STnet,60"/>
    <x v="0"/>
    <x v="1"/>
    <x v="2"/>
    <n v="114.38200000000001"/>
    <n v="113.5"/>
    <n v="0.7770925110132203"/>
  </r>
  <r>
    <s v="Direct,STnet,60"/>
    <x v="0"/>
    <x v="1"/>
    <x v="2"/>
    <n v="120.309"/>
    <n v="113.5"/>
    <n v="5.9991189427312754"/>
  </r>
  <r>
    <s v="Direct,STnet,60"/>
    <x v="0"/>
    <x v="1"/>
    <x v="2"/>
    <n v="106.017"/>
    <n v="113.5"/>
    <n v="6.5929515418502245"/>
  </r>
  <r>
    <s v="Direct,STnet,60"/>
    <x v="0"/>
    <x v="1"/>
    <x v="2"/>
    <n v="112.236"/>
    <n v="113.5"/>
    <n v="1.1136563876651946"/>
  </r>
  <r>
    <s v="Direct,STnet,60"/>
    <x v="0"/>
    <x v="1"/>
    <x v="2"/>
    <n v="109.652"/>
    <n v="113.5"/>
    <n v="3.3903083700440519"/>
  </r>
  <r>
    <s v="Direct,STnet,60"/>
    <x v="0"/>
    <x v="1"/>
    <x v="2"/>
    <n v="111.09"/>
    <n v="113.5"/>
    <n v="2.1233480176211423"/>
  </r>
  <r>
    <s v="Direct,STnet,60"/>
    <x v="0"/>
    <x v="1"/>
    <x v="2"/>
    <n v="117.309"/>
    <n v="113.5"/>
    <n v="3.355947136563874"/>
  </r>
  <r>
    <s v="Direct,STnet,60"/>
    <x v="0"/>
    <x v="1"/>
    <x v="2"/>
    <n v="107.652"/>
    <n v="113.5"/>
    <n v="5.1524229074889858"/>
  </r>
  <r>
    <s v="Direct,STnet,60"/>
    <x v="0"/>
    <x v="1"/>
    <x v="2"/>
    <n v="114.163"/>
    <n v="113.5"/>
    <n v="0.58414096916299263"/>
  </r>
  <r>
    <s v="Direct,STnet,60"/>
    <x v="0"/>
    <x v="1"/>
    <x v="2"/>
    <n v="123.601"/>
    <n v="113.5"/>
    <n v="8.8995594713656381"/>
  </r>
  <r>
    <s v="Direct,STnet,60"/>
    <x v="0"/>
    <x v="1"/>
    <x v="2"/>
    <n v="135.33099999999999"/>
    <n v="113.5"/>
    <n v="19.234361233480165"/>
  </r>
  <r>
    <s v="Direct,STnet,60"/>
    <x v="0"/>
    <x v="1"/>
    <x v="2"/>
    <n v="106.28700000000001"/>
    <n v="113.5"/>
    <n v="6.355066079295149"/>
  </r>
  <r>
    <s v="Direct,STnet,60"/>
    <x v="0"/>
    <x v="1"/>
    <x v="2"/>
    <n v="123.82"/>
    <n v="113.5"/>
    <n v="9.0925110132158515"/>
  </r>
  <r>
    <s v="Direct,STnet,60"/>
    <x v="0"/>
    <x v="1"/>
    <x v="2"/>
    <n v="122.67400000000001"/>
    <n v="113.5"/>
    <n v="8.0828193832599169"/>
  </r>
  <r>
    <s v="Direct,STnet,60"/>
    <x v="0"/>
    <x v="1"/>
    <x v="2"/>
    <n v="111.871"/>
    <n v="113.5"/>
    <n v="1.4352422907489031"/>
  </r>
  <r>
    <s v="Direct,STnet,60"/>
    <x v="0"/>
    <x v="1"/>
    <x v="2"/>
    <n v="116.67400000000001"/>
    <n v="113.5"/>
    <n v="2.7964757709251162"/>
  </r>
  <r>
    <s v="Direct,STnet,60"/>
    <x v="0"/>
    <x v="1"/>
    <x v="2"/>
    <n v="108.652"/>
    <n v="113.5"/>
    <n v="4.2713656387665191"/>
  </r>
  <r>
    <s v="Direct,STnet,60"/>
    <x v="0"/>
    <x v="1"/>
    <x v="2"/>
    <n v="116.944"/>
    <n v="113.5"/>
    <n v="3.0343612334801784"/>
  </r>
  <r>
    <s v="Direct,STnet,60"/>
    <x v="0"/>
    <x v="1"/>
    <x v="2"/>
    <n v="112.017"/>
    <n v="113.5"/>
    <n v="1.3066079295154223"/>
  </r>
  <r>
    <s v="Direct,STnet,60"/>
    <x v="0"/>
    <x v="1"/>
    <x v="2"/>
    <n v="130.96600000000001"/>
    <n v="113.5"/>
    <n v="15.388546255506617"/>
  </r>
  <r>
    <s v="Direct,STnet,60"/>
    <x v="0"/>
    <x v="1"/>
    <x v="2"/>
    <n v="128.03899999999999"/>
    <n v="113.5"/>
    <n v="12.809691629955935"/>
  </r>
  <r>
    <s v="Direct,STnet,60"/>
    <x v="0"/>
    <x v="1"/>
    <x v="2"/>
    <n v="123.82"/>
    <n v="113.5"/>
    <n v="9.0925110132158515"/>
  </r>
  <r>
    <s v="Direct,STnet,60"/>
    <x v="0"/>
    <x v="1"/>
    <x v="2"/>
    <n v="133.55000000000001"/>
    <n v="113.5"/>
    <n v="17.665198237885473"/>
  </r>
  <r>
    <s v="Direct,STnet,60"/>
    <x v="0"/>
    <x v="1"/>
    <x v="2"/>
    <n v="124.82"/>
    <n v="113.5"/>
    <n v="9.97356828193832"/>
  </r>
  <r>
    <s v="Direct,STnet,60"/>
    <x v="0"/>
    <x v="1"/>
    <x v="2"/>
    <n v="130.11199999999999"/>
    <n v="113.5"/>
    <n v="14.636123348017616"/>
  </r>
  <r>
    <s v="Direct,STnet,60"/>
    <x v="0"/>
    <x v="1"/>
    <x v="2"/>
    <n v="108.57899999999999"/>
    <n v="113.5"/>
    <n v="4.3356828193832655"/>
  </r>
  <r>
    <s v="Direct,STnet,60"/>
    <x v="0"/>
    <x v="1"/>
    <x v="2"/>
    <n v="111.09"/>
    <n v="113.5"/>
    <n v="2.1233480176211423"/>
  </r>
  <r>
    <s v="Direct,STnet,60"/>
    <x v="0"/>
    <x v="1"/>
    <x v="2"/>
    <n v="115.38200000000001"/>
    <n v="113.5"/>
    <n v="1.6581497797356872"/>
  </r>
  <r>
    <s v="Direct,STnet,60"/>
    <x v="0"/>
    <x v="1"/>
    <x v="2"/>
    <n v="112.163"/>
    <n v="113.5"/>
    <n v="1.1779735682819412"/>
  </r>
  <r>
    <s v="Direct,STnet,60"/>
    <x v="0"/>
    <x v="1"/>
    <x v="2"/>
    <n v="117.601"/>
    <n v="113.5"/>
    <n v="3.6132158590308361"/>
  </r>
  <r>
    <s v="Direct,STnet,60"/>
    <x v="0"/>
    <x v="1"/>
    <x v="2"/>
    <n v="122.52800000000001"/>
    <n v="113.5"/>
    <n v="7.9541850220264374"/>
  </r>
  <r>
    <s v="Direct,STnet,60"/>
    <x v="0"/>
    <x v="1"/>
    <x v="2"/>
    <n v="111.017"/>
    <n v="113.5"/>
    <n v="2.1876651982378892"/>
  </r>
  <r>
    <s v="Direct,STnet,60"/>
    <x v="0"/>
    <x v="1"/>
    <x v="2"/>
    <n v="120.309"/>
    <n v="113.5"/>
    <n v="5.9991189427312754"/>
  </r>
  <r>
    <s v="Direct,STnet,60"/>
    <x v="0"/>
    <x v="1"/>
    <x v="2"/>
    <n v="118.163"/>
    <n v="113.5"/>
    <n v="4.1083700440528608"/>
  </r>
  <r>
    <s v="Direct,STnet,60"/>
    <x v="0"/>
    <x v="1"/>
    <x v="2"/>
    <n v="119.67400000000001"/>
    <n v="113.5"/>
    <n v="5.4396475770925168"/>
  </r>
  <r>
    <s v="Direct,STnet,60"/>
    <x v="0"/>
    <x v="1"/>
    <x v="2"/>
    <n v="118.309"/>
    <n v="113.5"/>
    <n v="4.2370044052863411"/>
  </r>
  <r>
    <s v="Direct,STnet,60"/>
    <x v="0"/>
    <x v="1"/>
    <x v="2"/>
    <n v="114.09"/>
    <n v="113.5"/>
    <n v="0.51982378854625844"/>
  </r>
  <r>
    <s v="Direct,STnet,60"/>
    <x v="0"/>
    <x v="1"/>
    <x v="2"/>
    <n v="122.09"/>
    <n v="113.5"/>
    <n v="7.5682819383259936"/>
  </r>
  <r>
    <s v="Direct,STnet,60"/>
    <x v="0"/>
    <x v="1"/>
    <x v="2"/>
    <n v="115.52800000000001"/>
    <n v="113.5"/>
    <n v="1.7867841409691683"/>
  </r>
  <r>
    <s v="Direct,STnet,60"/>
    <x v="0"/>
    <x v="1"/>
    <x v="2"/>
    <n v="119.601"/>
    <n v="113.5"/>
    <n v="5.3753303964757704"/>
  </r>
  <r>
    <s v="Direct,STnet,60"/>
    <x v="0"/>
    <x v="1"/>
    <x v="2"/>
    <n v="110.163"/>
    <n v="113.5"/>
    <n v="2.9400881057268751"/>
  </r>
  <r>
    <s v="Direct,STnet,60"/>
    <x v="0"/>
    <x v="1"/>
    <x v="2"/>
    <n v="117.52800000000001"/>
    <n v="113.5"/>
    <n v="3.5488986784141021"/>
  </r>
  <r>
    <s v="Direct,STnet,60"/>
    <x v="0"/>
    <x v="1"/>
    <x v="2"/>
    <n v="116.236"/>
    <n v="113.5"/>
    <n v="2.4105726872246733"/>
  </r>
  <r>
    <s v="Direct,STnet,60"/>
    <x v="0"/>
    <x v="1"/>
    <x v="2"/>
    <n v="136.185"/>
    <n v="113.5"/>
    <n v="19.986784140969167"/>
  </r>
  <r>
    <s v="Direct,STnet,60"/>
    <x v="0"/>
    <x v="1"/>
    <x v="2"/>
    <n v="124.893"/>
    <n v="113.5"/>
    <n v="10.037885462555067"/>
  </r>
  <r>
    <s v="Direct,STnet,60"/>
    <x v="0"/>
    <x v="1"/>
    <x v="2"/>
    <n v="103.36"/>
    <n v="113.5"/>
    <n v="8.933920704845816"/>
  </r>
  <r>
    <s v="Direct,STnet,60"/>
    <x v="0"/>
    <x v="1"/>
    <x v="2"/>
    <n v="129.03899999999999"/>
    <n v="113.5"/>
    <n v="13.690748898678404"/>
  </r>
  <r>
    <s v="Direct,STnet,60"/>
    <x v="0"/>
    <x v="1"/>
    <x v="2"/>
    <n v="104.57899999999999"/>
    <n v="113.5"/>
    <n v="7.8599118942731332"/>
  </r>
  <r>
    <s v="Direct,STnet,60"/>
    <x v="0"/>
    <x v="1"/>
    <x v="2"/>
    <n v="121.455"/>
    <n v="113.5"/>
    <n v="7.0088105726872225"/>
  </r>
  <r>
    <s v="Direct,STnet,60"/>
    <x v="0"/>
    <x v="1"/>
    <x v="2"/>
    <n v="125.11199999999999"/>
    <n v="113.5"/>
    <n v="10.230837004405281"/>
  </r>
  <r>
    <s v="Direct,STnet,60"/>
    <x v="0"/>
    <x v="1"/>
    <x v="2"/>
    <n v="109.09"/>
    <n v="113.5"/>
    <n v="3.8854625550660762"/>
  </r>
  <r>
    <s v="Direct,STnet,60"/>
    <x v="0"/>
    <x v="1"/>
    <x v="2"/>
    <n v="131.452"/>
    <n v="113.5"/>
    <n v="15.816740088105725"/>
  </r>
  <r>
    <s v="Direct,STnet,60"/>
    <x v="0"/>
    <x v="1"/>
    <x v="2"/>
    <n v="123.601"/>
    <n v="113.5"/>
    <n v="8.8995594713656381"/>
  </r>
  <r>
    <s v="Direct,STnet,60"/>
    <x v="0"/>
    <x v="1"/>
    <x v="2"/>
    <n v="112.017"/>
    <n v="113.5"/>
    <n v="1.3066079295154223"/>
  </r>
  <r>
    <s v="Direct,STnet,60"/>
    <x v="0"/>
    <x v="1"/>
    <x v="2"/>
    <n v="123.67400000000001"/>
    <n v="113.5"/>
    <n v="8.9638766519823854"/>
  </r>
  <r>
    <s v="Direct,STnet,60"/>
    <x v="0"/>
    <x v="1"/>
    <x v="2"/>
    <n v="124.039"/>
    <n v="113.5"/>
    <n v="9.285462555066081"/>
  </r>
  <r>
    <s v="Direct,STnet,60"/>
    <x v="0"/>
    <x v="1"/>
    <x v="2"/>
    <n v="119.38200000000001"/>
    <n v="113.5"/>
    <n v="5.1823788546255551"/>
  </r>
  <r>
    <s v="Direct,STnet,60"/>
    <x v="0"/>
    <x v="1"/>
    <x v="2"/>
    <n v="115.09"/>
    <n v="113.5"/>
    <n v="1.4008810572687256"/>
  </r>
  <r>
    <s v="Direct,STnet,60"/>
    <x v="0"/>
    <x v="1"/>
    <x v="2"/>
    <n v="110.017"/>
    <n v="113.5"/>
    <n v="3.0687224669603559"/>
  </r>
  <r>
    <s v="Direct,STnet,60"/>
    <x v="0"/>
    <x v="1"/>
    <x v="2"/>
    <n v="115.455"/>
    <n v="113.5"/>
    <n v="1.7224669603524214"/>
  </r>
  <r>
    <s v="Direct,STnet,60"/>
    <x v="0"/>
    <x v="1"/>
    <x v="2"/>
    <n v="115.017"/>
    <n v="113.5"/>
    <n v="1.3365638766519787"/>
  </r>
  <r>
    <s v="Direct,STnet,60"/>
    <x v="0"/>
    <x v="1"/>
    <x v="2"/>
    <n v="120.747"/>
    <n v="113.5"/>
    <n v="6.3850220264317175"/>
  </r>
  <r>
    <s v="Direct,STnet,60"/>
    <x v="0"/>
    <x v="1"/>
    <x v="2"/>
    <n v="145.20699999999999"/>
    <n v="113.5"/>
    <n v="27.935682819383256"/>
  </r>
  <r>
    <s v="Direct,STnet,60"/>
    <x v="0"/>
    <x v="1"/>
    <x v="2"/>
    <n v="106.28700000000001"/>
    <n v="113.5"/>
    <n v="6.355066079295149"/>
  </r>
  <r>
    <s v="Direct,STnet,60"/>
    <x v="0"/>
    <x v="1"/>
    <x v="2"/>
    <n v="113.236"/>
    <n v="113.5"/>
    <n v="0.23259911894272758"/>
  </r>
  <r>
    <s v="Direct,STnet,60"/>
    <x v="0"/>
    <x v="1"/>
    <x v="2"/>
    <n v="116.309"/>
    <n v="113.5"/>
    <n v="2.4748898678414073"/>
  </r>
  <r>
    <s v="Direct,STnet,60"/>
    <x v="0"/>
    <x v="1"/>
    <x v="2"/>
    <n v="120.67400000000001"/>
    <n v="113.5"/>
    <n v="6.3207048458149835"/>
  </r>
  <r>
    <s v="Direct,STnet,60"/>
    <x v="0"/>
    <x v="1"/>
    <x v="2"/>
    <n v="133.477"/>
    <n v="113.5"/>
    <n v="17.600881057268726"/>
  </r>
  <r>
    <s v="Direct,STnet,60"/>
    <x v="0"/>
    <x v="1"/>
    <x v="2"/>
    <n v="119.163"/>
    <n v="113.5"/>
    <n v="4.9894273127753275"/>
  </r>
  <r>
    <s v="Direct,STnet,60"/>
    <x v="0"/>
    <x v="1"/>
    <x v="2"/>
    <n v="118.52800000000001"/>
    <n v="113.5"/>
    <n v="4.4299559471365688"/>
  </r>
  <r>
    <s v="Direct,STnet,60"/>
    <x v="0"/>
    <x v="1"/>
    <x v="2"/>
    <n v="133.74700000000001"/>
    <n v="113.5"/>
    <n v="17.8387665198238"/>
  </r>
  <r>
    <s v="Direct,STnet,60"/>
    <x v="0"/>
    <x v="1"/>
    <x v="2"/>
    <n v="135.404"/>
    <n v="113.5"/>
    <n v="19.298678414096912"/>
  </r>
  <r>
    <s v="Direct,STnet,60"/>
    <x v="0"/>
    <x v="1"/>
    <x v="2"/>
    <n v="112.236"/>
    <n v="113.5"/>
    <n v="1.1136563876651946"/>
  </r>
  <r>
    <s v="Direct,STnet,60"/>
    <x v="0"/>
    <x v="1"/>
    <x v="2"/>
    <n v="109.72499999999999"/>
    <n v="113.5"/>
    <n v="3.325991189427318"/>
  </r>
  <r>
    <s v="Direct,STnet,60"/>
    <x v="0"/>
    <x v="1"/>
    <x v="2"/>
    <n v="110.798"/>
    <n v="113.5"/>
    <n v="2.380616740088104"/>
  </r>
  <r>
    <s v="Direct,STnet,60"/>
    <x v="0"/>
    <x v="1"/>
    <x v="2"/>
    <n v="105.72499999999999"/>
    <n v="113.5"/>
    <n v="6.8502202643171861"/>
  </r>
  <r>
    <s v="Direct,STnet,60"/>
    <x v="0"/>
    <x v="1"/>
    <x v="2"/>
    <n v="107.43300000000001"/>
    <n v="113.5"/>
    <n v="5.345374449339201"/>
  </r>
  <r>
    <s v="Direct,STnet,60"/>
    <x v="0"/>
    <x v="1"/>
    <x v="2"/>
    <n v="102.36"/>
    <n v="113.5"/>
    <n v="9.8149779735682827"/>
  </r>
  <r>
    <s v="Direct,STnet,60"/>
    <x v="0"/>
    <x v="1"/>
    <x v="2"/>
    <n v="112.163"/>
    <n v="113.5"/>
    <n v="1.1779735682819412"/>
  </r>
  <r>
    <s v="Direct,STnet,60"/>
    <x v="0"/>
    <x v="1"/>
    <x v="2"/>
    <n v="111.871"/>
    <n v="113.5"/>
    <n v="1.4352422907489031"/>
  </r>
  <r>
    <s v="Direct,STnet,60"/>
    <x v="0"/>
    <x v="1"/>
    <x v="2"/>
    <n v="111.52800000000001"/>
    <n v="113.5"/>
    <n v="1.7374449339206997"/>
  </r>
  <r>
    <s v="Direct,STnet,60"/>
    <x v="0"/>
    <x v="1"/>
    <x v="2"/>
    <n v="120.67400000000001"/>
    <n v="113.5"/>
    <n v="6.3207048458149835"/>
  </r>
  <r>
    <s v="Direct,STnet,60"/>
    <x v="0"/>
    <x v="1"/>
    <x v="2"/>
    <n v="119.944"/>
    <n v="113.5"/>
    <n v="5.6775330396475798"/>
  </r>
  <r>
    <s v="Direct,STnet,60"/>
    <x v="0"/>
    <x v="1"/>
    <x v="2"/>
    <n v="102.506"/>
    <n v="113.5"/>
    <n v="9.6863436123348006"/>
  </r>
  <r>
    <s v="Direct,STnet,60"/>
    <x v="0"/>
    <x v="1"/>
    <x v="2"/>
    <n v="103.43300000000001"/>
    <n v="113.5"/>
    <n v="8.8696035242290687"/>
  </r>
  <r>
    <s v="Direct,STnet,60"/>
    <x v="0"/>
    <x v="1"/>
    <x v="2"/>
    <n v="120.52800000000001"/>
    <n v="113.5"/>
    <n v="6.1920704845815031"/>
  </r>
  <r>
    <s v="Direct,STnet,60"/>
    <x v="0"/>
    <x v="1"/>
    <x v="2"/>
    <n v="108.944"/>
    <n v="113.5"/>
    <n v="4.0140969162995574"/>
  </r>
  <r>
    <s v="Direct,STnet,80"/>
    <x v="0"/>
    <x v="1"/>
    <x v="3"/>
    <n v="132.16"/>
    <n v="147"/>
    <n v="10.095238095238097"/>
  </r>
  <r>
    <s v="Direct,STnet,80"/>
    <x v="0"/>
    <x v="1"/>
    <x v="3"/>
    <n v="156.00800000000001"/>
    <n v="147"/>
    <n v="6.1278911564625913"/>
  </r>
  <r>
    <s v="Direct,STnet,80"/>
    <x v="0"/>
    <x v="1"/>
    <x v="3"/>
    <n v="144.59800000000001"/>
    <n v="147"/>
    <n v="1.6340136054421681"/>
  </r>
  <r>
    <s v="Direct,STnet,80"/>
    <x v="0"/>
    <x v="1"/>
    <x v="3"/>
    <n v="134.55000000000001"/>
    <n v="147"/>
    <n v="8.4693877551020336"/>
  </r>
  <r>
    <s v="Direct,STnet,80"/>
    <x v="0"/>
    <x v="1"/>
    <x v="3"/>
    <n v="136.185"/>
    <n v="147"/>
    <n v="7.357142857142855"/>
  </r>
  <r>
    <s v="Direct,STnet,80"/>
    <x v="0"/>
    <x v="1"/>
    <x v="3"/>
    <n v="158.40100000000001"/>
    <n v="147"/>
    <n v="7.7557823129251773"/>
  </r>
  <r>
    <s v="Direct,STnet,80"/>
    <x v="0"/>
    <x v="1"/>
    <x v="3"/>
    <n v="146.84100000000001"/>
    <n v="147"/>
    <n v="0.10816326530611689"/>
  </r>
  <r>
    <s v="Direct,STnet,80"/>
    <x v="0"/>
    <x v="1"/>
    <x v="3"/>
    <n v="148.54599999999999"/>
    <n v="147"/>
    <n v="1.0517006802721036"/>
  </r>
  <r>
    <s v="Direct,STnet,80"/>
    <x v="0"/>
    <x v="1"/>
    <x v="3"/>
    <n v="141.62299999999999"/>
    <n v="147"/>
    <n v="3.6578231292517067"/>
  </r>
  <r>
    <s v="Direct,STnet,80"/>
    <x v="0"/>
    <x v="1"/>
    <x v="3"/>
    <n v="138.03899999999999"/>
    <n v="147"/>
    <n v="6.0959183673469477"/>
  </r>
  <r>
    <s v="Direct,STnet,80"/>
    <x v="0"/>
    <x v="1"/>
    <x v="3"/>
    <n v="151.42500000000001"/>
    <n v="147"/>
    <n v="3.0102040816326605"/>
  </r>
  <r>
    <s v="Direct,STnet,80"/>
    <x v="0"/>
    <x v="1"/>
    <x v="3"/>
    <n v="143.67099999999999"/>
    <n v="147"/>
    <n v="2.2646258503401415"/>
  </r>
  <r>
    <s v="Direct,STnet,80"/>
    <x v="0"/>
    <x v="1"/>
    <x v="3"/>
    <n v="144.47300000000001"/>
    <n v="147"/>
    <n v="1.7190476190476101"/>
  </r>
  <r>
    <s v="Direct,STnet,80"/>
    <x v="0"/>
    <x v="1"/>
    <x v="3"/>
    <n v="145.37899999999999"/>
    <n v="147"/>
    <n v="1.1027210884353804"/>
  </r>
  <r>
    <s v="Direct,STnet,80"/>
    <x v="0"/>
    <x v="1"/>
    <x v="3"/>
    <n v="148.84200000000001"/>
    <n v="147"/>
    <n v="1.2530612244898047"/>
  </r>
  <r>
    <s v="Direct,STnet,80"/>
    <x v="0"/>
    <x v="1"/>
    <x v="3"/>
    <n v="133.84200000000001"/>
    <n v="147"/>
    <n v="8.9510204081632576"/>
  </r>
  <r>
    <s v="Direct,STnet,80"/>
    <x v="0"/>
    <x v="1"/>
    <x v="3"/>
    <n v="136.16"/>
    <n v="147"/>
    <n v="7.3741496598639475"/>
  </r>
  <r>
    <s v="Direct,STnet,80"/>
    <x v="0"/>
    <x v="1"/>
    <x v="3"/>
    <n v="127.82"/>
    <n v="147"/>
    <n v="13.047619047619053"/>
  </r>
  <r>
    <s v="Direct,STnet,80"/>
    <x v="0"/>
    <x v="1"/>
    <x v="3"/>
    <n v="164.00899999999999"/>
    <n v="147"/>
    <n v="11.570748299319717"/>
  </r>
  <r>
    <s v="Direct,STnet,80"/>
    <x v="0"/>
    <x v="1"/>
    <x v="3"/>
    <n v="157.352"/>
    <n v="147"/>
    <n v="7.0421768707483023"/>
  </r>
  <r>
    <s v="Direct,STnet,80"/>
    <x v="0"/>
    <x v="1"/>
    <x v="3"/>
    <n v="157.44900000000001"/>
    <n v="147"/>
    <n v="7.1081632653061302"/>
  </r>
  <r>
    <s v="Direct,STnet,80"/>
    <x v="0"/>
    <x v="1"/>
    <x v="3"/>
    <n v="158.47300000000001"/>
    <n v="147"/>
    <n v="7.8047619047619143"/>
  </r>
  <r>
    <s v="Direct,STnet,80"/>
    <x v="0"/>
    <x v="1"/>
    <x v="3"/>
    <n v="143.816"/>
    <n v="147"/>
    <n v="2.1659863945578213"/>
  </r>
  <r>
    <s v="Direct,STnet,80"/>
    <x v="0"/>
    <x v="1"/>
    <x v="3"/>
    <n v="149.327"/>
    <n v="147"/>
    <n v="1.5829931972789104"/>
  </r>
  <r>
    <s v="Direct,STnet,80"/>
    <x v="0"/>
    <x v="1"/>
    <x v="3"/>
    <n v="160.98400000000001"/>
    <n v="147"/>
    <n v="9.5129251700680335"/>
  </r>
  <r>
    <s v="Direct,STnet,80"/>
    <x v="0"/>
    <x v="1"/>
    <x v="3"/>
    <n v="142.81700000000001"/>
    <n v="147"/>
    <n v="2.8455782312925124"/>
  </r>
  <r>
    <s v="Direct,STnet,80"/>
    <x v="0"/>
    <x v="1"/>
    <x v="3"/>
    <n v="153.20599999999999"/>
    <n v="147"/>
    <n v="4.2217687074829851"/>
  </r>
  <r>
    <s v="Direct,STnet,80"/>
    <x v="0"/>
    <x v="1"/>
    <x v="3"/>
    <n v="145.59800000000001"/>
    <n v="147"/>
    <n v="0.95374149659863039"/>
  </r>
  <r>
    <s v="Direct,STnet,80"/>
    <x v="0"/>
    <x v="1"/>
    <x v="3"/>
    <n v="137.76900000000001"/>
    <n v="147"/>
    <n v="6.2795918367346895"/>
  </r>
  <r>
    <s v="Direct,STnet,80"/>
    <x v="0"/>
    <x v="1"/>
    <x v="3"/>
    <n v="143.404"/>
    <n v="147"/>
    <n v="2.4462585034013631"/>
  </r>
  <r>
    <s v="Direct,STnet,80"/>
    <x v="0"/>
    <x v="1"/>
    <x v="3"/>
    <n v="136.452"/>
    <n v="147"/>
    <n v="7.1755102040816334"/>
  </r>
  <r>
    <s v="Direct,STnet,80"/>
    <x v="0"/>
    <x v="1"/>
    <x v="3"/>
    <n v="167.08199999999999"/>
    <n v="147"/>
    <n v="13.661224489795915"/>
  </r>
  <r>
    <s v="Direct,STnet,80"/>
    <x v="0"/>
    <x v="1"/>
    <x v="3"/>
    <n v="161.71700000000001"/>
    <n v="147"/>
    <n v="10.011564625850349"/>
  </r>
  <r>
    <s v="Direct,STnet,80"/>
    <x v="0"/>
    <x v="1"/>
    <x v="3"/>
    <n v="142.76900000000001"/>
    <n v="147"/>
    <n v="2.878231292517003"/>
  </r>
  <r>
    <s v="Direct,STnet,80"/>
    <x v="0"/>
    <x v="1"/>
    <x v="3"/>
    <n v="144.59800000000001"/>
    <n v="147"/>
    <n v="1.6340136054421681"/>
  </r>
  <r>
    <s v="Direct,STnet,80"/>
    <x v="0"/>
    <x v="1"/>
    <x v="3"/>
    <n v="162.46899999999999"/>
    <n v="147"/>
    <n v="10.523129251700675"/>
  </r>
  <r>
    <s v="Direct,STnet,80"/>
    <x v="0"/>
    <x v="1"/>
    <x v="3"/>
    <n v="155.86199999999999"/>
    <n v="147"/>
    <n v="6.0285714285714249"/>
  </r>
  <r>
    <s v="Direct,STnet,80"/>
    <x v="0"/>
    <x v="1"/>
    <x v="3"/>
    <n v="153.49799999999999"/>
    <n v="147"/>
    <n v="4.4204081632653001"/>
  </r>
  <r>
    <s v="Direct,STnet,80"/>
    <x v="0"/>
    <x v="1"/>
    <x v="3"/>
    <n v="139.477"/>
    <n v="147"/>
    <n v="5.1176870748299299"/>
  </r>
  <r>
    <s v="Direct,STnet,80"/>
    <x v="0"/>
    <x v="1"/>
    <x v="3"/>
    <n v="153.25399999999999"/>
    <n v="147"/>
    <n v="4.254421768707477"/>
  </r>
  <r>
    <s v="Direct,STnet,80"/>
    <x v="0"/>
    <x v="1"/>
    <x v="3"/>
    <n v="161.571"/>
    <n v="147"/>
    <n v="9.912244897959182"/>
  </r>
  <r>
    <s v="Direct,STnet,80"/>
    <x v="0"/>
    <x v="1"/>
    <x v="3"/>
    <n v="141.91399999999999"/>
    <n v="147"/>
    <n v="3.4598639455782401"/>
  </r>
  <r>
    <s v="Direct,STnet,80"/>
    <x v="0"/>
    <x v="1"/>
    <x v="3"/>
    <n v="141.45099999999999"/>
    <n v="147"/>
    <n v="3.7748299319727936"/>
  </r>
  <r>
    <s v="Direct,STnet,80"/>
    <x v="0"/>
    <x v="1"/>
    <x v="3"/>
    <n v="137.62299999999999"/>
    <n v="147"/>
    <n v="6.3789115646258567"/>
  </r>
  <r>
    <s v="Direct,STnet,80"/>
    <x v="0"/>
    <x v="1"/>
    <x v="3"/>
    <n v="154.352"/>
    <n v="147"/>
    <n v="5.0013605442176896"/>
  </r>
  <r>
    <s v="Direct,STnet,80"/>
    <x v="0"/>
    <x v="1"/>
    <x v="3"/>
    <n v="157.13399999999999"/>
    <n v="147"/>
    <n v="6.893877551020398"/>
  </r>
  <r>
    <s v="Direct,STnet,80"/>
    <x v="0"/>
    <x v="1"/>
    <x v="3"/>
    <n v="138.404"/>
    <n v="147"/>
    <n v="5.8476190476190499"/>
  </r>
  <r>
    <s v="Direct,STnet,80"/>
    <x v="0"/>
    <x v="1"/>
    <x v="3"/>
    <n v="139.88999999999999"/>
    <n v="147"/>
    <n v="4.8367346938775606"/>
  </r>
  <r>
    <s v="Direct,STnet,80"/>
    <x v="0"/>
    <x v="1"/>
    <x v="3"/>
    <n v="140.18100000000001"/>
    <n v="147"/>
    <n v="4.6387755102040735"/>
  </r>
  <r>
    <s v="Direct,STnet,80"/>
    <x v="0"/>
    <x v="1"/>
    <x v="3"/>
    <n v="157.547"/>
    <n v="147"/>
    <n v="7.1748299319727868"/>
  </r>
  <r>
    <s v="Direct,STnet,80"/>
    <x v="0"/>
    <x v="1"/>
    <x v="3"/>
    <n v="138.33099999999999"/>
    <n v="147"/>
    <n v="5.8972789115646336"/>
  </r>
  <r>
    <s v="Direct,STnet,80"/>
    <x v="0"/>
    <x v="1"/>
    <x v="3"/>
    <n v="138.816"/>
    <n v="147"/>
    <n v="5.5673469387755086"/>
  </r>
  <r>
    <s v="Direct,STnet,80"/>
    <x v="0"/>
    <x v="1"/>
    <x v="3"/>
    <n v="134.03899999999999"/>
    <n v="147"/>
    <n v="8.8170068027210977"/>
  </r>
  <r>
    <s v="Direct,STnet,80"/>
    <x v="0"/>
    <x v="1"/>
    <x v="3"/>
    <n v="141.67099999999999"/>
    <n v="147"/>
    <n v="3.6251700680272161"/>
  </r>
  <r>
    <s v="Direct,STnet,80"/>
    <x v="0"/>
    <x v="1"/>
    <x v="3"/>
    <n v="135.768"/>
    <n v="147"/>
    <n v="7.6408163265306115"/>
  </r>
  <r>
    <s v="Direct,STnet,80"/>
    <x v="0"/>
    <x v="1"/>
    <x v="3"/>
    <n v="165.05799999999999"/>
    <n v="147"/>
    <n v="12.284353741496593"/>
  </r>
  <r>
    <s v="Direct,STnet,80"/>
    <x v="0"/>
    <x v="1"/>
    <x v="3"/>
    <n v="157.47300000000001"/>
    <n v="147"/>
    <n v="7.1244897959183762"/>
  </r>
  <r>
    <s v="Direct,STnet,80"/>
    <x v="0"/>
    <x v="1"/>
    <x v="3"/>
    <n v="154.13399999999999"/>
    <n v="147"/>
    <n v="4.8530612244897871"/>
  </r>
  <r>
    <s v="Direct,STnet,80"/>
    <x v="0"/>
    <x v="1"/>
    <x v="3"/>
    <n v="167.27600000000001"/>
    <n v="147"/>
    <n v="13.793197278911574"/>
  </r>
  <r>
    <s v="Direct,STnet,80"/>
    <x v="0"/>
    <x v="1"/>
    <x v="3"/>
    <n v="121.309"/>
    <n v="147"/>
    <n v="17.476870748299323"/>
  </r>
  <r>
    <s v="Direct,STnet,80"/>
    <x v="0"/>
    <x v="1"/>
    <x v="3"/>
    <n v="129.601"/>
    <n v="147"/>
    <n v="11.836054421768708"/>
  </r>
  <r>
    <s v="Direct,STnet,80"/>
    <x v="0"/>
    <x v="1"/>
    <x v="3"/>
    <n v="172.227"/>
    <n v="147"/>
    <n v="17.16122448979592"/>
  </r>
  <r>
    <s v="Direct,STnet,80"/>
    <x v="0"/>
    <x v="1"/>
    <x v="3"/>
    <n v="125.67400000000001"/>
    <n v="147"/>
    <n v="14.507482993197273"/>
  </r>
  <r>
    <s v="Direct,STnet,80"/>
    <x v="0"/>
    <x v="1"/>
    <x v="3"/>
    <n v="133.11199999999999"/>
    <n v="147"/>
    <n v="9.4476190476190514"/>
  </r>
  <r>
    <s v="Direct,STnet,80"/>
    <x v="0"/>
    <x v="1"/>
    <x v="3"/>
    <n v="153.47300000000001"/>
    <n v="147"/>
    <n v="4.403401360544227"/>
  </r>
  <r>
    <s v="Direct,STnet,80"/>
    <x v="0"/>
    <x v="1"/>
    <x v="3"/>
    <n v="141.477"/>
    <n v="147"/>
    <n v="3.7571428571428549"/>
  </r>
  <r>
    <s v="Direct,STnet,80"/>
    <x v="0"/>
    <x v="1"/>
    <x v="3"/>
    <n v="136.67099999999999"/>
    <n v="147"/>
    <n v="7.0265306122449038"/>
  </r>
  <r>
    <s v="Direct,STnet,80"/>
    <x v="0"/>
    <x v="1"/>
    <x v="3"/>
    <n v="163.571"/>
    <n v="147"/>
    <n v="11.272789115646258"/>
  </r>
  <r>
    <s v="Direct,STnet,80"/>
    <x v="0"/>
    <x v="1"/>
    <x v="3"/>
    <n v="156.571"/>
    <n v="147"/>
    <n v="6.5108843537414947"/>
  </r>
  <r>
    <s v="Direct,STnet,80"/>
    <x v="0"/>
    <x v="1"/>
    <x v="3"/>
    <n v="155.54599999999999"/>
    <n v="147"/>
    <n v="5.8136054421768657"/>
  </r>
  <r>
    <s v="Direct,STnet,80"/>
    <x v="0"/>
    <x v="1"/>
    <x v="3"/>
    <n v="171.499"/>
    <n v="147"/>
    <n v="16.665986394557819"/>
  </r>
  <r>
    <s v="Direct,STnet,80"/>
    <x v="0"/>
    <x v="1"/>
    <x v="3"/>
    <n v="136.208"/>
    <n v="147"/>
    <n v="7.3414965986394565"/>
  </r>
  <r>
    <s v="Direct,STnet,80"/>
    <x v="0"/>
    <x v="1"/>
    <x v="3"/>
    <n v="156.279"/>
    <n v="147"/>
    <n v="6.3122448979591805"/>
  </r>
  <r>
    <s v="Direct,STnet,80"/>
    <x v="0"/>
    <x v="1"/>
    <x v="3"/>
    <n v="134.67400000000001"/>
    <n v="147"/>
    <n v="8.3850340136054378"/>
  </r>
  <r>
    <s v="Direct,STnet,80"/>
    <x v="0"/>
    <x v="1"/>
    <x v="3"/>
    <n v="127.67400000000001"/>
    <n v="147"/>
    <n v="13.146938775510201"/>
  </r>
  <r>
    <s v="Direct,STnet,80"/>
    <x v="0"/>
    <x v="1"/>
    <x v="3"/>
    <n v="136.185"/>
    <n v="147"/>
    <n v="7.357142857142855"/>
  </r>
  <r>
    <s v="Direct,STnet,80"/>
    <x v="0"/>
    <x v="1"/>
    <x v="3"/>
    <n v="134.11199999999999"/>
    <n v="147"/>
    <n v="8.7673469387755141"/>
  </r>
  <r>
    <s v="Direct,STnet,80"/>
    <x v="0"/>
    <x v="1"/>
    <x v="3"/>
    <n v="165.12899999999999"/>
    <n v="147"/>
    <n v="12.332653061224482"/>
  </r>
  <r>
    <s v="Direct,STnet,80"/>
    <x v="0"/>
    <x v="1"/>
    <x v="3"/>
    <n v="155.18199999999999"/>
    <n v="147"/>
    <n v="5.5659863945578145"/>
  </r>
  <r>
    <s v="Direct,STnet,80"/>
    <x v="0"/>
    <x v="1"/>
    <x v="3"/>
    <n v="159.44800000000001"/>
    <n v="147"/>
    <n v="8.4680272108843582"/>
  </r>
  <r>
    <s v="Direct,STnet,80"/>
    <x v="0"/>
    <x v="1"/>
    <x v="3"/>
    <n v="160.71700000000001"/>
    <n v="147"/>
    <n v="9.3312925170068119"/>
  </r>
  <r>
    <s v="Direct,STnet,80"/>
    <x v="0"/>
    <x v="1"/>
    <x v="3"/>
    <n v="132.404"/>
    <n v="147"/>
    <n v="9.9292517006802754"/>
  </r>
  <r>
    <s v="Direct,STnet,80"/>
    <x v="0"/>
    <x v="1"/>
    <x v="3"/>
    <n v="164.46899999999999"/>
    <n v="147"/>
    <n v="11.883673469387752"/>
  </r>
  <r>
    <s v="Direct,STnet,80"/>
    <x v="0"/>
    <x v="1"/>
    <x v="3"/>
    <n v="150.84100000000001"/>
    <n v="147"/>
    <n v="2.6129251700680327"/>
  </r>
  <r>
    <s v="Direct,STnet,80"/>
    <x v="0"/>
    <x v="1"/>
    <x v="3"/>
    <n v="131.25700000000001"/>
    <n v="147"/>
    <n v="10.709523809523807"/>
  </r>
  <r>
    <s v="Direct,STnet,80"/>
    <x v="0"/>
    <x v="1"/>
    <x v="3"/>
    <n v="154.20699999999999"/>
    <n v="147"/>
    <n v="4.9027210884353698"/>
  </r>
  <r>
    <s v="Direct,STnet,80"/>
    <x v="0"/>
    <x v="1"/>
    <x v="3"/>
    <n v="122.455"/>
    <n v="147"/>
    <n v="16.697278911564627"/>
  </r>
  <r>
    <s v="Direct,STnet,80"/>
    <x v="0"/>
    <x v="1"/>
    <x v="3"/>
    <n v="118.38200000000001"/>
    <n v="147"/>
    <n v="19.468027210884351"/>
  </r>
  <r>
    <s v="Direct,STnet,80"/>
    <x v="0"/>
    <x v="1"/>
    <x v="3"/>
    <n v="148.011"/>
    <n v="147"/>
    <n v="0.68775510204081336"/>
  </r>
  <r>
    <s v="Direct,STnet,80"/>
    <x v="0"/>
    <x v="1"/>
    <x v="3"/>
    <n v="164.83799999999999"/>
    <n v="147"/>
    <n v="12.134693877551015"/>
  </r>
  <r>
    <s v="Direct,STnet,80"/>
    <x v="0"/>
    <x v="1"/>
    <x v="3"/>
    <n v="143.84200000000001"/>
    <n v="147"/>
    <n v="2.1482993197278826"/>
  </r>
  <r>
    <s v="Direct,STnet,80"/>
    <x v="0"/>
    <x v="1"/>
    <x v="3"/>
    <n v="153.69200000000001"/>
    <n v="147"/>
    <n v="4.5523809523809566"/>
  </r>
  <r>
    <s v="Direct,STnet,80"/>
    <x v="0"/>
    <x v="1"/>
    <x v="3"/>
    <n v="120.455"/>
    <n v="147"/>
    <n v="18.057823129251702"/>
  </r>
  <r>
    <s v="Direct,STnet,80"/>
    <x v="0"/>
    <x v="1"/>
    <x v="3"/>
    <n v="152.327"/>
    <n v="147"/>
    <n v="3.6238095238095229"/>
  </r>
  <r>
    <s v="Direct,STnet,80"/>
    <x v="0"/>
    <x v="1"/>
    <x v="3"/>
    <n v="149.83699999999999"/>
    <n v="147"/>
    <n v="1.9299319727891082"/>
  </r>
  <r>
    <s v="Direct,STnet,80"/>
    <x v="0"/>
    <x v="1"/>
    <x v="3"/>
    <n v="160.13"/>
    <n v="147"/>
    <n v="8.9319727891156422"/>
  </r>
  <r>
    <s v="Direct,STnet,80"/>
    <x v="0"/>
    <x v="1"/>
    <x v="3"/>
    <n v="144.54900000000001"/>
    <n v="147"/>
    <n v="1.6673469387755058"/>
  </r>
  <r>
    <s v="Direct,STnet,80"/>
    <x v="0"/>
    <x v="1"/>
    <x v="3"/>
    <n v="119.38200000000001"/>
    <n v="147"/>
    <n v="18.787755102040812"/>
  </r>
  <r>
    <s v="Direct,STnet,80"/>
    <x v="0"/>
    <x v="1"/>
    <x v="3"/>
    <n v="144.81700000000001"/>
    <n v="147"/>
    <n v="1.4850340136054372"/>
  </r>
  <r>
    <s v="Direct,STnet,80"/>
    <x v="0"/>
    <x v="1"/>
    <x v="3"/>
    <n v="162.76499999999999"/>
    <n v="147"/>
    <n v="10.724489795918359"/>
  </r>
  <r>
    <s v="Direct,STnet,100"/>
    <x v="0"/>
    <x v="1"/>
    <x v="4"/>
    <n v="169.46899999999999"/>
    <n v="180.2"/>
    <n v="5.9550499445061016"/>
  </r>
  <r>
    <s v="Direct,STnet,100"/>
    <x v="0"/>
    <x v="1"/>
    <x v="4"/>
    <n v="175.34800000000001"/>
    <n v="180.2"/>
    <n v="2.6925638179800084"/>
  </r>
  <r>
    <s v="Direct,STnet,100"/>
    <x v="0"/>
    <x v="1"/>
    <x v="4"/>
    <n v="188.86"/>
    <n v="180.2"/>
    <n v="4.8057713651498473"/>
  </r>
  <r>
    <s v="Direct,STnet,100"/>
    <x v="0"/>
    <x v="1"/>
    <x v="4"/>
    <n v="173.053"/>
    <n v="180.2"/>
    <n v="3.9661487236403947"/>
  </r>
  <r>
    <s v="Direct,STnet,100"/>
    <x v="0"/>
    <x v="1"/>
    <x v="4"/>
    <n v="166.761"/>
    <n v="180.2"/>
    <n v="7.4578246392896741"/>
  </r>
  <r>
    <s v="Direct,STnet,100"/>
    <x v="0"/>
    <x v="1"/>
    <x v="4"/>
    <n v="183.345"/>
    <n v="180.2"/>
    <n v="1.7452830188679305"/>
  </r>
  <r>
    <s v="Direct,STnet,100"/>
    <x v="0"/>
    <x v="1"/>
    <x v="4"/>
    <n v="182.84200000000001"/>
    <n v="180.2"/>
    <n v="1.4661487236404132"/>
  </r>
  <r>
    <s v="Direct,STnet,100"/>
    <x v="0"/>
    <x v="1"/>
    <x v="4"/>
    <n v="163.98400000000001"/>
    <n v="180.2"/>
    <n v="8.9988901220865607"/>
  </r>
  <r>
    <s v="Direct,STnet,100"/>
    <x v="0"/>
    <x v="1"/>
    <x v="4"/>
    <n v="176.203"/>
    <n v="180.2"/>
    <n v="2.2180910099888935"/>
  </r>
  <r>
    <s v="Direct,STnet,100"/>
    <x v="0"/>
    <x v="1"/>
    <x v="4"/>
    <n v="169.619"/>
    <n v="180.2"/>
    <n v="5.8718091009988846"/>
  </r>
  <r>
    <s v="Direct,STnet,100"/>
    <x v="0"/>
    <x v="1"/>
    <x v="4"/>
    <n v="198.56399999999999"/>
    <n v="180.2"/>
    <n v="10.19089900110988"/>
  </r>
  <r>
    <s v="Direct,STnet,100"/>
    <x v="0"/>
    <x v="1"/>
    <x v="4"/>
    <n v="198.85599999999999"/>
    <n v="180.2"/>
    <n v="10.352941176470592"/>
  </r>
  <r>
    <s v="Direct,STnet,100"/>
    <x v="0"/>
    <x v="1"/>
    <x v="4"/>
    <n v="165.79"/>
    <n v="180.2"/>
    <n v="7.9966703662597105"/>
  </r>
  <r>
    <s v="Direct,STnet,100"/>
    <x v="0"/>
    <x v="1"/>
    <x v="4"/>
    <n v="182.273"/>
    <n v="180.2"/>
    <n v="1.1503884572697045"/>
  </r>
  <r>
    <s v="Direct,STnet,100"/>
    <x v="0"/>
    <x v="1"/>
    <x v="4"/>
    <n v="179.68899999999999"/>
    <n v="180.2"/>
    <n v="0.28357380688124068"/>
  </r>
  <r>
    <s v="Direct,STnet,100"/>
    <x v="0"/>
    <x v="1"/>
    <x v="4"/>
    <n v="147.91399999999999"/>
    <n v="180.2"/>
    <n v="17.916759156492787"/>
  </r>
  <r>
    <s v="Direct,STnet,100"/>
    <x v="0"/>
    <x v="1"/>
    <x v="4"/>
    <n v="190.63800000000001"/>
    <n v="180.2"/>
    <n v="5.7924528301886884"/>
  </r>
  <r>
    <s v="Direct,STnet,100"/>
    <x v="0"/>
    <x v="1"/>
    <x v="4"/>
    <n v="175.98"/>
    <n v="180.2"/>
    <n v="2.3418423973362925"/>
  </r>
  <r>
    <s v="Direct,STnet,100"/>
    <x v="0"/>
    <x v="1"/>
    <x v="4"/>
    <n v="196.839"/>
    <n v="180.2"/>
    <n v="9.2336293007769203"/>
  </r>
  <r>
    <s v="Direct,STnet,100"/>
    <x v="0"/>
    <x v="1"/>
    <x v="4"/>
    <n v="205.148"/>
    <n v="180.2"/>
    <n v="13.84461709211987"/>
  </r>
  <r>
    <s v="Direct,STnet,100"/>
    <x v="0"/>
    <x v="1"/>
    <x v="4"/>
    <n v="184.328"/>
    <n v="180.2"/>
    <n v="2.2907880133185432"/>
  </r>
  <r>
    <s v="Direct,STnet,100"/>
    <x v="0"/>
    <x v="1"/>
    <x v="4"/>
    <n v="180.34899999999999"/>
    <n v="180.2"/>
    <n v="8.2685904550499956E-2"/>
  </r>
  <r>
    <s v="Direct,STnet,100"/>
    <x v="0"/>
    <x v="1"/>
    <x v="4"/>
    <n v="163.83799999999999"/>
    <n v="180.2"/>
    <n v="9.079911209766923"/>
  </r>
  <r>
    <s v="Direct,STnet,100"/>
    <x v="0"/>
    <x v="1"/>
    <x v="4"/>
    <n v="166.81399999999999"/>
    <n v="180.2"/>
    <n v="7.4284128745837936"/>
  </r>
  <r>
    <s v="Direct,STnet,100"/>
    <x v="0"/>
    <x v="1"/>
    <x v="4"/>
    <n v="168.71700000000001"/>
    <n v="180.2"/>
    <n v="6.3723640399555919"/>
  </r>
  <r>
    <s v="Direct,STnet,100"/>
    <x v="0"/>
    <x v="1"/>
    <x v="4"/>
    <n v="177.54300000000001"/>
    <n v="180.2"/>
    <n v="1.4744728079911114"/>
  </r>
  <r>
    <s v="Direct,STnet,100"/>
    <x v="0"/>
    <x v="1"/>
    <x v="4"/>
    <n v="174.054"/>
    <n v="180.2"/>
    <n v="3.4106548279689162"/>
  </r>
  <r>
    <s v="Direct,STnet,100"/>
    <x v="0"/>
    <x v="1"/>
    <x v="4"/>
    <n v="195.07499999999999"/>
    <n v="180.2"/>
    <n v="8.2547169811320771"/>
  </r>
  <r>
    <s v="Direct,STnet,100"/>
    <x v="0"/>
    <x v="1"/>
    <x v="4"/>
    <n v="168.83799999999999"/>
    <n v="180.2"/>
    <n v="6.3052164261931161"/>
  </r>
  <r>
    <s v="Direct,STnet,100"/>
    <x v="0"/>
    <x v="1"/>
    <x v="4"/>
    <n v="142.62299999999999"/>
    <n v="180.2"/>
    <n v="20.852941176470587"/>
  </r>
  <r>
    <s v="Direct,STnet,100"/>
    <x v="0"/>
    <x v="1"/>
    <x v="4"/>
    <n v="221.12799999999999"/>
    <n v="180.2"/>
    <n v="22.712541620421753"/>
  </r>
  <r>
    <s v="Direct,STnet,100"/>
    <x v="0"/>
    <x v="1"/>
    <x v="4"/>
    <n v="201.44"/>
    <n v="180.2"/>
    <n v="11.786903440621538"/>
  </r>
  <r>
    <s v="Direct,STnet,100"/>
    <x v="0"/>
    <x v="1"/>
    <x v="4"/>
    <n v="179.98099999999999"/>
    <n v="180.2"/>
    <n v="0.12153163152052947"/>
  </r>
  <r>
    <s v="Direct,STnet,100"/>
    <x v="0"/>
    <x v="1"/>
    <x v="4"/>
    <n v="151.667"/>
    <n v="180.2"/>
    <n v="15.834073251942279"/>
  </r>
  <r>
    <s v="Direct,STnet,100"/>
    <x v="0"/>
    <x v="1"/>
    <x v="4"/>
    <n v="172.08199999999999"/>
    <n v="180.2"/>
    <n v="4.5049944506104307"/>
  </r>
  <r>
    <s v="Direct,STnet,100"/>
    <x v="0"/>
    <x v="1"/>
    <x v="4"/>
    <n v="174.27600000000001"/>
    <n v="180.2"/>
    <n v="3.2874583795782342"/>
  </r>
  <r>
    <s v="Direct,STnet,100"/>
    <x v="0"/>
    <x v="1"/>
    <x v="4"/>
    <n v="161.643"/>
    <n v="180.2"/>
    <n v="10.298002219755821"/>
  </r>
  <r>
    <s v="Direct,STnet,100"/>
    <x v="0"/>
    <x v="1"/>
    <x v="4"/>
    <n v="193.35"/>
    <n v="180.2"/>
    <n v="7.2974472807991155"/>
  </r>
  <r>
    <s v="Direct,STnet,100"/>
    <x v="0"/>
    <x v="1"/>
    <x v="4"/>
    <n v="169.786"/>
    <n v="180.2"/>
    <n v="5.7791342952275189"/>
  </r>
  <r>
    <s v="Direct,STnet,100"/>
    <x v="0"/>
    <x v="1"/>
    <x v="4"/>
    <n v="167.10499999999999"/>
    <n v="180.2"/>
    <n v="7.2669256381797993"/>
  </r>
  <r>
    <s v="Direct,STnet,100"/>
    <x v="0"/>
    <x v="1"/>
    <x v="4"/>
    <n v="173.911"/>
    <n v="180.2"/>
    <n v="3.490011098779128"/>
  </r>
  <r>
    <s v="Direct,STnet,100"/>
    <x v="0"/>
    <x v="1"/>
    <x v="4"/>
    <n v="183.126"/>
    <n v="180.2"/>
    <n v="1.6237513873474008"/>
  </r>
  <r>
    <s v="Direct,STnet,100"/>
    <x v="0"/>
    <x v="1"/>
    <x v="4"/>
    <n v="191.00200000000001"/>
    <n v="180.2"/>
    <n v="5.9944506104328648"/>
  </r>
  <r>
    <s v="Direct,STnet,100"/>
    <x v="0"/>
    <x v="1"/>
    <x v="4"/>
    <n v="188.126"/>
    <n v="180.2"/>
    <n v="4.3984461709212077"/>
  </r>
  <r>
    <s v="Direct,STnet,100"/>
    <x v="0"/>
    <x v="1"/>
    <x v="4"/>
    <n v="184.345"/>
    <n v="180.2"/>
    <n v="2.3002219755826916"/>
  </r>
  <r>
    <s v="Direct,STnet,100"/>
    <x v="0"/>
    <x v="1"/>
    <x v="4"/>
    <n v="182.78299999999999"/>
    <n v="180.2"/>
    <n v="1.4334073251942279"/>
  </r>
  <r>
    <s v="Direct,STnet,100"/>
    <x v="0"/>
    <x v="1"/>
    <x v="4"/>
    <n v="164.18199999999999"/>
    <n v="180.2"/>
    <n v="8.8890122086570482"/>
  </r>
  <r>
    <s v="Direct,STnet,100"/>
    <x v="0"/>
    <x v="1"/>
    <x v="4"/>
    <n v="193.20400000000001"/>
    <n v="180.2"/>
    <n v="7.2164261931187674"/>
  </r>
  <r>
    <s v="Direct,STnet,100"/>
    <x v="0"/>
    <x v="1"/>
    <x v="4"/>
    <n v="150.036"/>
    <n v="180.2"/>
    <n v="16.739178690344055"/>
  </r>
  <r>
    <s v="Direct,STnet,100"/>
    <x v="0"/>
    <x v="1"/>
    <x v="4"/>
    <n v="189.37"/>
    <n v="180.2"/>
    <n v="5.0887902330743708"/>
  </r>
  <r>
    <s v="Direct,STnet,100"/>
    <x v="0"/>
    <x v="1"/>
    <x v="4"/>
    <n v="162.34800000000001"/>
    <n v="180.2"/>
    <n v="9.9067702552719066"/>
  </r>
  <r>
    <s v="Direct,STnet,100"/>
    <x v="0"/>
    <x v="1"/>
    <x v="4"/>
    <n v="186.71"/>
    <n v="180.2"/>
    <n v="3.6126526082131072"/>
  </r>
  <r>
    <s v="Direct,STnet,100"/>
    <x v="0"/>
    <x v="1"/>
    <x v="4"/>
    <n v="180.71299999999999"/>
    <n v="180.2"/>
    <n v="0.28468368479467548"/>
  </r>
  <r>
    <s v="Direct,STnet,100"/>
    <x v="0"/>
    <x v="1"/>
    <x v="4"/>
    <n v="176.06100000000001"/>
    <n v="180.2"/>
    <n v="2.2968923418423874"/>
  </r>
  <r>
    <s v="Direct,STnet,100"/>
    <x v="0"/>
    <x v="1"/>
    <x v="4"/>
    <n v="171.178"/>
    <n v="180.2"/>
    <n v="5.0066592674805728"/>
  </r>
  <r>
    <s v="Direct,STnet,100"/>
    <x v="0"/>
    <x v="1"/>
    <x v="4"/>
    <n v="166.12899999999999"/>
    <n v="180.2"/>
    <n v="7.8085460599334064"/>
  </r>
  <r>
    <s v="Direct,STnet,100"/>
    <x v="0"/>
    <x v="1"/>
    <x v="4"/>
    <n v="183.053"/>
    <n v="180.2"/>
    <n v="1.5832408435072189"/>
  </r>
  <r>
    <s v="Direct,STnet,100"/>
    <x v="0"/>
    <x v="1"/>
    <x v="4"/>
    <n v="195.19900000000001"/>
    <n v="180.2"/>
    <n v="8.3235294117647207"/>
  </r>
  <r>
    <s v="Direct,STnet,100"/>
    <x v="0"/>
    <x v="1"/>
    <x v="4"/>
    <n v="178.30099999999999"/>
    <n v="180.2"/>
    <n v="1.0538290788013323"/>
  </r>
  <r>
    <s v="Direct,STnet,100"/>
    <x v="0"/>
    <x v="1"/>
    <x v="4"/>
    <n v="163.46899999999999"/>
    <n v="180.2"/>
    <n v="9.2846836847946701"/>
  </r>
  <r>
    <s v="Direct,STnet,100"/>
    <x v="0"/>
    <x v="1"/>
    <x v="4"/>
    <n v="179.12700000000001"/>
    <n v="180.2"/>
    <n v="0.5954495005549274"/>
  </r>
  <r>
    <s v="Direct,STnet,100"/>
    <x v="0"/>
    <x v="1"/>
    <x v="4"/>
    <n v="192.85599999999999"/>
    <n v="180.2"/>
    <n v="7.0233074361820229"/>
  </r>
  <r>
    <s v="Direct,STnet,100"/>
    <x v="0"/>
    <x v="1"/>
    <x v="4"/>
    <n v="177.08199999999999"/>
    <n v="180.2"/>
    <n v="1.7302996670366233"/>
  </r>
  <r>
    <s v="Direct,STnet,100"/>
    <x v="0"/>
    <x v="1"/>
    <x v="4"/>
    <n v="171.32400000000001"/>
    <n v="180.2"/>
    <n v="4.9256381798002087"/>
  </r>
  <r>
    <s v="Direct,STnet,100"/>
    <x v="0"/>
    <x v="1"/>
    <x v="4"/>
    <n v="173.68899999999999"/>
    <n v="180.2"/>
    <n v="3.6132075471698091"/>
  </r>
  <r>
    <s v="Direct,STnet,100"/>
    <x v="0"/>
    <x v="1"/>
    <x v="4"/>
    <n v="172.61600000000001"/>
    <n v="180.2"/>
    <n v="4.2086570477247367"/>
  </r>
  <r>
    <s v="Direct,STnet,100"/>
    <x v="0"/>
    <x v="1"/>
    <x v="4"/>
    <n v="183.91499999999999"/>
    <n v="180.2"/>
    <n v="2.0615982241953406"/>
  </r>
  <r>
    <s v="Direct,STnet,100"/>
    <x v="0"/>
    <x v="1"/>
    <x v="4"/>
    <n v="188.15199999999999"/>
    <n v="180.2"/>
    <n v="4.4128745837957819"/>
  </r>
  <r>
    <s v="Direct,STnet,100"/>
    <x v="0"/>
    <x v="1"/>
    <x v="4"/>
    <n v="186.053"/>
    <n v="180.2"/>
    <n v="3.2480577136515034"/>
  </r>
  <r>
    <s v="Direct,STnet,100"/>
    <x v="0"/>
    <x v="1"/>
    <x v="4"/>
    <n v="191.78299999999999"/>
    <n v="180.2"/>
    <n v="6.4278579356270811"/>
  </r>
  <r>
    <s v="Direct,STnet,100"/>
    <x v="0"/>
    <x v="1"/>
    <x v="4"/>
    <n v="196.904"/>
    <n v="180.2"/>
    <n v="9.2697003329633798"/>
  </r>
  <r>
    <s v="Direct,STnet,100"/>
    <x v="0"/>
    <x v="1"/>
    <x v="4"/>
    <n v="187.27199999999999"/>
    <n v="180.2"/>
    <n v="3.9245283018867942"/>
  </r>
  <r>
    <s v="Direct,STnet,100"/>
    <x v="0"/>
    <x v="1"/>
    <x v="4"/>
    <n v="184.90700000000001"/>
    <n v="180.2"/>
    <n v="2.6120976692563942"/>
  </r>
  <r>
    <s v="Direct,STnet,100"/>
    <x v="0"/>
    <x v="1"/>
    <x v="4"/>
    <n v="175.98"/>
    <n v="180.2"/>
    <n v="2.3418423973362925"/>
  </r>
  <r>
    <s v="Direct,STnet,100"/>
    <x v="0"/>
    <x v="1"/>
    <x v="4"/>
    <n v="183.44300000000001"/>
    <n v="180.2"/>
    <n v="1.7996670366259842"/>
  </r>
  <r>
    <s v="Direct,STnet,100"/>
    <x v="0"/>
    <x v="1"/>
    <x v="4"/>
    <n v="195.19900000000001"/>
    <n v="180.2"/>
    <n v="8.3235294117647207"/>
  </r>
  <r>
    <s v="Direct,STnet,100"/>
    <x v="0"/>
    <x v="1"/>
    <x v="4"/>
    <n v="178.39599999999999"/>
    <n v="180.2"/>
    <n v="1.0011098779134306"/>
  </r>
  <r>
    <s v="Direct,STnet,100"/>
    <x v="0"/>
    <x v="1"/>
    <x v="4"/>
    <n v="183.98"/>
    <n v="180.2"/>
    <n v="2.0976692563817987"/>
  </r>
  <r>
    <s v="Direct,STnet,100"/>
    <x v="0"/>
    <x v="1"/>
    <x v="4"/>
    <n v="202.20500000000001"/>
    <n v="180.2"/>
    <n v="12.211431742508339"/>
  </r>
  <r>
    <s v="Direct,STnet,100"/>
    <x v="0"/>
    <x v="1"/>
    <x v="4"/>
    <n v="159.69200000000001"/>
    <n v="180.2"/>
    <n v="11.380688124306317"/>
  </r>
  <r>
    <s v="Direct,STnet,100"/>
    <x v="0"/>
    <x v="1"/>
    <x v="4"/>
    <n v="175.834"/>
    <n v="180.2"/>
    <n v="2.4228634850166402"/>
  </r>
  <r>
    <s v="Direct,STnet,100"/>
    <x v="0"/>
    <x v="1"/>
    <x v="4"/>
    <n v="176.83500000000001"/>
    <n v="180.2"/>
    <n v="1.8673695893451616"/>
  </r>
  <r>
    <s v="Direct,STnet,100"/>
    <x v="0"/>
    <x v="1"/>
    <x v="4"/>
    <n v="181.346"/>
    <n v="180.2"/>
    <n v="0.63596004439512488"/>
  </r>
  <r>
    <s v="Direct,STnet,100"/>
    <x v="0"/>
    <x v="1"/>
    <x v="4"/>
    <n v="145.25800000000001"/>
    <n v="180.2"/>
    <n v="19.390677025527182"/>
  </r>
  <r>
    <s v="Direct,STnet,100"/>
    <x v="0"/>
    <x v="1"/>
    <x v="4"/>
    <n v="150.06"/>
    <n v="180.2"/>
    <n v="16.7258601553829"/>
  </r>
  <r>
    <s v="Direct,STnet,100"/>
    <x v="0"/>
    <x v="1"/>
    <x v="4"/>
    <n v="169.05699999999999"/>
    <n v="180.2"/>
    <n v="6.1836847946725868"/>
  </r>
  <r>
    <s v="Direct,STnet,100"/>
    <x v="0"/>
    <x v="1"/>
    <x v="4"/>
    <n v="167.64"/>
    <n v="180.2"/>
    <n v="6.9700332963374052"/>
  </r>
  <r>
    <s v="Direct,STnet,100"/>
    <x v="0"/>
    <x v="1"/>
    <x v="4"/>
    <n v="155.44800000000001"/>
    <n v="180.2"/>
    <n v="13.735849056603763"/>
  </r>
  <r>
    <s v="Direct,STnet,100"/>
    <x v="0"/>
    <x v="1"/>
    <x v="4"/>
    <n v="203.613"/>
    <n v="180.2"/>
    <n v="12.992785793562714"/>
  </r>
  <r>
    <s v="Direct,STnet,100"/>
    <x v="0"/>
    <x v="1"/>
    <x v="4"/>
    <n v="190.27199999999999"/>
    <n v="180.2"/>
    <n v="5.5893451720310789"/>
  </r>
  <r>
    <s v="Direct,STnet,100"/>
    <x v="0"/>
    <x v="1"/>
    <x v="4"/>
    <n v="181.053"/>
    <n v="180.2"/>
    <n v="0.47336293007769631"/>
  </r>
  <r>
    <s v="Direct,STnet,100"/>
    <x v="0"/>
    <x v="1"/>
    <x v="4"/>
    <n v="183.56399999999999"/>
    <n v="180.2"/>
    <n v="1.8668146503884597"/>
  </r>
  <r>
    <s v="Direct,STnet,100"/>
    <x v="0"/>
    <x v="1"/>
    <x v="4"/>
    <n v="204.732"/>
    <n v="180.2"/>
    <n v="13.613762486126532"/>
  </r>
  <r>
    <s v="Direct,STnet,100"/>
    <x v="0"/>
    <x v="1"/>
    <x v="4"/>
    <n v="171.47"/>
    <n v="180.2"/>
    <n v="4.8446170921198615"/>
  </r>
  <r>
    <s v="Direct,STnet,100"/>
    <x v="0"/>
    <x v="1"/>
    <x v="4"/>
    <n v="182.27600000000001"/>
    <n v="180.2"/>
    <n v="1.1520532741398568"/>
  </r>
  <r>
    <s v="Direct,STnet,100"/>
    <x v="0"/>
    <x v="1"/>
    <x v="4"/>
    <n v="191.78299999999999"/>
    <n v="180.2"/>
    <n v="6.4278579356270811"/>
  </r>
  <r>
    <s v="Direct,STnet,100"/>
    <x v="0"/>
    <x v="1"/>
    <x v="4"/>
    <n v="174.42099999999999"/>
    <n v="180.2"/>
    <n v="3.2069922308546044"/>
  </r>
  <r>
    <s v="Direct,STnet,100"/>
    <x v="0"/>
    <x v="1"/>
    <x v="4"/>
    <n v="162.376"/>
    <n v="180.2"/>
    <n v="9.8912319644838984"/>
  </r>
  <r>
    <s v="Direct,STnet,100"/>
    <x v="0"/>
    <x v="1"/>
    <x v="4"/>
    <n v="163.69200000000001"/>
    <n v="180.2"/>
    <n v="9.1609322974472711"/>
  </r>
  <r>
    <s v="Direct,STnet,100"/>
    <x v="0"/>
    <x v="1"/>
    <x v="4"/>
    <n v="156.084"/>
    <n v="180.2"/>
    <n v="13.382907880133176"/>
  </r>
  <r>
    <s v="Direct,STnet,120"/>
    <x v="0"/>
    <x v="1"/>
    <x v="5"/>
    <n v="193.16"/>
    <e v="#N/A"/>
    <e v="#N/A"/>
  </r>
  <r>
    <s v="Direct,STnet,120"/>
    <x v="0"/>
    <x v="1"/>
    <x v="5"/>
    <n v="248.61199999999999"/>
    <e v="#N/A"/>
    <e v="#N/A"/>
  </r>
  <r>
    <s v="Direct,STnet,120"/>
    <x v="0"/>
    <x v="1"/>
    <x v="5"/>
    <n v="213.34200000000001"/>
    <e v="#N/A"/>
    <e v="#N/A"/>
  </r>
  <r>
    <s v="Direct,STnet,120"/>
    <x v="0"/>
    <x v="1"/>
    <x v="5"/>
    <n v="230.49199999999999"/>
    <e v="#N/A"/>
    <e v="#N/A"/>
  </r>
  <r>
    <s v="Direct,STnet,120"/>
    <x v="0"/>
    <x v="1"/>
    <x v="5"/>
    <n v="209.15299999999999"/>
    <e v="#N/A"/>
    <e v="#N/A"/>
  </r>
  <r>
    <s v="Direct,STnet,120"/>
    <x v="0"/>
    <x v="1"/>
    <x v="5"/>
    <n v="189.71799999999999"/>
    <e v="#N/A"/>
    <e v="#N/A"/>
  </r>
  <r>
    <s v="Direct,STnet,120"/>
    <x v="0"/>
    <x v="1"/>
    <x v="5"/>
    <n v="190.345"/>
    <e v="#N/A"/>
    <e v="#N/A"/>
  </r>
  <r>
    <s v="Direct,STnet,120"/>
    <x v="0"/>
    <x v="1"/>
    <x v="5"/>
    <n v="199.977"/>
    <e v="#N/A"/>
    <e v="#N/A"/>
  </r>
  <r>
    <s v="Direct,STnet,120"/>
    <x v="0"/>
    <x v="1"/>
    <x v="5"/>
    <n v="232.19300000000001"/>
    <e v="#N/A"/>
    <e v="#N/A"/>
  </r>
  <r>
    <s v="Direct,STnet,120"/>
    <x v="0"/>
    <x v="1"/>
    <x v="5"/>
    <n v="197.27199999999999"/>
    <e v="#N/A"/>
    <e v="#N/A"/>
  </r>
  <r>
    <s v="Direct,STnet,120"/>
    <x v="0"/>
    <x v="1"/>
    <x v="5"/>
    <n v="188.053"/>
    <e v="#N/A"/>
    <e v="#N/A"/>
  </r>
  <r>
    <s v="Direct,STnet,120"/>
    <x v="0"/>
    <x v="1"/>
    <x v="5"/>
    <n v="214.44"/>
    <e v="#N/A"/>
    <e v="#N/A"/>
  </r>
  <r>
    <s v="Direct,STnet,120"/>
    <x v="0"/>
    <x v="1"/>
    <x v="5"/>
    <n v="193.565"/>
    <e v="#N/A"/>
    <e v="#N/A"/>
  </r>
  <r>
    <s v="Direct,STnet,120"/>
    <x v="0"/>
    <x v="1"/>
    <x v="5"/>
    <n v="189.637"/>
    <e v="#N/A"/>
    <e v="#N/A"/>
  </r>
  <r>
    <s v="Direct,STnet,120"/>
    <x v="0"/>
    <x v="1"/>
    <x v="5"/>
    <n v="239.541"/>
    <e v="#N/A"/>
    <e v="#N/A"/>
  </r>
  <r>
    <s v="Direct,STnet,120"/>
    <x v="0"/>
    <x v="1"/>
    <x v="5"/>
    <n v="203.58600000000001"/>
    <e v="#N/A"/>
    <e v="#N/A"/>
  </r>
  <r>
    <s v="Direct,STnet,120"/>
    <x v="0"/>
    <x v="1"/>
    <x v="5"/>
    <n v="203.85599999999999"/>
    <e v="#N/A"/>
    <e v="#N/A"/>
  </r>
  <r>
    <s v="Direct,STnet,120"/>
    <x v="0"/>
    <x v="1"/>
    <x v="5"/>
    <n v="206.82900000000001"/>
    <e v="#N/A"/>
    <e v="#N/A"/>
  </r>
  <r>
    <s v="Direct,STnet,120"/>
    <x v="0"/>
    <x v="1"/>
    <x v="5"/>
    <n v="210.54400000000001"/>
    <e v="#N/A"/>
    <e v="#N/A"/>
  </r>
  <r>
    <s v="Direct,STnet,120"/>
    <x v="0"/>
    <x v="1"/>
    <x v="5"/>
    <n v="205.66"/>
    <e v="#N/A"/>
    <e v="#N/A"/>
  </r>
  <r>
    <s v="Direct,STnet,120"/>
    <x v="0"/>
    <x v="1"/>
    <x v="5"/>
    <n v="207.72300000000001"/>
    <e v="#N/A"/>
    <e v="#N/A"/>
  </r>
  <r>
    <s v="Direct,STnet,120"/>
    <x v="0"/>
    <x v="1"/>
    <x v="5"/>
    <n v="188.989"/>
    <e v="#N/A"/>
    <e v="#N/A"/>
  </r>
  <r>
    <s v="Direct,STnet,120"/>
    <x v="0"/>
    <x v="1"/>
    <x v="5"/>
    <n v="215.291"/>
    <e v="#N/A"/>
    <e v="#N/A"/>
  </r>
  <r>
    <s v="Direct,STnet,120"/>
    <x v="0"/>
    <x v="1"/>
    <x v="5"/>
    <n v="220.024"/>
    <e v="#N/A"/>
    <e v="#N/A"/>
  </r>
  <r>
    <s v="Direct,STnet,120"/>
    <x v="0"/>
    <x v="1"/>
    <x v="5"/>
    <n v="221.28200000000001"/>
    <e v="#N/A"/>
    <e v="#N/A"/>
  </r>
  <r>
    <s v="Direct,STnet,120"/>
    <x v="0"/>
    <x v="1"/>
    <x v="5"/>
    <n v="187.56399999999999"/>
    <e v="#N/A"/>
    <e v="#N/A"/>
  </r>
  <r>
    <s v="Direct,STnet,120"/>
    <x v="0"/>
    <x v="1"/>
    <x v="5"/>
    <n v="186.054"/>
    <e v="#N/A"/>
    <e v="#N/A"/>
  </r>
  <r>
    <s v="Direct,STnet,120"/>
    <x v="0"/>
    <x v="1"/>
    <x v="5"/>
    <n v="211.148"/>
    <e v="#N/A"/>
    <e v="#N/A"/>
  </r>
  <r>
    <s v="Direct,STnet,120"/>
    <x v="0"/>
    <x v="1"/>
    <x v="5"/>
    <n v="205.63399999999999"/>
    <e v="#N/A"/>
    <e v="#N/A"/>
  </r>
  <r>
    <s v="Direct,STnet,120"/>
    <x v="0"/>
    <x v="1"/>
    <x v="5"/>
    <n v="204.69"/>
    <e v="#N/A"/>
    <e v="#N/A"/>
  </r>
  <r>
    <s v="Direct,STnet,120"/>
    <x v="0"/>
    <x v="1"/>
    <x v="5"/>
    <n v="233.80199999999999"/>
    <e v="#N/A"/>
    <e v="#N/A"/>
  </r>
  <r>
    <s v="Direct,STnet,120"/>
    <x v="0"/>
    <x v="1"/>
    <x v="5"/>
    <n v="217.99799999999999"/>
    <e v="#N/A"/>
    <e v="#N/A"/>
  </r>
  <r>
    <s v="Direct,STnet,120"/>
    <x v="0"/>
    <x v="1"/>
    <x v="5"/>
    <n v="238.66"/>
    <e v="#N/A"/>
    <e v="#N/A"/>
  </r>
  <r>
    <s v="Direct,STnet,120"/>
    <x v="0"/>
    <x v="1"/>
    <x v="5"/>
    <n v="232.95500000000001"/>
    <e v="#N/A"/>
    <e v="#N/A"/>
  </r>
  <r>
    <s v="Direct,STnet,120"/>
    <x v="0"/>
    <x v="1"/>
    <x v="5"/>
    <n v="240.65600000000001"/>
    <e v="#N/A"/>
    <e v="#N/A"/>
  </r>
  <r>
    <s v="Direct,STnet,120"/>
    <x v="0"/>
    <x v="1"/>
    <x v="5"/>
    <n v="189.126"/>
    <e v="#N/A"/>
    <e v="#N/A"/>
  </r>
  <r>
    <s v="Direct,STnet,120"/>
    <x v="0"/>
    <x v="1"/>
    <x v="5"/>
    <n v="239.077"/>
    <e v="#N/A"/>
    <e v="#N/A"/>
  </r>
  <r>
    <s v="Direct,STnet,120"/>
    <x v="0"/>
    <x v="1"/>
    <x v="5"/>
    <n v="197.37100000000001"/>
    <e v="#N/A"/>
    <e v="#N/A"/>
  </r>
  <r>
    <s v="Direct,STnet,120"/>
    <x v="0"/>
    <x v="1"/>
    <x v="5"/>
    <n v="174.93299999999999"/>
    <e v="#N/A"/>
    <e v="#N/A"/>
  </r>
  <r>
    <s v="Direct,STnet,120"/>
    <x v="0"/>
    <x v="1"/>
    <x v="5"/>
    <n v="212.59299999999999"/>
    <e v="#N/A"/>
    <e v="#N/A"/>
  </r>
  <r>
    <s v="Direct,STnet,120"/>
    <x v="0"/>
    <x v="1"/>
    <x v="5"/>
    <n v="211.392"/>
    <e v="#N/A"/>
    <e v="#N/A"/>
  </r>
  <r>
    <s v="Direct,STnet,120"/>
    <x v="0"/>
    <x v="1"/>
    <x v="5"/>
    <n v="163.42500000000001"/>
    <e v="#N/A"/>
    <e v="#N/A"/>
  </r>
  <r>
    <s v="Direct,STnet,120"/>
    <x v="0"/>
    <x v="1"/>
    <x v="5"/>
    <n v="213.81299999999999"/>
    <e v="#N/A"/>
    <e v="#N/A"/>
  </r>
  <r>
    <s v="Direct,STnet,120"/>
    <x v="0"/>
    <x v="1"/>
    <x v="5"/>
    <n v="225.566"/>
    <e v="#N/A"/>
    <e v="#N/A"/>
  </r>
  <r>
    <s v="Direct,STnet,120"/>
    <x v="0"/>
    <x v="1"/>
    <x v="5"/>
    <n v="223.09700000000001"/>
    <e v="#N/A"/>
    <e v="#N/A"/>
  </r>
  <r>
    <s v="Direct,STnet,120"/>
    <x v="0"/>
    <x v="1"/>
    <x v="5"/>
    <n v="176.34899999999999"/>
    <e v="#N/A"/>
    <e v="#N/A"/>
  </r>
  <r>
    <s v="Direct,STnet,120"/>
    <x v="0"/>
    <x v="1"/>
    <x v="5"/>
    <n v="200.328"/>
    <e v="#N/A"/>
    <e v="#N/A"/>
  </r>
  <r>
    <s v="Direct,STnet,120"/>
    <x v="0"/>
    <x v="1"/>
    <x v="5"/>
    <n v="161.39699999999999"/>
    <e v="#N/A"/>
    <e v="#N/A"/>
  </r>
  <r>
    <s v="Direct,STnet,120"/>
    <x v="0"/>
    <x v="1"/>
    <x v="5"/>
    <n v="244.22"/>
    <e v="#N/A"/>
    <e v="#N/A"/>
  </r>
  <r>
    <s v="Direct,STnet,120"/>
    <x v="0"/>
    <x v="1"/>
    <x v="5"/>
    <n v="199.328"/>
    <e v="#N/A"/>
    <e v="#N/A"/>
  </r>
  <r>
    <s v="Direct,STnet,120"/>
    <x v="0"/>
    <x v="1"/>
    <x v="5"/>
    <n v="184.41900000000001"/>
    <e v="#N/A"/>
    <e v="#N/A"/>
  </r>
  <r>
    <s v="Direct,STnet,120"/>
    <x v="0"/>
    <x v="1"/>
    <x v="5"/>
    <n v="244.935"/>
    <e v="#N/A"/>
    <e v="#N/A"/>
  </r>
  <r>
    <s v="Direct,STnet,120"/>
    <x v="0"/>
    <x v="1"/>
    <x v="5"/>
    <n v="204.40600000000001"/>
    <e v="#N/A"/>
    <e v="#N/A"/>
  </r>
  <r>
    <s v="Direct,STnet,120"/>
    <x v="0"/>
    <x v="1"/>
    <x v="5"/>
    <n v="234.69499999999999"/>
    <e v="#N/A"/>
    <e v="#N/A"/>
  </r>
  <r>
    <s v="Direct,STnet,120"/>
    <x v="0"/>
    <x v="1"/>
    <x v="5"/>
    <n v="217.93799999999999"/>
    <e v="#N/A"/>
    <e v="#N/A"/>
  </r>
  <r>
    <s v="Direct,STnet,120"/>
    <x v="0"/>
    <x v="1"/>
    <x v="5"/>
    <n v="234.583"/>
    <e v="#N/A"/>
    <e v="#N/A"/>
  </r>
  <r>
    <s v="Direct,STnet,120"/>
    <x v="0"/>
    <x v="1"/>
    <x v="5"/>
    <n v="217.642"/>
    <e v="#N/A"/>
    <e v="#N/A"/>
  </r>
  <r>
    <s v="Direct,STnet,120"/>
    <x v="0"/>
    <x v="1"/>
    <x v="5"/>
    <n v="233.94800000000001"/>
    <e v="#N/A"/>
    <e v="#N/A"/>
  </r>
  <r>
    <s v="Direct,STnet,120"/>
    <x v="0"/>
    <x v="1"/>
    <x v="5"/>
    <n v="208.51300000000001"/>
    <e v="#N/A"/>
    <e v="#N/A"/>
  </r>
  <r>
    <s v="Direct,STnet,120"/>
    <x v="0"/>
    <x v="1"/>
    <x v="5"/>
    <n v="220.53399999999999"/>
    <e v="#N/A"/>
    <e v="#N/A"/>
  </r>
  <r>
    <s v="Direct,STnet,120"/>
    <x v="0"/>
    <x v="1"/>
    <x v="5"/>
    <n v="211.977"/>
    <e v="#N/A"/>
    <e v="#N/A"/>
  </r>
  <r>
    <s v="Direct,STnet,120"/>
    <x v="0"/>
    <x v="1"/>
    <x v="5"/>
    <n v="216.642"/>
    <e v="#N/A"/>
    <e v="#N/A"/>
  </r>
  <r>
    <s v="Direct,STnet,120"/>
    <x v="0"/>
    <x v="1"/>
    <x v="5"/>
    <n v="204.44"/>
    <e v="#N/A"/>
    <e v="#N/A"/>
  </r>
  <r>
    <s v="Direct,STnet,120"/>
    <x v="0"/>
    <x v="1"/>
    <x v="5"/>
    <n v="201.57300000000001"/>
    <e v="#N/A"/>
    <e v="#N/A"/>
  </r>
  <r>
    <s v="Direct,STnet,120"/>
    <x v="0"/>
    <x v="1"/>
    <x v="5"/>
    <n v="208.56100000000001"/>
    <e v="#N/A"/>
    <e v="#N/A"/>
  </r>
  <r>
    <s v="Direct,STnet,120"/>
    <x v="0"/>
    <x v="1"/>
    <x v="5"/>
    <n v="202.78299999999999"/>
    <e v="#N/A"/>
    <e v="#N/A"/>
  </r>
  <r>
    <s v="Direct,STnet,120"/>
    <x v="0"/>
    <x v="1"/>
    <x v="5"/>
    <n v="221.10499999999999"/>
    <e v="#N/A"/>
    <e v="#N/A"/>
  </r>
  <r>
    <s v="Direct,STnet,120"/>
    <x v="0"/>
    <x v="1"/>
    <x v="5"/>
    <n v="207.47499999999999"/>
    <e v="#N/A"/>
    <e v="#N/A"/>
  </r>
  <r>
    <s v="Direct,STnet,120"/>
    <x v="0"/>
    <x v="1"/>
    <x v="5"/>
    <n v="233.11799999999999"/>
    <e v="#N/A"/>
    <e v="#N/A"/>
  </r>
  <r>
    <s v="Direct,STnet,120"/>
    <x v="0"/>
    <x v="1"/>
    <x v="5"/>
    <n v="181.84200000000001"/>
    <e v="#N/A"/>
    <e v="#N/A"/>
  </r>
  <r>
    <s v="Direct,STnet,120"/>
    <x v="0"/>
    <x v="1"/>
    <x v="5"/>
    <n v="218.92599999999999"/>
    <e v="#N/A"/>
    <e v="#N/A"/>
  </r>
  <r>
    <s v="Direct,STnet,120"/>
    <x v="0"/>
    <x v="1"/>
    <x v="5"/>
    <n v="211.041"/>
    <e v="#N/A"/>
    <e v="#N/A"/>
  </r>
  <r>
    <s v="Direct,STnet,120"/>
    <x v="0"/>
    <x v="1"/>
    <x v="5"/>
    <n v="195.98099999999999"/>
    <e v="#N/A"/>
    <e v="#N/A"/>
  </r>
  <r>
    <s v="Direct,STnet,120"/>
    <x v="0"/>
    <x v="1"/>
    <x v="5"/>
    <n v="240.71899999999999"/>
    <e v="#N/A"/>
    <e v="#N/A"/>
  </r>
  <r>
    <s v="Direct,STnet,120"/>
    <x v="0"/>
    <x v="1"/>
    <x v="5"/>
    <n v="174.666"/>
    <e v="#N/A"/>
    <e v="#N/A"/>
  </r>
  <r>
    <s v="Direct,STnet,120"/>
    <x v="0"/>
    <x v="1"/>
    <x v="5"/>
    <n v="198.27799999999999"/>
    <e v="#N/A"/>
    <e v="#N/A"/>
  </r>
  <r>
    <s v="Direct,STnet,120"/>
    <x v="0"/>
    <x v="1"/>
    <x v="5"/>
    <n v="218.316"/>
    <e v="#N/A"/>
    <e v="#N/A"/>
  </r>
  <r>
    <s v="Direct,STnet,120"/>
    <x v="0"/>
    <x v="1"/>
    <x v="5"/>
    <n v="170.499"/>
    <e v="#N/A"/>
    <e v="#N/A"/>
  </r>
  <r>
    <s v="Direct,STnet,120"/>
    <x v="0"/>
    <x v="1"/>
    <x v="5"/>
    <n v="222.87799999999999"/>
    <e v="#N/A"/>
    <e v="#N/A"/>
  </r>
  <r>
    <s v="Direct,STnet,120"/>
    <x v="0"/>
    <x v="1"/>
    <x v="5"/>
    <n v="208.27699999999999"/>
    <e v="#N/A"/>
    <e v="#N/A"/>
  </r>
  <r>
    <s v="Direct,STnet,120"/>
    <x v="0"/>
    <x v="1"/>
    <x v="5"/>
    <n v="189.16"/>
    <e v="#N/A"/>
    <e v="#N/A"/>
  </r>
  <r>
    <s v="Direct,STnet,120"/>
    <x v="0"/>
    <x v="1"/>
    <x v="5"/>
    <n v="240.07599999999999"/>
    <e v="#N/A"/>
    <e v="#N/A"/>
  </r>
  <r>
    <s v="Direct,STnet,120"/>
    <x v="0"/>
    <x v="1"/>
    <x v="5"/>
    <n v="196.22900000000001"/>
    <e v="#N/A"/>
    <e v="#N/A"/>
  </r>
  <r>
    <s v="Direct,STnet,120"/>
    <x v="0"/>
    <x v="1"/>
    <x v="5"/>
    <n v="219.732"/>
    <e v="#N/A"/>
    <e v="#N/A"/>
  </r>
  <r>
    <s v="Direct,STnet,120"/>
    <x v="0"/>
    <x v="1"/>
    <x v="5"/>
    <n v="258.34199999999998"/>
    <e v="#N/A"/>
    <e v="#N/A"/>
  </r>
  <r>
    <s v="Direct,STnet,120"/>
    <x v="0"/>
    <x v="1"/>
    <x v="5"/>
    <n v="208.26900000000001"/>
    <e v="#N/A"/>
    <e v="#N/A"/>
  </r>
  <r>
    <s v="Direct,STnet,120"/>
    <x v="0"/>
    <x v="1"/>
    <x v="5"/>
    <n v="203.13200000000001"/>
    <e v="#N/A"/>
    <e v="#N/A"/>
  </r>
  <r>
    <s v="Direct,STnet,120"/>
    <x v="0"/>
    <x v="1"/>
    <x v="5"/>
    <n v="202.929"/>
    <e v="#N/A"/>
    <e v="#N/A"/>
  </r>
  <r>
    <s v="Direct,STnet,120"/>
    <x v="0"/>
    <x v="1"/>
    <x v="5"/>
    <n v="213.20099999999999"/>
    <e v="#N/A"/>
    <e v="#N/A"/>
  </r>
  <r>
    <s v="Direct,STnet,120"/>
    <x v="0"/>
    <x v="1"/>
    <x v="5"/>
    <n v="210.72"/>
    <e v="#N/A"/>
    <e v="#N/A"/>
  </r>
  <r>
    <s v="Direct,STnet,120"/>
    <x v="0"/>
    <x v="1"/>
    <x v="5"/>
    <n v="199.92599999999999"/>
    <e v="#N/A"/>
    <e v="#N/A"/>
  </r>
  <r>
    <s v="Direct,STnet,120"/>
    <x v="0"/>
    <x v="1"/>
    <x v="5"/>
    <n v="206.90899999999999"/>
    <e v="#N/A"/>
    <e v="#N/A"/>
  </r>
  <r>
    <s v="Direct,STnet,120"/>
    <x v="0"/>
    <x v="1"/>
    <x v="5"/>
    <n v="200.32900000000001"/>
    <e v="#N/A"/>
    <e v="#N/A"/>
  </r>
  <r>
    <s v="Direct,STnet,120"/>
    <x v="0"/>
    <x v="1"/>
    <x v="5"/>
    <n v="184.98099999999999"/>
    <e v="#N/A"/>
    <e v="#N/A"/>
  </r>
  <r>
    <s v="Direct,STnet,120"/>
    <x v="0"/>
    <x v="1"/>
    <x v="5"/>
    <n v="243.00399999999999"/>
    <e v="#N/A"/>
    <e v="#N/A"/>
  </r>
  <r>
    <s v="Direct,STnet,120"/>
    <x v="0"/>
    <x v="1"/>
    <x v="5"/>
    <n v="225.715"/>
    <e v="#N/A"/>
    <e v="#N/A"/>
  </r>
  <r>
    <s v="Direct,STnet,120"/>
    <x v="0"/>
    <x v="1"/>
    <x v="5"/>
    <n v="215.56100000000001"/>
    <e v="#N/A"/>
    <e v="#N/A"/>
  </r>
  <r>
    <s v="Direct,STnet,120"/>
    <x v="0"/>
    <x v="1"/>
    <x v="5"/>
    <n v="206.22200000000001"/>
    <e v="#N/A"/>
    <e v="#N/A"/>
  </r>
  <r>
    <s v="Direct,STnet,120"/>
    <x v="0"/>
    <x v="1"/>
    <x v="5"/>
    <n v="195.34200000000001"/>
    <e v="#N/A"/>
    <e v="#N/A"/>
  </r>
  <r>
    <s v="Direct,STnet,120"/>
    <x v="0"/>
    <x v="1"/>
    <x v="5"/>
    <n v="240.72900000000001"/>
    <e v="#N/A"/>
    <e v="#N/A"/>
  </r>
  <r>
    <s v="Direct,USnet,20"/>
    <x v="0"/>
    <x v="2"/>
    <x v="0"/>
    <n v="971.82799999999997"/>
    <n v="920"/>
    <n v="5.6334782608695626"/>
  </r>
  <r>
    <s v="Direct,USnet,20"/>
    <x v="0"/>
    <x v="2"/>
    <x v="0"/>
    <n v="969.82799999999997"/>
    <n v="920"/>
    <n v="5.4160869565217364"/>
  </r>
  <r>
    <s v="Direct,USnet,20"/>
    <x v="0"/>
    <x v="2"/>
    <x v="0"/>
    <n v="975.82799999999997"/>
    <n v="920"/>
    <n v="6.0682608695652149"/>
  </r>
  <r>
    <s v="Direct,USnet,20"/>
    <x v="0"/>
    <x v="2"/>
    <x v="0"/>
    <n v="972.82799999999997"/>
    <n v="920"/>
    <n v="5.7421739130434757"/>
  </r>
  <r>
    <s v="Direct,USnet,20"/>
    <x v="0"/>
    <x v="2"/>
    <x v="0"/>
    <n v="968.82799999999997"/>
    <n v="920"/>
    <n v="5.3073913043478234"/>
  </r>
  <r>
    <s v="Direct,USnet,20"/>
    <x v="0"/>
    <x v="2"/>
    <x v="0"/>
    <n v="967.82799999999997"/>
    <n v="920"/>
    <n v="5.1986956521739103"/>
  </r>
  <r>
    <s v="Direct,USnet,20"/>
    <x v="0"/>
    <x v="2"/>
    <x v="0"/>
    <n v="970.82799999999997"/>
    <n v="920"/>
    <n v="5.5247826086956495"/>
  </r>
  <r>
    <s v="Direct,USnet,20"/>
    <x v="0"/>
    <x v="2"/>
    <x v="0"/>
    <n v="969.82799999999997"/>
    <n v="920"/>
    <n v="5.4160869565217364"/>
  </r>
  <r>
    <s v="Direct,USnet,20"/>
    <x v="0"/>
    <x v="2"/>
    <x v="0"/>
    <n v="966.82799999999997"/>
    <n v="920"/>
    <n v="5.0899999999999972"/>
  </r>
  <r>
    <s v="Direct,USnet,20"/>
    <x v="0"/>
    <x v="2"/>
    <x v="0"/>
    <n v="970.82799999999997"/>
    <n v="920"/>
    <n v="5.5247826086956495"/>
  </r>
  <r>
    <s v="Direct,USnet,20"/>
    <x v="0"/>
    <x v="2"/>
    <x v="0"/>
    <n v="965.82799999999997"/>
    <n v="920"/>
    <n v="4.9813043478260841"/>
  </r>
  <r>
    <s v="Direct,USnet,20"/>
    <x v="0"/>
    <x v="2"/>
    <x v="0"/>
    <n v="968.82799999999997"/>
    <n v="920"/>
    <n v="5.3073913043478234"/>
  </r>
  <r>
    <s v="Direct,USnet,20"/>
    <x v="0"/>
    <x v="2"/>
    <x v="0"/>
    <n v="971.82799999999997"/>
    <n v="920"/>
    <n v="5.6334782608695626"/>
  </r>
  <r>
    <s v="Direct,USnet,20"/>
    <x v="0"/>
    <x v="2"/>
    <x v="0"/>
    <n v="969.82799999999997"/>
    <n v="920"/>
    <n v="5.4160869565217364"/>
  </r>
  <r>
    <s v="Direct,USnet,20"/>
    <x v="0"/>
    <x v="2"/>
    <x v="0"/>
    <n v="965.82799999999997"/>
    <n v="920"/>
    <n v="4.9813043478260841"/>
  </r>
  <r>
    <s v="Direct,USnet,20"/>
    <x v="0"/>
    <x v="2"/>
    <x v="0"/>
    <n v="964.82799999999997"/>
    <n v="920"/>
    <n v="4.872608695652171"/>
  </r>
  <r>
    <s v="Direct,USnet,20"/>
    <x v="0"/>
    <x v="2"/>
    <x v="0"/>
    <n v="967.82799999999997"/>
    <n v="920"/>
    <n v="5.1986956521739103"/>
  </r>
  <r>
    <s v="Direct,USnet,20"/>
    <x v="0"/>
    <x v="2"/>
    <x v="0"/>
    <n v="967.82799999999997"/>
    <n v="920"/>
    <n v="5.1986956521739103"/>
  </r>
  <r>
    <s v="Direct,USnet,20"/>
    <x v="0"/>
    <x v="2"/>
    <x v="0"/>
    <n v="966.82799999999997"/>
    <n v="920"/>
    <n v="5.0899999999999972"/>
  </r>
  <r>
    <s v="Direct,USnet,20"/>
    <x v="0"/>
    <x v="2"/>
    <x v="0"/>
    <n v="963.82799999999997"/>
    <n v="920"/>
    <n v="4.7639130434782579"/>
  </r>
  <r>
    <s v="Direct,USnet,20"/>
    <x v="0"/>
    <x v="2"/>
    <x v="0"/>
    <n v="965.82799999999997"/>
    <n v="920"/>
    <n v="4.9813043478260841"/>
  </r>
  <r>
    <s v="Direct,USnet,20"/>
    <x v="0"/>
    <x v="2"/>
    <x v="0"/>
    <n v="964.82799999999997"/>
    <n v="920"/>
    <n v="4.872608695652171"/>
  </r>
  <r>
    <s v="Direct,USnet,20"/>
    <x v="0"/>
    <x v="2"/>
    <x v="0"/>
    <n v="968.82799999999997"/>
    <n v="920"/>
    <n v="5.3073913043478234"/>
  </r>
  <r>
    <s v="Direct,USnet,20"/>
    <x v="0"/>
    <x v="2"/>
    <x v="0"/>
    <n v="963.82799999999997"/>
    <n v="920"/>
    <n v="4.7639130434782579"/>
  </r>
  <r>
    <s v="Direct,USnet,20"/>
    <x v="0"/>
    <x v="2"/>
    <x v="0"/>
    <n v="971.82799999999997"/>
    <n v="920"/>
    <n v="5.6334782608695626"/>
  </r>
  <r>
    <s v="Direct,USnet,20"/>
    <x v="0"/>
    <x v="2"/>
    <x v="0"/>
    <n v="973.82799999999997"/>
    <n v="920"/>
    <n v="5.8508695652173888"/>
  </r>
  <r>
    <s v="Direct,USnet,20"/>
    <x v="0"/>
    <x v="2"/>
    <x v="0"/>
    <n v="969.82799999999997"/>
    <n v="920"/>
    <n v="5.4160869565217364"/>
  </r>
  <r>
    <s v="Direct,USnet,20"/>
    <x v="0"/>
    <x v="2"/>
    <x v="0"/>
    <n v="967.82799999999997"/>
    <n v="920"/>
    <n v="5.1986956521739103"/>
  </r>
  <r>
    <s v="Direct,USnet,20"/>
    <x v="0"/>
    <x v="2"/>
    <x v="0"/>
    <n v="969.82799999999997"/>
    <n v="920"/>
    <n v="5.4160869565217364"/>
  </r>
  <r>
    <s v="Direct,USnet,20"/>
    <x v="0"/>
    <x v="2"/>
    <x v="0"/>
    <n v="974.82799999999997"/>
    <n v="920"/>
    <n v="5.9595652173913019"/>
  </r>
  <r>
    <s v="Direct,USnet,20"/>
    <x v="0"/>
    <x v="2"/>
    <x v="0"/>
    <n v="967.82799999999997"/>
    <n v="920"/>
    <n v="5.1986956521739103"/>
  </r>
  <r>
    <s v="Direct,USnet,20"/>
    <x v="0"/>
    <x v="2"/>
    <x v="0"/>
    <n v="967.82799999999997"/>
    <n v="920"/>
    <n v="5.1986956521739103"/>
  </r>
  <r>
    <s v="Direct,USnet,20"/>
    <x v="0"/>
    <x v="2"/>
    <x v="0"/>
    <n v="968.82799999999997"/>
    <n v="920"/>
    <n v="5.3073913043478234"/>
  </r>
  <r>
    <s v="Direct,USnet,20"/>
    <x v="0"/>
    <x v="2"/>
    <x v="0"/>
    <n v="972.82799999999997"/>
    <n v="920"/>
    <n v="5.7421739130434757"/>
  </r>
  <r>
    <s v="Direct,USnet,20"/>
    <x v="0"/>
    <x v="2"/>
    <x v="0"/>
    <n v="976.82799999999997"/>
    <n v="920"/>
    <n v="6.176956521739128"/>
  </r>
  <r>
    <s v="Direct,USnet,20"/>
    <x v="0"/>
    <x v="2"/>
    <x v="0"/>
    <n v="975.82799999999997"/>
    <n v="920"/>
    <n v="6.0682608695652149"/>
  </r>
  <r>
    <s v="Direct,USnet,20"/>
    <x v="0"/>
    <x v="2"/>
    <x v="0"/>
    <n v="977.82799999999997"/>
    <n v="920"/>
    <n v="6.2856521739130411"/>
  </r>
  <r>
    <s v="Direct,USnet,20"/>
    <x v="0"/>
    <x v="2"/>
    <x v="0"/>
    <n v="967.82799999999997"/>
    <n v="920"/>
    <n v="5.1986956521739103"/>
  </r>
  <r>
    <s v="Direct,USnet,20"/>
    <x v="0"/>
    <x v="2"/>
    <x v="0"/>
    <n v="967.82799999999997"/>
    <n v="920"/>
    <n v="5.1986956521739103"/>
  </r>
  <r>
    <s v="Direct,USnet,20"/>
    <x v="0"/>
    <x v="2"/>
    <x v="0"/>
    <n v="968.82799999999997"/>
    <n v="920"/>
    <n v="5.3073913043478234"/>
  </r>
  <r>
    <s v="Direct,USnet,20"/>
    <x v="0"/>
    <x v="2"/>
    <x v="0"/>
    <n v="968.82799999999997"/>
    <n v="920"/>
    <n v="5.3073913043478234"/>
  </r>
  <r>
    <s v="Direct,USnet,20"/>
    <x v="0"/>
    <x v="2"/>
    <x v="0"/>
    <n v="971.82799999999997"/>
    <n v="920"/>
    <n v="5.6334782608695626"/>
  </r>
  <r>
    <s v="Direct,USnet,20"/>
    <x v="0"/>
    <x v="2"/>
    <x v="0"/>
    <n v="968.82799999999997"/>
    <n v="920"/>
    <n v="5.3073913043478234"/>
  </r>
  <r>
    <s v="Direct,USnet,20"/>
    <x v="0"/>
    <x v="2"/>
    <x v="0"/>
    <n v="969.82799999999997"/>
    <n v="920"/>
    <n v="5.4160869565217364"/>
  </r>
  <r>
    <s v="Direct,USnet,20"/>
    <x v="0"/>
    <x v="2"/>
    <x v="0"/>
    <n v="963.82799999999997"/>
    <n v="920"/>
    <n v="4.7639130434782579"/>
  </r>
  <r>
    <s v="Direct,USnet,20"/>
    <x v="0"/>
    <x v="2"/>
    <x v="0"/>
    <n v="974.82799999999997"/>
    <n v="920"/>
    <n v="5.9595652173913019"/>
  </r>
  <r>
    <s v="Direct,USnet,20"/>
    <x v="0"/>
    <x v="2"/>
    <x v="0"/>
    <n v="973.82799999999997"/>
    <n v="920"/>
    <n v="5.8508695652173888"/>
  </r>
  <r>
    <s v="Direct,USnet,20"/>
    <x v="0"/>
    <x v="2"/>
    <x v="0"/>
    <n v="968.82799999999997"/>
    <n v="920"/>
    <n v="5.3073913043478234"/>
  </r>
  <r>
    <s v="Direct,USnet,20"/>
    <x v="0"/>
    <x v="2"/>
    <x v="0"/>
    <n v="959.82799999999997"/>
    <n v="920"/>
    <n v="4.3291304347826065"/>
  </r>
  <r>
    <s v="Direct,USnet,20"/>
    <x v="0"/>
    <x v="2"/>
    <x v="0"/>
    <n v="970.82799999999997"/>
    <n v="920"/>
    <n v="5.5247826086956495"/>
  </r>
  <r>
    <s v="Direct,USnet,20"/>
    <x v="0"/>
    <x v="2"/>
    <x v="0"/>
    <n v="968.82799999999997"/>
    <n v="920"/>
    <n v="5.3073913043478234"/>
  </r>
  <r>
    <s v="Direct,USnet,20"/>
    <x v="0"/>
    <x v="2"/>
    <x v="0"/>
    <n v="969.82799999999997"/>
    <n v="920"/>
    <n v="5.4160869565217364"/>
  </r>
  <r>
    <s v="Direct,USnet,20"/>
    <x v="0"/>
    <x v="2"/>
    <x v="0"/>
    <n v="967.82799999999997"/>
    <n v="920"/>
    <n v="5.1986956521739103"/>
  </r>
  <r>
    <s v="Direct,USnet,20"/>
    <x v="0"/>
    <x v="2"/>
    <x v="0"/>
    <n v="969.82799999999997"/>
    <n v="920"/>
    <n v="5.4160869565217364"/>
  </r>
  <r>
    <s v="Direct,USnet,20"/>
    <x v="0"/>
    <x v="2"/>
    <x v="0"/>
    <n v="968.82799999999997"/>
    <n v="920"/>
    <n v="5.3073913043478234"/>
  </r>
  <r>
    <s v="Direct,USnet,20"/>
    <x v="0"/>
    <x v="2"/>
    <x v="0"/>
    <n v="969.82799999999997"/>
    <n v="920"/>
    <n v="5.4160869565217364"/>
  </r>
  <r>
    <s v="Direct,USnet,20"/>
    <x v="0"/>
    <x v="2"/>
    <x v="0"/>
    <n v="967.82799999999997"/>
    <n v="920"/>
    <n v="5.1986956521739103"/>
  </r>
  <r>
    <s v="Direct,USnet,20"/>
    <x v="0"/>
    <x v="2"/>
    <x v="0"/>
    <n v="967.82799999999997"/>
    <n v="920"/>
    <n v="5.1986956521739103"/>
  </r>
  <r>
    <s v="Direct,USnet,20"/>
    <x v="0"/>
    <x v="2"/>
    <x v="0"/>
    <n v="973.82799999999997"/>
    <n v="920"/>
    <n v="5.8508695652173888"/>
  </r>
  <r>
    <s v="Direct,USnet,20"/>
    <x v="0"/>
    <x v="2"/>
    <x v="0"/>
    <n v="965.82799999999997"/>
    <n v="920"/>
    <n v="4.9813043478260841"/>
  </r>
  <r>
    <s v="Direct,USnet,20"/>
    <x v="0"/>
    <x v="2"/>
    <x v="0"/>
    <n v="971.82799999999997"/>
    <n v="920"/>
    <n v="5.6334782608695626"/>
  </r>
  <r>
    <s v="Direct,USnet,20"/>
    <x v="0"/>
    <x v="2"/>
    <x v="0"/>
    <n v="967.82799999999997"/>
    <n v="920"/>
    <n v="5.1986956521739103"/>
  </r>
  <r>
    <s v="Direct,USnet,20"/>
    <x v="0"/>
    <x v="2"/>
    <x v="0"/>
    <n v="970.82799999999997"/>
    <n v="920"/>
    <n v="5.5247826086956495"/>
  </r>
  <r>
    <s v="Direct,USnet,20"/>
    <x v="0"/>
    <x v="2"/>
    <x v="0"/>
    <n v="970.82799999999997"/>
    <n v="920"/>
    <n v="5.5247826086956495"/>
  </r>
  <r>
    <s v="Direct,USnet,20"/>
    <x v="0"/>
    <x v="2"/>
    <x v="0"/>
    <n v="970.82799999999997"/>
    <n v="920"/>
    <n v="5.5247826086956495"/>
  </r>
  <r>
    <s v="Direct,USnet,20"/>
    <x v="0"/>
    <x v="2"/>
    <x v="0"/>
    <n v="966.82799999999997"/>
    <n v="920"/>
    <n v="5.0899999999999972"/>
  </r>
  <r>
    <s v="Direct,USnet,20"/>
    <x v="0"/>
    <x v="2"/>
    <x v="0"/>
    <n v="966.82799999999997"/>
    <n v="920"/>
    <n v="5.0899999999999972"/>
  </r>
  <r>
    <s v="Direct,USnet,20"/>
    <x v="0"/>
    <x v="2"/>
    <x v="0"/>
    <n v="972.82799999999997"/>
    <n v="920"/>
    <n v="5.7421739130434757"/>
  </r>
  <r>
    <s v="Direct,USnet,20"/>
    <x v="0"/>
    <x v="2"/>
    <x v="0"/>
    <n v="966.82799999999997"/>
    <n v="920"/>
    <n v="5.0899999999999972"/>
  </r>
  <r>
    <s v="Direct,USnet,20"/>
    <x v="0"/>
    <x v="2"/>
    <x v="0"/>
    <n v="970.82799999999997"/>
    <n v="920"/>
    <n v="5.5247826086956495"/>
  </r>
  <r>
    <s v="Direct,USnet,20"/>
    <x v="0"/>
    <x v="2"/>
    <x v="0"/>
    <n v="971.82799999999997"/>
    <n v="920"/>
    <n v="5.6334782608695626"/>
  </r>
  <r>
    <s v="Direct,USnet,20"/>
    <x v="0"/>
    <x v="2"/>
    <x v="0"/>
    <n v="969.82799999999997"/>
    <n v="920"/>
    <n v="5.4160869565217364"/>
  </r>
  <r>
    <s v="Direct,USnet,20"/>
    <x v="0"/>
    <x v="2"/>
    <x v="0"/>
    <n v="967.82799999999997"/>
    <n v="920"/>
    <n v="5.1986956521739103"/>
  </r>
  <r>
    <s v="Direct,USnet,20"/>
    <x v="0"/>
    <x v="2"/>
    <x v="0"/>
    <n v="969.82799999999997"/>
    <n v="920"/>
    <n v="5.4160869565217364"/>
  </r>
  <r>
    <s v="Direct,USnet,20"/>
    <x v="0"/>
    <x v="2"/>
    <x v="0"/>
    <n v="970.82799999999997"/>
    <n v="920"/>
    <n v="5.5247826086956495"/>
  </r>
  <r>
    <s v="Direct,USnet,20"/>
    <x v="0"/>
    <x v="2"/>
    <x v="0"/>
    <n v="961.82799999999997"/>
    <n v="920"/>
    <n v="4.5465217391304318"/>
  </r>
  <r>
    <s v="Direct,USnet,20"/>
    <x v="0"/>
    <x v="2"/>
    <x v="0"/>
    <n v="967.82799999999997"/>
    <n v="920"/>
    <n v="5.1986956521739103"/>
  </r>
  <r>
    <s v="Direct,USnet,20"/>
    <x v="0"/>
    <x v="2"/>
    <x v="0"/>
    <n v="967.82799999999997"/>
    <n v="920"/>
    <n v="5.1986956521739103"/>
  </r>
  <r>
    <s v="Direct,USnet,20"/>
    <x v="0"/>
    <x v="2"/>
    <x v="0"/>
    <n v="969.82799999999997"/>
    <n v="920"/>
    <n v="5.4160869565217364"/>
  </r>
  <r>
    <s v="Direct,USnet,20"/>
    <x v="0"/>
    <x v="2"/>
    <x v="0"/>
    <n v="964.82799999999997"/>
    <n v="920"/>
    <n v="4.872608695652171"/>
  </r>
  <r>
    <s v="Direct,USnet,20"/>
    <x v="0"/>
    <x v="2"/>
    <x v="0"/>
    <n v="974.82799999999997"/>
    <n v="920"/>
    <n v="5.9595652173913019"/>
  </r>
  <r>
    <s v="Direct,USnet,20"/>
    <x v="0"/>
    <x v="2"/>
    <x v="0"/>
    <n v="970.82799999999997"/>
    <n v="920"/>
    <n v="5.5247826086956495"/>
  </r>
  <r>
    <s v="Direct,USnet,20"/>
    <x v="0"/>
    <x v="2"/>
    <x v="0"/>
    <n v="968.82799999999997"/>
    <n v="920"/>
    <n v="5.3073913043478234"/>
  </r>
  <r>
    <s v="Direct,USnet,20"/>
    <x v="0"/>
    <x v="2"/>
    <x v="0"/>
    <n v="972.82799999999997"/>
    <n v="920"/>
    <n v="5.7421739130434757"/>
  </r>
  <r>
    <s v="Direct,USnet,20"/>
    <x v="0"/>
    <x v="2"/>
    <x v="0"/>
    <n v="972.82799999999997"/>
    <n v="920"/>
    <n v="5.7421739130434757"/>
  </r>
  <r>
    <s v="Direct,USnet,20"/>
    <x v="0"/>
    <x v="2"/>
    <x v="0"/>
    <n v="966.82799999999997"/>
    <n v="920"/>
    <n v="5.0899999999999972"/>
  </r>
  <r>
    <s v="Direct,USnet,20"/>
    <x v="0"/>
    <x v="2"/>
    <x v="0"/>
    <n v="974.82799999999997"/>
    <n v="920"/>
    <n v="5.9595652173913019"/>
  </r>
  <r>
    <s v="Direct,USnet,20"/>
    <x v="0"/>
    <x v="2"/>
    <x v="0"/>
    <n v="962.82799999999997"/>
    <n v="920"/>
    <n v="4.6552173913043449"/>
  </r>
  <r>
    <s v="Direct,USnet,20"/>
    <x v="0"/>
    <x v="2"/>
    <x v="0"/>
    <n v="967.82799999999997"/>
    <n v="920"/>
    <n v="5.1986956521739103"/>
  </r>
  <r>
    <s v="Direct,USnet,20"/>
    <x v="0"/>
    <x v="2"/>
    <x v="0"/>
    <n v="964.82799999999997"/>
    <n v="920"/>
    <n v="4.872608695652171"/>
  </r>
  <r>
    <s v="Direct,USnet,20"/>
    <x v="0"/>
    <x v="2"/>
    <x v="0"/>
    <n v="968.82799999999997"/>
    <n v="920"/>
    <n v="5.3073913043478234"/>
  </r>
  <r>
    <s v="Direct,USnet,20"/>
    <x v="0"/>
    <x v="2"/>
    <x v="0"/>
    <n v="965.82799999999997"/>
    <n v="920"/>
    <n v="4.9813043478260841"/>
  </r>
  <r>
    <s v="Direct,USnet,20"/>
    <x v="0"/>
    <x v="2"/>
    <x v="0"/>
    <n v="966.82799999999997"/>
    <n v="920"/>
    <n v="5.0899999999999972"/>
  </r>
  <r>
    <s v="Direct,USnet,20"/>
    <x v="0"/>
    <x v="2"/>
    <x v="0"/>
    <n v="968.82799999999997"/>
    <n v="920"/>
    <n v="5.3073913043478234"/>
  </r>
  <r>
    <s v="Direct,USnet,20"/>
    <x v="0"/>
    <x v="2"/>
    <x v="0"/>
    <n v="965.82799999999997"/>
    <n v="920"/>
    <n v="4.9813043478260841"/>
  </r>
  <r>
    <s v="Direct,USnet,20"/>
    <x v="0"/>
    <x v="2"/>
    <x v="0"/>
    <n v="973.82799999999997"/>
    <n v="920"/>
    <n v="5.8508695652173888"/>
  </r>
  <r>
    <s v="Direct,USnet,20"/>
    <x v="0"/>
    <x v="2"/>
    <x v="0"/>
    <n v="968.82799999999997"/>
    <n v="920"/>
    <n v="5.3073913043478234"/>
  </r>
  <r>
    <s v="Direct,USnet,20"/>
    <x v="0"/>
    <x v="2"/>
    <x v="0"/>
    <n v="970.82799999999997"/>
    <n v="920"/>
    <n v="5.5247826086956495"/>
  </r>
  <r>
    <s v="Direct,USnet,20"/>
    <x v="0"/>
    <x v="2"/>
    <x v="0"/>
    <n v="964.82799999999997"/>
    <n v="920"/>
    <n v="4.872608695652171"/>
  </r>
  <r>
    <s v="Direct,USnet,20"/>
    <x v="0"/>
    <x v="2"/>
    <x v="0"/>
    <n v="967.82799999999997"/>
    <n v="920"/>
    <n v="5.1986956521739103"/>
  </r>
  <r>
    <s v="Direct,USnet,40"/>
    <x v="0"/>
    <x v="2"/>
    <x v="1"/>
    <n v="1583.5450000000001"/>
    <n v="1480"/>
    <n v="6.9962837837837881"/>
  </r>
  <r>
    <s v="Direct,USnet,40"/>
    <x v="0"/>
    <x v="2"/>
    <x v="1"/>
    <n v="1605.586"/>
    <n v="1480"/>
    <n v="8.4855405405405406"/>
  </r>
  <r>
    <s v="Direct,USnet,40"/>
    <x v="0"/>
    <x v="2"/>
    <x v="1"/>
    <n v="1571.1590000000001"/>
    <n v="1480"/>
    <n v="6.1593918918918984"/>
  </r>
  <r>
    <s v="Direct,USnet,40"/>
    <x v="0"/>
    <x v="2"/>
    <x v="1"/>
    <n v="1614.2470000000001"/>
    <n v="1480"/>
    <n v="9.070743243243248"/>
  </r>
  <r>
    <s v="Direct,USnet,40"/>
    <x v="0"/>
    <x v="2"/>
    <x v="1"/>
    <n v="1602.6079999999999"/>
    <n v="1480"/>
    <n v="8.2843243243243219"/>
  </r>
  <r>
    <s v="Direct,USnet,40"/>
    <x v="0"/>
    <x v="2"/>
    <x v="1"/>
    <n v="1559.0740000000001"/>
    <n v="1480"/>
    <n v="5.3428378378378421"/>
  </r>
  <r>
    <s v="Direct,USnet,40"/>
    <x v="0"/>
    <x v="2"/>
    <x v="1"/>
    <n v="1582.675"/>
    <n v="1480"/>
    <n v="6.9374999999999964"/>
  </r>
  <r>
    <s v="Direct,USnet,40"/>
    <x v="0"/>
    <x v="2"/>
    <x v="1"/>
    <n v="1556.954"/>
    <n v="1480"/>
    <n v="5.1995945945945916"/>
  </r>
  <r>
    <s v="Direct,USnet,40"/>
    <x v="0"/>
    <x v="2"/>
    <x v="1"/>
    <n v="1561.335"/>
    <n v="1480"/>
    <n v="5.4956081081081107"/>
  </r>
  <r>
    <s v="Direct,USnet,40"/>
    <x v="0"/>
    <x v="2"/>
    <x v="1"/>
    <n v="1603.9870000000001"/>
    <n v="1480"/>
    <n v="8.3775000000000066"/>
  </r>
  <r>
    <s v="Direct,USnet,40"/>
    <x v="0"/>
    <x v="2"/>
    <x v="1"/>
    <n v="1569.7429999999999"/>
    <n v="1480"/>
    <n v="6.0637162162162115"/>
  </r>
  <r>
    <s v="Direct,USnet,40"/>
    <x v="0"/>
    <x v="2"/>
    <x v="1"/>
    <n v="1567.5909999999999"/>
    <n v="1480"/>
    <n v="5.9183108108108033"/>
  </r>
  <r>
    <s v="Direct,USnet,40"/>
    <x v="0"/>
    <x v="2"/>
    <x v="1"/>
    <n v="1572.0640000000001"/>
    <n v="1480"/>
    <n v="6.2205405405405454"/>
  </r>
  <r>
    <s v="Direct,USnet,40"/>
    <x v="0"/>
    <x v="2"/>
    <x v="1"/>
    <n v="1568.519"/>
    <n v="1480"/>
    <n v="5.9810135135135143"/>
  </r>
  <r>
    <s v="Direct,USnet,40"/>
    <x v="0"/>
    <x v="2"/>
    <x v="1"/>
    <n v="1576.799"/>
    <n v="1480"/>
    <n v="6.5404729729729718"/>
  </r>
  <r>
    <s v="Direct,USnet,40"/>
    <x v="0"/>
    <x v="2"/>
    <x v="1"/>
    <n v="1571.5239999999999"/>
    <n v="1480"/>
    <n v="6.1840540540540463"/>
  </r>
  <r>
    <s v="Direct,USnet,40"/>
    <x v="0"/>
    <x v="2"/>
    <x v="1"/>
    <n v="1600.6759999999999"/>
    <n v="1480"/>
    <n v="8.1537837837837781"/>
  </r>
  <r>
    <s v="Direct,USnet,40"/>
    <x v="0"/>
    <x v="2"/>
    <x v="1"/>
    <n v="1551.1959999999999"/>
    <n v="1480"/>
    <n v="4.8105405405405346"/>
  </r>
  <r>
    <s v="Direct,USnet,40"/>
    <x v="0"/>
    <x v="2"/>
    <x v="1"/>
    <n v="1590.192"/>
    <n v="1480"/>
    <n v="7.4454054054054062"/>
  </r>
  <r>
    <s v="Direct,USnet,40"/>
    <x v="0"/>
    <x v="2"/>
    <x v="1"/>
    <n v="1578.249"/>
    <n v="1480"/>
    <n v="6.6384459459459482"/>
  </r>
  <r>
    <s v="Direct,USnet,40"/>
    <x v="0"/>
    <x v="2"/>
    <x v="1"/>
    <n v="1539.922"/>
    <n v="1480"/>
    <n v="4.0487837837837857"/>
  </r>
  <r>
    <s v="Direct,USnet,40"/>
    <x v="0"/>
    <x v="2"/>
    <x v="1"/>
    <n v="1570.0150000000001"/>
    <n v="1480"/>
    <n v="6.0820945945946008"/>
  </r>
  <r>
    <s v="Direct,USnet,40"/>
    <x v="0"/>
    <x v="2"/>
    <x v="1"/>
    <n v="1616.5319999999999"/>
    <n v="1480"/>
    <n v="9.2251351351351296"/>
  </r>
  <r>
    <s v="Direct,USnet,40"/>
    <x v="0"/>
    <x v="2"/>
    <x v="1"/>
    <n v="1591.2950000000001"/>
    <n v="1480"/>
    <n v="7.5199324324324373"/>
  </r>
  <r>
    <s v="Direct,USnet,40"/>
    <x v="0"/>
    <x v="2"/>
    <x v="1"/>
    <n v="1592.9090000000001"/>
    <n v="1480"/>
    <n v="7.628986486486494"/>
  </r>
  <r>
    <s v="Direct,USnet,40"/>
    <x v="0"/>
    <x v="2"/>
    <x v="1"/>
    <n v="1590.098"/>
    <n v="1480"/>
    <n v="7.4390540540540506"/>
  </r>
  <r>
    <s v="Direct,USnet,40"/>
    <x v="0"/>
    <x v="2"/>
    <x v="1"/>
    <n v="1544.413"/>
    <n v="1480"/>
    <n v="4.3522297297297303"/>
  </r>
  <r>
    <s v="Direct,USnet,40"/>
    <x v="0"/>
    <x v="2"/>
    <x v="1"/>
    <n v="1592.336"/>
    <n v="1480"/>
    <n v="7.5902702702702722"/>
  </r>
  <r>
    <s v="Direct,USnet,40"/>
    <x v="0"/>
    <x v="2"/>
    <x v="1"/>
    <n v="1593.288"/>
    <n v="1480"/>
    <n v="7.6545945945945952"/>
  </r>
  <r>
    <s v="Direct,USnet,40"/>
    <x v="0"/>
    <x v="2"/>
    <x v="1"/>
    <n v="1591.0630000000001"/>
    <n v="1480"/>
    <n v="7.5042567567567637"/>
  </r>
  <r>
    <s v="Direct,USnet,40"/>
    <x v="0"/>
    <x v="2"/>
    <x v="1"/>
    <n v="1612.579"/>
    <n v="1480"/>
    <n v="8.9580405405405372"/>
  </r>
  <r>
    <s v="Direct,USnet,40"/>
    <x v="0"/>
    <x v="2"/>
    <x v="1"/>
    <n v="1593.9680000000001"/>
    <n v="1480"/>
    <n v="7.7005405405405458"/>
  </r>
  <r>
    <s v="Direct,USnet,40"/>
    <x v="0"/>
    <x v="2"/>
    <x v="1"/>
    <n v="1583.6679999999999"/>
    <n v="1480"/>
    <n v="7.0045945945945878"/>
  </r>
  <r>
    <s v="Direct,USnet,40"/>
    <x v="0"/>
    <x v="2"/>
    <x v="1"/>
    <n v="1558.001"/>
    <n v="1480"/>
    <n v="5.2703378378378369"/>
  </r>
  <r>
    <s v="Direct,USnet,40"/>
    <x v="0"/>
    <x v="2"/>
    <x v="1"/>
    <n v="1597.76"/>
    <n v="1480"/>
    <n v="7.9567567567567572"/>
  </r>
  <r>
    <s v="Direct,USnet,40"/>
    <x v="0"/>
    <x v="2"/>
    <x v="1"/>
    <n v="1592.528"/>
    <n v="1480"/>
    <n v="7.6032432432432451"/>
  </r>
  <r>
    <s v="Direct,USnet,40"/>
    <x v="0"/>
    <x v="2"/>
    <x v="1"/>
    <n v="1600.2260000000001"/>
    <n v="1480"/>
    <n v="8.1233783783783853"/>
  </r>
  <r>
    <s v="Direct,USnet,40"/>
    <x v="0"/>
    <x v="2"/>
    <x v="1"/>
    <n v="1553.4880000000001"/>
    <n v="1480"/>
    <n v="4.9654054054054093"/>
  </r>
  <r>
    <s v="Direct,USnet,40"/>
    <x v="0"/>
    <x v="2"/>
    <x v="1"/>
    <n v="1613.3320000000001"/>
    <n v="1480"/>
    <n v="9.0089189189189263"/>
  </r>
  <r>
    <s v="Direct,USnet,40"/>
    <x v="0"/>
    <x v="2"/>
    <x v="1"/>
    <n v="1640.9110000000001"/>
    <n v="1480"/>
    <n v="10.872364864864869"/>
  </r>
  <r>
    <s v="Direct,USnet,40"/>
    <x v="0"/>
    <x v="2"/>
    <x v="1"/>
    <n v="1577.45"/>
    <n v="1480"/>
    <n v="6.5844594594594632"/>
  </r>
  <r>
    <s v="Direct,USnet,40"/>
    <x v="0"/>
    <x v="2"/>
    <x v="1"/>
    <n v="1571.1890000000001"/>
    <n v="1480"/>
    <n v="6.1614189189189243"/>
  </r>
  <r>
    <s v="Direct,USnet,40"/>
    <x v="0"/>
    <x v="2"/>
    <x v="1"/>
    <n v="1593.9739999999999"/>
    <n v="1480"/>
    <n v="7.700945945945942"/>
  </r>
  <r>
    <s v="Direct,USnet,40"/>
    <x v="0"/>
    <x v="2"/>
    <x v="1"/>
    <n v="1619.0719999999999"/>
    <n v="1480"/>
    <n v="9.3967567567567496"/>
  </r>
  <r>
    <s v="Direct,USnet,40"/>
    <x v="0"/>
    <x v="2"/>
    <x v="1"/>
    <n v="1568.8240000000001"/>
    <n v="1480"/>
    <n v="6.0016216216216263"/>
  </r>
  <r>
    <s v="Direct,USnet,40"/>
    <x v="0"/>
    <x v="2"/>
    <x v="1"/>
    <n v="1580.2059999999999"/>
    <n v="1480"/>
    <n v="6.770675675675669"/>
  </r>
  <r>
    <s v="Direct,USnet,40"/>
    <x v="0"/>
    <x v="2"/>
    <x v="1"/>
    <n v="1581.3879999999999"/>
    <n v="1480"/>
    <n v="6.8505405405405355"/>
  </r>
  <r>
    <s v="Direct,USnet,40"/>
    <x v="0"/>
    <x v="2"/>
    <x v="1"/>
    <n v="1604.0709999999999"/>
    <n v="1480"/>
    <n v="8.3831756756756697"/>
  </r>
  <r>
    <s v="Direct,USnet,40"/>
    <x v="0"/>
    <x v="2"/>
    <x v="1"/>
    <n v="1552.915"/>
    <n v="1480"/>
    <n v="4.9266891891891866"/>
  </r>
  <r>
    <s v="Direct,USnet,40"/>
    <x v="0"/>
    <x v="2"/>
    <x v="1"/>
    <n v="1582.8810000000001"/>
    <n v="1480"/>
    <n v="6.9514189189189253"/>
  </r>
  <r>
    <s v="Direct,USnet,40"/>
    <x v="0"/>
    <x v="2"/>
    <x v="1"/>
    <n v="1546.05"/>
    <n v="1480"/>
    <n v="4.4628378378378342"/>
  </r>
  <r>
    <s v="Direct,USnet,40"/>
    <x v="0"/>
    <x v="2"/>
    <x v="1"/>
    <n v="1543.7"/>
    <n v="1480"/>
    <n v="4.3040540540540571"/>
  </r>
  <r>
    <s v="Direct,USnet,40"/>
    <x v="0"/>
    <x v="2"/>
    <x v="1"/>
    <n v="1620.6759999999999"/>
    <n v="1480"/>
    <n v="9.5051351351351308"/>
  </r>
  <r>
    <s v="Direct,USnet,40"/>
    <x v="0"/>
    <x v="2"/>
    <x v="1"/>
    <n v="1564.5070000000001"/>
    <n v="1480"/>
    <n v="5.7099324324324368"/>
  </r>
  <r>
    <s v="Direct,USnet,40"/>
    <x v="0"/>
    <x v="2"/>
    <x v="1"/>
    <n v="1582.729"/>
    <n v="1480"/>
    <n v="6.9411486486486513"/>
  </r>
  <r>
    <s v="Direct,USnet,40"/>
    <x v="0"/>
    <x v="2"/>
    <x v="1"/>
    <n v="1603.09"/>
    <n v="1480"/>
    <n v="8.3168918918918866"/>
  </r>
  <r>
    <s v="Direct,USnet,40"/>
    <x v="0"/>
    <x v="2"/>
    <x v="1"/>
    <n v="1622.6089999999999"/>
    <n v="1480"/>
    <n v="9.6357432432432368"/>
  </r>
  <r>
    <s v="Direct,USnet,40"/>
    <x v="0"/>
    <x v="2"/>
    <x v="1"/>
    <n v="1568.8240000000001"/>
    <n v="1480"/>
    <n v="6.0016216216216263"/>
  </r>
  <r>
    <s v="Direct,USnet,40"/>
    <x v="0"/>
    <x v="2"/>
    <x v="1"/>
    <n v="1594.3320000000001"/>
    <n v="1480"/>
    <n v="7.7251351351351429"/>
  </r>
  <r>
    <s v="Direct,USnet,40"/>
    <x v="0"/>
    <x v="2"/>
    <x v="1"/>
    <n v="1584.394"/>
    <n v="1480"/>
    <n v="7.0536486486486485"/>
  </r>
  <r>
    <s v="Direct,USnet,40"/>
    <x v="0"/>
    <x v="2"/>
    <x v="1"/>
    <n v="1574.1410000000001"/>
    <n v="1480"/>
    <n v="6.3608783783783833"/>
  </r>
  <r>
    <s v="Direct,USnet,40"/>
    <x v="0"/>
    <x v="2"/>
    <x v="1"/>
    <n v="1583.277"/>
    <n v="1480"/>
    <n v="6.9781756756756783"/>
  </r>
  <r>
    <s v="Direct,USnet,40"/>
    <x v="0"/>
    <x v="2"/>
    <x v="1"/>
    <n v="1570.1079999999999"/>
    <n v="1480"/>
    <n v="6.0883783783783754"/>
  </r>
  <r>
    <s v="Direct,USnet,40"/>
    <x v="0"/>
    <x v="2"/>
    <x v="1"/>
    <n v="1585.057"/>
    <n v="1480"/>
    <n v="7.0984459459459472"/>
  </r>
  <r>
    <s v="Direct,USnet,40"/>
    <x v="0"/>
    <x v="2"/>
    <x v="1"/>
    <n v="1595.8019999999999"/>
    <n v="1480"/>
    <n v="7.8244594594594528"/>
  </r>
  <r>
    <s v="Direct,USnet,40"/>
    <x v="0"/>
    <x v="2"/>
    <x v="1"/>
    <n v="1557.0530000000001"/>
    <n v="1480"/>
    <n v="5.2062837837837908"/>
  </r>
  <r>
    <s v="Direct,USnet,40"/>
    <x v="0"/>
    <x v="2"/>
    <x v="1"/>
    <n v="1545.2739999999999"/>
    <n v="1480"/>
    <n v="4.410405405405398"/>
  </r>
  <r>
    <s v="Direct,USnet,40"/>
    <x v="0"/>
    <x v="2"/>
    <x v="1"/>
    <n v="1575.567"/>
    <n v="1480"/>
    <n v="6.4572297297297299"/>
  </r>
  <r>
    <s v="Direct,USnet,40"/>
    <x v="0"/>
    <x v="2"/>
    <x v="1"/>
    <n v="1570.789"/>
    <n v="1480"/>
    <n v="6.1343918918918909"/>
  </r>
  <r>
    <s v="Direct,USnet,40"/>
    <x v="0"/>
    <x v="2"/>
    <x v="1"/>
    <n v="1559.3309999999999"/>
    <n v="1480"/>
    <n v="5.3602027027026962"/>
  </r>
  <r>
    <s v="Direct,USnet,40"/>
    <x v="0"/>
    <x v="2"/>
    <x v="1"/>
    <n v="1552.962"/>
    <n v="1480"/>
    <n v="4.9298648648648644"/>
  </r>
  <r>
    <s v="Direct,USnet,40"/>
    <x v="0"/>
    <x v="2"/>
    <x v="1"/>
    <n v="1603.335"/>
    <n v="1480"/>
    <n v="8.3334459459459485"/>
  </r>
  <r>
    <s v="Direct,USnet,40"/>
    <x v="0"/>
    <x v="2"/>
    <x v="1"/>
    <n v="1589.434"/>
    <n v="1480"/>
    <n v="7.3941891891891878"/>
  </r>
  <r>
    <s v="Direct,USnet,40"/>
    <x v="0"/>
    <x v="2"/>
    <x v="1"/>
    <n v="1550.346"/>
    <n v="1480"/>
    <n v="4.7531081081081084"/>
  </r>
  <r>
    <s v="Direct,USnet,40"/>
    <x v="0"/>
    <x v="2"/>
    <x v="1"/>
    <n v="1576.4760000000001"/>
    <n v="1480"/>
    <n v="6.5186486486486563"/>
  </r>
  <r>
    <s v="Direct,USnet,40"/>
    <x v="0"/>
    <x v="2"/>
    <x v="1"/>
    <n v="1596.9949999999999"/>
    <n v="1480"/>
    <n v="7.9050675675675599"/>
  </r>
  <r>
    <s v="Direct,USnet,40"/>
    <x v="0"/>
    <x v="2"/>
    <x v="1"/>
    <n v="1620.758"/>
    <n v="1480"/>
    <n v="9.5106756756756781"/>
  </r>
  <r>
    <s v="Direct,USnet,40"/>
    <x v="0"/>
    <x v="2"/>
    <x v="1"/>
    <n v="1574.8019999999999"/>
    <n v="1480"/>
    <n v="6.4055405405405343"/>
  </r>
  <r>
    <s v="Direct,USnet,40"/>
    <x v="0"/>
    <x v="2"/>
    <x v="1"/>
    <n v="1594.548"/>
    <n v="1480"/>
    <n v="7.7397297297297305"/>
  </r>
  <r>
    <s v="Direct,USnet,40"/>
    <x v="0"/>
    <x v="2"/>
    <x v="1"/>
    <n v="1560.087"/>
    <n v="1480"/>
    <n v="5.4112837837837828"/>
  </r>
  <r>
    <s v="Direct,USnet,40"/>
    <x v="0"/>
    <x v="2"/>
    <x v="1"/>
    <n v="1577.4290000000001"/>
    <n v="1480"/>
    <n v="6.583040540540547"/>
  </r>
  <r>
    <s v="Direct,USnet,40"/>
    <x v="0"/>
    <x v="2"/>
    <x v="1"/>
    <n v="1597.3320000000001"/>
    <n v="1480"/>
    <n v="7.9278378378378447"/>
  </r>
  <r>
    <s v="Direct,USnet,40"/>
    <x v="0"/>
    <x v="2"/>
    <x v="1"/>
    <n v="1608.769"/>
    <n v="1480"/>
    <n v="8.7006081081081081"/>
  </r>
  <r>
    <s v="Direct,USnet,40"/>
    <x v="0"/>
    <x v="2"/>
    <x v="1"/>
    <n v="1628.3710000000001"/>
    <n v="1480"/>
    <n v="10.025067567567573"/>
  </r>
  <r>
    <s v="Direct,USnet,40"/>
    <x v="0"/>
    <x v="2"/>
    <x v="1"/>
    <n v="1579.028"/>
    <n v="1480"/>
    <n v="6.6910810810810819"/>
  </r>
  <r>
    <s v="Direct,USnet,40"/>
    <x v="0"/>
    <x v="2"/>
    <x v="1"/>
    <n v="1566.837"/>
    <n v="1480"/>
    <n v="5.8673648648648644"/>
  </r>
  <r>
    <s v="Direct,USnet,40"/>
    <x v="0"/>
    <x v="2"/>
    <x v="1"/>
    <n v="1629.703"/>
    <n v="1480"/>
    <n v="10.115067567567566"/>
  </r>
  <r>
    <s v="Direct,USnet,40"/>
    <x v="0"/>
    <x v="2"/>
    <x v="1"/>
    <n v="1571.145"/>
    <n v="1480"/>
    <n v="6.1584459459459442"/>
  </r>
  <r>
    <s v="Direct,USnet,40"/>
    <x v="0"/>
    <x v="2"/>
    <x v="1"/>
    <n v="1590.8130000000001"/>
    <n v="1480"/>
    <n v="7.4873648648648716"/>
  </r>
  <r>
    <s v="Direct,USnet,40"/>
    <x v="0"/>
    <x v="2"/>
    <x v="1"/>
    <n v="1575.9259999999999"/>
    <n v="1480"/>
    <n v="6.4814864864864816"/>
  </r>
  <r>
    <s v="Direct,USnet,40"/>
    <x v="0"/>
    <x v="2"/>
    <x v="1"/>
    <n v="1559.6279999999999"/>
    <n v="1480"/>
    <n v="5.3802702702702652"/>
  </r>
  <r>
    <s v="Direct,USnet,40"/>
    <x v="0"/>
    <x v="2"/>
    <x v="1"/>
    <n v="1573.9090000000001"/>
    <n v="1480"/>
    <n v="6.3452027027027098"/>
  </r>
  <r>
    <s v="Direct,USnet,40"/>
    <x v="0"/>
    <x v="2"/>
    <x v="1"/>
    <n v="1600.7550000000001"/>
    <n v="1480"/>
    <n v="8.1591216216216296"/>
  </r>
  <r>
    <s v="Direct,USnet,40"/>
    <x v="0"/>
    <x v="2"/>
    <x v="1"/>
    <n v="1591.84"/>
    <n v="1480"/>
    <n v="7.5567567567567506"/>
  </r>
  <r>
    <s v="Direct,USnet,40"/>
    <x v="0"/>
    <x v="2"/>
    <x v="1"/>
    <n v="1609.577"/>
    <n v="1480"/>
    <n v="8.755202702702702"/>
  </r>
  <r>
    <s v="Direct,USnet,40"/>
    <x v="0"/>
    <x v="2"/>
    <x v="1"/>
    <n v="1582.287"/>
    <n v="1480"/>
    <n v="6.9112837837837864"/>
  </r>
  <r>
    <s v="Direct,USnet,40"/>
    <x v="0"/>
    <x v="2"/>
    <x v="1"/>
    <n v="1588.472"/>
    <n v="1480"/>
    <n v="7.3291891891891874"/>
  </r>
  <r>
    <s v="Direct,USnet,40"/>
    <x v="0"/>
    <x v="2"/>
    <x v="1"/>
    <n v="1597.374"/>
    <n v="1480"/>
    <n v="7.9306756756756771"/>
  </r>
  <r>
    <s v="Direct,USnet,40"/>
    <x v="0"/>
    <x v="2"/>
    <x v="1"/>
    <n v="1582.9649999999999"/>
    <n v="1480"/>
    <n v="6.9570945945945883"/>
  </r>
  <r>
    <s v="Direct,USnet,40"/>
    <x v="0"/>
    <x v="2"/>
    <x v="1"/>
    <n v="1551.7170000000001"/>
    <n v="1480"/>
    <n v="4.8457432432432501"/>
  </r>
  <r>
    <s v="Direct,USnet,60"/>
    <x v="0"/>
    <x v="2"/>
    <x v="2"/>
    <n v="2219.34"/>
    <n v="2130"/>
    <n v="4.194366197183105"/>
  </r>
  <r>
    <s v="Direct,USnet,60"/>
    <x v="0"/>
    <x v="2"/>
    <x v="2"/>
    <n v="2265.0369999999998"/>
    <n v="2130"/>
    <n v="6.3397652582159525"/>
  </r>
  <r>
    <s v="Direct,USnet,60"/>
    <x v="0"/>
    <x v="2"/>
    <x v="2"/>
    <n v="2148.3539999999998"/>
    <n v="2130"/>
    <n v="0.86169014084506168"/>
  </r>
  <r>
    <s v="Direct,USnet,60"/>
    <x v="0"/>
    <x v="2"/>
    <x v="2"/>
    <n v="2204.4989999999998"/>
    <n v="2130"/>
    <n v="3.4976056338028076"/>
  </r>
  <r>
    <s v="Direct,USnet,60"/>
    <x v="0"/>
    <x v="2"/>
    <x v="2"/>
    <n v="2227.0720000000001"/>
    <n v="2130"/>
    <n v="4.5573708920187848"/>
  </r>
  <r>
    <s v="Direct,USnet,60"/>
    <x v="0"/>
    <x v="2"/>
    <x v="2"/>
    <n v="2243.1950000000002"/>
    <n v="2130"/>
    <n v="5.3143192488262985"/>
  </r>
  <r>
    <s v="Direct,USnet,60"/>
    <x v="0"/>
    <x v="2"/>
    <x v="2"/>
    <n v="2137.962"/>
    <n v="2130"/>
    <n v="0.37380281690140793"/>
  </r>
  <r>
    <s v="Direct,USnet,60"/>
    <x v="0"/>
    <x v="2"/>
    <x v="2"/>
    <n v="2202.4699999999998"/>
    <n v="2130"/>
    <n v="3.4023474178403665"/>
  </r>
  <r>
    <s v="Direct,USnet,60"/>
    <x v="0"/>
    <x v="2"/>
    <x v="2"/>
    <n v="2252.9299999999998"/>
    <n v="2130"/>
    <n v="5.7713615023474096"/>
  </r>
  <r>
    <s v="Direct,USnet,60"/>
    <x v="0"/>
    <x v="2"/>
    <x v="2"/>
    <n v="2246.6840000000002"/>
    <n v="2130"/>
    <n v="5.4781220657277085"/>
  </r>
  <r>
    <s v="Direct,USnet,60"/>
    <x v="0"/>
    <x v="2"/>
    <x v="2"/>
    <n v="2186.13"/>
    <n v="2130"/>
    <n v="2.635211267605639"/>
  </r>
  <r>
    <s v="Direct,USnet,60"/>
    <x v="0"/>
    <x v="2"/>
    <x v="2"/>
    <n v="2238.011"/>
    <n v="2130"/>
    <n v="5.0709389671361489"/>
  </r>
  <r>
    <s v="Direct,USnet,60"/>
    <x v="0"/>
    <x v="2"/>
    <x v="2"/>
    <n v="2230.518"/>
    <n v="2130"/>
    <n v="4.7191549295774662"/>
  </r>
  <r>
    <s v="Direct,USnet,60"/>
    <x v="0"/>
    <x v="2"/>
    <x v="2"/>
    <n v="2240.4259999999999"/>
    <n v="2130"/>
    <n v="5.1843192488262879"/>
  </r>
  <r>
    <s v="Direct,USnet,60"/>
    <x v="0"/>
    <x v="2"/>
    <x v="2"/>
    <n v="2212.2730000000001"/>
    <n v="2130"/>
    <n v="3.8625821596244196"/>
  </r>
  <r>
    <s v="Direct,USnet,60"/>
    <x v="0"/>
    <x v="2"/>
    <x v="2"/>
    <n v="2221.8319999999999"/>
    <n v="2130"/>
    <n v="4.3113615023474123"/>
  </r>
  <r>
    <s v="Direct,USnet,60"/>
    <x v="0"/>
    <x v="2"/>
    <x v="2"/>
    <n v="2264.7950000000001"/>
    <n v="2130"/>
    <n v="6.3284037558685471"/>
  </r>
  <r>
    <s v="Direct,USnet,60"/>
    <x v="0"/>
    <x v="2"/>
    <x v="2"/>
    <n v="2207.6930000000002"/>
    <n v="2130"/>
    <n v="3.6475586854460196"/>
  </r>
  <r>
    <s v="Direct,USnet,60"/>
    <x v="0"/>
    <x v="2"/>
    <x v="2"/>
    <n v="2148.7020000000002"/>
    <n v="2130"/>
    <n v="0.87802816901409508"/>
  </r>
  <r>
    <s v="Direct,USnet,60"/>
    <x v="0"/>
    <x v="2"/>
    <x v="2"/>
    <n v="2196.924"/>
    <n v="2130"/>
    <n v="3.1419718309859146"/>
  </r>
  <r>
    <s v="Direct,USnet,60"/>
    <x v="0"/>
    <x v="2"/>
    <x v="2"/>
    <n v="2270.703"/>
    <n v="2130"/>
    <n v="6.6057746478873236"/>
  </r>
  <r>
    <s v="Direct,USnet,60"/>
    <x v="0"/>
    <x v="2"/>
    <x v="2"/>
    <n v="2147.4580000000001"/>
    <n v="2130"/>
    <n v="0.81962441314554391"/>
  </r>
  <r>
    <s v="Direct,USnet,60"/>
    <x v="0"/>
    <x v="2"/>
    <x v="2"/>
    <n v="2202.8910000000001"/>
    <n v="2130"/>
    <n v="3.4221126760563414"/>
  </r>
  <r>
    <s v="Direct,USnet,60"/>
    <x v="0"/>
    <x v="2"/>
    <x v="2"/>
    <n v="2191.8780000000002"/>
    <n v="2130"/>
    <n v="2.9050704225352186"/>
  </r>
  <r>
    <s v="Direct,USnet,60"/>
    <x v="0"/>
    <x v="2"/>
    <x v="2"/>
    <n v="2189.8690000000001"/>
    <n v="2130"/>
    <n v="2.810751173708927"/>
  </r>
  <r>
    <s v="Direct,USnet,60"/>
    <x v="0"/>
    <x v="2"/>
    <x v="2"/>
    <n v="2159.636"/>
    <n v="2130"/>
    <n v="1.3913615023474162"/>
  </r>
  <r>
    <s v="Direct,USnet,60"/>
    <x v="0"/>
    <x v="2"/>
    <x v="2"/>
    <n v="2225.3180000000002"/>
    <n v="2130"/>
    <n v="4.4750234741784132"/>
  </r>
  <r>
    <s v="Direct,USnet,60"/>
    <x v="0"/>
    <x v="2"/>
    <x v="2"/>
    <n v="2219.5810000000001"/>
    <n v="2130"/>
    <n v="4.2056807511737144"/>
  </r>
  <r>
    <s v="Direct,USnet,60"/>
    <x v="0"/>
    <x v="2"/>
    <x v="2"/>
    <n v="2194.3690000000001"/>
    <n v="2130"/>
    <n v="3.0220187793427296"/>
  </r>
  <r>
    <s v="Direct,USnet,60"/>
    <x v="0"/>
    <x v="2"/>
    <x v="2"/>
    <n v="2221.8000000000002"/>
    <n v="2130"/>
    <n v="4.3098591549295859"/>
  </r>
  <r>
    <s v="Direct,USnet,60"/>
    <x v="0"/>
    <x v="2"/>
    <x v="2"/>
    <n v="2150.962"/>
    <n v="2130"/>
    <n v="0.98413145539906055"/>
  </r>
  <r>
    <s v="Direct,USnet,60"/>
    <x v="0"/>
    <x v="2"/>
    <x v="2"/>
    <n v="2186.096"/>
    <n v="2130"/>
    <n v="2.6336150234741784"/>
  </r>
  <r>
    <s v="Direct,USnet,60"/>
    <x v="0"/>
    <x v="2"/>
    <x v="2"/>
    <n v="2168.7350000000001"/>
    <n v="2130"/>
    <n v="1.818544600938973"/>
  </r>
  <r>
    <s v="Direct,USnet,60"/>
    <x v="0"/>
    <x v="2"/>
    <x v="2"/>
    <n v="2238.98"/>
    <n v="2130"/>
    <n v="5.1164319248826295"/>
  </r>
  <r>
    <s v="Direct,USnet,60"/>
    <x v="0"/>
    <x v="2"/>
    <x v="2"/>
    <n v="2286.1680000000001"/>
    <n v="2130"/>
    <n v="7.3318309859154978"/>
  </r>
  <r>
    <s v="Direct,USnet,60"/>
    <x v="0"/>
    <x v="2"/>
    <x v="2"/>
    <n v="2226.3270000000002"/>
    <n v="2130"/>
    <n v="4.5223943661971937"/>
  </r>
  <r>
    <s v="Direct,USnet,60"/>
    <x v="0"/>
    <x v="2"/>
    <x v="2"/>
    <n v="2192.7399999999998"/>
    <n v="2130"/>
    <n v="2.9455399061032761"/>
  </r>
  <r>
    <s v="Direct,USnet,60"/>
    <x v="0"/>
    <x v="2"/>
    <x v="2"/>
    <n v="2078.0039999999999"/>
    <n v="2130"/>
    <n v="2.4411267605633844"/>
  </r>
  <r>
    <s v="Direct,USnet,60"/>
    <x v="0"/>
    <x v="2"/>
    <x v="2"/>
    <n v="2278.1179999999999"/>
    <n v="2130"/>
    <n v="6.9538967136150207"/>
  </r>
  <r>
    <s v="Direct,USnet,60"/>
    <x v="0"/>
    <x v="2"/>
    <x v="2"/>
    <n v="2157.567"/>
    <n v="2130"/>
    <n v="1.2942253521126763"/>
  </r>
  <r>
    <s v="Direct,USnet,60"/>
    <x v="0"/>
    <x v="2"/>
    <x v="2"/>
    <n v="2124.3429999999998"/>
    <n v="2130"/>
    <n v="0.26558685446010105"/>
  </r>
  <r>
    <s v="Direct,USnet,60"/>
    <x v="0"/>
    <x v="2"/>
    <x v="2"/>
    <n v="2139.846"/>
    <n v="2130"/>
    <n v="0.46225352112676071"/>
  </r>
  <r>
    <s v="Direct,USnet,60"/>
    <x v="0"/>
    <x v="2"/>
    <x v="2"/>
    <n v="2237.181"/>
    <n v="2130"/>
    <n v="5.0319718309859169"/>
  </r>
  <r>
    <s v="Direct,USnet,60"/>
    <x v="0"/>
    <x v="2"/>
    <x v="2"/>
    <n v="2220.3829999999998"/>
    <n v="2130"/>
    <n v="4.2433333333333243"/>
  </r>
  <r>
    <s v="Direct,USnet,60"/>
    <x v="0"/>
    <x v="2"/>
    <x v="2"/>
    <n v="2232.3910000000001"/>
    <n v="2130"/>
    <n v="4.8070892018779379"/>
  </r>
  <r>
    <s v="Direct,USnet,60"/>
    <x v="0"/>
    <x v="2"/>
    <x v="2"/>
    <n v="2209.4059999999999"/>
    <n v="2130"/>
    <n v="3.7279812206572749"/>
  </r>
  <r>
    <s v="Direct,USnet,60"/>
    <x v="0"/>
    <x v="2"/>
    <x v="2"/>
    <n v="2217.9189999999999"/>
    <n v="2130"/>
    <n v="4.1276525821596177"/>
  </r>
  <r>
    <s v="Direct,USnet,60"/>
    <x v="0"/>
    <x v="2"/>
    <x v="2"/>
    <n v="2223.433"/>
    <n v="2130"/>
    <n v="4.3865258215962442"/>
  </r>
  <r>
    <s v="Direct,USnet,60"/>
    <x v="0"/>
    <x v="2"/>
    <x v="2"/>
    <n v="2237.8649999999998"/>
    <n v="2130"/>
    <n v="5.064084507042244"/>
  </r>
  <r>
    <s v="Direct,USnet,60"/>
    <x v="0"/>
    <x v="2"/>
    <x v="2"/>
    <n v="2231.77"/>
    <n v="2130"/>
    <n v="4.7779342723004685"/>
  </r>
  <r>
    <s v="Direct,USnet,60"/>
    <x v="0"/>
    <x v="2"/>
    <x v="2"/>
    <n v="2197.5540000000001"/>
    <n v="2130"/>
    <n v="3.1715492957746521"/>
  </r>
  <r>
    <s v="Direct,USnet,60"/>
    <x v="0"/>
    <x v="2"/>
    <x v="2"/>
    <n v="2290.9340000000002"/>
    <n v="2130"/>
    <n v="7.5555868544601026"/>
  </r>
  <r>
    <s v="Direct,USnet,60"/>
    <x v="0"/>
    <x v="2"/>
    <x v="2"/>
    <n v="2138.4"/>
    <n v="2130"/>
    <n v="0.39436619718310284"/>
  </r>
  <r>
    <s v="Direct,USnet,60"/>
    <x v="0"/>
    <x v="2"/>
    <x v="2"/>
    <n v="2247.9459999999999"/>
    <n v="2130"/>
    <n v="5.5373708920187754"/>
  </r>
  <r>
    <s v="Direct,USnet,60"/>
    <x v="0"/>
    <x v="2"/>
    <x v="2"/>
    <n v="2226.4009999999998"/>
    <n v="2130"/>
    <n v="4.5258685446009315"/>
  </r>
  <r>
    <s v="Direct,USnet,60"/>
    <x v="0"/>
    <x v="2"/>
    <x v="2"/>
    <n v="2221.0990000000002"/>
    <n v="2130"/>
    <n v="4.2769483568075195"/>
  </r>
  <r>
    <s v="Direct,USnet,60"/>
    <x v="0"/>
    <x v="2"/>
    <x v="2"/>
    <n v="2120.3020000000001"/>
    <n v="2130"/>
    <n v="0.45530516431924251"/>
  </r>
  <r>
    <s v="Direct,USnet,60"/>
    <x v="0"/>
    <x v="2"/>
    <x v="2"/>
    <n v="2238.9140000000002"/>
    <n v="2130"/>
    <n v="5.1133333333333431"/>
  </r>
  <r>
    <s v="Direct,USnet,60"/>
    <x v="0"/>
    <x v="2"/>
    <x v="2"/>
    <n v="2234.4050000000002"/>
    <n v="2130"/>
    <n v="4.9016431924882724"/>
  </r>
  <r>
    <s v="Direct,USnet,60"/>
    <x v="0"/>
    <x v="2"/>
    <x v="2"/>
    <n v="2233.9899999999998"/>
    <n v="2130"/>
    <n v="4.882159624413136"/>
  </r>
  <r>
    <s v="Direct,USnet,60"/>
    <x v="0"/>
    <x v="2"/>
    <x v="2"/>
    <n v="2220.4180000000001"/>
    <n v="2130"/>
    <n v="4.2449765258216017"/>
  </r>
  <r>
    <s v="Direct,USnet,60"/>
    <x v="0"/>
    <x v="2"/>
    <x v="2"/>
    <n v="2272.319"/>
    <n v="2130"/>
    <n v="6.6816431924882611"/>
  </r>
  <r>
    <s v="Direct,USnet,60"/>
    <x v="0"/>
    <x v="2"/>
    <x v="2"/>
    <n v="2237.578"/>
    <n v="2130"/>
    <n v="5.0506103286384967"/>
  </r>
  <r>
    <s v="Direct,USnet,60"/>
    <x v="0"/>
    <x v="2"/>
    <x v="2"/>
    <n v="2219.1309999999999"/>
    <n v="2130"/>
    <n v="4.184553990610322"/>
  </r>
  <r>
    <s v="Direct,USnet,60"/>
    <x v="0"/>
    <x v="2"/>
    <x v="2"/>
    <n v="2214.0749999999998"/>
    <n v="2130"/>
    <n v="3.9471830985915406"/>
  </r>
  <r>
    <s v="Direct,USnet,60"/>
    <x v="0"/>
    <x v="2"/>
    <x v="2"/>
    <n v="2216.9839999999999"/>
    <n v="2130"/>
    <n v="4.0837558685445972"/>
  </r>
  <r>
    <s v="Direct,USnet,60"/>
    <x v="0"/>
    <x v="2"/>
    <x v="2"/>
    <n v="2238.06"/>
    <n v="2130"/>
    <n v="5.0732394366197155"/>
  </r>
  <r>
    <s v="Direct,USnet,60"/>
    <x v="0"/>
    <x v="2"/>
    <x v="2"/>
    <n v="2199.2840000000001"/>
    <n v="2130"/>
    <n v="3.2527699530516476"/>
  </r>
  <r>
    <s v="Direct,USnet,60"/>
    <x v="0"/>
    <x v="2"/>
    <x v="2"/>
    <n v="2198.7179999999998"/>
    <n v="2130"/>
    <n v="3.2261971830985843"/>
  </r>
  <r>
    <s v="Direct,USnet,60"/>
    <x v="0"/>
    <x v="2"/>
    <x v="2"/>
    <n v="2149.41"/>
    <n v="2130"/>
    <n v="0.91126760563379605"/>
  </r>
  <r>
    <s v="Direct,USnet,60"/>
    <x v="0"/>
    <x v="2"/>
    <x v="2"/>
    <n v="2158.8130000000001"/>
    <n v="2130"/>
    <n v="1.3527230046948404"/>
  </r>
  <r>
    <s v="Direct,USnet,60"/>
    <x v="0"/>
    <x v="2"/>
    <x v="2"/>
    <n v="2167.1770000000001"/>
    <n v="2130"/>
    <n v="1.7453990610328702"/>
  </r>
  <r>
    <s v="Direct,USnet,60"/>
    <x v="0"/>
    <x v="2"/>
    <x v="2"/>
    <n v="2136.902"/>
    <n v="2130"/>
    <n v="0.32403755868544803"/>
  </r>
  <r>
    <s v="Direct,USnet,60"/>
    <x v="0"/>
    <x v="2"/>
    <x v="2"/>
    <n v="2144.0250000000001"/>
    <n v="2130"/>
    <n v="0.65845070422535645"/>
  </r>
  <r>
    <s v="Direct,USnet,60"/>
    <x v="0"/>
    <x v="2"/>
    <x v="2"/>
    <n v="2080.6640000000002"/>
    <n v="2130"/>
    <n v="2.316244131455389"/>
  </r>
  <r>
    <s v="Direct,USnet,60"/>
    <x v="0"/>
    <x v="2"/>
    <x v="2"/>
    <n v="2226.8960000000002"/>
    <n v="2130"/>
    <n v="4.5491079812206658"/>
  </r>
  <r>
    <s v="Direct,USnet,60"/>
    <x v="0"/>
    <x v="2"/>
    <x v="2"/>
    <n v="2196.5700000000002"/>
    <n v="2130"/>
    <n v="3.1253521126760644"/>
  </r>
  <r>
    <s v="Direct,USnet,60"/>
    <x v="0"/>
    <x v="2"/>
    <x v="2"/>
    <n v="2246.652"/>
    <n v="2130"/>
    <n v="5.4766197183098617"/>
  </r>
  <r>
    <s v="Direct,USnet,60"/>
    <x v="0"/>
    <x v="2"/>
    <x v="2"/>
    <n v="2137.7510000000002"/>
    <n v="2130"/>
    <n v="0.36389671361503306"/>
  </r>
  <r>
    <s v="Direct,USnet,60"/>
    <x v="0"/>
    <x v="2"/>
    <x v="2"/>
    <n v="2148.654"/>
    <n v="2130"/>
    <n v="0.87577464788732384"/>
  </r>
  <r>
    <s v="Direct,USnet,60"/>
    <x v="0"/>
    <x v="2"/>
    <x v="2"/>
    <n v="2162.654"/>
    <n v="2130"/>
    <n v="1.5330516431924881"/>
  </r>
  <r>
    <s v="Direct,USnet,60"/>
    <x v="0"/>
    <x v="2"/>
    <x v="2"/>
    <n v="2159.9259999999999"/>
    <n v="2130"/>
    <n v="1.4049765258215929"/>
  </r>
  <r>
    <s v="Direct,USnet,60"/>
    <x v="0"/>
    <x v="2"/>
    <x v="2"/>
    <n v="2264.3969999999999"/>
    <n v="2130"/>
    <n v="6.3097183098591527"/>
  </r>
  <r>
    <s v="Direct,USnet,60"/>
    <x v="0"/>
    <x v="2"/>
    <x v="2"/>
    <n v="2199.5639999999999"/>
    <n v="2130"/>
    <n v="3.2659154929577396"/>
  </r>
  <r>
    <s v="Direct,USnet,60"/>
    <x v="0"/>
    <x v="2"/>
    <x v="2"/>
    <n v="2206.9209999999998"/>
    <n v="2130"/>
    <n v="3.611314553990602"/>
  </r>
  <r>
    <s v="Direct,USnet,60"/>
    <x v="0"/>
    <x v="2"/>
    <x v="2"/>
    <n v="2173.9050000000002"/>
    <n v="2130"/>
    <n v="2.061267605633812"/>
  </r>
  <r>
    <s v="Direct,USnet,60"/>
    <x v="0"/>
    <x v="2"/>
    <x v="2"/>
    <n v="2255.279"/>
    <n v="2130"/>
    <n v="5.8816431924882622"/>
  </r>
  <r>
    <s v="Direct,USnet,60"/>
    <x v="0"/>
    <x v="2"/>
    <x v="2"/>
    <n v="2254.0529999999999"/>
    <n v="2130"/>
    <n v="5.8240845070422482"/>
  </r>
  <r>
    <s v="Direct,USnet,60"/>
    <x v="0"/>
    <x v="2"/>
    <x v="2"/>
    <n v="2176.3180000000002"/>
    <n v="2130"/>
    <n v="2.1745539906103386"/>
  </r>
  <r>
    <s v="Direct,USnet,60"/>
    <x v="0"/>
    <x v="2"/>
    <x v="2"/>
    <n v="2137.6509999999998"/>
    <n v="2130"/>
    <n v="0.35920187793426478"/>
  </r>
  <r>
    <s v="Direct,USnet,60"/>
    <x v="0"/>
    <x v="2"/>
    <x v="2"/>
    <n v="2172.8029999999999"/>
    <n v="2130"/>
    <n v="2.0095305164319193"/>
  </r>
  <r>
    <s v="Direct,USnet,60"/>
    <x v="0"/>
    <x v="2"/>
    <x v="2"/>
    <n v="2207.5309999999999"/>
    <n v="2130"/>
    <n v="3.6399530516431904"/>
  </r>
  <r>
    <s v="Direct,USnet,60"/>
    <x v="0"/>
    <x v="2"/>
    <x v="2"/>
    <n v="2226.5709999999999"/>
    <n v="2130"/>
    <n v="4.5338497652582115"/>
  </r>
  <r>
    <s v="Direct,USnet,60"/>
    <x v="0"/>
    <x v="2"/>
    <x v="2"/>
    <n v="2228.326"/>
    <n v="2130"/>
    <n v="4.6162441314554004"/>
  </r>
  <r>
    <s v="Direct,USnet,60"/>
    <x v="0"/>
    <x v="2"/>
    <x v="2"/>
    <n v="2134.8620000000001"/>
    <n v="2130"/>
    <n v="0.2282629107981258"/>
  </r>
  <r>
    <s v="Direct,USnet,60"/>
    <x v="0"/>
    <x v="2"/>
    <x v="2"/>
    <n v="2221.337"/>
    <n v="2130"/>
    <n v="4.2881220657276984"/>
  </r>
  <r>
    <s v="Direct,USnet,60"/>
    <x v="0"/>
    <x v="2"/>
    <x v="2"/>
    <n v="2155.8310000000001"/>
    <n v="2130"/>
    <n v="1.2127230046948418"/>
  </r>
  <r>
    <s v="Direct,USnet,60"/>
    <x v="0"/>
    <x v="2"/>
    <x v="2"/>
    <n v="2199.0459999999998"/>
    <n v="2130"/>
    <n v="3.241596244131447"/>
  </r>
  <r>
    <s v="Direct,USnet,60"/>
    <x v="0"/>
    <x v="2"/>
    <x v="2"/>
    <n v="2207.9540000000002"/>
    <n v="2130"/>
    <n v="3.6598122065727781"/>
  </r>
  <r>
    <s v="Direct,USnet,60"/>
    <x v="0"/>
    <x v="2"/>
    <x v="2"/>
    <n v="2210.7710000000002"/>
    <n v="2130"/>
    <n v="3.7920657276995398"/>
  </r>
  <r>
    <s v="Direct,USnet,80"/>
    <x v="0"/>
    <x v="2"/>
    <x v="3"/>
    <n v="2855.42"/>
    <n v="2740"/>
    <n v="4.2124087591240897"/>
  </r>
  <r>
    <s v="Direct,USnet,80"/>
    <x v="0"/>
    <x v="2"/>
    <x v="3"/>
    <n v="2871.45"/>
    <n v="2740"/>
    <n v="4.7974452554744458"/>
  </r>
  <r>
    <s v="Direct,USnet,80"/>
    <x v="0"/>
    <x v="2"/>
    <x v="3"/>
    <n v="2873.3850000000002"/>
    <n v="2740"/>
    <n v="4.8680656934306645"/>
  </r>
  <r>
    <s v="Direct,USnet,80"/>
    <x v="0"/>
    <x v="2"/>
    <x v="3"/>
    <n v="2847.7719999999999"/>
    <n v="2740"/>
    <n v="3.933284671532844"/>
  </r>
  <r>
    <s v="Direct,USnet,80"/>
    <x v="0"/>
    <x v="2"/>
    <x v="3"/>
    <n v="2780.8510000000001"/>
    <n v="2740"/>
    <n v="1.4909124087591283"/>
  </r>
  <r>
    <s v="Direct,USnet,80"/>
    <x v="0"/>
    <x v="2"/>
    <x v="3"/>
    <n v="2842.25"/>
    <n v="2740"/>
    <n v="3.7317518248175183"/>
  </r>
  <r>
    <s v="Direct,USnet,80"/>
    <x v="0"/>
    <x v="2"/>
    <x v="3"/>
    <n v="2849.326"/>
    <n v="2740"/>
    <n v="3.9900000000000007"/>
  </r>
  <r>
    <s v="Direct,USnet,80"/>
    <x v="0"/>
    <x v="2"/>
    <x v="3"/>
    <n v="2782.8939999999998"/>
    <n v="2740"/>
    <n v="1.5654744525547364"/>
  </r>
  <r>
    <s v="Direct,USnet,80"/>
    <x v="0"/>
    <x v="2"/>
    <x v="3"/>
    <n v="2806.944"/>
    <n v="2740"/>
    <n v="2.4432116788321152"/>
  </r>
  <r>
    <s v="Direct,USnet,80"/>
    <x v="0"/>
    <x v="2"/>
    <x v="3"/>
    <n v="2913.797"/>
    <n v="2740"/>
    <n v="6.3429562043795631"/>
  </r>
  <r>
    <s v="Direct,USnet,80"/>
    <x v="0"/>
    <x v="2"/>
    <x v="3"/>
    <n v="2830.0920000000001"/>
    <n v="2740"/>
    <n v="3.288029197080296"/>
  </r>
  <r>
    <s v="Direct,USnet,80"/>
    <x v="0"/>
    <x v="2"/>
    <x v="3"/>
    <n v="2738.221"/>
    <n v="2740"/>
    <n v="6.4927007299269937E-2"/>
  </r>
  <r>
    <s v="Direct,USnet,80"/>
    <x v="0"/>
    <x v="2"/>
    <x v="3"/>
    <n v="2749.1190000000001"/>
    <n v="2740"/>
    <n v="0.33281021897810736"/>
  </r>
  <r>
    <s v="Direct,USnet,80"/>
    <x v="0"/>
    <x v="2"/>
    <x v="3"/>
    <n v="2725.0569999999998"/>
    <n v="2740"/>
    <n v="0.54536496350365737"/>
  </r>
  <r>
    <s v="Direct,USnet,80"/>
    <x v="0"/>
    <x v="2"/>
    <x v="3"/>
    <n v="2677.5709999999999"/>
    <n v="2740"/>
    <n v="2.2784306569343098"/>
  </r>
  <r>
    <s v="Direct,USnet,80"/>
    <x v="0"/>
    <x v="2"/>
    <x v="3"/>
    <n v="2805.6170000000002"/>
    <n v="2740"/>
    <n v="2.3947810218978174"/>
  </r>
  <r>
    <s v="Direct,USnet,80"/>
    <x v="0"/>
    <x v="2"/>
    <x v="3"/>
    <n v="2875.6970000000001"/>
    <n v="2740"/>
    <n v="4.9524452554744567"/>
  </r>
  <r>
    <s v="Direct,USnet,80"/>
    <x v="0"/>
    <x v="2"/>
    <x v="3"/>
    <n v="2855.0079999999998"/>
    <n v="2740"/>
    <n v="4.1973722627737162"/>
  </r>
  <r>
    <s v="Direct,USnet,80"/>
    <x v="0"/>
    <x v="2"/>
    <x v="3"/>
    <n v="2798.08"/>
    <n v="2740"/>
    <n v="2.1197080291970778"/>
  </r>
  <r>
    <s v="Direct,USnet,80"/>
    <x v="0"/>
    <x v="2"/>
    <x v="3"/>
    <n v="2840.0529999999999"/>
    <n v="2740"/>
    <n v="3.6515693430656895"/>
  </r>
  <r>
    <s v="Direct,USnet,80"/>
    <x v="0"/>
    <x v="2"/>
    <x v="3"/>
    <n v="2793.12"/>
    <n v="2740"/>
    <n v="1.9386861313868571"/>
  </r>
  <r>
    <s v="Direct,USnet,80"/>
    <x v="0"/>
    <x v="2"/>
    <x v="3"/>
    <n v="2768.1480000000001"/>
    <n v="2740"/>
    <n v="1.0272992700729977"/>
  </r>
  <r>
    <s v="Direct,USnet,80"/>
    <x v="0"/>
    <x v="2"/>
    <x v="3"/>
    <n v="2781.6019999999999"/>
    <n v="2740"/>
    <n v="1.5183211678832065"/>
  </r>
  <r>
    <s v="Direct,USnet,80"/>
    <x v="0"/>
    <x v="2"/>
    <x v="3"/>
    <n v="2768.7910000000002"/>
    <n v="2740"/>
    <n v="1.0507664233576703"/>
  </r>
  <r>
    <s v="Direct,USnet,80"/>
    <x v="0"/>
    <x v="2"/>
    <x v="3"/>
    <n v="2801.5"/>
    <n v="2740"/>
    <n v="2.2445255474452552"/>
  </r>
  <r>
    <s v="Direct,USnet,80"/>
    <x v="0"/>
    <x v="2"/>
    <x v="3"/>
    <n v="2760.598"/>
    <n v="2740"/>
    <n v="0.75175182481751657"/>
  </r>
  <r>
    <s v="Direct,USnet,80"/>
    <x v="0"/>
    <x v="2"/>
    <x v="3"/>
    <n v="2881.3670000000002"/>
    <n v="2740"/>
    <n v="5.1593795620438021"/>
  </r>
  <r>
    <s v="Direct,USnet,80"/>
    <x v="0"/>
    <x v="2"/>
    <x v="3"/>
    <n v="2787.364"/>
    <n v="2740"/>
    <n v="1.7286131386861328"/>
  </r>
  <r>
    <s v="Direct,USnet,80"/>
    <x v="0"/>
    <x v="2"/>
    <x v="3"/>
    <n v="2847.7640000000001"/>
    <n v="2740"/>
    <n v="3.9329927007299315"/>
  </r>
  <r>
    <s v="Direct,USnet,80"/>
    <x v="0"/>
    <x v="2"/>
    <x v="3"/>
    <n v="2789.5430000000001"/>
    <n v="2740"/>
    <n v="1.8081386861313913"/>
  </r>
  <r>
    <s v="Direct,USnet,80"/>
    <x v="0"/>
    <x v="2"/>
    <x v="3"/>
    <n v="2870.06"/>
    <n v="2740"/>
    <n v="4.7467153284671513"/>
  </r>
  <r>
    <s v="Direct,USnet,80"/>
    <x v="0"/>
    <x v="2"/>
    <x v="3"/>
    <n v="2843.2719999999999"/>
    <n v="2740"/>
    <n v="3.7690510948905085"/>
  </r>
  <r>
    <s v="Direct,USnet,80"/>
    <x v="0"/>
    <x v="2"/>
    <x v="3"/>
    <n v="2935.404"/>
    <n v="2740"/>
    <n v="7.1315328467153289"/>
  </r>
  <r>
    <s v="Direct,USnet,80"/>
    <x v="0"/>
    <x v="2"/>
    <x v="3"/>
    <n v="2799.931"/>
    <n v="2740"/>
    <n v="2.1872627737226291"/>
  </r>
  <r>
    <s v="Direct,USnet,80"/>
    <x v="0"/>
    <x v="2"/>
    <x v="3"/>
    <n v="2782.9119999999998"/>
    <n v="2740"/>
    <n v="1.5661313868613069"/>
  </r>
  <r>
    <s v="Direct,USnet,80"/>
    <x v="0"/>
    <x v="2"/>
    <x v="3"/>
    <n v="2841.0149999999999"/>
    <n v="2740"/>
    <n v="3.686678832116784"/>
  </r>
  <r>
    <s v="Direct,USnet,80"/>
    <x v="0"/>
    <x v="2"/>
    <x v="3"/>
    <n v="2759.41"/>
    <n v="2740"/>
    <n v="0.70839416058393634"/>
  </r>
  <r>
    <s v="Direct,USnet,80"/>
    <x v="0"/>
    <x v="2"/>
    <x v="3"/>
    <n v="2886.6280000000002"/>
    <n v="2740"/>
    <n v="5.3513868613138742"/>
  </r>
  <r>
    <s v="Direct,USnet,80"/>
    <x v="0"/>
    <x v="2"/>
    <x v="3"/>
    <n v="2753.855"/>
    <n v="2740"/>
    <n v="0.50565693430656999"/>
  </r>
  <r>
    <s v="Direct,USnet,80"/>
    <x v="0"/>
    <x v="2"/>
    <x v="3"/>
    <n v="2862.7339999999999"/>
    <n v="2740"/>
    <n v="4.4793430656934277"/>
  </r>
  <r>
    <s v="Direct,USnet,80"/>
    <x v="0"/>
    <x v="2"/>
    <x v="3"/>
    <n v="2937.59"/>
    <n v="2740"/>
    <n v="7.2113138686131437"/>
  </r>
  <r>
    <s v="Direct,USnet,80"/>
    <x v="0"/>
    <x v="2"/>
    <x v="3"/>
    <n v="2761.0039999999999"/>
    <n v="2740"/>
    <n v="0.76656934306568991"/>
  </r>
  <r>
    <s v="Direct,USnet,80"/>
    <x v="0"/>
    <x v="2"/>
    <x v="3"/>
    <n v="2727.1840000000002"/>
    <n v="2740"/>
    <n v="0.46773722627736508"/>
  </r>
  <r>
    <s v="Direct,USnet,80"/>
    <x v="0"/>
    <x v="2"/>
    <x v="3"/>
    <n v="2830.2020000000002"/>
    <n v="2740"/>
    <n v="3.292043795620446"/>
  </r>
  <r>
    <s v="Direct,USnet,80"/>
    <x v="0"/>
    <x v="2"/>
    <x v="3"/>
    <n v="2813.73"/>
    <n v="2740"/>
    <n v="2.6908759124087598"/>
  </r>
  <r>
    <s v="Direct,USnet,80"/>
    <x v="0"/>
    <x v="2"/>
    <x v="3"/>
    <n v="2896.4369999999999"/>
    <n v="2740"/>
    <n v="5.7093795620437922"/>
  </r>
  <r>
    <s v="Direct,USnet,80"/>
    <x v="0"/>
    <x v="2"/>
    <x v="3"/>
    <n v="2754.0329999999999"/>
    <n v="2740"/>
    <n v="0.51215328467152921"/>
  </r>
  <r>
    <s v="Direct,USnet,80"/>
    <x v="0"/>
    <x v="2"/>
    <x v="3"/>
    <n v="2845.047"/>
    <n v="2740"/>
    <n v="3.8338321167883223"/>
  </r>
  <r>
    <s v="Direct,USnet,80"/>
    <x v="0"/>
    <x v="2"/>
    <x v="3"/>
    <n v="2785.1190000000001"/>
    <n v="2740"/>
    <n v="1.6466788321167936"/>
  </r>
  <r>
    <s v="Direct,USnet,80"/>
    <x v="0"/>
    <x v="2"/>
    <x v="3"/>
    <n v="2867.029"/>
    <n v="2740"/>
    <n v="4.6360948905109485"/>
  </r>
  <r>
    <s v="Direct,USnet,80"/>
    <x v="0"/>
    <x v="2"/>
    <x v="3"/>
    <n v="2823.3939999999998"/>
    <n v="2740"/>
    <n v="3.0435766423357586"/>
  </r>
  <r>
    <s v="Direct,USnet,80"/>
    <x v="0"/>
    <x v="2"/>
    <x v="3"/>
    <n v="2913.4839999999999"/>
    <n v="2740"/>
    <n v="6.3315328467153247"/>
  </r>
  <r>
    <s v="Direct,USnet,80"/>
    <x v="0"/>
    <x v="2"/>
    <x v="3"/>
    <n v="2861.989"/>
    <n v="2740"/>
    <n v="4.4521532846715335"/>
  </r>
  <r>
    <s v="Direct,USnet,80"/>
    <x v="0"/>
    <x v="2"/>
    <x v="3"/>
    <n v="2883.7260000000001"/>
    <n v="2740"/>
    <n v="5.2454744525547481"/>
  </r>
  <r>
    <s v="Direct,USnet,80"/>
    <x v="0"/>
    <x v="2"/>
    <x v="3"/>
    <n v="2910.4479999999999"/>
    <n v="2740"/>
    <n v="6.2207299270072944"/>
  </r>
  <r>
    <s v="Direct,USnet,80"/>
    <x v="0"/>
    <x v="2"/>
    <x v="3"/>
    <n v="2767.7449999999999"/>
    <n v="2740"/>
    <n v="1.0125912408759086"/>
  </r>
  <r>
    <s v="Direct,USnet,80"/>
    <x v="0"/>
    <x v="2"/>
    <x v="3"/>
    <n v="2759.3159999999998"/>
    <n v="2740"/>
    <n v="0.7049635036496279"/>
  </r>
  <r>
    <s v="Direct,USnet,80"/>
    <x v="0"/>
    <x v="2"/>
    <x v="3"/>
    <n v="2792.06"/>
    <n v="2740"/>
    <n v="1.8999999999999979"/>
  </r>
  <r>
    <s v="Direct,USnet,80"/>
    <x v="0"/>
    <x v="2"/>
    <x v="3"/>
    <n v="2814.0920000000001"/>
    <n v="2740"/>
    <n v="2.7040875912408793"/>
  </r>
  <r>
    <s v="Direct,USnet,80"/>
    <x v="0"/>
    <x v="2"/>
    <x v="3"/>
    <n v="2837.174"/>
    <n v="2740"/>
    <n v="3.5464963503649622"/>
  </r>
  <r>
    <s v="Direct,USnet,80"/>
    <x v="0"/>
    <x v="2"/>
    <x v="3"/>
    <n v="2891.1149999999998"/>
    <n v="2740"/>
    <n v="5.5151459854014515"/>
  </r>
  <r>
    <s v="Direct,USnet,80"/>
    <x v="0"/>
    <x v="2"/>
    <x v="3"/>
    <n v="2833.444"/>
    <n v="2740"/>
    <n v="3.4103649635036479"/>
  </r>
  <r>
    <s v="Direct,USnet,80"/>
    <x v="0"/>
    <x v="2"/>
    <x v="3"/>
    <n v="2743.9879999999998"/>
    <n v="2740"/>
    <n v="0.1455474452554682"/>
  </r>
  <r>
    <s v="Direct,USnet,80"/>
    <x v="0"/>
    <x v="2"/>
    <x v="3"/>
    <n v="2761.4859999999999"/>
    <n v="2740"/>
    <n v="0.78416058394160137"/>
  </r>
  <r>
    <s v="Direct,USnet,80"/>
    <x v="0"/>
    <x v="2"/>
    <x v="3"/>
    <n v="2771.489"/>
    <n v="2740"/>
    <n v="1.1492335766423369"/>
  </r>
  <r>
    <s v="Direct,USnet,80"/>
    <x v="0"/>
    <x v="2"/>
    <x v="3"/>
    <n v="2812.4659999999999"/>
    <n v="2740"/>
    <n v="2.6447445255474413"/>
  </r>
  <r>
    <s v="Direct,USnet,80"/>
    <x v="0"/>
    <x v="2"/>
    <x v="3"/>
    <n v="2828.4169999999999"/>
    <n v="2740"/>
    <n v="3.2268978102189751"/>
  </r>
  <r>
    <s v="Direct,USnet,80"/>
    <x v="0"/>
    <x v="2"/>
    <x v="3"/>
    <n v="2911.2159999999999"/>
    <n v="2740"/>
    <n v="6.2487591240875879"/>
  </r>
  <r>
    <s v="Direct,USnet,80"/>
    <x v="0"/>
    <x v="2"/>
    <x v="3"/>
    <n v="2741.4470000000001"/>
    <n v="2740"/>
    <n v="5.2810218978106435E-2"/>
  </r>
  <r>
    <s v="Direct,USnet,80"/>
    <x v="0"/>
    <x v="2"/>
    <x v="3"/>
    <n v="2755.9960000000001"/>
    <n v="2740"/>
    <n v="0.58379562043795963"/>
  </r>
  <r>
    <s v="Direct,USnet,80"/>
    <x v="0"/>
    <x v="2"/>
    <x v="3"/>
    <n v="2874.02"/>
    <n v="2740"/>
    <n v="4.8912408759124082"/>
  </r>
  <r>
    <s v="Direct,USnet,80"/>
    <x v="0"/>
    <x v="2"/>
    <x v="3"/>
    <n v="2885.1089999999999"/>
    <n v="2740"/>
    <n v="5.2959489051094861"/>
  </r>
  <r>
    <s v="Direct,USnet,80"/>
    <x v="0"/>
    <x v="2"/>
    <x v="3"/>
    <n v="2898.114"/>
    <n v="2740"/>
    <n v="5.7705839416058406"/>
  </r>
  <r>
    <s v="Direct,USnet,80"/>
    <x v="0"/>
    <x v="2"/>
    <x v="3"/>
    <n v="2829.5259999999998"/>
    <n v="2740"/>
    <n v="3.267372262773717"/>
  </r>
  <r>
    <s v="Direct,USnet,80"/>
    <x v="0"/>
    <x v="2"/>
    <x v="3"/>
    <n v="2749.0540000000001"/>
    <n v="2740"/>
    <n v="0.33043795620438271"/>
  </r>
  <r>
    <s v="Direct,USnet,80"/>
    <x v="0"/>
    <x v="2"/>
    <x v="3"/>
    <n v="2815.819"/>
    <n v="2740"/>
    <n v="2.7671167883211663"/>
  </r>
  <r>
    <s v="Direct,USnet,80"/>
    <x v="0"/>
    <x v="2"/>
    <x v="3"/>
    <n v="2879.4830000000002"/>
    <n v="2740"/>
    <n v="5.0906204379562103"/>
  </r>
  <r>
    <s v="Direct,USnet,80"/>
    <x v="0"/>
    <x v="2"/>
    <x v="3"/>
    <n v="2869.0230000000001"/>
    <n v="2740"/>
    <n v="4.7088686131386917"/>
  </r>
  <r>
    <s v="Direct,USnet,80"/>
    <x v="0"/>
    <x v="2"/>
    <x v="3"/>
    <n v="2772.95"/>
    <n v="2740"/>
    <n v="1.2025547445255409"/>
  </r>
  <r>
    <s v="Direct,USnet,80"/>
    <x v="0"/>
    <x v="2"/>
    <x v="3"/>
    <n v="2857.5549999999998"/>
    <n v="2740"/>
    <n v="4.2903284671532784"/>
  </r>
  <r>
    <s v="Direct,USnet,80"/>
    <x v="0"/>
    <x v="2"/>
    <x v="3"/>
    <n v="2865.6469999999999"/>
    <n v="2740"/>
    <n v="4.5856569343065674"/>
  </r>
  <r>
    <s v="Direct,USnet,80"/>
    <x v="0"/>
    <x v="2"/>
    <x v="3"/>
    <n v="2798.5369999999998"/>
    <n v="2740"/>
    <n v="2.1363868613138619"/>
  </r>
  <r>
    <s v="Direct,USnet,80"/>
    <x v="0"/>
    <x v="2"/>
    <x v="3"/>
    <n v="2840.165"/>
    <n v="2740"/>
    <n v="3.6556569343065677"/>
  </r>
  <r>
    <s v="Direct,USnet,80"/>
    <x v="0"/>
    <x v="2"/>
    <x v="3"/>
    <n v="2852.3490000000002"/>
    <n v="2740"/>
    <n v="4.1003284671532905"/>
  </r>
  <r>
    <s v="Direct,USnet,80"/>
    <x v="0"/>
    <x v="2"/>
    <x v="3"/>
    <n v="2918.6990000000001"/>
    <n v="2740"/>
    <n v="6.5218613138686159"/>
  </r>
  <r>
    <s v="Direct,USnet,80"/>
    <x v="0"/>
    <x v="2"/>
    <x v="3"/>
    <n v="2816.058"/>
    <n v="2740"/>
    <n v="2.7758394160583939"/>
  </r>
  <r>
    <s v="Direct,USnet,80"/>
    <x v="0"/>
    <x v="2"/>
    <x v="3"/>
    <n v="2817.0929999999998"/>
    <n v="2740"/>
    <n v="2.8136131386861258"/>
  </r>
  <r>
    <s v="Direct,USnet,80"/>
    <x v="0"/>
    <x v="2"/>
    <x v="3"/>
    <n v="2794.9360000000001"/>
    <n v="2740"/>
    <n v="2.0049635036496407"/>
  </r>
  <r>
    <s v="Direct,USnet,80"/>
    <x v="0"/>
    <x v="2"/>
    <x v="3"/>
    <n v="2784.547"/>
    <n v="2740"/>
    <n v="1.6258029197080299"/>
  </r>
  <r>
    <s v="Direct,USnet,80"/>
    <x v="0"/>
    <x v="2"/>
    <x v="3"/>
    <n v="2819.0830000000001"/>
    <n v="2740"/>
    <n v="2.8862408759124119"/>
  </r>
  <r>
    <s v="Direct,USnet,80"/>
    <x v="0"/>
    <x v="2"/>
    <x v="3"/>
    <n v="2831.1559999999999"/>
    <n v="2740"/>
    <n v="3.3268613138686112"/>
  </r>
  <r>
    <s v="Direct,USnet,80"/>
    <x v="0"/>
    <x v="2"/>
    <x v="3"/>
    <n v="2865.7869999999998"/>
    <n v="2740"/>
    <n v="4.5907664233576568"/>
  </r>
  <r>
    <s v="Direct,USnet,80"/>
    <x v="0"/>
    <x v="2"/>
    <x v="3"/>
    <n v="2785.6610000000001"/>
    <n v="2740"/>
    <n v="1.6664598540146007"/>
  </r>
  <r>
    <s v="Direct,USnet,80"/>
    <x v="0"/>
    <x v="2"/>
    <x v="3"/>
    <n v="2813.5039999999999"/>
    <n v="2740"/>
    <n v="2.6826277372262739"/>
  </r>
  <r>
    <s v="Direct,USnet,80"/>
    <x v="0"/>
    <x v="2"/>
    <x v="3"/>
    <n v="2831.4969999999998"/>
    <n v="2740"/>
    <n v="3.3393065693430599"/>
  </r>
  <r>
    <s v="Direct,USnet,80"/>
    <x v="0"/>
    <x v="2"/>
    <x v="3"/>
    <n v="2810.7359999999999"/>
    <n v="2740"/>
    <n v="2.5816058394160541"/>
  </r>
  <r>
    <s v="Direct,USnet,80"/>
    <x v="0"/>
    <x v="2"/>
    <x v="3"/>
    <n v="2784.7130000000002"/>
    <n v="2740"/>
    <n v="1.63186131386862"/>
  </r>
  <r>
    <s v="Direct,USnet,80"/>
    <x v="0"/>
    <x v="2"/>
    <x v="3"/>
    <n v="2715.982"/>
    <n v="2740"/>
    <n v="0.87656934306569456"/>
  </r>
  <r>
    <s v="Direct,USnet,80"/>
    <x v="0"/>
    <x v="2"/>
    <x v="3"/>
    <n v="2810.223"/>
    <n v="2740"/>
    <n v="2.5628832116788307"/>
  </r>
  <r>
    <s v="Direct,USnet,80"/>
    <x v="0"/>
    <x v="2"/>
    <x v="3"/>
    <n v="2772.2379999999998"/>
    <n v="2740"/>
    <n v="1.1765693430656872"/>
  </r>
  <r>
    <s v="Direct,USnet,100"/>
    <x v="0"/>
    <x v="2"/>
    <x v="4"/>
    <n v="3490.6959999999999"/>
    <n v="3350"/>
    <n v="4.1998805970149222"/>
  </r>
  <r>
    <s v="Direct,USnet,100"/>
    <x v="0"/>
    <x v="2"/>
    <x v="4"/>
    <n v="3457.8620000000001"/>
    <n v="3350"/>
    <n v="3.2197611940298536"/>
  </r>
  <r>
    <s v="Direct,USnet,100"/>
    <x v="0"/>
    <x v="2"/>
    <x v="4"/>
    <n v="3432.0970000000002"/>
    <n v="3350"/>
    <n v="2.4506567164179165"/>
  </r>
  <r>
    <s v="Direct,USnet,100"/>
    <x v="0"/>
    <x v="2"/>
    <x v="4"/>
    <n v="3483.3119999999999"/>
    <n v="3350"/>
    <n v="3.9794626865671612"/>
  </r>
  <r>
    <s v="Direct,USnet,100"/>
    <x v="0"/>
    <x v="2"/>
    <x v="4"/>
    <n v="3396.3470000000002"/>
    <n v="3350"/>
    <n v="1.383492537313439"/>
  </r>
  <r>
    <s v="Direct,USnet,100"/>
    <x v="0"/>
    <x v="2"/>
    <x v="4"/>
    <n v="3263.3"/>
    <n v="3350"/>
    <n v="2.5880597014925319"/>
  </r>
  <r>
    <s v="Direct,USnet,100"/>
    <x v="0"/>
    <x v="2"/>
    <x v="4"/>
    <n v="3436.9609999999998"/>
    <n v="3350"/>
    <n v="2.5958507462686504"/>
  </r>
  <r>
    <s v="Direct,USnet,100"/>
    <x v="0"/>
    <x v="2"/>
    <x v="4"/>
    <n v="3431.4769999999999"/>
    <n v="3350"/>
    <n v="2.4321492537313394"/>
  </r>
  <r>
    <s v="Direct,USnet,100"/>
    <x v="0"/>
    <x v="2"/>
    <x v="4"/>
    <n v="3430.32"/>
    <n v="3350"/>
    <n v="2.3976119402985123"/>
  </r>
  <r>
    <s v="Direct,USnet,100"/>
    <x v="0"/>
    <x v="2"/>
    <x v="4"/>
    <n v="3362.0720000000001"/>
    <n v="3350"/>
    <n v="0.36035820895522735"/>
  </r>
  <r>
    <s v="Direct,USnet,100"/>
    <x v="0"/>
    <x v="2"/>
    <x v="4"/>
    <n v="3394.712"/>
    <n v="3350"/>
    <n v="1.3346865671641788"/>
  </r>
  <r>
    <s v="Direct,USnet,100"/>
    <x v="0"/>
    <x v="2"/>
    <x v="4"/>
    <n v="3549.7840000000001"/>
    <n v="3350"/>
    <n v="5.9637014925373171"/>
  </r>
  <r>
    <s v="Direct,USnet,100"/>
    <x v="0"/>
    <x v="2"/>
    <x v="4"/>
    <n v="3462.8820000000001"/>
    <n v="3350"/>
    <n v="3.3696119402985092"/>
  </r>
  <r>
    <s v="Direct,USnet,100"/>
    <x v="0"/>
    <x v="2"/>
    <x v="4"/>
    <n v="3368.9870000000001"/>
    <n v="3350"/>
    <n v="0.56677611940298744"/>
  </r>
  <r>
    <s v="Direct,USnet,100"/>
    <x v="0"/>
    <x v="2"/>
    <x v="4"/>
    <n v="3533.4969999999998"/>
    <n v="3350"/>
    <n v="5.4775223880596968"/>
  </r>
  <r>
    <s v="Direct,USnet,100"/>
    <x v="0"/>
    <x v="2"/>
    <x v="4"/>
    <n v="3380.393"/>
    <n v="3350"/>
    <n v="0.90725373134328446"/>
  </r>
  <r>
    <s v="Direct,USnet,100"/>
    <x v="0"/>
    <x v="2"/>
    <x v="4"/>
    <n v="3373.3409999999999"/>
    <n v="3350"/>
    <n v="0.6967462686567133"/>
  </r>
  <r>
    <s v="Direct,USnet,100"/>
    <x v="0"/>
    <x v="2"/>
    <x v="4"/>
    <n v="3460.5410000000002"/>
    <n v="3350"/>
    <n v="3.2997313432835873"/>
  </r>
  <r>
    <s v="Direct,USnet,100"/>
    <x v="0"/>
    <x v="2"/>
    <x v="4"/>
    <n v="3455.7069999999999"/>
    <n v="3350"/>
    <n v="3.1554328358208918"/>
  </r>
  <r>
    <s v="Direct,USnet,100"/>
    <x v="0"/>
    <x v="2"/>
    <x v="4"/>
    <n v="3492.0390000000002"/>
    <n v="3350"/>
    <n v="4.2399701492537378"/>
  </r>
  <r>
    <s v="Direct,USnet,100"/>
    <x v="0"/>
    <x v="2"/>
    <x v="4"/>
    <n v="3381.2649999999999"/>
    <n v="3350"/>
    <n v="0.93328358208954842"/>
  </r>
  <r>
    <s v="Direct,USnet,100"/>
    <x v="0"/>
    <x v="2"/>
    <x v="4"/>
    <n v="3544.3519999999999"/>
    <n v="3350"/>
    <n v="5.8015522388059662"/>
  </r>
  <r>
    <s v="Direct,USnet,100"/>
    <x v="0"/>
    <x v="2"/>
    <x v="4"/>
    <n v="3545.3969999999999"/>
    <n v="3350"/>
    <n v="5.8327462686567149"/>
  </r>
  <r>
    <s v="Direct,USnet,100"/>
    <x v="0"/>
    <x v="2"/>
    <x v="4"/>
    <n v="3490.7710000000002"/>
    <n v="3350"/>
    <n v="4.2021194029850797"/>
  </r>
  <r>
    <s v="Direct,USnet,100"/>
    <x v="0"/>
    <x v="2"/>
    <x v="4"/>
    <n v="3555.6010000000001"/>
    <n v="3350"/>
    <n v="6.1373432835820934"/>
  </r>
  <r>
    <s v="Direct,USnet,100"/>
    <x v="0"/>
    <x v="2"/>
    <x v="4"/>
    <n v="3462.1410000000001"/>
    <n v="3350"/>
    <n v="3.3474925373134354"/>
  </r>
  <r>
    <s v="Direct,USnet,100"/>
    <x v="0"/>
    <x v="2"/>
    <x v="4"/>
    <n v="3351.9850000000001"/>
    <n v="3350"/>
    <n v="5.9253731343287382E-2"/>
  </r>
  <r>
    <s v="Direct,USnet,100"/>
    <x v="0"/>
    <x v="2"/>
    <x v="4"/>
    <n v="3356.058"/>
    <n v="3350"/>
    <n v="0.18083582089552216"/>
  </r>
  <r>
    <s v="Direct,USnet,100"/>
    <x v="0"/>
    <x v="2"/>
    <x v="4"/>
    <n v="3358.1030000000001"/>
    <n v="3350"/>
    <n v="0.24188059701492734"/>
  </r>
  <r>
    <s v="Direct,USnet,100"/>
    <x v="0"/>
    <x v="2"/>
    <x v="4"/>
    <n v="3369.8519999999999"/>
    <n v="3350"/>
    <n v="0.59259701492536898"/>
  </r>
  <r>
    <s v="Direct,USnet,100"/>
    <x v="0"/>
    <x v="2"/>
    <x v="4"/>
    <n v="3272.5369999999998"/>
    <n v="3350"/>
    <n v="2.3123283582089611"/>
  </r>
  <r>
    <s v="Direct,USnet,100"/>
    <x v="0"/>
    <x v="2"/>
    <x v="4"/>
    <n v="3483.7350000000001"/>
    <n v="3350"/>
    <n v="3.9920895522388098"/>
  </r>
  <r>
    <s v="Direct,USnet,100"/>
    <x v="0"/>
    <x v="2"/>
    <x v="4"/>
    <n v="3520.8150000000001"/>
    <n v="3350"/>
    <n v="5.0989552238805986"/>
  </r>
  <r>
    <s v="Direct,USnet,100"/>
    <x v="0"/>
    <x v="2"/>
    <x v="4"/>
    <n v="3425.335"/>
    <n v="3350"/>
    <n v="2.2488059701492551"/>
  </r>
  <r>
    <s v="Direct,USnet,100"/>
    <x v="0"/>
    <x v="2"/>
    <x v="4"/>
    <n v="3300.873"/>
    <n v="3350"/>
    <n v="1.4664776119402971"/>
  </r>
  <r>
    <s v="Direct,USnet,100"/>
    <x v="0"/>
    <x v="2"/>
    <x v="4"/>
    <n v="3489.96"/>
    <n v="3350"/>
    <n v="4.177910447761195"/>
  </r>
  <r>
    <s v="Direct,USnet,100"/>
    <x v="0"/>
    <x v="2"/>
    <x v="4"/>
    <n v="3311.9659999999999"/>
    <n v="3350"/>
    <n v="1.1353432835820927"/>
  </r>
  <r>
    <s v="Direct,USnet,100"/>
    <x v="0"/>
    <x v="2"/>
    <x v="4"/>
    <n v="3500.5360000000001"/>
    <n v="3350"/>
    <n v="4.4936119402985097"/>
  </r>
  <r>
    <s v="Direct,USnet,100"/>
    <x v="0"/>
    <x v="2"/>
    <x v="4"/>
    <n v="3218.5749999999998"/>
    <n v="3350"/>
    <n v="3.9231343283582145"/>
  </r>
  <r>
    <s v="Direct,USnet,100"/>
    <x v="0"/>
    <x v="2"/>
    <x v="4"/>
    <n v="3562.808"/>
    <n v="3350"/>
    <n v="6.3524776119402979"/>
  </r>
  <r>
    <s v="Direct,USnet,100"/>
    <x v="0"/>
    <x v="2"/>
    <x v="4"/>
    <n v="3377.4630000000002"/>
    <n v="3350"/>
    <n v="0.81979104477612508"/>
  </r>
  <r>
    <s v="Direct,USnet,100"/>
    <x v="0"/>
    <x v="2"/>
    <x v="4"/>
    <n v="3400.6930000000002"/>
    <n v="3350"/>
    <n v="1.5132238805970211"/>
  </r>
  <r>
    <s v="Direct,USnet,100"/>
    <x v="0"/>
    <x v="2"/>
    <x v="4"/>
    <n v="3455.8139999999999"/>
    <n v="3350"/>
    <n v="3.1586268656716374"/>
  </r>
  <r>
    <s v="Direct,USnet,100"/>
    <x v="0"/>
    <x v="2"/>
    <x v="4"/>
    <n v="3493.663"/>
    <n v="3350"/>
    <n v="4.2884477611940302"/>
  </r>
  <r>
    <s v="Direct,USnet,100"/>
    <x v="0"/>
    <x v="2"/>
    <x v="4"/>
    <n v="3392.7750000000001"/>
    <n v="3350"/>
    <n v="1.2768656716417937"/>
  </r>
  <r>
    <s v="Direct,USnet,100"/>
    <x v="0"/>
    <x v="2"/>
    <x v="4"/>
    <n v="3544.2710000000002"/>
    <n v="3350"/>
    <n v="5.7991343283582149"/>
  </r>
  <r>
    <s v="Direct,USnet,100"/>
    <x v="0"/>
    <x v="2"/>
    <x v="4"/>
    <n v="3532.489"/>
    <n v="3350"/>
    <n v="5.4474328358208961"/>
  </r>
  <r>
    <s v="Direct,USnet,100"/>
    <x v="0"/>
    <x v="2"/>
    <x v="4"/>
    <n v="3458.8389999999999"/>
    <n v="3350"/>
    <n v="3.2489253731343268"/>
  </r>
  <r>
    <s v="Direct,USnet,100"/>
    <x v="0"/>
    <x v="2"/>
    <x v="4"/>
    <n v="3329.4780000000001"/>
    <n v="3350"/>
    <n v="0.61259701492537111"/>
  </r>
  <r>
    <s v="Direct,USnet,100"/>
    <x v="0"/>
    <x v="2"/>
    <x v="4"/>
    <n v="3398.5639999999999"/>
    <n v="3350"/>
    <n v="1.4496716417910405"/>
  </r>
  <r>
    <s v="Direct,USnet,100"/>
    <x v="0"/>
    <x v="2"/>
    <x v="4"/>
    <n v="3506.6590000000001"/>
    <n v="3350"/>
    <n v="4.6763880597014955"/>
  </r>
  <r>
    <s v="Direct,USnet,100"/>
    <x v="0"/>
    <x v="2"/>
    <x v="4"/>
    <n v="3300.8710000000001"/>
    <n v="3350"/>
    <n v="1.466537313432833"/>
  </r>
  <r>
    <s v="Direct,USnet,100"/>
    <x v="0"/>
    <x v="2"/>
    <x v="4"/>
    <n v="3464.875"/>
    <n v="3350"/>
    <n v="3.4291044776119404"/>
  </r>
  <r>
    <s v="Direct,USnet,100"/>
    <x v="0"/>
    <x v="2"/>
    <x v="4"/>
    <n v="3517.5929999999998"/>
    <n v="3350"/>
    <n v="5.0027761194029807"/>
  </r>
  <r>
    <s v="Direct,USnet,100"/>
    <x v="0"/>
    <x v="2"/>
    <x v="4"/>
    <n v="3342.6909999999998"/>
    <n v="3350"/>
    <n v="0.21817910447761782"/>
  </r>
  <r>
    <s v="Direct,USnet,100"/>
    <x v="0"/>
    <x v="2"/>
    <x v="4"/>
    <n v="3461.2530000000002"/>
    <n v="3350"/>
    <n v="3.3209850746268708"/>
  </r>
  <r>
    <s v="Direct,USnet,100"/>
    <x v="0"/>
    <x v="2"/>
    <x v="4"/>
    <n v="3441.4079999999999"/>
    <n v="3350"/>
    <n v="2.7285970149253704"/>
  </r>
  <r>
    <s v="Direct,USnet,100"/>
    <x v="0"/>
    <x v="2"/>
    <x v="4"/>
    <n v="3398.7020000000002"/>
    <n v="3350"/>
    <n v="1.4537910447761262"/>
  </r>
  <r>
    <s v="Direct,USnet,100"/>
    <x v="0"/>
    <x v="2"/>
    <x v="4"/>
    <n v="3410.2869999999998"/>
    <n v="3350"/>
    <n v="1.7996119402985018"/>
  </r>
  <r>
    <s v="Direct,USnet,100"/>
    <x v="0"/>
    <x v="2"/>
    <x v="4"/>
    <n v="3446.4479999999999"/>
    <n v="3350"/>
    <n v="2.8790447761193989"/>
  </r>
  <r>
    <s v="Direct,USnet,100"/>
    <x v="0"/>
    <x v="2"/>
    <x v="4"/>
    <n v="3472.3890000000001"/>
    <n v="3350"/>
    <n v="3.6534029850746301"/>
  </r>
  <r>
    <s v="Direct,USnet,100"/>
    <x v="0"/>
    <x v="2"/>
    <x v="4"/>
    <n v="3387.1819999999998"/>
    <n v="3350"/>
    <n v="1.1099104477611876"/>
  </r>
  <r>
    <s v="Direct,USnet,100"/>
    <x v="0"/>
    <x v="2"/>
    <x v="4"/>
    <n v="3471.1750000000002"/>
    <n v="3350"/>
    <n v="3.6171641791044831"/>
  </r>
  <r>
    <s v="Direct,USnet,100"/>
    <x v="0"/>
    <x v="2"/>
    <x v="4"/>
    <n v="3427.9830000000002"/>
    <n v="3350"/>
    <n v="2.3278507462686617"/>
  </r>
  <r>
    <s v="Direct,USnet,100"/>
    <x v="0"/>
    <x v="2"/>
    <x v="4"/>
    <n v="3472.6179999999999"/>
    <n v="3350"/>
    <n v="3.6602388059701472"/>
  </r>
  <r>
    <s v="Direct,USnet,100"/>
    <x v="0"/>
    <x v="2"/>
    <x v="4"/>
    <n v="3388.7190000000001"/>
    <n v="3350"/>
    <n v="1.155791044776121"/>
  </r>
  <r>
    <s v="Direct,USnet,100"/>
    <x v="0"/>
    <x v="2"/>
    <x v="4"/>
    <n v="3517.4409999999998"/>
    <n v="3350"/>
    <n v="4.9982388059701437"/>
  </r>
  <r>
    <s v="Direct,USnet,100"/>
    <x v="0"/>
    <x v="2"/>
    <x v="4"/>
    <n v="3500.1550000000002"/>
    <n v="3350"/>
    <n v="4.4822388059701552"/>
  </r>
  <r>
    <s v="Direct,USnet,100"/>
    <x v="0"/>
    <x v="2"/>
    <x v="4"/>
    <n v="3347.9630000000002"/>
    <n v="3350"/>
    <n v="6.0805970149247976E-2"/>
  </r>
  <r>
    <s v="Direct,USnet,100"/>
    <x v="0"/>
    <x v="2"/>
    <x v="4"/>
    <n v="3422.404"/>
    <n v="3350"/>
    <n v="2.1613134328358208"/>
  </r>
  <r>
    <s v="Direct,USnet,100"/>
    <x v="0"/>
    <x v="2"/>
    <x v="4"/>
    <n v="3382.1570000000002"/>
    <n v="3350"/>
    <n v="0.95991044776119849"/>
  </r>
  <r>
    <s v="Direct,USnet,100"/>
    <x v="0"/>
    <x v="2"/>
    <x v="4"/>
    <n v="3429.9229999999998"/>
    <n v="3350"/>
    <n v="2.3857611940298442"/>
  </r>
  <r>
    <s v="Direct,USnet,100"/>
    <x v="0"/>
    <x v="2"/>
    <x v="4"/>
    <n v="3412.3560000000002"/>
    <n v="3350"/>
    <n v="1.861373134328365"/>
  </r>
  <r>
    <s v="Direct,USnet,100"/>
    <x v="0"/>
    <x v="2"/>
    <x v="4"/>
    <n v="3463.8760000000002"/>
    <n v="3350"/>
    <n v="3.3992835820895588"/>
  </r>
  <r>
    <s v="Direct,USnet,100"/>
    <x v="0"/>
    <x v="2"/>
    <x v="4"/>
    <n v="3458.4839999999999"/>
    <n v="3350"/>
    <n v="3.2383283582089528"/>
  </r>
  <r>
    <s v="Direct,USnet,100"/>
    <x v="0"/>
    <x v="2"/>
    <x v="4"/>
    <n v="3456.8389999999999"/>
    <n v="3350"/>
    <n v="3.1892238805970132"/>
  </r>
  <r>
    <s v="Direct,USnet,100"/>
    <x v="0"/>
    <x v="2"/>
    <x v="4"/>
    <n v="3413.84"/>
    <n v="3350"/>
    <n v="1.9056716417910493"/>
  </r>
  <r>
    <s v="Direct,USnet,100"/>
    <x v="0"/>
    <x v="2"/>
    <x v="4"/>
    <n v="3405.83"/>
    <n v="3350"/>
    <n v="1.6665671641791022"/>
  </r>
  <r>
    <s v="Direct,USnet,100"/>
    <x v="0"/>
    <x v="2"/>
    <x v="4"/>
    <n v="3508.6030000000001"/>
    <n v="3350"/>
    <n v="4.7344179104477631"/>
  </r>
  <r>
    <s v="Direct,USnet,100"/>
    <x v="0"/>
    <x v="2"/>
    <x v="4"/>
    <n v="3514.3969999999999"/>
    <n v="3350"/>
    <n v="4.9073731343283562"/>
  </r>
  <r>
    <s v="Direct,USnet,100"/>
    <x v="0"/>
    <x v="2"/>
    <x v="4"/>
    <n v="3420.7159999999999"/>
    <n v="3350"/>
    <n v="2.1109253731343252"/>
  </r>
  <r>
    <s v="Direct,USnet,100"/>
    <x v="0"/>
    <x v="2"/>
    <x v="4"/>
    <n v="3518.5259999999998"/>
    <n v="3350"/>
    <n v="5.0306268656716373"/>
  </r>
  <r>
    <s v="Direct,USnet,100"/>
    <x v="0"/>
    <x v="2"/>
    <x v="4"/>
    <n v="3466.6660000000002"/>
    <n v="3350"/>
    <n v="3.4825671641791094"/>
  </r>
  <r>
    <s v="Direct,USnet,100"/>
    <x v="0"/>
    <x v="2"/>
    <x v="4"/>
    <n v="3476.0360000000001"/>
    <n v="3350"/>
    <n v="3.7622686567164192"/>
  </r>
  <r>
    <s v="Direct,USnet,100"/>
    <x v="0"/>
    <x v="2"/>
    <x v="4"/>
    <n v="3507.2779999999998"/>
    <n v="3350"/>
    <n v="4.6948656716417849"/>
  </r>
  <r>
    <s v="Direct,USnet,100"/>
    <x v="0"/>
    <x v="2"/>
    <x v="4"/>
    <n v="3401.8290000000002"/>
    <n v="3350"/>
    <n v="1.5471343283582142"/>
  </r>
  <r>
    <s v="Direct,USnet,100"/>
    <x v="0"/>
    <x v="2"/>
    <x v="4"/>
    <n v="3433.8029999999999"/>
    <n v="3350"/>
    <n v="2.5015820895522354"/>
  </r>
  <r>
    <s v="Direct,USnet,100"/>
    <x v="0"/>
    <x v="2"/>
    <x v="4"/>
    <n v="3335.3589999999999"/>
    <n v="3350"/>
    <n v="0.43704477611940529"/>
  </r>
  <r>
    <s v="Direct,USnet,100"/>
    <x v="0"/>
    <x v="2"/>
    <x v="4"/>
    <n v="3411.0450000000001"/>
    <n v="3350"/>
    <n v="1.8222388059701513"/>
  </r>
  <r>
    <s v="Direct,USnet,100"/>
    <x v="0"/>
    <x v="2"/>
    <x v="4"/>
    <n v="3499.7710000000002"/>
    <n v="3350"/>
    <n v="4.4707761194029905"/>
  </r>
  <r>
    <s v="Direct,USnet,100"/>
    <x v="0"/>
    <x v="2"/>
    <x v="4"/>
    <n v="3435.4639999999999"/>
    <n v="3350"/>
    <n v="2.5511641791044761"/>
  </r>
  <r>
    <s v="Direct,USnet,100"/>
    <x v="0"/>
    <x v="2"/>
    <x v="4"/>
    <n v="3403.3989999999999"/>
    <n v="3350"/>
    <n v="1.5939999999999965"/>
  </r>
  <r>
    <s v="Direct,USnet,100"/>
    <x v="0"/>
    <x v="2"/>
    <x v="4"/>
    <n v="3499.2060000000001"/>
    <n v="3350"/>
    <n v="4.4539104477611984"/>
  </r>
  <r>
    <s v="Direct,USnet,100"/>
    <x v="0"/>
    <x v="2"/>
    <x v="4"/>
    <n v="3523.8029999999999"/>
    <n v="3350"/>
    <n v="5.1881492537313401"/>
  </r>
  <r>
    <s v="Direct,USnet,100"/>
    <x v="0"/>
    <x v="2"/>
    <x v="4"/>
    <n v="3478.2449999999999"/>
    <n v="3350"/>
    <n v="3.8282089552238774"/>
  </r>
  <r>
    <s v="Direct,USnet,100"/>
    <x v="0"/>
    <x v="2"/>
    <x v="4"/>
    <n v="3461.7069999999999"/>
    <n v="3350"/>
    <n v="3.3345373134328322"/>
  </r>
  <r>
    <s v="Direct,USnet,100"/>
    <x v="0"/>
    <x v="2"/>
    <x v="4"/>
    <n v="3526.64"/>
    <n v="3350"/>
    <n v="5.2728358208955184"/>
  </r>
  <r>
    <s v="Direct,USnet,100"/>
    <x v="0"/>
    <x v="2"/>
    <x v="4"/>
    <n v="3517.308"/>
    <n v="3350"/>
    <n v="4.9942686567164181"/>
  </r>
  <r>
    <s v="Direct,USnet,100"/>
    <x v="0"/>
    <x v="2"/>
    <x v="4"/>
    <n v="3476.5239999999999"/>
    <n v="3350"/>
    <n v="3.7768358208955188"/>
  </r>
  <r>
    <s v="Direct,USnet,100"/>
    <x v="0"/>
    <x v="2"/>
    <x v="4"/>
    <n v="3419.2919999999999"/>
    <n v="3350"/>
    <n v="2.0684179104477587"/>
  </r>
  <r>
    <s v="Direct,USnet,120"/>
    <x v="0"/>
    <x v="2"/>
    <x v="5"/>
    <n v="4096.0929999999998"/>
    <n v="4010"/>
    <n v="2.1469576059850337"/>
  </r>
  <r>
    <s v="Direct,USnet,120"/>
    <x v="0"/>
    <x v="2"/>
    <x v="5"/>
    <n v="3984.415"/>
    <n v="4010"/>
    <n v="0.63802992518703339"/>
  </r>
  <r>
    <s v="Direct,USnet,120"/>
    <x v="0"/>
    <x v="2"/>
    <x v="5"/>
    <n v="4040.0949999999998"/>
    <n v="4010"/>
    <n v="0.75049875311720193"/>
  </r>
  <r>
    <s v="Direct,USnet,120"/>
    <x v="0"/>
    <x v="2"/>
    <x v="5"/>
    <n v="4080.1410000000001"/>
    <n v="4010"/>
    <n v="1.74915211970075"/>
  </r>
  <r>
    <s v="Direct,USnet,120"/>
    <x v="0"/>
    <x v="2"/>
    <x v="5"/>
    <n v="3941.93"/>
    <n v="4010"/>
    <n v="1.6975062344139691"/>
  </r>
  <r>
    <s v="Direct,USnet,120"/>
    <x v="0"/>
    <x v="2"/>
    <x v="5"/>
    <n v="4124.3969999999999"/>
    <n v="4010"/>
    <n v="2.8527930174563574"/>
  </r>
  <r>
    <s v="Direct,USnet,120"/>
    <x v="0"/>
    <x v="2"/>
    <x v="5"/>
    <n v="3993.1909999999998"/>
    <n v="4010"/>
    <n v="0.41917705735661337"/>
  </r>
  <r>
    <s v="Direct,USnet,120"/>
    <x v="0"/>
    <x v="2"/>
    <x v="5"/>
    <n v="4080.4650000000001"/>
    <n v="4010"/>
    <n v="1.7572319201995048"/>
  </r>
  <r>
    <s v="Direct,USnet,120"/>
    <x v="0"/>
    <x v="2"/>
    <x v="5"/>
    <n v="4149.3549999999996"/>
    <n v="4010"/>
    <n v="3.4751870324189413"/>
  </r>
  <r>
    <s v="Direct,USnet,120"/>
    <x v="0"/>
    <x v="2"/>
    <x v="5"/>
    <n v="4098.9679999999998"/>
    <n v="4010"/>
    <n v="2.2186533665835375"/>
  </r>
  <r>
    <s v="Direct,USnet,120"/>
    <x v="0"/>
    <x v="2"/>
    <x v="5"/>
    <n v="3992.5369999999998"/>
    <n v="4010"/>
    <n v="0.43548628428928166"/>
  </r>
  <r>
    <s v="Direct,USnet,120"/>
    <x v="0"/>
    <x v="2"/>
    <x v="5"/>
    <n v="3973.6509999999998"/>
    <n v="4010"/>
    <n v="0.90645885286783445"/>
  </r>
  <r>
    <s v="Direct,USnet,120"/>
    <x v="0"/>
    <x v="2"/>
    <x v="5"/>
    <n v="3940.6680000000001"/>
    <n v="4010"/>
    <n v="1.7289775561097227"/>
  </r>
  <r>
    <s v="Direct,USnet,120"/>
    <x v="0"/>
    <x v="2"/>
    <x v="5"/>
    <n v="4148.5789999999997"/>
    <n v="4010"/>
    <n v="3.4558354114713148"/>
  </r>
  <r>
    <s v="Direct,USnet,120"/>
    <x v="0"/>
    <x v="2"/>
    <x v="5"/>
    <n v="4110.1540000000005"/>
    <n v="4010"/>
    <n v="2.4976059850374175"/>
  </r>
  <r>
    <s v="Direct,USnet,120"/>
    <x v="0"/>
    <x v="2"/>
    <x v="5"/>
    <n v="4003.6819999999998"/>
    <n v="4010"/>
    <n v="0.15755610972569106"/>
  </r>
  <r>
    <s v="Direct,USnet,120"/>
    <x v="0"/>
    <x v="2"/>
    <x v="5"/>
    <n v="4141.942"/>
    <n v="4010"/>
    <n v="3.290324189526185"/>
  </r>
  <r>
    <s v="Direct,USnet,120"/>
    <x v="0"/>
    <x v="2"/>
    <x v="5"/>
    <n v="4052.7429999999999"/>
    <n v="4010"/>
    <n v="1.0659102244389014"/>
  </r>
  <r>
    <s v="Direct,USnet,120"/>
    <x v="0"/>
    <x v="2"/>
    <x v="5"/>
    <n v="4122.268"/>
    <n v="4010"/>
    <n v="2.7997007481296765"/>
  </r>
  <r>
    <s v="Direct,USnet,120"/>
    <x v="0"/>
    <x v="2"/>
    <x v="5"/>
    <n v="3958.8209999999999"/>
    <n v="4010"/>
    <n v="1.2762842892768103"/>
  </r>
  <r>
    <s v="Direct,USnet,120"/>
    <x v="0"/>
    <x v="2"/>
    <x v="5"/>
    <n v="3996.576"/>
    <n v="4010"/>
    <n v="0.33476309226932616"/>
  </r>
  <r>
    <s v="Direct,USnet,120"/>
    <x v="0"/>
    <x v="2"/>
    <x v="5"/>
    <n v="4073.2130000000002"/>
    <n v="4010"/>
    <n v="1.576384039900254"/>
  </r>
  <r>
    <s v="Direct,USnet,120"/>
    <x v="0"/>
    <x v="2"/>
    <x v="5"/>
    <n v="4088.828"/>
    <n v="4010"/>
    <n v="1.9657855361596006"/>
  </r>
  <r>
    <s v="Direct,USnet,120"/>
    <x v="0"/>
    <x v="2"/>
    <x v="5"/>
    <n v="4010.9409999999998"/>
    <n v="4010"/>
    <n v="2.346633416458363E-2"/>
  </r>
  <r>
    <s v="Direct,USnet,120"/>
    <x v="0"/>
    <x v="2"/>
    <x v="5"/>
    <n v="4007.9380000000001"/>
    <n v="4010"/>
    <n v="5.142144638403736E-2"/>
  </r>
  <r>
    <s v="Direct,USnet,120"/>
    <x v="0"/>
    <x v="2"/>
    <x v="5"/>
    <n v="4113.442"/>
    <n v="4010"/>
    <n v="2.5796009975062346"/>
  </r>
  <r>
    <s v="Direct,USnet,120"/>
    <x v="0"/>
    <x v="2"/>
    <x v="5"/>
    <n v="4050.5990000000002"/>
    <n v="4010"/>
    <n v="1.0124438902743182"/>
  </r>
  <r>
    <s v="Direct,USnet,120"/>
    <x v="0"/>
    <x v="2"/>
    <x v="5"/>
    <n v="4211.6210000000001"/>
    <n v="4010"/>
    <n v="5.0279551122194537"/>
  </r>
  <r>
    <s v="Direct,USnet,120"/>
    <x v="0"/>
    <x v="2"/>
    <x v="5"/>
    <n v="3982.9879999999998"/>
    <n v="4010"/>
    <n v="0.67361596009975488"/>
  </r>
  <r>
    <s v="Direct,USnet,120"/>
    <x v="0"/>
    <x v="2"/>
    <x v="5"/>
    <n v="3906.5590000000002"/>
    <n v="4010"/>
    <n v="2.5795760598503694"/>
  </r>
  <r>
    <s v="Direct,USnet,120"/>
    <x v="0"/>
    <x v="2"/>
    <x v="5"/>
    <n v="4223.28"/>
    <n v="4010"/>
    <n v="5.3187032418952551"/>
  </r>
  <r>
    <s v="Direct,USnet,120"/>
    <x v="0"/>
    <x v="2"/>
    <x v="5"/>
    <n v="4010.3850000000002"/>
    <n v="4010"/>
    <n v="9.6009975062398573E-3"/>
  </r>
  <r>
    <s v="Direct,USnet,120"/>
    <x v="0"/>
    <x v="2"/>
    <x v="5"/>
    <n v="4024.52"/>
    <n v="4010"/>
    <n v="0.3620947630922689"/>
  </r>
  <r>
    <s v="Direct,USnet,120"/>
    <x v="0"/>
    <x v="2"/>
    <x v="5"/>
    <n v="4051.33"/>
    <n v="4010"/>
    <n v="1.0306733167082276"/>
  </r>
  <r>
    <s v="Direct,USnet,120"/>
    <x v="0"/>
    <x v="2"/>
    <x v="5"/>
    <n v="4134.8490000000002"/>
    <n v="4010"/>
    <n v="3.1134413965087324"/>
  </r>
  <r>
    <s v="Direct,USnet,120"/>
    <x v="0"/>
    <x v="2"/>
    <x v="5"/>
    <n v="4108.4889999999996"/>
    <n v="4010"/>
    <n v="2.4560847880299148"/>
  </r>
  <r>
    <s v="Direct,USnet,120"/>
    <x v="0"/>
    <x v="2"/>
    <x v="5"/>
    <n v="3945.1860000000001"/>
    <n v="4010"/>
    <n v="1.6163092269326644"/>
  </r>
  <r>
    <s v="Direct,USnet,120"/>
    <x v="0"/>
    <x v="2"/>
    <x v="5"/>
    <n v="4068.1880000000001"/>
    <n v="4010"/>
    <n v="1.4510723192019976"/>
  </r>
  <r>
    <s v="Direct,USnet,120"/>
    <x v="0"/>
    <x v="2"/>
    <x v="5"/>
    <n v="4001.703"/>
    <n v="4010"/>
    <n v="0.20690773067331736"/>
  </r>
  <r>
    <s v="Direct,USnet,120"/>
    <x v="0"/>
    <x v="2"/>
    <x v="5"/>
    <n v="4312.8999999999996"/>
    <n v="4010"/>
    <n v="7.5536159600997408"/>
  </r>
  <r>
    <s v="Direct,USnet,120"/>
    <x v="0"/>
    <x v="2"/>
    <x v="5"/>
    <n v="3930.4409999999998"/>
    <n v="4010"/>
    <n v="1.9840149625935211"/>
  </r>
  <r>
    <s v="Direct,USnet,120"/>
    <x v="0"/>
    <x v="2"/>
    <x v="5"/>
    <n v="4008.8290000000002"/>
    <n v="4010"/>
    <n v="2.9201995012464382E-2"/>
  </r>
  <r>
    <s v="Direct,USnet,120"/>
    <x v="0"/>
    <x v="2"/>
    <x v="5"/>
    <n v="4045.52"/>
    <n v="4010"/>
    <n v="0.88578553615960065"/>
  </r>
  <r>
    <s v="Direct,USnet,120"/>
    <x v="0"/>
    <x v="2"/>
    <x v="5"/>
    <n v="4065.3159999999998"/>
    <n v="4010"/>
    <n v="1.3794513715710675"/>
  </r>
  <r>
    <s v="Direct,USnet,120"/>
    <x v="0"/>
    <x v="2"/>
    <x v="5"/>
    <n v="3908.5509999999999"/>
    <n v="4010"/>
    <n v="2.5299002493765603"/>
  </r>
  <r>
    <s v="Direct,USnet,120"/>
    <x v="0"/>
    <x v="2"/>
    <x v="5"/>
    <n v="4105.8410000000003"/>
    <n v="4010"/>
    <n v="2.3900498753117292"/>
  </r>
  <r>
    <s v="Direct,USnet,120"/>
    <x v="0"/>
    <x v="2"/>
    <x v="5"/>
    <n v="4081.7829999999999"/>
    <n v="4010"/>
    <n v="1.7900997506234391"/>
  </r>
  <r>
    <s v="Direct,USnet,120"/>
    <x v="0"/>
    <x v="2"/>
    <x v="5"/>
    <n v="4014.3710000000001"/>
    <n v="4010"/>
    <n v="0.10900249376558839"/>
  </r>
  <r>
    <s v="Direct,USnet,120"/>
    <x v="0"/>
    <x v="2"/>
    <x v="5"/>
    <n v="4111.9780000000001"/>
    <n v="4010"/>
    <n v="2.5430922693266846"/>
  </r>
  <r>
    <s v="Direct,USnet,120"/>
    <x v="0"/>
    <x v="2"/>
    <x v="5"/>
    <n v="4144.5540000000001"/>
    <n v="4010"/>
    <n v="3.3554613466334184"/>
  </r>
  <r>
    <s v="Direct,USnet,120"/>
    <x v="0"/>
    <x v="2"/>
    <x v="5"/>
    <n v="4168.9380000000001"/>
    <n v="4010"/>
    <n v="3.963541147132172"/>
  </r>
  <r>
    <s v="Direct,USnet,120"/>
    <x v="0"/>
    <x v="2"/>
    <x v="5"/>
    <n v="4219.1819999999998"/>
    <n v="4010"/>
    <n v="5.2165087281795461"/>
  </r>
  <r>
    <s v="Direct,USnet,120"/>
    <x v="0"/>
    <x v="2"/>
    <x v="5"/>
    <n v="3942.596"/>
    <n v="4010"/>
    <n v="1.6808977556109723"/>
  </r>
  <r>
    <s v="Direct,USnet,120"/>
    <x v="0"/>
    <x v="2"/>
    <x v="5"/>
    <n v="4130.9480000000003"/>
    <n v="4010"/>
    <n v="3.016159600997514"/>
  </r>
  <r>
    <s v="Direct,USnet,120"/>
    <x v="0"/>
    <x v="2"/>
    <x v="5"/>
    <n v="4089.7069999999999"/>
    <n v="4010"/>
    <n v="1.9877057356608447"/>
  </r>
  <r>
    <s v="Direct,USnet,120"/>
    <x v="0"/>
    <x v="2"/>
    <x v="5"/>
    <n v="4118.5360000000001"/>
    <n v="4010"/>
    <n v="2.7066334164588541"/>
  </r>
  <r>
    <s v="Direct,USnet,120"/>
    <x v="0"/>
    <x v="2"/>
    <x v="5"/>
    <n v="4016.1170000000002"/>
    <n v="4010"/>
    <n v="0.15254364089776035"/>
  </r>
  <r>
    <s v="Direct,USnet,120"/>
    <x v="0"/>
    <x v="2"/>
    <x v="5"/>
    <n v="4018.0079999999998"/>
    <n v="4010"/>
    <n v="0.19970074812967112"/>
  </r>
  <r>
    <s v="Direct,USnet,120"/>
    <x v="0"/>
    <x v="2"/>
    <x v="5"/>
    <n v="3992.3780000000002"/>
    <n v="4010"/>
    <n v="0.43945137157106845"/>
  </r>
  <r>
    <s v="Direct,USnet,120"/>
    <x v="0"/>
    <x v="2"/>
    <x v="5"/>
    <n v="4142.5569999999998"/>
    <n v="4010"/>
    <n v="3.3056608478802945"/>
  </r>
  <r>
    <s v="Direct,USnet,120"/>
    <x v="0"/>
    <x v="2"/>
    <x v="5"/>
    <n v="3858.7959999999998"/>
    <n v="4010"/>
    <n v="3.7706733167082342"/>
  </r>
  <r>
    <s v="Direct,USnet,120"/>
    <x v="0"/>
    <x v="2"/>
    <x v="5"/>
    <n v="4090.3"/>
    <n v="4010"/>
    <n v="2.0024937655860393"/>
  </r>
  <r>
    <s v="Direct,USnet,120"/>
    <x v="0"/>
    <x v="2"/>
    <x v="5"/>
    <n v="4029.759"/>
    <n v="4010"/>
    <n v="0.49274314214463877"/>
  </r>
  <r>
    <s v="Direct,USnet,120"/>
    <x v="0"/>
    <x v="2"/>
    <x v="5"/>
    <n v="4001.221"/>
    <n v="4010"/>
    <n v="0.21892768079800493"/>
  </r>
  <r>
    <s v="Direct,USnet,120"/>
    <x v="0"/>
    <x v="2"/>
    <x v="5"/>
    <n v="4012.7559999999999"/>
    <n v="4010"/>
    <n v="6.8728179551118651E-2"/>
  </r>
  <r>
    <s v="Direct,USnet,120"/>
    <x v="0"/>
    <x v="2"/>
    <x v="5"/>
    <n v="3915.8130000000001"/>
    <n v="4010"/>
    <n v="2.3488029925187006"/>
  </r>
  <r>
    <s v="Direct,USnet,120"/>
    <x v="0"/>
    <x v="2"/>
    <x v="5"/>
    <n v="4088.922"/>
    <n v="4010"/>
    <n v="1.9681296758104743"/>
  </r>
  <r>
    <s v="Direct,USnet,120"/>
    <x v="0"/>
    <x v="2"/>
    <x v="5"/>
    <n v="3927.66"/>
    <n v="4010"/>
    <n v="2.0533665835411505"/>
  </r>
  <r>
    <s v="Direct,USnet,120"/>
    <x v="0"/>
    <x v="2"/>
    <x v="5"/>
    <n v="3983.3820000000001"/>
    <n v="4010"/>
    <n v="0.66379052369077152"/>
  </r>
  <r>
    <s v="Direct,USnet,120"/>
    <x v="0"/>
    <x v="2"/>
    <x v="5"/>
    <n v="3999.0250000000001"/>
    <n v="4010"/>
    <n v="0.27369077306732942"/>
  </r>
  <r>
    <s v="Direct,USnet,120"/>
    <x v="0"/>
    <x v="2"/>
    <x v="5"/>
    <n v="4043.9279999999999"/>
    <n v="4010"/>
    <n v="0.84608478802992226"/>
  </r>
  <r>
    <s v="Direct,USnet,120"/>
    <x v="0"/>
    <x v="2"/>
    <x v="5"/>
    <n v="4005.6239999999998"/>
    <n v="4010"/>
    <n v="0.10912718204489286"/>
  </r>
  <r>
    <s v="Direct,USnet,120"/>
    <x v="0"/>
    <x v="2"/>
    <x v="5"/>
    <n v="4073.9960000000001"/>
    <n v="4010"/>
    <n v="1.595910224438905"/>
  </r>
  <r>
    <s v="Direct,USnet,120"/>
    <x v="0"/>
    <x v="2"/>
    <x v="5"/>
    <n v="4121.1120000000001"/>
    <n v="4010"/>
    <n v="2.7708728179551145"/>
  </r>
  <r>
    <s v="Direct,USnet,120"/>
    <x v="0"/>
    <x v="2"/>
    <x v="5"/>
    <n v="4052.9290000000001"/>
    <n v="4010"/>
    <n v="1.0705486284289298"/>
  </r>
  <r>
    <s v="Direct,USnet,120"/>
    <x v="0"/>
    <x v="2"/>
    <x v="5"/>
    <n v="4002.373"/>
    <n v="4010"/>
    <n v="0.19019950124688162"/>
  </r>
  <r>
    <s v="Direct,USnet,120"/>
    <x v="0"/>
    <x v="2"/>
    <x v="5"/>
    <n v="4071.2579999999998"/>
    <n v="4010"/>
    <n v="1.5276309226932621"/>
  </r>
  <r>
    <s v="Direct,USnet,120"/>
    <x v="0"/>
    <x v="2"/>
    <x v="5"/>
    <n v="3968.9969999999998"/>
    <n v="4010"/>
    <n v="1.0225187032418992"/>
  </r>
  <r>
    <s v="Direct,USnet,120"/>
    <x v="0"/>
    <x v="2"/>
    <x v="5"/>
    <n v="4059.5720000000001"/>
    <n v="4010"/>
    <n v="1.2362094763092297"/>
  </r>
  <r>
    <s v="Direct,USnet,120"/>
    <x v="0"/>
    <x v="2"/>
    <x v="5"/>
    <n v="4029.2820000000002"/>
    <n v="4010"/>
    <n v="0.48084788029925568"/>
  </r>
  <r>
    <s v="Direct,USnet,120"/>
    <x v="0"/>
    <x v="2"/>
    <x v="5"/>
    <n v="4096.8990000000003"/>
    <n v="4010"/>
    <n v="2.1670573566084874"/>
  </r>
  <r>
    <s v="Direct,USnet,120"/>
    <x v="0"/>
    <x v="2"/>
    <x v="5"/>
    <n v="4151.9530000000004"/>
    <n v="4010"/>
    <n v="3.5399750623441499"/>
  </r>
  <r>
    <s v="Direct,USnet,120"/>
    <x v="0"/>
    <x v="2"/>
    <x v="5"/>
    <n v="4167.2430000000004"/>
    <n v="4010"/>
    <n v="3.9212718204488879"/>
  </r>
  <r>
    <s v="Direct,USnet,120"/>
    <x v="0"/>
    <x v="2"/>
    <x v="5"/>
    <n v="4163.5820000000003"/>
    <n v="4010"/>
    <n v="3.8299750623441478"/>
  </r>
  <r>
    <s v="Direct,USnet,120"/>
    <x v="0"/>
    <x v="2"/>
    <x v="5"/>
    <n v="3994.0790000000002"/>
    <n v="4010"/>
    <n v="0.39703241895261404"/>
  </r>
  <r>
    <s v="Direct,USnet,120"/>
    <x v="0"/>
    <x v="2"/>
    <x v="5"/>
    <n v="4028.183"/>
    <n v="4010"/>
    <n v="0.453441396508728"/>
  </r>
  <r>
    <s v="Direct,USnet,120"/>
    <x v="0"/>
    <x v="2"/>
    <x v="5"/>
    <n v="4073.297"/>
    <n v="4010"/>
    <n v="1.5784788029925192"/>
  </r>
  <r>
    <s v="Direct,USnet,120"/>
    <x v="0"/>
    <x v="2"/>
    <x v="5"/>
    <n v="3886.3090000000002"/>
    <n v="4010"/>
    <n v="3.0845635910224387"/>
  </r>
  <r>
    <s v="Direct,USnet,120"/>
    <x v="0"/>
    <x v="2"/>
    <x v="5"/>
    <n v="3946.86"/>
    <n v="4010"/>
    <n v="1.5745635910224407"/>
  </r>
  <r>
    <s v="Direct,USnet,120"/>
    <x v="0"/>
    <x v="2"/>
    <x v="5"/>
    <n v="4168.2120000000004"/>
    <n v="4010"/>
    <n v="3.9454364089775673"/>
  </r>
  <r>
    <s v="Direct,USnet,120"/>
    <x v="0"/>
    <x v="2"/>
    <x v="5"/>
    <n v="4035.5680000000002"/>
    <n v="4010"/>
    <n v="0.63760598503741173"/>
  </r>
  <r>
    <s v="Direct,USnet,120"/>
    <x v="0"/>
    <x v="2"/>
    <x v="5"/>
    <n v="4159.4170000000004"/>
    <n v="4010"/>
    <n v="3.7261097256857942"/>
  </r>
  <r>
    <s v="Direct,USnet,120"/>
    <x v="0"/>
    <x v="2"/>
    <x v="5"/>
    <n v="3961.643"/>
    <n v="4010"/>
    <n v="1.2059102244389019"/>
  </r>
  <r>
    <s v="Direct,USnet,120"/>
    <x v="0"/>
    <x v="2"/>
    <x v="5"/>
    <n v="4153.8209999999999"/>
    <n v="4010"/>
    <n v="3.5865586034912695"/>
  </r>
  <r>
    <s v="Direct,USnet,120"/>
    <x v="0"/>
    <x v="2"/>
    <x v="5"/>
    <n v="4008.4850000000001"/>
    <n v="4010"/>
    <n v="3.7780548628425753E-2"/>
  </r>
  <r>
    <s v="Direct,USnet,120"/>
    <x v="0"/>
    <x v="2"/>
    <x v="5"/>
    <n v="4094.2579999999998"/>
    <n v="4010"/>
    <n v="2.101197007481292"/>
  </r>
  <r>
    <s v="Direct,USnet,120"/>
    <x v="0"/>
    <x v="2"/>
    <x v="5"/>
    <n v="4223.7820000000002"/>
    <n v="4010"/>
    <n v="5.3312219451371607"/>
  </r>
  <r>
    <s v="Direct,USnet,120"/>
    <x v="0"/>
    <x v="2"/>
    <x v="5"/>
    <n v="4070.9580000000001"/>
    <n v="4010"/>
    <n v="1.5201496259351641"/>
  </r>
  <r>
    <s v="Direct,USnet,120"/>
    <x v="0"/>
    <x v="2"/>
    <x v="5"/>
    <n v="4123.5950000000003"/>
    <n v="4010"/>
    <n v="2.8327930174563654"/>
  </r>
  <r>
    <s v="Direct,USnet,120"/>
    <x v="0"/>
    <x v="2"/>
    <x v="5"/>
    <n v="3979.7420000000002"/>
    <n v="4010"/>
    <n v="0.7545635910224392"/>
  </r>
  <r>
    <s v="Multihop,NSFnet,20"/>
    <x v="1"/>
    <x v="0"/>
    <x v="0"/>
    <n v="270.70600000000002"/>
    <n v="260"/>
    <n v="4.1176923076923142"/>
  </r>
  <r>
    <s v="Multihop,NSFnet,20"/>
    <x v="1"/>
    <x v="0"/>
    <x v="0"/>
    <n v="270.25599999999997"/>
    <n v="260"/>
    <n v="3.9446153846153735"/>
  </r>
  <r>
    <s v="Multihop,NSFnet,20"/>
    <x v="1"/>
    <x v="0"/>
    <x v="0"/>
    <n v="263.11500000000001"/>
    <n v="260"/>
    <n v="1.1980769230769266"/>
  </r>
  <r>
    <s v="Multihop,NSFnet,20"/>
    <x v="1"/>
    <x v="0"/>
    <x v="0"/>
    <n v="272.99799999999999"/>
    <n v="260"/>
    <n v="4.9992307692307651"/>
  </r>
  <r>
    <s v="Multihop,NSFnet,20"/>
    <x v="1"/>
    <x v="0"/>
    <x v="0"/>
    <n v="265.04899999999998"/>
    <n v="260"/>
    <n v="1.9419230769230684"/>
  </r>
  <r>
    <s v="Multihop,NSFnet,20"/>
    <x v="1"/>
    <x v="0"/>
    <x v="0"/>
    <n v="273.50200000000001"/>
    <n v="260"/>
    <n v="5.1930769230769265"/>
  </r>
  <r>
    <s v="Multihop,NSFnet,20"/>
    <x v="1"/>
    <x v="0"/>
    <x v="0"/>
    <n v="265.90300000000002"/>
    <n v="260"/>
    <n v="2.2703846153846232"/>
  </r>
  <r>
    <s v="Multihop,NSFnet,20"/>
    <x v="1"/>
    <x v="0"/>
    <x v="0"/>
    <n v="273.65499999999997"/>
    <n v="260"/>
    <n v="5.2519230769230667"/>
  </r>
  <r>
    <s v="Multihop,NSFnet,20"/>
    <x v="1"/>
    <x v="0"/>
    <x v="0"/>
    <n v="262.30799999999999"/>
    <n v="260"/>
    <n v="0.887692307692305"/>
  </r>
  <r>
    <s v="Multihop,NSFnet,20"/>
    <x v="1"/>
    <x v="0"/>
    <x v="0"/>
    <n v="266.34100000000001"/>
    <n v="260"/>
    <n v="2.438846153846157"/>
  </r>
  <r>
    <s v="Multihop,NSFnet,20"/>
    <x v="1"/>
    <x v="0"/>
    <x v="0"/>
    <n v="262.41399999999999"/>
    <n v="260"/>
    <n v="0.92846153846153356"/>
  </r>
  <r>
    <s v="Multihop,NSFnet,20"/>
    <x v="1"/>
    <x v="0"/>
    <x v="0"/>
    <n v="270.23899999999998"/>
    <n v="260"/>
    <n v="3.9380769230769137"/>
  </r>
  <r>
    <s v="Multihop,NSFnet,20"/>
    <x v="1"/>
    <x v="0"/>
    <x v="0"/>
    <n v="264.23899999999998"/>
    <n v="260"/>
    <n v="1.6303846153846062"/>
  </r>
  <r>
    <s v="Multihop,NSFnet,20"/>
    <x v="1"/>
    <x v="0"/>
    <x v="0"/>
    <n v="257.61500000000001"/>
    <n v="260"/>
    <n v="0.91730769230768883"/>
  </r>
  <r>
    <s v="Multihop,NSFnet,20"/>
    <x v="1"/>
    <x v="0"/>
    <x v="0"/>
    <n v="262.08499999999998"/>
    <n v="260"/>
    <n v="0.80192307692306897"/>
  </r>
  <r>
    <s v="Multihop,NSFnet,20"/>
    <x v="1"/>
    <x v="0"/>
    <x v="0"/>
    <n v="262.41800000000001"/>
    <n v="260"/>
    <n v="0.93000000000000249"/>
  </r>
  <r>
    <s v="Multihop,NSFnet,20"/>
    <x v="1"/>
    <x v="0"/>
    <x v="0"/>
    <n v="267.41399999999999"/>
    <n v="260"/>
    <n v="2.8515384615384569"/>
  </r>
  <r>
    <s v="Multihop,NSFnet,20"/>
    <x v="1"/>
    <x v="0"/>
    <x v="0"/>
    <n v="266.77199999999999"/>
    <n v="260"/>
    <n v="2.6046153846153812"/>
  </r>
  <r>
    <s v="Multihop,NSFnet,20"/>
    <x v="1"/>
    <x v="0"/>
    <x v="0"/>
    <n v="260.483"/>
    <n v="260"/>
    <n v="0.18576923076923235"/>
  </r>
  <r>
    <s v="Multihop,NSFnet,20"/>
    <x v="1"/>
    <x v="0"/>
    <x v="0"/>
    <n v="267.09300000000002"/>
    <n v="260"/>
    <n v="2.7280769230769297"/>
  </r>
  <r>
    <s v="Multihop,NSFnet,20"/>
    <x v="1"/>
    <x v="0"/>
    <x v="0"/>
    <n v="264.56"/>
    <n v="260"/>
    <n v="1.7538461538461547"/>
  </r>
  <r>
    <s v="Multihop,NSFnet,20"/>
    <x v="1"/>
    <x v="0"/>
    <x v="0"/>
    <n v="262.68799999999999"/>
    <n v="260"/>
    <n v="1.0338461538461492"/>
  </r>
  <r>
    <s v="Multihop,NSFnet,20"/>
    <x v="1"/>
    <x v="0"/>
    <x v="0"/>
    <n v="268.07100000000003"/>
    <n v="260"/>
    <n v="3.1042307692307793"/>
  </r>
  <r>
    <s v="Multihop,NSFnet,20"/>
    <x v="1"/>
    <x v="0"/>
    <x v="0"/>
    <n v="263.48700000000002"/>
    <n v="260"/>
    <n v="1.341153846153855"/>
  </r>
  <r>
    <s v="Multihop,NSFnet,20"/>
    <x v="1"/>
    <x v="0"/>
    <x v="0"/>
    <n v="265.553"/>
    <n v="260"/>
    <n v="2.1357692307692298"/>
  </r>
  <r>
    <s v="Multihop,NSFnet,20"/>
    <x v="1"/>
    <x v="0"/>
    <x v="0"/>
    <n v="264.98700000000002"/>
    <n v="260"/>
    <n v="1.9180769230769321"/>
  </r>
  <r>
    <s v="Multihop,NSFnet,20"/>
    <x v="1"/>
    <x v="0"/>
    <x v="0"/>
    <n v="263.35599999999999"/>
    <n v="260"/>
    <n v="1.2907692307692287"/>
  </r>
  <r>
    <s v="Multihop,NSFnet,20"/>
    <x v="1"/>
    <x v="0"/>
    <x v="0"/>
    <n v="272.50900000000001"/>
    <n v="260"/>
    <n v="4.8111538461538519"/>
  </r>
  <r>
    <s v="Multihop,NSFnet,20"/>
    <x v="1"/>
    <x v="0"/>
    <x v="0"/>
    <n v="261.60399999999998"/>
    <n v="260"/>
    <n v="0.61692307692307113"/>
  </r>
  <r>
    <s v="Multihop,NSFnet,20"/>
    <x v="1"/>
    <x v="0"/>
    <x v="0"/>
    <n v="259.15499999999997"/>
    <n v="260"/>
    <n v="0.3250000000000105"/>
  </r>
  <r>
    <s v="Multihop,NSFnet,20"/>
    <x v="1"/>
    <x v="0"/>
    <x v="0"/>
    <n v="261.40699999999998"/>
    <n v="260"/>
    <n v="0.54115384615383932"/>
  </r>
  <r>
    <s v="Multihop,NSFnet,20"/>
    <x v="1"/>
    <x v="0"/>
    <x v="0"/>
    <n v="263.89100000000002"/>
    <n v="260"/>
    <n v="1.4965384615384691"/>
  </r>
  <r>
    <s v="Multihop,NSFnet,20"/>
    <x v="1"/>
    <x v="0"/>
    <x v="0"/>
    <n v="266.70600000000002"/>
    <n v="260"/>
    <n v="2.5792307692307759"/>
  </r>
  <r>
    <s v="Multihop,NSFnet,20"/>
    <x v="1"/>
    <x v="0"/>
    <x v="0"/>
    <n v="278.64299999999997"/>
    <n v="260"/>
    <n v="7.1703846153846049"/>
  </r>
  <r>
    <s v="Multihop,NSFnet,20"/>
    <x v="1"/>
    <x v="0"/>
    <x v="0"/>
    <n v="269.95"/>
    <n v="260"/>
    <n v="3.8269230769230722"/>
  </r>
  <r>
    <s v="Multihop,NSFnet,20"/>
    <x v="1"/>
    <x v="0"/>
    <x v="0"/>
    <n v="263.82299999999998"/>
    <n v="260"/>
    <n v="1.4703846153846072"/>
  </r>
  <r>
    <s v="Multihop,NSFnet,20"/>
    <x v="1"/>
    <x v="0"/>
    <x v="0"/>
    <n v="268.25700000000001"/>
    <n v="260"/>
    <n v="3.1757692307692329"/>
  </r>
  <r>
    <s v="Multihop,NSFnet,20"/>
    <x v="1"/>
    <x v="0"/>
    <x v="0"/>
    <n v="275.19799999999998"/>
    <n v="260"/>
    <n v="5.8453846153846074"/>
  </r>
  <r>
    <s v="Multihop,NSFnet,20"/>
    <x v="1"/>
    <x v="0"/>
    <x v="0"/>
    <n v="268.43599999999998"/>
    <n v="260"/>
    <n v="3.2446153846153765"/>
  </r>
  <r>
    <s v="Multihop,NSFnet,20"/>
    <x v="1"/>
    <x v="0"/>
    <x v="0"/>
    <n v="270.06400000000002"/>
    <n v="260"/>
    <n v="3.8707692307692385"/>
  </r>
  <r>
    <s v="Multihop,NSFnet,20"/>
    <x v="1"/>
    <x v="0"/>
    <x v="0"/>
    <n v="261.80200000000002"/>
    <n v="260"/>
    <n v="0.69307692307693114"/>
  </r>
  <r>
    <s v="Multihop,NSFnet,20"/>
    <x v="1"/>
    <x v="0"/>
    <x v="0"/>
    <n v="266.21699999999998"/>
    <n v="260"/>
    <n v="2.39115384615384"/>
  </r>
  <r>
    <s v="Multihop,NSFnet,20"/>
    <x v="1"/>
    <x v="0"/>
    <x v="0"/>
    <n v="261.11500000000001"/>
    <n v="260"/>
    <n v="0.42884615384615732"/>
  </r>
  <r>
    <s v="Multihop,NSFnet,20"/>
    <x v="1"/>
    <x v="0"/>
    <x v="0"/>
    <n v="263.35199999999998"/>
    <n v="260"/>
    <n v="1.2892307692307596"/>
  </r>
  <r>
    <s v="Multihop,NSFnet,20"/>
    <x v="1"/>
    <x v="0"/>
    <x v="0"/>
    <n v="262.85500000000002"/>
    <n v="260"/>
    <n v="1.0980769230769301"/>
  </r>
  <r>
    <s v="Multihop,NSFnet,20"/>
    <x v="1"/>
    <x v="0"/>
    <x v="0"/>
    <n v="266.48700000000002"/>
    <n v="260"/>
    <n v="2.495000000000009"/>
  </r>
  <r>
    <s v="Multihop,NSFnet,20"/>
    <x v="1"/>
    <x v="0"/>
    <x v="0"/>
    <n v="271.87400000000002"/>
    <n v="260"/>
    <n v="4.5669230769230857"/>
  </r>
  <r>
    <s v="Multihop,NSFnet,20"/>
    <x v="1"/>
    <x v="0"/>
    <x v="0"/>
    <n v="265.40699999999998"/>
    <n v="260"/>
    <n v="2.0796153846153778"/>
  </r>
  <r>
    <s v="Multihop,NSFnet,20"/>
    <x v="1"/>
    <x v="0"/>
    <x v="0"/>
    <n v="266.70600000000002"/>
    <n v="260"/>
    <n v="2.5792307692307759"/>
  </r>
  <r>
    <s v="Multihop,NSFnet,20"/>
    <x v="1"/>
    <x v="0"/>
    <x v="0"/>
    <n v="261.48700000000002"/>
    <n v="260"/>
    <n v="0.57192307692308586"/>
  </r>
  <r>
    <s v="Multihop,NSFnet,20"/>
    <x v="1"/>
    <x v="0"/>
    <x v="0"/>
    <n v="260.56400000000002"/>
    <n v="260"/>
    <n v="0.21692307692308516"/>
  </r>
  <r>
    <s v="Multihop,NSFnet,20"/>
    <x v="1"/>
    <x v="0"/>
    <x v="0"/>
    <n v="265.43599999999998"/>
    <n v="260"/>
    <n v="2.0907692307692223"/>
  </r>
  <r>
    <s v="Multihop,NSFnet,20"/>
    <x v="1"/>
    <x v="0"/>
    <x v="0"/>
    <n v="264.541"/>
    <n v="260"/>
    <n v="1.7465384615384605"/>
  </r>
  <r>
    <s v="Multihop,NSFnet,20"/>
    <x v="1"/>
    <x v="0"/>
    <x v="0"/>
    <n v="263.42500000000001"/>
    <n v="260"/>
    <n v="1.3173076923076965"/>
  </r>
  <r>
    <s v="Multihop,NSFnet,20"/>
    <x v="1"/>
    <x v="0"/>
    <x v="0"/>
    <n v="264.19499999999999"/>
    <n v="260"/>
    <n v="1.6134615384615358"/>
  </r>
  <r>
    <s v="Multihop,NSFnet,20"/>
    <x v="1"/>
    <x v="0"/>
    <x v="0"/>
    <n v="271.84500000000003"/>
    <n v="260"/>
    <n v="4.5557692307692408"/>
  </r>
  <r>
    <s v="Multihop,NSFnet,20"/>
    <x v="1"/>
    <x v="0"/>
    <x v="0"/>
    <n v="260.40699999999998"/>
    <n v="260"/>
    <n v="0.15653846153845472"/>
  </r>
  <r>
    <s v="Multihop,NSFnet,20"/>
    <x v="1"/>
    <x v="0"/>
    <x v="0"/>
    <n v="264.99799999999999"/>
    <n v="260"/>
    <n v="1.9223076923076887"/>
  </r>
  <r>
    <s v="Multihop,NSFnet,20"/>
    <x v="1"/>
    <x v="0"/>
    <x v="0"/>
    <n v="267.63299999999998"/>
    <n v="260"/>
    <n v="2.9357692307692238"/>
  </r>
  <r>
    <s v="Multihop,NSFnet,20"/>
    <x v="1"/>
    <x v="0"/>
    <x v="0"/>
    <n v="264.41000000000003"/>
    <n v="260"/>
    <n v="1.6961538461538559"/>
  </r>
  <r>
    <s v="Multihop,NSFnet,20"/>
    <x v="1"/>
    <x v="0"/>
    <x v="0"/>
    <n v="267.80399999999997"/>
    <n v="260"/>
    <n v="3.0015384615384515"/>
  </r>
  <r>
    <s v="Multihop,NSFnet,20"/>
    <x v="1"/>
    <x v="0"/>
    <x v="0"/>
    <n v="256.53100000000001"/>
    <n v="260"/>
    <n v="1.3342307692307669"/>
  </r>
  <r>
    <s v="Multihop,NSFnet,20"/>
    <x v="1"/>
    <x v="0"/>
    <x v="0"/>
    <n v="265.553"/>
    <n v="260"/>
    <n v="2.1357692307692298"/>
  </r>
  <r>
    <s v="Multihop,NSFnet,20"/>
    <x v="1"/>
    <x v="0"/>
    <x v="0"/>
    <n v="256.34100000000001"/>
    <n v="260"/>
    <n v="1.407307692307689"/>
  </r>
  <r>
    <s v="Multihop,NSFnet,20"/>
    <x v="1"/>
    <x v="0"/>
    <x v="0"/>
    <n v="266.50900000000001"/>
    <n v="260"/>
    <n v="2.503461538461544"/>
  </r>
  <r>
    <s v="Multihop,NSFnet,20"/>
    <x v="1"/>
    <x v="0"/>
    <x v="0"/>
    <n v="271.06400000000002"/>
    <n v="260"/>
    <n v="4.2553846153846235"/>
  </r>
  <r>
    <s v="Multihop,NSFnet,20"/>
    <x v="1"/>
    <x v="0"/>
    <x v="0"/>
    <n v="268.85199999999998"/>
    <n v="260"/>
    <n v="3.4046153846153753"/>
  </r>
  <r>
    <s v="Multihop,NSFnet,20"/>
    <x v="1"/>
    <x v="0"/>
    <x v="0"/>
    <n v="276.09300000000002"/>
    <n v="260"/>
    <n v="6.189615384615391"/>
  </r>
  <r>
    <s v="Multihop,NSFnet,20"/>
    <x v="1"/>
    <x v="0"/>
    <x v="0"/>
    <n v="271.11"/>
    <n v="260"/>
    <n v="4.2730769230769283"/>
  </r>
  <r>
    <s v="Multihop,NSFnet,20"/>
    <x v="1"/>
    <x v="0"/>
    <x v="0"/>
    <n v="263.18799999999999"/>
    <n v="260"/>
    <n v="1.2261538461538415"/>
  </r>
  <r>
    <s v="Multihop,NSFnet,20"/>
    <x v="1"/>
    <x v="0"/>
    <x v="0"/>
    <n v="261.04899999999998"/>
    <n v="260"/>
    <n v="0.40346153846153004"/>
  </r>
  <r>
    <s v="Multihop,NSFnet,20"/>
    <x v="1"/>
    <x v="0"/>
    <x v="0"/>
    <n v="265.70600000000002"/>
    <n v="260"/>
    <n v="2.1946153846153913"/>
  </r>
  <r>
    <s v="Multihop,NSFnet,20"/>
    <x v="1"/>
    <x v="0"/>
    <x v="0"/>
    <n v="257.04899999999998"/>
    <n v="260"/>
    <n v="1.1350000000000084"/>
  </r>
  <r>
    <s v="Multihop,NSFnet,20"/>
    <x v="1"/>
    <x v="0"/>
    <x v="0"/>
    <n v="262.83"/>
    <n v="260"/>
    <n v="1.0884615384615324"/>
  </r>
  <r>
    <s v="Multihop,NSFnet,20"/>
    <x v="1"/>
    <x v="0"/>
    <x v="0"/>
    <n v="270.06400000000002"/>
    <n v="260"/>
    <n v="3.8707692307692385"/>
  </r>
  <r>
    <s v="Multihop,NSFnet,20"/>
    <x v="1"/>
    <x v="0"/>
    <x v="0"/>
    <n v="266.69900000000001"/>
    <n v="260"/>
    <n v="2.5765384615384663"/>
  </r>
  <r>
    <s v="Multihop,NSFnet,20"/>
    <x v="1"/>
    <x v="0"/>
    <x v="0"/>
    <n v="264.70600000000002"/>
    <n v="260"/>
    <n v="1.8100000000000067"/>
  </r>
  <r>
    <s v="Multihop,NSFnet,20"/>
    <x v="1"/>
    <x v="0"/>
    <x v="0"/>
    <n v="277.947"/>
    <n v="260"/>
    <n v="6.9026923076923081"/>
  </r>
  <r>
    <s v="Multihop,NSFnet,20"/>
    <x v="1"/>
    <x v="0"/>
    <x v="0"/>
    <n v="267.88400000000001"/>
    <n v="260"/>
    <n v="3.0323076923076981"/>
  </r>
  <r>
    <s v="Multihop,NSFnet,20"/>
    <x v="1"/>
    <x v="0"/>
    <x v="0"/>
    <n v="266.58199999999999"/>
    <n v="260"/>
    <n v="2.5315384615384589"/>
  </r>
  <r>
    <s v="Multihop,NSFnet,20"/>
    <x v="1"/>
    <x v="0"/>
    <x v="0"/>
    <n v="258.63299999999998"/>
    <n v="260"/>
    <n v="0.52576923076923798"/>
  </r>
  <r>
    <s v="Multihop,NSFnet,20"/>
    <x v="1"/>
    <x v="0"/>
    <x v="0"/>
    <n v="262.83"/>
    <n v="260"/>
    <n v="1.0884615384615324"/>
  </r>
  <r>
    <s v="Multihop,NSFnet,20"/>
    <x v="1"/>
    <x v="0"/>
    <x v="0"/>
    <n v="265.89600000000002"/>
    <n v="260"/>
    <n v="2.2676923076923137"/>
  </r>
  <r>
    <s v="Multihop,NSFnet,20"/>
    <x v="1"/>
    <x v="0"/>
    <x v="0"/>
    <n v="268.92399999999998"/>
    <n v="260"/>
    <n v="3.4323076923076838"/>
  </r>
  <r>
    <s v="Multihop,NSFnet,20"/>
    <x v="1"/>
    <x v="0"/>
    <x v="0"/>
    <n v="270.68"/>
    <n v="260"/>
    <n v="4.10769230769231"/>
  </r>
  <r>
    <s v="Multihop,NSFnet,20"/>
    <x v="1"/>
    <x v="0"/>
    <x v="0"/>
    <n v="257.96899999999999"/>
    <n v="260"/>
    <n v="0.78115384615384842"/>
  </r>
  <r>
    <s v="Multihop,NSFnet,20"/>
    <x v="1"/>
    <x v="0"/>
    <x v="0"/>
    <n v="262.29300000000001"/>
    <n v="260"/>
    <n v="0.88192307692307947"/>
  </r>
  <r>
    <s v="Multihop,NSFnet,20"/>
    <x v="1"/>
    <x v="0"/>
    <x v="0"/>
    <n v="265.81200000000001"/>
    <n v="260"/>
    <n v="2.23538461538462"/>
  </r>
  <r>
    <s v="Multihop,NSFnet,20"/>
    <x v="1"/>
    <x v="0"/>
    <x v="0"/>
    <n v="273.79399999999998"/>
    <n v="260"/>
    <n v="5.3053846153846091"/>
  </r>
  <r>
    <s v="Multihop,NSFnet,20"/>
    <x v="1"/>
    <x v="0"/>
    <x v="0"/>
    <n v="265.48700000000002"/>
    <n v="260"/>
    <n v="2.1103846153846244"/>
  </r>
  <r>
    <s v="Multihop,NSFnet,20"/>
    <x v="1"/>
    <x v="0"/>
    <x v="0"/>
    <n v="274.29000000000002"/>
    <n v="260"/>
    <n v="5.4961538461538542"/>
  </r>
  <r>
    <s v="Multihop,NSFnet,20"/>
    <x v="1"/>
    <x v="0"/>
    <x v="0"/>
    <n v="262.334"/>
    <n v="260"/>
    <n v="0.8976923076923089"/>
  </r>
  <r>
    <s v="Multihop,NSFnet,20"/>
    <x v="1"/>
    <x v="0"/>
    <x v="0"/>
    <n v="262.60399999999998"/>
    <n v="260"/>
    <n v="1.0015384615384557"/>
  </r>
  <r>
    <s v="Multihop,NSFnet,20"/>
    <x v="1"/>
    <x v="0"/>
    <x v="0"/>
    <n v="263.56"/>
    <n v="260"/>
    <n v="1.3692307692307701"/>
  </r>
  <r>
    <s v="Multihop,NSFnet,20"/>
    <x v="1"/>
    <x v="0"/>
    <x v="0"/>
    <n v="262.18799999999999"/>
    <n v="260"/>
    <n v="0.84153846153845691"/>
  </r>
  <r>
    <s v="Multihop,NSFnet,20"/>
    <x v="1"/>
    <x v="0"/>
    <x v="0"/>
    <n v="264.42500000000001"/>
    <n v="260"/>
    <n v="1.7019230769230815"/>
  </r>
  <r>
    <s v="Multihop,NSFnet,20"/>
    <x v="1"/>
    <x v="0"/>
    <x v="0"/>
    <n v="264.41399999999999"/>
    <n v="260"/>
    <n v="1.6976923076923027"/>
  </r>
  <r>
    <s v="Multihop,NSFnet,20"/>
    <x v="1"/>
    <x v="0"/>
    <x v="0"/>
    <n v="264.62599999999998"/>
    <n v="260"/>
    <n v="1.7792307692307601"/>
  </r>
  <r>
    <s v="Multihop,NSFnet,20"/>
    <x v="1"/>
    <x v="0"/>
    <x v="0"/>
    <n v="265.56"/>
    <n v="260"/>
    <n v="2.1384615384615393"/>
  </r>
  <r>
    <s v="Multihop,NSFnet,20"/>
    <x v="1"/>
    <x v="0"/>
    <x v="0"/>
    <n v="262.90699999999998"/>
    <n v="260"/>
    <n v="1.1180769230769163"/>
  </r>
  <r>
    <s v="Multihop,NSFnet,40"/>
    <x v="1"/>
    <x v="0"/>
    <x v="1"/>
    <n v="458.56799999999998"/>
    <n v="458"/>
    <n v="0.12401746724890472"/>
  </r>
  <r>
    <s v="Multihop,NSFnet,40"/>
    <x v="1"/>
    <x v="0"/>
    <x v="1"/>
    <n v="464.88499999999999"/>
    <n v="458"/>
    <n v="1.5032751091703036"/>
  </r>
  <r>
    <s v="Multihop,NSFnet,40"/>
    <x v="1"/>
    <x v="0"/>
    <x v="1"/>
    <n v="464.83"/>
    <n v="458"/>
    <n v="1.491266375545848"/>
  </r>
  <r>
    <s v="Multihop,NSFnet,40"/>
    <x v="1"/>
    <x v="0"/>
    <x v="1"/>
    <n v="455.85"/>
    <n v="458"/>
    <n v="0.46943231441047534"/>
  </r>
  <r>
    <s v="Multihop,NSFnet,40"/>
    <x v="1"/>
    <x v="0"/>
    <x v="1"/>
    <n v="470.86"/>
    <n v="458"/>
    <n v="2.8078602620087363"/>
  </r>
  <r>
    <s v="Multihop,NSFnet,40"/>
    <x v="1"/>
    <x v="0"/>
    <x v="1"/>
    <n v="452.93599999999998"/>
    <n v="458"/>
    <n v="1.105676855895201"/>
  </r>
  <r>
    <s v="Multihop,NSFnet,40"/>
    <x v="1"/>
    <x v="0"/>
    <x v="1"/>
    <n v="472.00599999999997"/>
    <n v="458"/>
    <n v="3.058078602620081"/>
  </r>
  <r>
    <s v="Multihop,NSFnet,40"/>
    <x v="1"/>
    <x v="0"/>
    <x v="1"/>
    <n v="455.38299999999998"/>
    <n v="458"/>
    <n v="0.57139737991266792"/>
  </r>
  <r>
    <s v="Multihop,NSFnet,40"/>
    <x v="1"/>
    <x v="0"/>
    <x v="1"/>
    <n v="455.31900000000002"/>
    <n v="458"/>
    <n v="0.58537117903929758"/>
  </r>
  <r>
    <s v="Multihop,NSFnet,40"/>
    <x v="1"/>
    <x v="0"/>
    <x v="1"/>
    <n v="433.98"/>
    <n v="458"/>
    <n v="5.2445414847161533"/>
  </r>
  <r>
    <s v="Multihop,NSFnet,40"/>
    <x v="1"/>
    <x v="0"/>
    <x v="1"/>
    <n v="469.78699999999998"/>
    <n v="458"/>
    <n v="2.5735807860261963"/>
  </r>
  <r>
    <s v="Multihop,NSFnet,40"/>
    <x v="1"/>
    <x v="0"/>
    <x v="1"/>
    <n v="460.08800000000002"/>
    <n v="458"/>
    <n v="0.45589519650655513"/>
  </r>
  <r>
    <s v="Multihop,NSFnet,40"/>
    <x v="1"/>
    <x v="0"/>
    <x v="1"/>
    <n v="453.35700000000003"/>
    <n v="458"/>
    <n v="1.0137554585152779"/>
  </r>
  <r>
    <s v="Multihop,NSFnet,40"/>
    <x v="1"/>
    <x v="0"/>
    <x v="1"/>
    <n v="494.50599999999997"/>
    <n v="458"/>
    <n v="7.9707423580785957"/>
  </r>
  <r>
    <s v="Multihop,NSFnet,40"/>
    <x v="1"/>
    <x v="0"/>
    <x v="1"/>
    <n v="454.67200000000003"/>
    <n v="458"/>
    <n v="0.72663755458514723"/>
  </r>
  <r>
    <s v="Multihop,NSFnet,40"/>
    <x v="1"/>
    <x v="0"/>
    <x v="1"/>
    <n v="460.73899999999998"/>
    <n v="458"/>
    <n v="0.59803493449781131"/>
  </r>
  <r>
    <s v="Multihop,NSFnet,40"/>
    <x v="1"/>
    <x v="0"/>
    <x v="1"/>
    <n v="452.58699999999999"/>
    <n v="458"/>
    <n v="1.1818777292576443"/>
  </r>
  <r>
    <s v="Multihop,NSFnet,40"/>
    <x v="1"/>
    <x v="0"/>
    <x v="1"/>
    <n v="473.87200000000001"/>
    <n v="458"/>
    <n v="3.4655021834061168"/>
  </r>
  <r>
    <s v="Multihop,NSFnet,40"/>
    <x v="1"/>
    <x v="0"/>
    <x v="1"/>
    <n v="447.80399999999997"/>
    <n v="458"/>
    <n v="2.2262008733624512"/>
  </r>
  <r>
    <s v="Multihop,NSFnet,40"/>
    <x v="1"/>
    <x v="0"/>
    <x v="1"/>
    <n v="468.43"/>
    <n v="458"/>
    <n v="2.2772925764192156"/>
  </r>
  <r>
    <s v="Multihop,NSFnet,40"/>
    <x v="1"/>
    <x v="0"/>
    <x v="1"/>
    <n v="471.49200000000002"/>
    <n v="458"/>
    <n v="2.9458515283842837"/>
  </r>
  <r>
    <s v="Multihop,NSFnet,40"/>
    <x v="1"/>
    <x v="0"/>
    <x v="1"/>
    <n v="456.29199999999997"/>
    <n v="458"/>
    <n v="0.37292576419214557"/>
  </r>
  <r>
    <s v="Multihop,NSFnet,40"/>
    <x v="1"/>
    <x v="0"/>
    <x v="1"/>
    <n v="448.85"/>
    <n v="458"/>
    <n v="1.9978165938864578"/>
  </r>
  <r>
    <s v="Multihop,NSFnet,40"/>
    <x v="1"/>
    <x v="0"/>
    <x v="1"/>
    <n v="454.28800000000001"/>
    <n v="458"/>
    <n v="0.8104803493449757"/>
  </r>
  <r>
    <s v="Multihop,NSFnet,40"/>
    <x v="1"/>
    <x v="0"/>
    <x v="1"/>
    <n v="476.22899999999998"/>
    <n v="458"/>
    <n v="3.9801310043668088"/>
  </r>
  <r>
    <s v="Multihop,NSFnet,40"/>
    <x v="1"/>
    <x v="0"/>
    <x v="1"/>
    <n v="436.791"/>
    <n v="458"/>
    <n v="4.630786026200874"/>
  </r>
  <r>
    <s v="Multihop,NSFnet,40"/>
    <x v="1"/>
    <x v="0"/>
    <x v="1"/>
    <n v="478.7"/>
    <n v="458"/>
    <n v="4.5196506550218309"/>
  </r>
  <r>
    <s v="Multihop,NSFnet,40"/>
    <x v="1"/>
    <x v="0"/>
    <x v="1"/>
    <n v="457.49299999999999"/>
    <n v="458"/>
    <n v="0.11069868995633297"/>
  </r>
  <r>
    <s v="Multihop,NSFnet,40"/>
    <x v="1"/>
    <x v="0"/>
    <x v="1"/>
    <n v="460.88499999999999"/>
    <n v="458"/>
    <n v="0.62991266375545651"/>
  </r>
  <r>
    <s v="Multihop,NSFnet,40"/>
    <x v="1"/>
    <x v="0"/>
    <x v="1"/>
    <n v="456.923"/>
    <n v="458"/>
    <n v="0.23515283842794718"/>
  </r>
  <r>
    <s v="Multihop,NSFnet,40"/>
    <x v="1"/>
    <x v="0"/>
    <x v="1"/>
    <n v="463.221"/>
    <n v="458"/>
    <n v="1.1399563318777302"/>
  </r>
  <r>
    <s v="Multihop,NSFnet,40"/>
    <x v="1"/>
    <x v="0"/>
    <x v="1"/>
    <n v="462.46300000000002"/>
    <n v="458"/>
    <n v="0.97445414847162048"/>
  </r>
  <r>
    <s v="Multihop,NSFnet,40"/>
    <x v="1"/>
    <x v="0"/>
    <x v="1"/>
    <n v="457.44"/>
    <n v="458"/>
    <n v="0.12227074235807911"/>
  </r>
  <r>
    <s v="Multihop,NSFnet,40"/>
    <x v="1"/>
    <x v="0"/>
    <x v="1"/>
    <n v="468.86"/>
    <n v="458"/>
    <n v="2.371179039301313"/>
  </r>
  <r>
    <s v="Multihop,NSFnet,40"/>
    <x v="1"/>
    <x v="0"/>
    <x v="1"/>
    <n v="470.34100000000001"/>
    <n v="458"/>
    <n v="2.6945414847161588"/>
  </r>
  <r>
    <s v="Multihop,NSFnet,40"/>
    <x v="1"/>
    <x v="0"/>
    <x v="1"/>
    <n v="463.30099999999999"/>
    <n v="458"/>
    <n v="1.1574235807860236"/>
  </r>
  <r>
    <s v="Multihop,NSFnet,40"/>
    <x v="1"/>
    <x v="0"/>
    <x v="1"/>
    <n v="461.28800000000001"/>
    <n v="458"/>
    <n v="0.71790393013100673"/>
  </r>
  <r>
    <s v="Multihop,NSFnet,40"/>
    <x v="1"/>
    <x v="0"/>
    <x v="1"/>
    <n v="474.61200000000002"/>
    <n v="458"/>
    <n v="3.6270742358078651"/>
  </r>
  <r>
    <s v="Multihop,NSFnet,40"/>
    <x v="1"/>
    <x v="0"/>
    <x v="1"/>
    <n v="476.36700000000002"/>
    <n v="458"/>
    <n v="4.010262008733628"/>
  </r>
  <r>
    <s v="Multihop,NSFnet,40"/>
    <x v="1"/>
    <x v="0"/>
    <x v="1"/>
    <n v="436.75"/>
    <n v="458"/>
    <n v="4.639737991266375"/>
  </r>
  <r>
    <s v="Multihop,NSFnet,40"/>
    <x v="1"/>
    <x v="0"/>
    <x v="1"/>
    <n v="455.64100000000002"/>
    <n v="458"/>
    <n v="0.51506550218340186"/>
  </r>
  <r>
    <s v="Multihop,NSFnet,40"/>
    <x v="1"/>
    <x v="0"/>
    <x v="1"/>
    <n v="465.48500000000001"/>
    <n v="458"/>
    <n v="1.6342794759825356"/>
  </r>
  <r>
    <s v="Multihop,NSFnet,40"/>
    <x v="1"/>
    <x v="0"/>
    <x v="1"/>
    <n v="466.113"/>
    <n v="458"/>
    <n v="1.7713973799126637"/>
  </r>
  <r>
    <s v="Multihop,NSFnet,40"/>
    <x v="1"/>
    <x v="0"/>
    <x v="1"/>
    <n v="445.32600000000002"/>
    <n v="458"/>
    <n v="2.7672489082969385"/>
  </r>
  <r>
    <s v="Multihop,NSFnet,40"/>
    <x v="1"/>
    <x v="0"/>
    <x v="1"/>
    <n v="464.32499999999999"/>
    <n v="458"/>
    <n v="1.3810043668122245"/>
  </r>
  <r>
    <s v="Multihop,NSFnet,40"/>
    <x v="1"/>
    <x v="0"/>
    <x v="1"/>
    <n v="485.488"/>
    <n v="458"/>
    <n v="6.0017467248908298"/>
  </r>
  <r>
    <s v="Multihop,NSFnet,40"/>
    <x v="1"/>
    <x v="0"/>
    <x v="1"/>
    <n v="463.97300000000001"/>
    <n v="458"/>
    <n v="1.3041484716157232"/>
  </r>
  <r>
    <s v="Multihop,NSFnet,40"/>
    <x v="1"/>
    <x v="0"/>
    <x v="1"/>
    <n v="441.92500000000001"/>
    <n v="458"/>
    <n v="3.5098253275109146"/>
  </r>
  <r>
    <s v="Multihop,NSFnet,40"/>
    <x v="1"/>
    <x v="0"/>
    <x v="1"/>
    <n v="443.29700000000003"/>
    <n v="458"/>
    <n v="3.2102620087336193"/>
  </r>
  <r>
    <s v="Multihop,NSFnet,40"/>
    <x v="1"/>
    <x v="0"/>
    <x v="1"/>
    <n v="457.71899999999999"/>
    <n v="458"/>
    <n v="6.1353711790394304E-2"/>
  </r>
  <r>
    <s v="Multihop,NSFnet,40"/>
    <x v="1"/>
    <x v="0"/>
    <x v="1"/>
    <n v="452.22899999999998"/>
    <n v="458"/>
    <n v="1.2600436681222742"/>
  </r>
  <r>
    <s v="Multihop,NSFnet,40"/>
    <x v="1"/>
    <x v="0"/>
    <x v="1"/>
    <n v="465.55099999999999"/>
    <n v="458"/>
    <n v="1.6486899563318751"/>
  </r>
  <r>
    <s v="Multihop,NSFnet,40"/>
    <x v="1"/>
    <x v="0"/>
    <x v="1"/>
    <n v="463.66"/>
    <n v="458"/>
    <n v="1.2358078602620144"/>
  </r>
  <r>
    <s v="Multihop,NSFnet,40"/>
    <x v="1"/>
    <x v="0"/>
    <x v="1"/>
    <n v="463.488"/>
    <n v="458"/>
    <n v="1.1982532751091701"/>
  </r>
  <r>
    <s v="Multihop,NSFnet,40"/>
    <x v="1"/>
    <x v="0"/>
    <x v="1"/>
    <n v="466.86"/>
    <n v="458"/>
    <n v="1.9344978165938893"/>
  </r>
  <r>
    <s v="Multihop,NSFnet,40"/>
    <x v="1"/>
    <x v="0"/>
    <x v="1"/>
    <n v="457.846"/>
    <n v="458"/>
    <n v="3.3624454148470824E-2"/>
  </r>
  <r>
    <s v="Multihop,NSFnet,40"/>
    <x v="1"/>
    <x v="0"/>
    <x v="1"/>
    <n v="468.32"/>
    <n v="458"/>
    <n v="2.2532751091703043"/>
  </r>
  <r>
    <s v="Multihop,NSFnet,40"/>
    <x v="1"/>
    <x v="0"/>
    <x v="1"/>
    <n v="487.82400000000001"/>
    <n v="458"/>
    <n v="6.5117903930131034"/>
  </r>
  <r>
    <s v="Multihop,NSFnet,40"/>
    <x v="1"/>
    <x v="0"/>
    <x v="1"/>
    <n v="466.19799999999998"/>
    <n v="458"/>
    <n v="1.7899563318777247"/>
  </r>
  <r>
    <s v="Multihop,NSFnet,40"/>
    <x v="1"/>
    <x v="0"/>
    <x v="1"/>
    <n v="470.51799999999997"/>
    <n v="458"/>
    <n v="2.7331877729257581"/>
  </r>
  <r>
    <s v="Multihop,NSFnet,40"/>
    <x v="1"/>
    <x v="0"/>
    <x v="1"/>
    <n v="459.45499999999998"/>
    <n v="458"/>
    <n v="0.3176855895196472"/>
  </r>
  <r>
    <s v="Multihop,NSFnet,40"/>
    <x v="1"/>
    <x v="0"/>
    <x v="1"/>
    <n v="451.44499999999999"/>
    <n v="458"/>
    <n v="1.4312227074235824"/>
  </r>
  <r>
    <s v="Multihop,NSFnet,40"/>
    <x v="1"/>
    <x v="0"/>
    <x v="1"/>
    <n v="453.28199999999998"/>
    <n v="458"/>
    <n v="1.0301310043668161"/>
  </r>
  <r>
    <s v="Multihop,NSFnet,40"/>
    <x v="1"/>
    <x v="0"/>
    <x v="1"/>
    <n v="468.56"/>
    <n v="458"/>
    <n v="2.305676855895197"/>
  </r>
  <r>
    <s v="Multihop,NSFnet,40"/>
    <x v="1"/>
    <x v="0"/>
    <x v="1"/>
    <n v="473.435"/>
    <n v="458"/>
    <n v="3.3700873362445418"/>
  </r>
  <r>
    <s v="Multihop,NSFnet,40"/>
    <x v="1"/>
    <x v="0"/>
    <x v="1"/>
    <n v="462.61599999999999"/>
    <n v="458"/>
    <n v="1.0078602620087305"/>
  </r>
  <r>
    <s v="Multihop,NSFnet,40"/>
    <x v="1"/>
    <x v="0"/>
    <x v="1"/>
    <n v="457.99200000000002"/>
    <n v="458"/>
    <n v="1.7467248908256234E-3"/>
  </r>
  <r>
    <s v="Multihop,NSFnet,40"/>
    <x v="1"/>
    <x v="0"/>
    <x v="1"/>
    <n v="453.01499999999999"/>
    <n v="458"/>
    <n v="1.0884279475982563"/>
  </r>
  <r>
    <s v="Multihop,NSFnet,40"/>
    <x v="1"/>
    <x v="0"/>
    <x v="1"/>
    <n v="447.95"/>
    <n v="458"/>
    <n v="2.1943231441048061"/>
  </r>
  <r>
    <s v="Multihop,NSFnet,40"/>
    <x v="1"/>
    <x v="0"/>
    <x v="1"/>
    <n v="470.19200000000001"/>
    <n v="458"/>
    <n v="2.6620087336244556"/>
  </r>
  <r>
    <s v="Multihop,NSFnet,40"/>
    <x v="1"/>
    <x v="0"/>
    <x v="1"/>
    <n v="469.37799999999999"/>
    <n v="458"/>
    <n v="2.4842794759825297"/>
  </r>
  <r>
    <s v="Multihop,NSFnet,40"/>
    <x v="1"/>
    <x v="0"/>
    <x v="1"/>
    <n v="460.56299999999999"/>
    <n v="458"/>
    <n v="0.55960698689956079"/>
  </r>
  <r>
    <s v="Multihop,NSFnet,40"/>
    <x v="1"/>
    <x v="0"/>
    <x v="1"/>
    <n v="457.08300000000003"/>
    <n v="458"/>
    <n v="0.20021834061134786"/>
  </r>
  <r>
    <s v="Multihop,NSFnet,40"/>
    <x v="1"/>
    <x v="0"/>
    <x v="1"/>
    <n v="465.27600000000001"/>
    <n v="458"/>
    <n v="1.5886462882096091"/>
  </r>
  <r>
    <s v="Multihop,NSFnet,40"/>
    <x v="1"/>
    <x v="0"/>
    <x v="1"/>
    <n v="453.08"/>
    <n v="458"/>
    <n v="1.0742358078602654"/>
  </r>
  <r>
    <s v="Multihop,NSFnet,40"/>
    <x v="1"/>
    <x v="0"/>
    <x v="1"/>
    <n v="476.45100000000002"/>
    <n v="458"/>
    <n v="4.0286026200873408"/>
  </r>
  <r>
    <s v="Multihop,NSFnet,40"/>
    <x v="1"/>
    <x v="0"/>
    <x v="1"/>
    <n v="467.73599999999999"/>
    <n v="458"/>
    <n v="2.1257641921397359"/>
  </r>
  <r>
    <s v="Multihop,NSFnet,40"/>
    <x v="1"/>
    <x v="0"/>
    <x v="1"/>
    <n v="463.80200000000002"/>
    <n v="458"/>
    <n v="1.2668122270742406"/>
  </r>
  <r>
    <s v="Multihop,NSFnet,40"/>
    <x v="1"/>
    <x v="0"/>
    <x v="1"/>
    <n v="435.50299999999999"/>
    <n v="458"/>
    <n v="4.9120087336244573"/>
  </r>
  <r>
    <s v="Multihop,NSFnet,40"/>
    <x v="1"/>
    <x v="0"/>
    <x v="1"/>
    <n v="441.43200000000002"/>
    <n v="458"/>
    <n v="3.6174672489082931"/>
  </r>
  <r>
    <s v="Multihop,NSFnet,40"/>
    <x v="1"/>
    <x v="0"/>
    <x v="1"/>
    <n v="447.86900000000003"/>
    <n v="458"/>
    <n v="2.2120087336244478"/>
  </r>
  <r>
    <s v="Multihop,NSFnet,40"/>
    <x v="1"/>
    <x v="0"/>
    <x v="1"/>
    <n v="480.11099999999999"/>
    <n v="458"/>
    <n v="4.8277292576419191"/>
  </r>
  <r>
    <s v="Multihop,NSFnet,40"/>
    <x v="1"/>
    <x v="0"/>
    <x v="1"/>
    <n v="451.279"/>
    <n v="458"/>
    <n v="1.4674672489082976"/>
  </r>
  <r>
    <s v="Multihop,NSFnet,40"/>
    <x v="1"/>
    <x v="0"/>
    <x v="1"/>
    <n v="466.017"/>
    <n v="458"/>
    <n v="1.7504366812227063"/>
  </r>
  <r>
    <s v="Multihop,NSFnet,40"/>
    <x v="1"/>
    <x v="0"/>
    <x v="1"/>
    <n v="437.81099999999998"/>
    <n v="458"/>
    <n v="4.4080786026200922"/>
  </r>
  <r>
    <s v="Multihop,NSFnet,40"/>
    <x v="1"/>
    <x v="0"/>
    <x v="1"/>
    <n v="458.35199999999998"/>
    <n v="458"/>
    <n v="7.6855895196501184E-2"/>
  </r>
  <r>
    <s v="Multihop,NSFnet,40"/>
    <x v="1"/>
    <x v="0"/>
    <x v="1"/>
    <n v="453.72500000000002"/>
    <n v="458"/>
    <n v="0.93340611353711289"/>
  </r>
  <r>
    <s v="Multihop,NSFnet,40"/>
    <x v="1"/>
    <x v="0"/>
    <x v="1"/>
    <n v="451.18299999999999"/>
    <n v="458"/>
    <n v="1.4884279475982549"/>
  </r>
  <r>
    <s v="Multihop,NSFnet,40"/>
    <x v="1"/>
    <x v="0"/>
    <x v="1"/>
    <n v="469.697"/>
    <n v="458"/>
    <n v="2.5539301310043676"/>
  </r>
  <r>
    <s v="Multihop,NSFnet,40"/>
    <x v="1"/>
    <x v="0"/>
    <x v="1"/>
    <n v="436.70299999999997"/>
    <n v="458"/>
    <n v="4.6500000000000057"/>
  </r>
  <r>
    <s v="Multihop,NSFnet,40"/>
    <x v="1"/>
    <x v="0"/>
    <x v="1"/>
    <n v="450.601"/>
    <n v="458"/>
    <n v="1.6155021834061138"/>
  </r>
  <r>
    <s v="Multihop,NSFnet,40"/>
    <x v="1"/>
    <x v="0"/>
    <x v="1"/>
    <n v="457.79599999999999"/>
    <n v="458"/>
    <n v="4.4541484716158888E-2"/>
  </r>
  <r>
    <s v="Multihop,NSFnet,40"/>
    <x v="1"/>
    <x v="0"/>
    <x v="1"/>
    <n v="471.423"/>
    <n v="458"/>
    <n v="2.9307860262008738"/>
  </r>
  <r>
    <s v="Multihop,NSFnet,40"/>
    <x v="1"/>
    <x v="0"/>
    <x v="1"/>
    <n v="462.88499999999999"/>
    <n v="458"/>
    <n v="1.0665938864628801"/>
  </r>
  <r>
    <s v="Multihop,NSFnet,40"/>
    <x v="1"/>
    <x v="0"/>
    <x v="1"/>
    <n v="471.72899999999998"/>
    <n v="458"/>
    <n v="2.9975982532751062"/>
  </r>
  <r>
    <s v="Multihop,NSFnet,40"/>
    <x v="1"/>
    <x v="0"/>
    <x v="1"/>
    <n v="450.02800000000002"/>
    <n v="458"/>
    <n v="1.7406113537117862"/>
  </r>
  <r>
    <s v="Multihop,NSFnet,40"/>
    <x v="1"/>
    <x v="0"/>
    <x v="1"/>
    <n v="462.15499999999997"/>
    <n v="458"/>
    <n v="0.90720524017466664"/>
  </r>
  <r>
    <s v="Multihop,NSFnet,40"/>
    <x v="1"/>
    <x v="0"/>
    <x v="1"/>
    <n v="445.83699999999999"/>
    <n v="458"/>
    <n v="2.6556768558951989"/>
  </r>
  <r>
    <s v="Multihop,NSFnet,40"/>
    <x v="1"/>
    <x v="0"/>
    <x v="1"/>
    <n v="485.96600000000001"/>
    <n v="458"/>
    <n v="6.1061135371179054"/>
  </r>
  <r>
    <s v="Multihop,NSFnet,40"/>
    <x v="1"/>
    <x v="0"/>
    <x v="1"/>
    <n v="451.58600000000001"/>
    <n v="458"/>
    <n v="1.4004366812227047"/>
  </r>
  <r>
    <s v="Multihop,NSFnet,60"/>
    <x v="1"/>
    <x v="0"/>
    <x v="2"/>
    <n v="669.13"/>
    <n v="670"/>
    <n v="0.12985074626865739"/>
  </r>
  <r>
    <s v="Multihop,NSFnet,60"/>
    <x v="1"/>
    <x v="0"/>
    <x v="2"/>
    <n v="647.33399999999995"/>
    <n v="670"/>
    <n v="3.3829850746268737"/>
  </r>
  <r>
    <s v="Multihop,NSFnet,60"/>
    <x v="1"/>
    <x v="0"/>
    <x v="2"/>
    <n v="675.827"/>
    <n v="670"/>
    <n v="0.86970149253731321"/>
  </r>
  <r>
    <s v="Multihop,NSFnet,60"/>
    <x v="1"/>
    <x v="0"/>
    <x v="2"/>
    <n v="666.62300000000005"/>
    <n v="670"/>
    <n v="0.50402985074626161"/>
  </r>
  <r>
    <s v="Multihop,NSFnet,60"/>
    <x v="1"/>
    <x v="0"/>
    <x v="2"/>
    <n v="695.13400000000001"/>
    <n v="670"/>
    <n v="3.7513432835820919"/>
  </r>
  <r>
    <s v="Multihop,NSFnet,60"/>
    <x v="1"/>
    <x v="0"/>
    <x v="2"/>
    <n v="658.91099999999994"/>
    <n v="670"/>
    <n v="1.65507462686568"/>
  </r>
  <r>
    <s v="Multihop,NSFnet,60"/>
    <x v="1"/>
    <x v="0"/>
    <x v="2"/>
    <n v="674.88699999999994"/>
    <n v="670"/>
    <n v="0.72940298507461854"/>
  </r>
  <r>
    <s v="Multihop,NSFnet,60"/>
    <x v="1"/>
    <x v="0"/>
    <x v="2"/>
    <n v="678.95500000000004"/>
    <n v="670"/>
    <n v="1.3365671641791106"/>
  </r>
  <r>
    <s v="Multihop,NSFnet,60"/>
    <x v="1"/>
    <x v="0"/>
    <x v="2"/>
    <n v="649.75"/>
    <n v="670"/>
    <n v="3.0223880597014925"/>
  </r>
  <r>
    <s v="Multihop,NSFnet,60"/>
    <x v="1"/>
    <x v="0"/>
    <x v="2"/>
    <n v="678.66"/>
    <n v="670"/>
    <n v="1.2925373134328311"/>
  </r>
  <r>
    <s v="Multihop,NSFnet,60"/>
    <x v="1"/>
    <x v="0"/>
    <x v="2"/>
    <n v="660.74599999999998"/>
    <n v="670"/>
    <n v="1.3811940298507492"/>
  </r>
  <r>
    <s v="Multihop,NSFnet,60"/>
    <x v="1"/>
    <x v="0"/>
    <x v="2"/>
    <n v="663.25"/>
    <n v="670"/>
    <n v="1.0074626865671641"/>
  </r>
  <r>
    <s v="Multihop,NSFnet,60"/>
    <x v="1"/>
    <x v="0"/>
    <x v="2"/>
    <n v="627.83199999999999"/>
    <n v="670"/>
    <n v="6.2937313432835831"/>
  </r>
  <r>
    <s v="Multihop,NSFnet,60"/>
    <x v="1"/>
    <x v="0"/>
    <x v="2"/>
    <n v="671.39700000000005"/>
    <n v="670"/>
    <n v="0.20850746268657436"/>
  </r>
  <r>
    <s v="Multihop,NSFnet,60"/>
    <x v="1"/>
    <x v="0"/>
    <x v="2"/>
    <n v="613.55899999999997"/>
    <n v="670"/>
    <n v="8.4240298507462725"/>
  </r>
  <r>
    <s v="Multihop,NSFnet,60"/>
    <x v="1"/>
    <x v="0"/>
    <x v="2"/>
    <n v="670.048"/>
    <n v="670"/>
    <n v="7.1641791044778835E-3"/>
  </r>
  <r>
    <s v="Multihop,NSFnet,60"/>
    <x v="1"/>
    <x v="0"/>
    <x v="2"/>
    <n v="656.36699999999996"/>
    <n v="670"/>
    <n v="2.034776119402991"/>
  </r>
  <r>
    <s v="Multihop,NSFnet,60"/>
    <x v="1"/>
    <x v="0"/>
    <x v="2"/>
    <n v="667.53800000000001"/>
    <n v="670"/>
    <n v="0.36746268656716252"/>
  </r>
  <r>
    <s v="Multihop,NSFnet,60"/>
    <x v="1"/>
    <x v="0"/>
    <x v="2"/>
    <n v="590.84199999999998"/>
    <n v="670"/>
    <n v="11.814626865671645"/>
  </r>
  <r>
    <s v="Multihop,NSFnet,60"/>
    <x v="1"/>
    <x v="0"/>
    <x v="2"/>
    <n v="640.947"/>
    <n v="670"/>
    <n v="4.3362686567164177"/>
  </r>
  <r>
    <s v="Multihop,NSFnet,60"/>
    <x v="1"/>
    <x v="0"/>
    <x v="2"/>
    <n v="661.57500000000005"/>
    <n v="670"/>
    <n v="1.2574626865671574"/>
  </r>
  <r>
    <s v="Multihop,NSFnet,60"/>
    <x v="1"/>
    <x v="0"/>
    <x v="2"/>
    <n v="649.25800000000004"/>
    <n v="670"/>
    <n v="3.0958208955223823"/>
  </r>
  <r>
    <s v="Multihop,NSFnet,60"/>
    <x v="1"/>
    <x v="0"/>
    <x v="2"/>
    <n v="646.40800000000002"/>
    <n v="670"/>
    <n v="3.5211940298507436"/>
  </r>
  <r>
    <s v="Multihop,NSFnet,60"/>
    <x v="1"/>
    <x v="0"/>
    <x v="2"/>
    <n v="658.97500000000002"/>
    <n v="670"/>
    <n v="1.6455223880596983"/>
  </r>
  <r>
    <s v="Multihop,NSFnet,60"/>
    <x v="1"/>
    <x v="0"/>
    <x v="2"/>
    <n v="675.68799999999999"/>
    <n v="670"/>
    <n v="0.8489552238805953"/>
  </r>
  <r>
    <s v="Multihop,NSFnet,60"/>
    <x v="1"/>
    <x v="0"/>
    <x v="2"/>
    <n v="676.98699999999997"/>
    <n v="670"/>
    <n v="1.0428358208955173"/>
  </r>
  <r>
    <s v="Multihop,NSFnet,60"/>
    <x v="1"/>
    <x v="0"/>
    <x v="2"/>
    <n v="665.83900000000006"/>
    <n v="670"/>
    <n v="0.62104477611939468"/>
  </r>
  <r>
    <s v="Multihop,NSFnet,60"/>
    <x v="1"/>
    <x v="0"/>
    <x v="2"/>
    <n v="660.54200000000003"/>
    <n v="670"/>
    <n v="1.4116417910447716"/>
  </r>
  <r>
    <s v="Multihop,NSFnet,60"/>
    <x v="1"/>
    <x v="0"/>
    <x v="2"/>
    <n v="634.04300000000001"/>
    <n v="670"/>
    <n v="5.366716417910447"/>
  </r>
  <r>
    <s v="Multihop,NSFnet,60"/>
    <x v="1"/>
    <x v="0"/>
    <x v="2"/>
    <n v="667.76900000000001"/>
    <n v="670"/>
    <n v="0.33298507462686483"/>
  </r>
  <r>
    <s v="Multihop,NSFnet,60"/>
    <x v="1"/>
    <x v="0"/>
    <x v="2"/>
    <n v="695.41300000000001"/>
    <n v="670"/>
    <n v="3.7929850746268672"/>
  </r>
  <r>
    <s v="Multihop,NSFnet,60"/>
    <x v="1"/>
    <x v="0"/>
    <x v="2"/>
    <n v="648.23199999999997"/>
    <n v="670"/>
    <n v="3.2489552238806017"/>
  </r>
  <r>
    <s v="Multihop,NSFnet,60"/>
    <x v="1"/>
    <x v="0"/>
    <x v="2"/>
    <n v="645.72199999999998"/>
    <n v="670"/>
    <n v="3.6235820895522415"/>
  </r>
  <r>
    <s v="Multihop,NSFnet,60"/>
    <x v="1"/>
    <x v="0"/>
    <x v="2"/>
    <n v="650.93600000000004"/>
    <n v="670"/>
    <n v="2.8453731343283528"/>
  </r>
  <r>
    <s v="Multihop,NSFnet,60"/>
    <x v="1"/>
    <x v="0"/>
    <x v="2"/>
    <n v="704.3"/>
    <n v="670"/>
    <n v="5.1194029850746201"/>
  </r>
  <r>
    <s v="Multihop,NSFnet,60"/>
    <x v="1"/>
    <x v="0"/>
    <x v="2"/>
    <n v="628.32899999999995"/>
    <n v="670"/>
    <n v="6.2195522388059779"/>
  </r>
  <r>
    <s v="Multihop,NSFnet,60"/>
    <x v="1"/>
    <x v="0"/>
    <x v="2"/>
    <n v="625.58699999999999"/>
    <n v="670"/>
    <n v="6.6288059701492559"/>
  </r>
  <r>
    <s v="Multihop,NSFnet,60"/>
    <x v="1"/>
    <x v="0"/>
    <x v="2"/>
    <n v="644.51499999999999"/>
    <n v="670"/>
    <n v="3.8037313432835838"/>
  </r>
  <r>
    <s v="Multihop,NSFnet,60"/>
    <x v="1"/>
    <x v="0"/>
    <x v="2"/>
    <n v="639.61699999999996"/>
    <n v="670"/>
    <n v="4.5347761194029914"/>
  </r>
  <r>
    <s v="Multihop,NSFnet,60"/>
    <x v="1"/>
    <x v="0"/>
    <x v="2"/>
    <n v="633.73500000000001"/>
    <n v="670"/>
    <n v="5.4126865671641777"/>
  </r>
  <r>
    <s v="Multihop,NSFnet,60"/>
    <x v="1"/>
    <x v="0"/>
    <x v="2"/>
    <n v="665.93899999999996"/>
    <n v="670"/>
    <n v="0.60611940298507994"/>
  </r>
  <r>
    <s v="Multihop,NSFnet,60"/>
    <x v="1"/>
    <x v="0"/>
    <x v="2"/>
    <n v="631.85599999999999"/>
    <n v="670"/>
    <n v="5.6931343283582097"/>
  </r>
  <r>
    <s v="Multihop,NSFnet,60"/>
    <x v="1"/>
    <x v="0"/>
    <x v="2"/>
    <n v="653.91899999999998"/>
    <n v="670"/>
    <n v="2.400149253731346"/>
  </r>
  <r>
    <s v="Multihop,NSFnet,60"/>
    <x v="1"/>
    <x v="0"/>
    <x v="2"/>
    <n v="660.74400000000003"/>
    <n v="670"/>
    <n v="1.3814925373134286"/>
  </r>
  <r>
    <s v="Multihop,NSFnet,60"/>
    <x v="1"/>
    <x v="0"/>
    <x v="2"/>
    <n v="680.99199999999996"/>
    <n v="670"/>
    <n v="1.6405970149253675"/>
  </r>
  <r>
    <s v="Multihop,NSFnet,60"/>
    <x v="1"/>
    <x v="0"/>
    <x v="2"/>
    <n v="676.77499999999998"/>
    <n v="670"/>
    <n v="1.0111940298507429"/>
  </r>
  <r>
    <s v="Multihop,NSFnet,60"/>
    <x v="1"/>
    <x v="0"/>
    <x v="2"/>
    <n v="659.93700000000001"/>
    <n v="670"/>
    <n v="1.501940298507461"/>
  </r>
  <r>
    <s v="Multihop,NSFnet,60"/>
    <x v="1"/>
    <x v="0"/>
    <x v="2"/>
    <n v="642.34"/>
    <n v="670"/>
    <n v="4.1283582089552189"/>
  </r>
  <r>
    <s v="Multihop,NSFnet,60"/>
    <x v="1"/>
    <x v="0"/>
    <x v="2"/>
    <n v="659.81500000000005"/>
    <n v="670"/>
    <n v="1.520149253731335"/>
  </r>
  <r>
    <s v="Multihop,NSFnet,60"/>
    <x v="1"/>
    <x v="0"/>
    <x v="2"/>
    <n v="653.20899999999995"/>
    <n v="670"/>
    <n v="2.5061194029850826"/>
  </r>
  <r>
    <s v="Multihop,NSFnet,60"/>
    <x v="1"/>
    <x v="0"/>
    <x v="2"/>
    <n v="626.59299999999996"/>
    <n v="670"/>
    <n v="6.4786567164179161"/>
  </r>
  <r>
    <s v="Multihop,NSFnet,60"/>
    <x v="1"/>
    <x v="0"/>
    <x v="2"/>
    <n v="647.70699999999999"/>
    <n v="670"/>
    <n v="3.327313432835822"/>
  </r>
  <r>
    <s v="Multihop,NSFnet,60"/>
    <x v="1"/>
    <x v="0"/>
    <x v="2"/>
    <n v="682.58399999999995"/>
    <n v="670"/>
    <n v="1.8782089552238725"/>
  </r>
  <r>
    <s v="Multihop,NSFnet,60"/>
    <x v="1"/>
    <x v="0"/>
    <x v="2"/>
    <n v="673.91200000000003"/>
    <n v="670"/>
    <n v="0.58388059701493056"/>
  </r>
  <r>
    <s v="Multihop,NSFnet,60"/>
    <x v="1"/>
    <x v="0"/>
    <x v="2"/>
    <n v="698.46"/>
    <n v="670"/>
    <n v="4.2477611940298559"/>
  </r>
  <r>
    <s v="Multihop,NSFnet,60"/>
    <x v="1"/>
    <x v="0"/>
    <x v="2"/>
    <n v="651.76499999999999"/>
    <n v="670"/>
    <n v="2.7216417910447781"/>
  </r>
  <r>
    <s v="Multihop,NSFnet,60"/>
    <x v="1"/>
    <x v="0"/>
    <x v="2"/>
    <n v="684.18700000000001"/>
    <n v="670"/>
    <n v="2.117462686567166"/>
  </r>
  <r>
    <s v="Multihop,NSFnet,60"/>
    <x v="1"/>
    <x v="0"/>
    <x v="2"/>
    <n v="665.81100000000004"/>
    <n v="670"/>
    <n v="0.62522388059700962"/>
  </r>
  <r>
    <s v="Multihop,NSFnet,60"/>
    <x v="1"/>
    <x v="0"/>
    <x v="2"/>
    <n v="675.43299999999999"/>
    <n v="670"/>
    <n v="0.81089552238805873"/>
  </r>
  <r>
    <s v="Multihop,NSFnet,60"/>
    <x v="1"/>
    <x v="0"/>
    <x v="2"/>
    <n v="688.56700000000001"/>
    <n v="670"/>
    <n v="2.7711940298507471"/>
  </r>
  <r>
    <s v="Multihop,NSFnet,60"/>
    <x v="1"/>
    <x v="0"/>
    <x v="2"/>
    <n v="687.61599999999999"/>
    <n v="670"/>
    <n v="2.6292537313432818"/>
  </r>
  <r>
    <s v="Multihop,NSFnet,60"/>
    <x v="1"/>
    <x v="0"/>
    <x v="2"/>
    <n v="677.721"/>
    <n v="670"/>
    <n v="1.1523880597014931"/>
  </r>
  <r>
    <s v="Multihop,NSFnet,60"/>
    <x v="1"/>
    <x v="0"/>
    <x v="2"/>
    <n v="642.12300000000005"/>
    <n v="670"/>
    <n v="4.1607462686567089"/>
  </r>
  <r>
    <s v="Multihop,NSFnet,60"/>
    <x v="1"/>
    <x v="0"/>
    <x v="2"/>
    <n v="628.79200000000003"/>
    <n v="670"/>
    <n v="6.1504477611940249"/>
  </r>
  <r>
    <s v="Multihop,NSFnet,60"/>
    <x v="1"/>
    <x v="0"/>
    <x v="2"/>
    <n v="677.30100000000004"/>
    <n v="670"/>
    <n v="1.0897014925373201"/>
  </r>
  <r>
    <s v="Multihop,NSFnet,60"/>
    <x v="1"/>
    <x v="0"/>
    <x v="2"/>
    <n v="674.75800000000004"/>
    <n v="670"/>
    <n v="0.71014925373134896"/>
  </r>
  <r>
    <s v="Multihop,NSFnet,60"/>
    <x v="1"/>
    <x v="0"/>
    <x v="2"/>
    <n v="646.61599999999999"/>
    <n v="670"/>
    <n v="3.4901492537313459"/>
  </r>
  <r>
    <s v="Multihop,NSFnet,60"/>
    <x v="1"/>
    <x v="0"/>
    <x v="2"/>
    <n v="661.13400000000001"/>
    <n v="670"/>
    <n v="1.3232835820895501"/>
  </r>
  <r>
    <s v="Multihop,NSFnet,60"/>
    <x v="1"/>
    <x v="0"/>
    <x v="2"/>
    <n v="678.72900000000004"/>
    <n v="670"/>
    <n v="1.3028358208955286"/>
  </r>
  <r>
    <s v="Multihop,NSFnet,60"/>
    <x v="1"/>
    <x v="0"/>
    <x v="2"/>
    <n v="629.28399999999999"/>
    <n v="670"/>
    <n v="6.0770149253731356"/>
  </r>
  <r>
    <s v="Multihop,NSFnet,60"/>
    <x v="1"/>
    <x v="0"/>
    <x v="2"/>
    <n v="654.67100000000005"/>
    <n v="670"/>
    <n v="2.2879104477611869"/>
  </r>
  <r>
    <s v="Multihop,NSFnet,60"/>
    <x v="1"/>
    <x v="0"/>
    <x v="2"/>
    <n v="642.70899999999995"/>
    <n v="670"/>
    <n v="4.0732835820895605"/>
  </r>
  <r>
    <s v="Multihop,NSFnet,60"/>
    <x v="1"/>
    <x v="0"/>
    <x v="2"/>
    <n v="677.43"/>
    <n v="670"/>
    <n v="1.1089552238805895"/>
  </r>
  <r>
    <s v="Multihop,NSFnet,60"/>
    <x v="1"/>
    <x v="0"/>
    <x v="2"/>
    <n v="667.7"/>
    <n v="670"/>
    <n v="0.34328358208954546"/>
  </r>
  <r>
    <s v="Multihop,NSFnet,60"/>
    <x v="1"/>
    <x v="0"/>
    <x v="2"/>
    <n v="676.83699999999999"/>
    <n v="670"/>
    <n v="1.0204477611940281"/>
  </r>
  <r>
    <s v="Multihop,NSFnet,60"/>
    <x v="1"/>
    <x v="0"/>
    <x v="2"/>
    <n v="628.69000000000005"/>
    <n v="670"/>
    <n v="6.1656716417910369"/>
  </r>
  <r>
    <s v="Multihop,NSFnet,60"/>
    <x v="1"/>
    <x v="0"/>
    <x v="2"/>
    <n v="653.01300000000003"/>
    <n v="670"/>
    <n v="2.5353731343283532"/>
  </r>
  <r>
    <s v="Multihop,NSFnet,60"/>
    <x v="1"/>
    <x v="0"/>
    <x v="2"/>
    <n v="667.72699999999998"/>
    <n v="670"/>
    <n v="0.33925373134328723"/>
  </r>
  <r>
    <s v="Multihop,NSFnet,60"/>
    <x v="1"/>
    <x v="0"/>
    <x v="2"/>
    <n v="650.77200000000005"/>
    <n v="670"/>
    <n v="2.8698507462686496"/>
  </r>
  <r>
    <s v="Multihop,NSFnet,60"/>
    <x v="1"/>
    <x v="0"/>
    <x v="2"/>
    <n v="665.52700000000004"/>
    <n v="670"/>
    <n v="0.66761194029850091"/>
  </r>
  <r>
    <s v="Multihop,NSFnet,60"/>
    <x v="1"/>
    <x v="0"/>
    <x v="2"/>
    <n v="641.57399999999996"/>
    <n v="670"/>
    <n v="4.2426865671641858"/>
  </r>
  <r>
    <s v="Multihop,NSFnet,60"/>
    <x v="1"/>
    <x v="0"/>
    <x v="2"/>
    <n v="680.64700000000005"/>
    <n v="670"/>
    <n v="1.5891044776119474"/>
  </r>
  <r>
    <s v="Multihop,NSFnet,60"/>
    <x v="1"/>
    <x v="0"/>
    <x v="2"/>
    <n v="662.846"/>
    <n v="670"/>
    <n v="1.0677611940298501"/>
  </r>
  <r>
    <s v="Multihop,NSFnet,60"/>
    <x v="1"/>
    <x v="0"/>
    <x v="2"/>
    <n v="654.19299999999998"/>
    <n v="670"/>
    <n v="2.3592537313432862"/>
  </r>
  <r>
    <s v="Multihop,NSFnet,60"/>
    <x v="1"/>
    <x v="0"/>
    <x v="2"/>
    <n v="647.83199999999999"/>
    <n v="670"/>
    <n v="3.3086567164179113"/>
  </r>
  <r>
    <s v="Multihop,NSFnet,60"/>
    <x v="1"/>
    <x v="0"/>
    <x v="2"/>
    <n v="662.14800000000002"/>
    <n v="670"/>
    <n v="1.171940298507459"/>
  </r>
  <r>
    <s v="Multihop,NSFnet,60"/>
    <x v="1"/>
    <x v="0"/>
    <x v="2"/>
    <n v="662.07299999999998"/>
    <n v="670"/>
    <n v="1.1831343283582121"/>
  </r>
  <r>
    <s v="Multihop,NSFnet,60"/>
    <x v="1"/>
    <x v="0"/>
    <x v="2"/>
    <n v="684.98900000000003"/>
    <n v="670"/>
    <n v="2.2371641791044823"/>
  </r>
  <r>
    <s v="Multihop,NSFnet,60"/>
    <x v="1"/>
    <x v="0"/>
    <x v="2"/>
    <n v="667.64200000000005"/>
    <n v="670"/>
    <n v="0.35194029850745479"/>
  </r>
  <r>
    <s v="Multihop,NSFnet,60"/>
    <x v="1"/>
    <x v="0"/>
    <x v="2"/>
    <n v="624.99099999999999"/>
    <n v="670"/>
    <n v="6.7177611940298529"/>
  </r>
  <r>
    <s v="Multihop,NSFnet,60"/>
    <x v="1"/>
    <x v="0"/>
    <x v="2"/>
    <n v="635.36300000000006"/>
    <n v="670"/>
    <n v="5.169701492537305"/>
  </r>
  <r>
    <s v="Multihop,NSFnet,60"/>
    <x v="1"/>
    <x v="0"/>
    <x v="2"/>
    <n v="644.85299999999995"/>
    <n v="670"/>
    <n v="3.7532835820895594"/>
  </r>
  <r>
    <s v="Multihop,NSFnet,60"/>
    <x v="1"/>
    <x v="0"/>
    <x v="2"/>
    <n v="630.9"/>
    <n v="670"/>
    <n v="5.8358208955223914"/>
  </r>
  <r>
    <s v="Multihop,NSFnet,60"/>
    <x v="1"/>
    <x v="0"/>
    <x v="2"/>
    <n v="606.36400000000003"/>
    <n v="670"/>
    <n v="9.4979104477611891"/>
  </r>
  <r>
    <s v="Multihop,NSFnet,60"/>
    <x v="1"/>
    <x v="0"/>
    <x v="2"/>
    <n v="674.08"/>
    <n v="670"/>
    <n v="0.60895522388060308"/>
  </r>
  <r>
    <s v="Multihop,NSFnet,60"/>
    <x v="1"/>
    <x v="0"/>
    <x v="2"/>
    <n v="625.42499999999995"/>
    <n v="670"/>
    <n v="6.6529850746268728"/>
  </r>
  <r>
    <s v="Multihop,NSFnet,60"/>
    <x v="1"/>
    <x v="0"/>
    <x v="2"/>
    <n v="650.56200000000001"/>
    <n v="670"/>
    <n v="2.9011940298507444"/>
  </r>
  <r>
    <s v="Multihop,NSFnet,60"/>
    <x v="1"/>
    <x v="0"/>
    <x v="2"/>
    <n v="662.125"/>
    <n v="670"/>
    <n v="1.1753731343283582"/>
  </r>
  <r>
    <s v="Multihop,NSFnet,60"/>
    <x v="1"/>
    <x v="0"/>
    <x v="2"/>
    <n v="674.16200000000003"/>
    <n v="670"/>
    <n v="0.62119402985075134"/>
  </r>
  <r>
    <s v="Multihop,NSFnet,60"/>
    <x v="1"/>
    <x v="0"/>
    <x v="2"/>
    <n v="610.28899999999999"/>
    <n v="670"/>
    <n v="8.9120895522388075"/>
  </r>
  <r>
    <s v="Multihop,NSFnet,80"/>
    <x v="1"/>
    <x v="0"/>
    <x v="3"/>
    <n v="875.95899999999995"/>
    <n v="859"/>
    <n v="1.9742724097788062"/>
  </r>
  <r>
    <s v="Multihop,NSFnet,80"/>
    <x v="1"/>
    <x v="0"/>
    <x v="3"/>
    <n v="822.42899999999997"/>
    <n v="859"/>
    <n v="4.2573923166472678"/>
  </r>
  <r>
    <s v="Multihop,NSFnet,80"/>
    <x v="1"/>
    <x v="0"/>
    <x v="3"/>
    <n v="832.76800000000003"/>
    <n v="859"/>
    <n v="3.0537834691501713"/>
  </r>
  <r>
    <s v="Multihop,NSFnet,80"/>
    <x v="1"/>
    <x v="0"/>
    <x v="3"/>
    <n v="809.54899999999998"/>
    <n v="859"/>
    <n v="5.7568102444703166"/>
  </r>
  <r>
    <s v="Multihop,NSFnet,80"/>
    <x v="1"/>
    <x v="0"/>
    <x v="3"/>
    <n v="816.46699999999998"/>
    <n v="859"/>
    <n v="4.9514551804423768"/>
  </r>
  <r>
    <s v="Multihop,NSFnet,80"/>
    <x v="1"/>
    <x v="0"/>
    <x v="3"/>
    <n v="886.96199999999999"/>
    <n v="859"/>
    <n v="3.2551804423748534"/>
  </r>
  <r>
    <s v="Multihop,NSFnet,80"/>
    <x v="1"/>
    <x v="0"/>
    <x v="3"/>
    <n v="859.149"/>
    <n v="859"/>
    <n v="1.7345750873108374E-2"/>
  </r>
  <r>
    <s v="Multihop,NSFnet,80"/>
    <x v="1"/>
    <x v="0"/>
    <x v="3"/>
    <n v="811.827"/>
    <n v="859"/>
    <n v="5.491618160651921"/>
  </r>
  <r>
    <s v="Multihop,NSFnet,80"/>
    <x v="1"/>
    <x v="0"/>
    <x v="3"/>
    <n v="863.11900000000003"/>
    <n v="859"/>
    <n v="0.47951105937136529"/>
  </r>
  <r>
    <s v="Multihop,NSFnet,80"/>
    <x v="1"/>
    <x v="0"/>
    <x v="3"/>
    <n v="901.11800000000005"/>
    <n v="859"/>
    <n v="4.9031431897555358"/>
  </r>
  <r>
    <s v="Multihop,NSFnet,80"/>
    <x v="1"/>
    <x v="0"/>
    <x v="3"/>
    <n v="855.84199999999998"/>
    <n v="859"/>
    <n v="0.36763678696158503"/>
  </r>
  <r>
    <s v="Multihop,NSFnet,80"/>
    <x v="1"/>
    <x v="0"/>
    <x v="3"/>
    <n v="893.55700000000002"/>
    <n v="859"/>
    <n v="4.0229336437718297"/>
  </r>
  <r>
    <s v="Multihop,NSFnet,80"/>
    <x v="1"/>
    <x v="0"/>
    <x v="3"/>
    <n v="865"/>
    <n v="859"/>
    <n v="0.69848661233993015"/>
  </r>
  <r>
    <s v="Multihop,NSFnet,80"/>
    <x v="1"/>
    <x v="0"/>
    <x v="3"/>
    <n v="890.80700000000002"/>
    <n v="859"/>
    <n v="3.7027939464493613"/>
  </r>
  <r>
    <s v="Multihop,NSFnet,80"/>
    <x v="1"/>
    <x v="0"/>
    <x v="3"/>
    <n v="898.09100000000001"/>
    <n v="859"/>
    <n v="4.5507566938300359"/>
  </r>
  <r>
    <s v="Multihop,NSFnet,80"/>
    <x v="1"/>
    <x v="0"/>
    <x v="3"/>
    <n v="891.75900000000001"/>
    <n v="859"/>
    <n v="3.8136204889406304"/>
  </r>
  <r>
    <s v="Multihop,NSFnet,80"/>
    <x v="1"/>
    <x v="0"/>
    <x v="3"/>
    <n v="882.75199999999995"/>
    <n v="859"/>
    <n v="2.7650756693829979"/>
  </r>
  <r>
    <s v="Multihop,NSFnet,80"/>
    <x v="1"/>
    <x v="0"/>
    <x v="3"/>
    <n v="868.04200000000003"/>
    <n v="859"/>
    <n v="1.0526193247962783"/>
  </r>
  <r>
    <s v="Multihop,NSFnet,80"/>
    <x v="1"/>
    <x v="0"/>
    <x v="3"/>
    <n v="862.10299999999995"/>
    <n v="859"/>
    <n v="0.36123399301512826"/>
  </r>
  <r>
    <s v="Multihop,NSFnet,80"/>
    <x v="1"/>
    <x v="0"/>
    <x v="3"/>
    <n v="858.45799999999997"/>
    <n v="859"/>
    <n v="6.3096623981377192E-2"/>
  </r>
  <r>
    <s v="Multihop,NSFnet,80"/>
    <x v="1"/>
    <x v="0"/>
    <x v="3"/>
    <n v="885.96100000000001"/>
    <n v="859"/>
    <n v="3.138649592549478"/>
  </r>
  <r>
    <s v="Multihop,NSFnet,80"/>
    <x v="1"/>
    <x v="0"/>
    <x v="3"/>
    <n v="852.07100000000003"/>
    <n v="859"/>
    <n v="0.80663562281722623"/>
  </r>
  <r>
    <s v="Multihop,NSFnet,80"/>
    <x v="1"/>
    <x v="0"/>
    <x v="3"/>
    <n v="792.56600000000003"/>
    <n v="859"/>
    <n v="7.7338766006984834"/>
  </r>
  <r>
    <s v="Multihop,NSFnet,80"/>
    <x v="1"/>
    <x v="0"/>
    <x v="3"/>
    <n v="833.79300000000001"/>
    <n v="859"/>
    <n v="2.9344586728754356"/>
  </r>
  <r>
    <s v="Multihop,NSFnet,80"/>
    <x v="1"/>
    <x v="0"/>
    <x v="3"/>
    <n v="809.09"/>
    <n v="859"/>
    <n v="5.8102444703143155"/>
  </r>
  <r>
    <s v="Multihop,NSFnet,80"/>
    <x v="1"/>
    <x v="0"/>
    <x v="3"/>
    <n v="826.2"/>
    <n v="859"/>
    <n v="3.8183934807916127"/>
  </r>
  <r>
    <s v="Multihop,NSFnet,80"/>
    <x v="1"/>
    <x v="0"/>
    <x v="3"/>
    <n v="862.58"/>
    <n v="859"/>
    <n v="0.4167636786961631"/>
  </r>
  <r>
    <s v="Multihop,NSFnet,80"/>
    <x v="1"/>
    <x v="0"/>
    <x v="3"/>
    <n v="914.93499999999995"/>
    <n v="859"/>
    <n v="6.5116414435389931"/>
  </r>
  <r>
    <s v="Multihop,NSFnet,80"/>
    <x v="1"/>
    <x v="0"/>
    <x v="3"/>
    <n v="861.71900000000005"/>
    <n v="859"/>
    <n v="0.31653084982538426"/>
  </r>
  <r>
    <s v="Multihop,NSFnet,80"/>
    <x v="1"/>
    <x v="0"/>
    <x v="3"/>
    <n v="905.697"/>
    <n v="859"/>
    <n v="5.4362048894062864"/>
  </r>
  <r>
    <s v="Multihop,NSFnet,80"/>
    <x v="1"/>
    <x v="0"/>
    <x v="3"/>
    <n v="859.89599999999996"/>
    <n v="859"/>
    <n v="0.10430733410942471"/>
  </r>
  <r>
    <s v="Multihop,NSFnet,80"/>
    <x v="1"/>
    <x v="0"/>
    <x v="3"/>
    <n v="851.94799999999998"/>
    <n v="859"/>
    <n v="0.82095459837020035"/>
  </r>
  <r>
    <s v="Multihop,NSFnet,80"/>
    <x v="1"/>
    <x v="0"/>
    <x v="3"/>
    <n v="884.61500000000001"/>
    <n v="859"/>
    <n v="2.981955762514553"/>
  </r>
  <r>
    <s v="Multihop,NSFnet,80"/>
    <x v="1"/>
    <x v="0"/>
    <x v="3"/>
    <n v="837.56100000000004"/>
    <n v="859"/>
    <n v="2.4958090803259561"/>
  </r>
  <r>
    <s v="Multihop,NSFnet,80"/>
    <x v="1"/>
    <x v="0"/>
    <x v="3"/>
    <n v="865.73800000000006"/>
    <n v="859"/>
    <n v="0.78440046565774812"/>
  </r>
  <r>
    <s v="Multihop,NSFnet,80"/>
    <x v="1"/>
    <x v="0"/>
    <x v="3"/>
    <n v="840.11199999999997"/>
    <n v="859"/>
    <n v="2.1988358556461041"/>
  </r>
  <r>
    <s v="Multihop,NSFnet,80"/>
    <x v="1"/>
    <x v="0"/>
    <x v="3"/>
    <n v="838.22500000000002"/>
    <n v="859"/>
    <n v="2.4185098952270057"/>
  </r>
  <r>
    <s v="Multihop,NSFnet,80"/>
    <x v="1"/>
    <x v="0"/>
    <x v="3"/>
    <n v="804.53700000000003"/>
    <n v="859"/>
    <n v="6.3402793946449325"/>
  </r>
  <r>
    <s v="Multihop,NSFnet,80"/>
    <x v="1"/>
    <x v="0"/>
    <x v="3"/>
    <n v="858.90099999999995"/>
    <n v="859"/>
    <n v="1.1525029103614248E-2"/>
  </r>
  <r>
    <s v="Multihop,NSFnet,80"/>
    <x v="1"/>
    <x v="0"/>
    <x v="3"/>
    <n v="851.66099999999994"/>
    <n v="859"/>
    <n v="0.85436554132713105"/>
  </r>
  <r>
    <s v="Multihop,NSFnet,80"/>
    <x v="1"/>
    <x v="0"/>
    <x v="3"/>
    <n v="837.52800000000002"/>
    <n v="859"/>
    <n v="2.499650756693828"/>
  </r>
  <r>
    <s v="Multihop,NSFnet,80"/>
    <x v="1"/>
    <x v="0"/>
    <x v="3"/>
    <n v="896.07299999999998"/>
    <n v="859"/>
    <n v="4.315832363213036"/>
  </r>
  <r>
    <s v="Multihop,NSFnet,80"/>
    <x v="1"/>
    <x v="0"/>
    <x v="3"/>
    <n v="894.33"/>
    <n v="859"/>
    <n v="4.1129220023282933"/>
  </r>
  <r>
    <s v="Multihop,NSFnet,80"/>
    <x v="1"/>
    <x v="0"/>
    <x v="3"/>
    <n v="882.06899999999996"/>
    <n v="859"/>
    <n v="2.6855646100116366"/>
  </r>
  <r>
    <s v="Multihop,NSFnet,80"/>
    <x v="1"/>
    <x v="0"/>
    <x v="3"/>
    <n v="856.803"/>
    <n v="859"/>
    <n v="0.25576251455180471"/>
  </r>
  <r>
    <s v="Multihop,NSFnet,80"/>
    <x v="1"/>
    <x v="0"/>
    <x v="3"/>
    <n v="878.12400000000002"/>
    <n v="859"/>
    <n v="2.22630966239814"/>
  </r>
  <r>
    <s v="Multihop,NSFnet,80"/>
    <x v="1"/>
    <x v="0"/>
    <x v="3"/>
    <n v="829.21799999999996"/>
    <n v="859"/>
    <n v="3.4670547147846378"/>
  </r>
  <r>
    <s v="Multihop,NSFnet,80"/>
    <x v="1"/>
    <x v="0"/>
    <x v="3"/>
    <n v="899.57600000000002"/>
    <n v="859"/>
    <n v="4.7236321303841695"/>
  </r>
  <r>
    <s v="Multihop,NSFnet,80"/>
    <x v="1"/>
    <x v="0"/>
    <x v="3"/>
    <n v="863.74699999999996"/>
    <n v="859"/>
    <n v="0.55261932479626974"/>
  </r>
  <r>
    <s v="Multihop,NSFnet,80"/>
    <x v="1"/>
    <x v="0"/>
    <x v="3"/>
    <n v="852.64700000000005"/>
    <n v="859"/>
    <n v="0.73958090803259047"/>
  </r>
  <r>
    <s v="Multihop,NSFnet,80"/>
    <x v="1"/>
    <x v="0"/>
    <x v="3"/>
    <n v="837.15300000000002"/>
    <n v="859"/>
    <n v="2.5433061699650734"/>
  </r>
  <r>
    <s v="Multihop,NSFnet,80"/>
    <x v="1"/>
    <x v="0"/>
    <x v="3"/>
    <n v="875.42499999999995"/>
    <n v="859"/>
    <n v="1.9121071012805535"/>
  </r>
  <r>
    <s v="Multihop,NSFnet,80"/>
    <x v="1"/>
    <x v="0"/>
    <x v="3"/>
    <n v="851.73699999999997"/>
    <n v="859"/>
    <n v="0.84551804423748933"/>
  </r>
  <r>
    <s v="Multihop,NSFnet,80"/>
    <x v="1"/>
    <x v="0"/>
    <x v="3"/>
    <n v="902.01499999999999"/>
    <n v="859"/>
    <n v="5.0075669383003483"/>
  </r>
  <r>
    <s v="Multihop,NSFnet,80"/>
    <x v="1"/>
    <x v="0"/>
    <x v="3"/>
    <n v="853.18"/>
    <n v="859"/>
    <n v="0.67753201396973806"/>
  </r>
  <r>
    <s v="Multihop,NSFnet,80"/>
    <x v="1"/>
    <x v="0"/>
    <x v="3"/>
    <n v="813.74800000000005"/>
    <n v="859"/>
    <n v="5.2679860302677479"/>
  </r>
  <r>
    <s v="Multihop,NSFnet,80"/>
    <x v="1"/>
    <x v="0"/>
    <x v="3"/>
    <n v="868.83799999999997"/>
    <n v="859"/>
    <n v="1.1452852153667015"/>
  </r>
  <r>
    <s v="Multihop,NSFnet,80"/>
    <x v="1"/>
    <x v="0"/>
    <x v="3"/>
    <n v="912.80399999999997"/>
    <n v="859"/>
    <n v="6.2635622817229297"/>
  </r>
  <r>
    <s v="Multihop,NSFnet,80"/>
    <x v="1"/>
    <x v="0"/>
    <x v="3"/>
    <n v="886.923"/>
    <n v="859"/>
    <n v="3.2506402793946454"/>
  </r>
  <r>
    <s v="Multihop,NSFnet,80"/>
    <x v="1"/>
    <x v="0"/>
    <x v="3"/>
    <n v="866.452"/>
    <n v="859"/>
    <n v="0.86752037252619296"/>
  </r>
  <r>
    <s v="Multihop,NSFnet,80"/>
    <x v="1"/>
    <x v="0"/>
    <x v="3"/>
    <n v="856.54499999999996"/>
    <n v="859"/>
    <n v="0.2857974388824262"/>
  </r>
  <r>
    <s v="Multihop,NSFnet,80"/>
    <x v="1"/>
    <x v="0"/>
    <x v="3"/>
    <n v="865.58799999999997"/>
    <n v="859"/>
    <n v="0.76693830034923927"/>
  </r>
  <r>
    <s v="Multihop,NSFnet,80"/>
    <x v="1"/>
    <x v="0"/>
    <x v="3"/>
    <n v="871.77599999999995"/>
    <n v="859"/>
    <n v="1.4873108265424859"/>
  </r>
  <r>
    <s v="Multihop,NSFnet,80"/>
    <x v="1"/>
    <x v="0"/>
    <x v="3"/>
    <n v="874.404"/>
    <n v="859"/>
    <n v="1.7932479627473803"/>
  </r>
  <r>
    <s v="Multihop,NSFnet,80"/>
    <x v="1"/>
    <x v="0"/>
    <x v="3"/>
    <n v="876.05200000000002"/>
    <n v="859"/>
    <n v="1.9850989522700839"/>
  </r>
  <r>
    <s v="Multihop,NSFnet,80"/>
    <x v="1"/>
    <x v="0"/>
    <x v="3"/>
    <n v="859.35"/>
    <n v="859"/>
    <n v="4.0745052386498573E-2"/>
  </r>
  <r>
    <s v="Multihop,NSFnet,80"/>
    <x v="1"/>
    <x v="0"/>
    <x v="3"/>
    <n v="806.399"/>
    <n v="859"/>
    <n v="6.1235157159487779"/>
  </r>
  <r>
    <s v="Multihop,NSFnet,80"/>
    <x v="1"/>
    <x v="0"/>
    <x v="3"/>
    <n v="876.39300000000003"/>
    <n v="859"/>
    <n v="2.0247962747380712"/>
  </r>
  <r>
    <s v="Multihop,NSFnet,80"/>
    <x v="1"/>
    <x v="0"/>
    <x v="3"/>
    <n v="856.31399999999996"/>
    <n v="859"/>
    <n v="0.31268917345751285"/>
  </r>
  <r>
    <s v="Multihop,NSFnet,80"/>
    <x v="1"/>
    <x v="0"/>
    <x v="3"/>
    <n v="859.154"/>
    <n v="859"/>
    <n v="1.7927823050057783E-2"/>
  </r>
  <r>
    <s v="Multihop,NSFnet,80"/>
    <x v="1"/>
    <x v="0"/>
    <x v="3"/>
    <n v="842.14499999999998"/>
    <n v="859"/>
    <n v="1.9621653084982558"/>
  </r>
  <r>
    <s v="Multihop,NSFnet,80"/>
    <x v="1"/>
    <x v="0"/>
    <x v="3"/>
    <n v="888.36500000000001"/>
    <n v="859"/>
    <n v="3.4185098952270092"/>
  </r>
  <r>
    <s v="Multihop,NSFnet,80"/>
    <x v="1"/>
    <x v="0"/>
    <x v="3"/>
    <n v="831.00199999999995"/>
    <n v="859"/>
    <n v="3.2593713620488995"/>
  </r>
  <r>
    <s v="Multihop,NSFnet,80"/>
    <x v="1"/>
    <x v="0"/>
    <x v="3"/>
    <n v="858.96600000000001"/>
    <n v="859"/>
    <n v="3.9580908032586515E-3"/>
  </r>
  <r>
    <s v="Multihop,NSFnet,80"/>
    <x v="1"/>
    <x v="0"/>
    <x v="3"/>
    <n v="907.57"/>
    <n v="859"/>
    <n v="5.6542491268917399"/>
  </r>
  <r>
    <s v="Multihop,NSFnet,80"/>
    <x v="1"/>
    <x v="0"/>
    <x v="3"/>
    <n v="810.56500000000005"/>
    <n v="859"/>
    <n v="5.6385331781140797"/>
  </r>
  <r>
    <s v="Multihop,NSFnet,80"/>
    <x v="1"/>
    <x v="0"/>
    <x v="3"/>
    <n v="827.34299999999996"/>
    <n v="859"/>
    <n v="3.6853317811408659"/>
  </r>
  <r>
    <s v="Multihop,NSFnet,80"/>
    <x v="1"/>
    <x v="0"/>
    <x v="3"/>
    <n v="808.72500000000002"/>
    <n v="859"/>
    <n v="5.8527357392316617"/>
  </r>
  <r>
    <s v="Multihop,NSFnet,80"/>
    <x v="1"/>
    <x v="0"/>
    <x v="3"/>
    <n v="920.45299999999997"/>
    <n v="859"/>
    <n v="7.1540162980209514"/>
  </r>
  <r>
    <s v="Multihop,NSFnet,80"/>
    <x v="1"/>
    <x v="0"/>
    <x v="3"/>
    <n v="837.47"/>
    <n v="859"/>
    <n v="2.5064027939464459"/>
  </r>
  <r>
    <s v="Multihop,NSFnet,80"/>
    <x v="1"/>
    <x v="0"/>
    <x v="3"/>
    <n v="867.22400000000005"/>
    <n v="859"/>
    <n v="0.95739231664726965"/>
  </r>
  <r>
    <s v="Multihop,NSFnet,80"/>
    <x v="1"/>
    <x v="0"/>
    <x v="3"/>
    <n v="841.01499999999999"/>
    <n v="859"/>
    <n v="2.0937136204889422"/>
  </r>
  <r>
    <s v="Multihop,NSFnet,80"/>
    <x v="1"/>
    <x v="0"/>
    <x v="3"/>
    <n v="836.27599999999995"/>
    <n v="859"/>
    <n v="2.6454016298021008"/>
  </r>
  <r>
    <s v="Multihop,NSFnet,80"/>
    <x v="1"/>
    <x v="0"/>
    <x v="3"/>
    <n v="807.68499999999995"/>
    <n v="859"/>
    <n v="5.9738067520372589"/>
  </r>
  <r>
    <s v="Multihop,NSFnet,80"/>
    <x v="1"/>
    <x v="0"/>
    <x v="3"/>
    <n v="860.28700000000003"/>
    <n v="859"/>
    <n v="0.14982537834691903"/>
  </r>
  <r>
    <s v="Multihop,NSFnet,80"/>
    <x v="1"/>
    <x v="0"/>
    <x v="3"/>
    <n v="845.90200000000004"/>
    <n v="859"/>
    <n v="1.5247962747380626"/>
  </r>
  <r>
    <s v="Multihop,NSFnet,80"/>
    <x v="1"/>
    <x v="0"/>
    <x v="3"/>
    <n v="809.96100000000001"/>
    <n v="859"/>
    <n v="5.7088474970896375"/>
  </r>
  <r>
    <s v="Multihop,NSFnet,80"/>
    <x v="1"/>
    <x v="0"/>
    <x v="3"/>
    <n v="886.69100000000003"/>
    <n v="859"/>
    <n v="3.2236321303841713"/>
  </r>
  <r>
    <s v="Multihop,NSFnet,80"/>
    <x v="1"/>
    <x v="0"/>
    <x v="3"/>
    <n v="818.47400000000005"/>
    <n v="859"/>
    <n v="4.7178114086146632"/>
  </r>
  <r>
    <s v="Multihop,NSFnet,80"/>
    <x v="1"/>
    <x v="0"/>
    <x v="3"/>
    <n v="844.24099999999999"/>
    <n v="859"/>
    <n v="1.7181606519208397"/>
  </r>
  <r>
    <s v="Multihop,NSFnet,80"/>
    <x v="1"/>
    <x v="0"/>
    <x v="3"/>
    <n v="888.33399999999995"/>
    <n v="859"/>
    <n v="3.4149010477299124"/>
  </r>
  <r>
    <s v="Multihop,NSFnet,80"/>
    <x v="1"/>
    <x v="0"/>
    <x v="3"/>
    <n v="849.01900000000001"/>
    <n v="859"/>
    <n v="1.1619324796274733"/>
  </r>
  <r>
    <s v="Multihop,NSFnet,80"/>
    <x v="1"/>
    <x v="0"/>
    <x v="3"/>
    <n v="868.61800000000005"/>
    <n v="859"/>
    <n v="1.1196740395809142"/>
  </r>
  <r>
    <s v="Multihop,NSFnet,80"/>
    <x v="1"/>
    <x v="0"/>
    <x v="3"/>
    <n v="855.55"/>
    <n v="859"/>
    <n v="0.40162980209546512"/>
  </r>
  <r>
    <s v="Multihop,NSFnet,80"/>
    <x v="1"/>
    <x v="0"/>
    <x v="3"/>
    <n v="806.65200000000004"/>
    <n v="859"/>
    <n v="6.0940628637951058"/>
  </r>
  <r>
    <s v="Multihop,NSFnet,80"/>
    <x v="1"/>
    <x v="0"/>
    <x v="3"/>
    <n v="880.94799999999998"/>
    <n v="859"/>
    <n v="2.5550640279394621"/>
  </r>
  <r>
    <s v="Multihop,NSFnet,80"/>
    <x v="1"/>
    <x v="0"/>
    <x v="3"/>
    <n v="889.41099999999994"/>
    <n v="859"/>
    <n v="3.5402793946449296"/>
  </r>
  <r>
    <s v="Multihop,NSFnet,80"/>
    <x v="1"/>
    <x v="0"/>
    <x v="3"/>
    <n v="873.23299999999995"/>
    <n v="859"/>
    <n v="1.6569266589056983"/>
  </r>
  <r>
    <s v="Multihop,NSFnet,80"/>
    <x v="1"/>
    <x v="0"/>
    <x v="3"/>
    <n v="892.35699999999997"/>
    <n v="859"/>
    <n v="3.8832363213038379"/>
  </r>
  <r>
    <s v="Multihop,NSFnet,80"/>
    <x v="1"/>
    <x v="0"/>
    <x v="3"/>
    <n v="831.10199999999998"/>
    <n v="859"/>
    <n v="3.247729918509898"/>
  </r>
  <r>
    <s v="Multihop,NSFnet,100"/>
    <x v="1"/>
    <x v="0"/>
    <x v="4"/>
    <n v="1032.71"/>
    <n v="1084"/>
    <n v="4.7315498154981519"/>
  </r>
  <r>
    <s v="Multihop,NSFnet,100"/>
    <x v="1"/>
    <x v="0"/>
    <x v="4"/>
    <n v="1018.2380000000001"/>
    <n v="1084"/>
    <n v="6.0666051660516551"/>
  </r>
  <r>
    <s v="Multihop,NSFnet,100"/>
    <x v="1"/>
    <x v="0"/>
    <x v="4"/>
    <n v="1087.02"/>
    <n v="1084"/>
    <n v="0.27859778597785811"/>
  </r>
  <r>
    <s v="Multihop,NSFnet,100"/>
    <x v="1"/>
    <x v="0"/>
    <x v="4"/>
    <n v="1074.9069999999999"/>
    <n v="1084"/>
    <n v="0.83883763837639069"/>
  </r>
  <r>
    <s v="Multihop,NSFnet,100"/>
    <x v="1"/>
    <x v="0"/>
    <x v="4"/>
    <n v="1065.348"/>
    <n v="1084"/>
    <n v="1.7206642066420703"/>
  </r>
  <r>
    <s v="Multihop,NSFnet,100"/>
    <x v="1"/>
    <x v="0"/>
    <x v="4"/>
    <n v="1110.135"/>
    <n v="1084"/>
    <n v="2.4109778597785967"/>
  </r>
  <r>
    <s v="Multihop,NSFnet,100"/>
    <x v="1"/>
    <x v="0"/>
    <x v="4"/>
    <n v="1030.018"/>
    <n v="1084"/>
    <n v="4.9798892988929859"/>
  </r>
  <r>
    <s v="Multihop,NSFnet,100"/>
    <x v="1"/>
    <x v="0"/>
    <x v="4"/>
    <n v="981.37400000000002"/>
    <n v="1084"/>
    <n v="9.4673431734317326"/>
  </r>
  <r>
    <s v="Multihop,NSFnet,100"/>
    <x v="1"/>
    <x v="0"/>
    <x v="4"/>
    <n v="1064.385"/>
    <n v="1084"/>
    <n v="1.8095018450184508"/>
  </r>
  <r>
    <s v="Multihop,NSFnet,100"/>
    <x v="1"/>
    <x v="0"/>
    <x v="4"/>
    <n v="1055.7470000000001"/>
    <n v="1084"/>
    <n v="2.60636531365313"/>
  </r>
  <r>
    <s v="Multihop,NSFnet,100"/>
    <x v="1"/>
    <x v="0"/>
    <x v="4"/>
    <n v="1059.32"/>
    <n v="1084"/>
    <n v="2.2767527675276811"/>
  </r>
  <r>
    <s v="Multihop,NSFnet,100"/>
    <x v="1"/>
    <x v="0"/>
    <x v="4"/>
    <n v="1094.7270000000001"/>
    <n v="1084"/>
    <n v="0.98957564575646584"/>
  </r>
  <r>
    <s v="Multihop,NSFnet,100"/>
    <x v="1"/>
    <x v="0"/>
    <x v="4"/>
    <n v="1012.46"/>
    <n v="1084"/>
    <n v="6.5996309963099602"/>
  </r>
  <r>
    <s v="Multihop,NSFnet,100"/>
    <x v="1"/>
    <x v="0"/>
    <x v="4"/>
    <n v="992.40599999999995"/>
    <n v="1084"/>
    <n v="8.4496309963099669"/>
  </r>
  <r>
    <s v="Multihop,NSFnet,100"/>
    <x v="1"/>
    <x v="0"/>
    <x v="4"/>
    <n v="1038.3430000000001"/>
    <n v="1084"/>
    <n v="4.2119003690036827"/>
  </r>
  <r>
    <s v="Multihop,NSFnet,100"/>
    <x v="1"/>
    <x v="0"/>
    <x v="4"/>
    <n v="1068.172"/>
    <n v="1084"/>
    <n v="1.4601476014760124"/>
  </r>
  <r>
    <s v="Multihop,NSFnet,100"/>
    <x v="1"/>
    <x v="0"/>
    <x v="4"/>
    <n v="1110.2360000000001"/>
    <n v="1084"/>
    <n v="2.420295202952039"/>
  </r>
  <r>
    <s v="Multihop,NSFnet,100"/>
    <x v="1"/>
    <x v="0"/>
    <x v="4"/>
    <n v="1109.9939999999999"/>
    <n v="1084"/>
    <n v="2.3979704797047892"/>
  </r>
  <r>
    <s v="Multihop,NSFnet,100"/>
    <x v="1"/>
    <x v="0"/>
    <x v="4"/>
    <n v="1093.902"/>
    <n v="1084"/>
    <n v="0.91346863468635098"/>
  </r>
  <r>
    <s v="Multihop,NSFnet,100"/>
    <x v="1"/>
    <x v="0"/>
    <x v="4"/>
    <n v="1026.741"/>
    <n v="1084"/>
    <n v="5.2821955719557208"/>
  </r>
  <r>
    <s v="Multihop,NSFnet,100"/>
    <x v="1"/>
    <x v="0"/>
    <x v="4"/>
    <n v="1077.499"/>
    <n v="1084"/>
    <n v="0.59972324723247017"/>
  </r>
  <r>
    <s v="Multihop,NSFnet,100"/>
    <x v="1"/>
    <x v="0"/>
    <x v="4"/>
    <n v="1033.2260000000001"/>
    <n v="1084"/>
    <n v="4.6839483394833845"/>
  </r>
  <r>
    <s v="Multihop,NSFnet,100"/>
    <x v="1"/>
    <x v="0"/>
    <x v="4"/>
    <n v="981.89400000000001"/>
    <n v="1084"/>
    <n v="9.4193726937269364"/>
  </r>
  <r>
    <s v="Multihop,NSFnet,100"/>
    <x v="1"/>
    <x v="0"/>
    <x v="4"/>
    <n v="1093.087"/>
    <n v="1084"/>
    <n v="0.83828413284132741"/>
  </r>
  <r>
    <s v="Multihop,NSFnet,100"/>
    <x v="1"/>
    <x v="0"/>
    <x v="4"/>
    <n v="1082.251"/>
    <n v="1084"/>
    <n v="0.16134686346863686"/>
  </r>
  <r>
    <s v="Multihop,NSFnet,100"/>
    <x v="1"/>
    <x v="0"/>
    <x v="4"/>
    <n v="1071.107"/>
    <n v="1084"/>
    <n v="1.189391143911442"/>
  </r>
  <r>
    <s v="Multihop,NSFnet,100"/>
    <x v="1"/>
    <x v="0"/>
    <x v="4"/>
    <n v="1056.76"/>
    <n v="1084"/>
    <n v="2.5129151291512923"/>
  </r>
  <r>
    <s v="Multihop,NSFnet,100"/>
    <x v="1"/>
    <x v="0"/>
    <x v="4"/>
    <n v="1056.4090000000001"/>
    <n v="1084"/>
    <n v="2.5452952029520195"/>
  </r>
  <r>
    <s v="Multihop,NSFnet,100"/>
    <x v="1"/>
    <x v="0"/>
    <x v="4"/>
    <n v="1105.1120000000001"/>
    <n v="1084"/>
    <n v="1.9476014760147673"/>
  </r>
  <r>
    <s v="Multihop,NSFnet,100"/>
    <x v="1"/>
    <x v="0"/>
    <x v="4"/>
    <n v="1064.576"/>
    <n v="1084"/>
    <n v="1.7918819188191861"/>
  </r>
  <r>
    <s v="Multihop,NSFnet,100"/>
    <x v="1"/>
    <x v="0"/>
    <x v="4"/>
    <n v="1125.893"/>
    <n v="1084"/>
    <n v="3.8646678966789692"/>
  </r>
  <r>
    <s v="Multihop,NSFnet,100"/>
    <x v="1"/>
    <x v="0"/>
    <x v="4"/>
    <n v="1010.329"/>
    <n v="1084"/>
    <n v="6.7962177121771257"/>
  </r>
  <r>
    <s v="Multihop,NSFnet,100"/>
    <x v="1"/>
    <x v="0"/>
    <x v="4"/>
    <n v="1042.537"/>
    <n v="1084"/>
    <n v="3.8249999999999971"/>
  </r>
  <r>
    <s v="Multihop,NSFnet,100"/>
    <x v="1"/>
    <x v="0"/>
    <x v="4"/>
    <n v="1102.3599999999999"/>
    <n v="1084"/>
    <n v="1.6937269372693635"/>
  </r>
  <r>
    <s v="Multihop,NSFnet,100"/>
    <x v="1"/>
    <x v="0"/>
    <x v="4"/>
    <n v="1044.0229999999999"/>
    <n v="1084"/>
    <n v="3.6879151291513002"/>
  </r>
  <r>
    <s v="Multihop,NSFnet,100"/>
    <x v="1"/>
    <x v="0"/>
    <x v="4"/>
    <n v="1065.818"/>
    <n v="1084"/>
    <n v="1.6773062730627322"/>
  </r>
  <r>
    <s v="Multihop,NSFnet,100"/>
    <x v="1"/>
    <x v="0"/>
    <x v="4"/>
    <n v="1070.9390000000001"/>
    <n v="1084"/>
    <n v="1.2048892988929816"/>
  </r>
  <r>
    <s v="Multihop,NSFnet,100"/>
    <x v="1"/>
    <x v="0"/>
    <x v="4"/>
    <n v="1054.4159999999999"/>
    <n v="1084"/>
    <n v="2.7291512915129204"/>
  </r>
  <r>
    <s v="Multihop,NSFnet,100"/>
    <x v="1"/>
    <x v="0"/>
    <x v="4"/>
    <n v="981.91800000000001"/>
    <n v="1084"/>
    <n v="9.4171586715867157"/>
  </r>
  <r>
    <s v="Multihop,NSFnet,100"/>
    <x v="1"/>
    <x v="0"/>
    <x v="4"/>
    <n v="1098.384"/>
    <n v="1084"/>
    <n v="1.3269372693726951"/>
  </r>
  <r>
    <s v="Multihop,NSFnet,100"/>
    <x v="1"/>
    <x v="0"/>
    <x v="4"/>
    <n v="1091.1379999999999"/>
    <n v="1084"/>
    <n v="0.65848708487084129"/>
  </r>
  <r>
    <s v="Multihop,NSFnet,100"/>
    <x v="1"/>
    <x v="0"/>
    <x v="4"/>
    <n v="1035.6869999999999"/>
    <n v="1084"/>
    <n v="4.4569188191882017"/>
  </r>
  <r>
    <s v="Multihop,NSFnet,100"/>
    <x v="1"/>
    <x v="0"/>
    <x v="4"/>
    <n v="1021.827"/>
    <n v="1084"/>
    <n v="5.7355166051660511"/>
  </r>
  <r>
    <s v="Multihop,NSFnet,100"/>
    <x v="1"/>
    <x v="0"/>
    <x v="4"/>
    <n v="1101.0229999999999"/>
    <n v="1084"/>
    <n v="1.5703874538745306"/>
  </r>
  <r>
    <s v="Multihop,NSFnet,100"/>
    <x v="1"/>
    <x v="0"/>
    <x v="4"/>
    <n v="1048.499"/>
    <n v="1084"/>
    <n v="3.2749999999999981"/>
  </r>
  <r>
    <s v="Multihop,NSFnet,100"/>
    <x v="1"/>
    <x v="0"/>
    <x v="4"/>
    <n v="1051.3710000000001"/>
    <n v="1084"/>
    <n v="3.0100553505534968"/>
  </r>
  <r>
    <s v="Multihop,NSFnet,100"/>
    <x v="1"/>
    <x v="0"/>
    <x v="4"/>
    <n v="1106.203"/>
    <n v="1084"/>
    <n v="2.0482472324723222"/>
  </r>
  <r>
    <s v="Multihop,NSFnet,100"/>
    <x v="1"/>
    <x v="0"/>
    <x v="4"/>
    <n v="1121.039"/>
    <n v="1084"/>
    <n v="3.416881918819187"/>
  </r>
  <r>
    <s v="Multihop,NSFnet,100"/>
    <x v="1"/>
    <x v="0"/>
    <x v="4"/>
    <n v="1059.2070000000001"/>
    <n v="1084"/>
    <n v="2.2871771217712076"/>
  </r>
  <r>
    <s v="Multihop,NSFnet,100"/>
    <x v="1"/>
    <x v="0"/>
    <x v="4"/>
    <n v="1079.6769999999999"/>
    <n v="1084"/>
    <n v="0.39880073800738863"/>
  </r>
  <r>
    <s v="Multihop,NSFnet,100"/>
    <x v="1"/>
    <x v="0"/>
    <x v="4"/>
    <n v="1022.476"/>
    <n v="1084"/>
    <n v="5.6756457564575644"/>
  </r>
  <r>
    <s v="Multihop,NSFnet,100"/>
    <x v="1"/>
    <x v="0"/>
    <x v="4"/>
    <n v="1010.413"/>
    <n v="1084"/>
    <n v="6.7884686346863452"/>
  </r>
  <r>
    <s v="Multihop,NSFnet,100"/>
    <x v="1"/>
    <x v="0"/>
    <x v="4"/>
    <n v="1040.6600000000001"/>
    <n v="1084"/>
    <n v="3.9981549815498076"/>
  </r>
  <r>
    <s v="Multihop,NSFnet,100"/>
    <x v="1"/>
    <x v="0"/>
    <x v="4"/>
    <n v="1025.4760000000001"/>
    <n v="1084"/>
    <n v="5.3988929889298793"/>
  </r>
  <r>
    <s v="Multihop,NSFnet,100"/>
    <x v="1"/>
    <x v="0"/>
    <x v="4"/>
    <n v="1087.9949999999999"/>
    <n v="1084"/>
    <n v="0.36854243542434417"/>
  </r>
  <r>
    <s v="Multihop,NSFnet,100"/>
    <x v="1"/>
    <x v="0"/>
    <x v="4"/>
    <n v="1063.0519999999999"/>
    <n v="1084"/>
    <n v="1.932472324723256"/>
  </r>
  <r>
    <s v="Multihop,NSFnet,100"/>
    <x v="1"/>
    <x v="0"/>
    <x v="4"/>
    <n v="1111.098"/>
    <n v="1084"/>
    <n v="2.4998154981549772"/>
  </r>
  <r>
    <s v="Multihop,NSFnet,100"/>
    <x v="1"/>
    <x v="0"/>
    <x v="4"/>
    <n v="1084.7190000000001"/>
    <n v="1084"/>
    <n v="6.6328413284137536E-2"/>
  </r>
  <r>
    <s v="Multihop,NSFnet,100"/>
    <x v="1"/>
    <x v="0"/>
    <x v="4"/>
    <n v="1039.675"/>
    <n v="1084"/>
    <n v="4.0890221402214069"/>
  </r>
  <r>
    <s v="Multihop,NSFnet,100"/>
    <x v="1"/>
    <x v="0"/>
    <x v="4"/>
    <n v="1119.0909999999999"/>
    <n v="1084"/>
    <n v="3.2371771217712078"/>
  </r>
  <r>
    <s v="Multihop,NSFnet,100"/>
    <x v="1"/>
    <x v="0"/>
    <x v="4"/>
    <n v="1075.925"/>
    <n v="1084"/>
    <n v="0.74492619926199688"/>
  </r>
  <r>
    <s v="Multihop,NSFnet,100"/>
    <x v="1"/>
    <x v="0"/>
    <x v="4"/>
    <n v="1060.2560000000001"/>
    <n v="1084"/>
    <n v="2.1904059040590327"/>
  </r>
  <r>
    <s v="Multihop,NSFnet,100"/>
    <x v="1"/>
    <x v="0"/>
    <x v="4"/>
    <n v="996.23699999999997"/>
    <n v="1084"/>
    <n v="8.0962177121771237"/>
  </r>
  <r>
    <s v="Multihop,NSFnet,100"/>
    <x v="1"/>
    <x v="0"/>
    <x v="4"/>
    <n v="1047.5170000000001"/>
    <n v="1084"/>
    <n v="3.3655904059040544"/>
  </r>
  <r>
    <s v="Multihop,NSFnet,100"/>
    <x v="1"/>
    <x v="0"/>
    <x v="4"/>
    <n v="1087.31"/>
    <n v="1084"/>
    <n v="0.30535055350553003"/>
  </r>
  <r>
    <s v="Multihop,NSFnet,100"/>
    <x v="1"/>
    <x v="0"/>
    <x v="4"/>
    <n v="1054.4690000000001"/>
    <n v="1084"/>
    <n v="2.7242619926199212"/>
  </r>
  <r>
    <s v="Multihop,NSFnet,100"/>
    <x v="1"/>
    <x v="0"/>
    <x v="4"/>
    <n v="1036.5409999999999"/>
    <n v="1084"/>
    <n v="4.3781365313653193"/>
  </r>
  <r>
    <s v="Multihop,NSFnet,100"/>
    <x v="1"/>
    <x v="0"/>
    <x v="4"/>
    <n v="1064.355"/>
    <n v="1084"/>
    <n v="1.8122693726937251"/>
  </r>
  <r>
    <s v="Multihop,NSFnet,100"/>
    <x v="1"/>
    <x v="0"/>
    <x v="4"/>
    <n v="1005.522"/>
    <n v="1084"/>
    <n v="7.2396678966789629"/>
  </r>
  <r>
    <s v="Multihop,NSFnet,100"/>
    <x v="1"/>
    <x v="0"/>
    <x v="4"/>
    <n v="1015.438"/>
    <n v="1084"/>
    <n v="6.3249077490774921"/>
  </r>
  <r>
    <s v="Multihop,NSFnet,100"/>
    <x v="1"/>
    <x v="0"/>
    <x v="4"/>
    <n v="1106.3209999999999"/>
    <n v="1084"/>
    <n v="2.0591328413284051"/>
  </r>
  <r>
    <s v="Multihop,NSFnet,100"/>
    <x v="1"/>
    <x v="0"/>
    <x v="4"/>
    <n v="1042.3779999999999"/>
    <n v="1084"/>
    <n v="3.8396678966789737"/>
  </r>
  <r>
    <s v="Multihop,NSFnet,100"/>
    <x v="1"/>
    <x v="0"/>
    <x v="4"/>
    <n v="1039.51"/>
    <n v="1084"/>
    <n v="4.1042435424354258"/>
  </r>
  <r>
    <s v="Multihop,NSFnet,100"/>
    <x v="1"/>
    <x v="0"/>
    <x v="4"/>
    <n v="1073.5640000000001"/>
    <n v="1084"/>
    <n v="0.9627306273062658"/>
  </r>
  <r>
    <s v="Multihop,NSFnet,100"/>
    <x v="1"/>
    <x v="0"/>
    <x v="4"/>
    <n v="1038.5519999999999"/>
    <n v="1084"/>
    <n v="4.1926199261992707"/>
  </r>
  <r>
    <s v="Multihop,NSFnet,100"/>
    <x v="1"/>
    <x v="0"/>
    <x v="4"/>
    <n v="1076.634"/>
    <n v="1084"/>
    <n v="0.67952029520295065"/>
  </r>
  <r>
    <s v="Multihop,NSFnet,100"/>
    <x v="1"/>
    <x v="0"/>
    <x v="4"/>
    <n v="1050.289"/>
    <n v="1084"/>
    <n v="3.1098708487084883"/>
  </r>
  <r>
    <s v="Multihop,NSFnet,100"/>
    <x v="1"/>
    <x v="0"/>
    <x v="4"/>
    <n v="1071.5889999999999"/>
    <n v="1084"/>
    <n v="1.1449261992619979"/>
  </r>
  <r>
    <s v="Multihop,NSFnet,100"/>
    <x v="1"/>
    <x v="0"/>
    <x v="4"/>
    <n v="1107.19"/>
    <n v="1084"/>
    <n v="2.1392988929889349"/>
  </r>
  <r>
    <s v="Multihop,NSFnet,100"/>
    <x v="1"/>
    <x v="0"/>
    <x v="4"/>
    <n v="1110.21"/>
    <n v="1084"/>
    <n v="2.4178966789667933"/>
  </r>
  <r>
    <s v="Multihop,NSFnet,100"/>
    <x v="1"/>
    <x v="0"/>
    <x v="4"/>
    <n v="1082.808"/>
    <n v="1084"/>
    <n v="0.10996309963099697"/>
  </r>
  <r>
    <s v="Multihop,NSFnet,100"/>
    <x v="1"/>
    <x v="0"/>
    <x v="4"/>
    <n v="999.83100000000002"/>
    <n v="1084"/>
    <n v="7.7646678966789642"/>
  </r>
  <r>
    <s v="Multihop,NSFnet,100"/>
    <x v="1"/>
    <x v="0"/>
    <x v="4"/>
    <n v="1022.212"/>
    <n v="1084"/>
    <n v="5.7000000000000011"/>
  </r>
  <r>
    <s v="Multihop,NSFnet,100"/>
    <x v="1"/>
    <x v="0"/>
    <x v="4"/>
    <n v="999.7"/>
    <n v="1084"/>
    <n v="7.7767527675276709"/>
  </r>
  <r>
    <s v="Multihop,NSFnet,100"/>
    <x v="1"/>
    <x v="0"/>
    <x v="4"/>
    <n v="1053.8240000000001"/>
    <n v="1084"/>
    <n v="2.7837638376383698"/>
  </r>
  <r>
    <s v="Multihop,NSFnet,100"/>
    <x v="1"/>
    <x v="0"/>
    <x v="4"/>
    <n v="995.73800000000006"/>
    <n v="1084"/>
    <n v="8.1422509225092199"/>
  </r>
  <r>
    <s v="Multihop,NSFnet,100"/>
    <x v="1"/>
    <x v="0"/>
    <x v="4"/>
    <n v="1040.193"/>
    <n v="1084"/>
    <n v="4.0412361623616251"/>
  </r>
  <r>
    <s v="Multihop,NSFnet,100"/>
    <x v="1"/>
    <x v="0"/>
    <x v="4"/>
    <n v="1030.9849999999999"/>
    <n v="1084"/>
    <n v="4.8906826568265771"/>
  </r>
  <r>
    <s v="Multihop,NSFnet,100"/>
    <x v="1"/>
    <x v="0"/>
    <x v="4"/>
    <n v="1046.115"/>
    <n v="1084"/>
    <n v="3.4949261992619918"/>
  </r>
  <r>
    <s v="Multihop,NSFnet,100"/>
    <x v="1"/>
    <x v="0"/>
    <x v="4"/>
    <n v="1162.944"/>
    <n v="1084"/>
    <n v="7.2826568265682621"/>
  </r>
  <r>
    <s v="Multihop,NSFnet,100"/>
    <x v="1"/>
    <x v="0"/>
    <x v="4"/>
    <n v="1073.903"/>
    <n v="1084"/>
    <n v="0.93145756457564399"/>
  </r>
  <r>
    <s v="Multihop,NSFnet,100"/>
    <x v="1"/>
    <x v="0"/>
    <x v="4"/>
    <n v="1046.222"/>
    <n v="1084"/>
    <n v="3.4850553505535071"/>
  </r>
  <r>
    <s v="Multihop,NSFnet,100"/>
    <x v="1"/>
    <x v="0"/>
    <x v="4"/>
    <n v="1067.1379999999999"/>
    <n v="1084"/>
    <n v="1.5555350553505609"/>
  </r>
  <r>
    <s v="Multihop,NSFnet,100"/>
    <x v="1"/>
    <x v="0"/>
    <x v="4"/>
    <n v="1105.18"/>
    <n v="1084"/>
    <n v="1.9538745387453933"/>
  </r>
  <r>
    <s v="Multihop,NSFnet,100"/>
    <x v="1"/>
    <x v="0"/>
    <x v="4"/>
    <n v="1047.376"/>
    <n v="1084"/>
    <n v="3.378597785977862"/>
  </r>
  <r>
    <s v="Multihop,NSFnet,100"/>
    <x v="1"/>
    <x v="0"/>
    <x v="4"/>
    <n v="1019.954"/>
    <n v="1084"/>
    <n v="5.9083025830258347"/>
  </r>
  <r>
    <s v="Multihop,NSFnet,100"/>
    <x v="1"/>
    <x v="0"/>
    <x v="4"/>
    <n v="1036.8209999999999"/>
    <n v="1084"/>
    <n v="4.3523062730627382"/>
  </r>
  <r>
    <s v="Multihop,NSFnet,100"/>
    <x v="1"/>
    <x v="0"/>
    <x v="4"/>
    <n v="1044.78"/>
    <n v="1084"/>
    <n v="3.618081180811811"/>
  </r>
  <r>
    <s v="Multihop,NSFnet,100"/>
    <x v="1"/>
    <x v="0"/>
    <x v="4"/>
    <n v="1041.105"/>
    <n v="1084"/>
    <n v="3.9571033210332085"/>
  </r>
  <r>
    <s v="Multihop,NSFnet,100"/>
    <x v="1"/>
    <x v="0"/>
    <x v="4"/>
    <n v="1061.4359999999999"/>
    <n v="1084"/>
    <n v="2.0815498154981622"/>
  </r>
  <r>
    <s v="Multihop,NSFnet,120"/>
    <x v="1"/>
    <x v="0"/>
    <x v="5"/>
    <n v="1311.8130000000001"/>
    <n v="1282"/>
    <n v="2.3255070202808192"/>
  </r>
  <r>
    <s v="Multihop,NSFnet,120"/>
    <x v="1"/>
    <x v="0"/>
    <x v="5"/>
    <n v="1209.723"/>
    <n v="1282"/>
    <n v="5.6378315132605339"/>
  </r>
  <r>
    <s v="Multihop,NSFnet,120"/>
    <x v="1"/>
    <x v="0"/>
    <x v="5"/>
    <n v="1275.4960000000001"/>
    <n v="1282"/>
    <n v="0.50733229329172425"/>
  </r>
  <r>
    <s v="Multihop,NSFnet,120"/>
    <x v="1"/>
    <x v="0"/>
    <x v="5"/>
    <n v="1303.0999999999999"/>
    <n v="1282"/>
    <n v="1.6458658346333781"/>
  </r>
  <r>
    <s v="Multihop,NSFnet,120"/>
    <x v="1"/>
    <x v="0"/>
    <x v="5"/>
    <n v="1278.847"/>
    <n v="1282"/>
    <n v="0.2459438377535117"/>
  </r>
  <r>
    <s v="Multihop,NSFnet,120"/>
    <x v="1"/>
    <x v="0"/>
    <x v="5"/>
    <n v="1193.1759999999999"/>
    <n v="1282"/>
    <n v="6.9285491419656839"/>
  </r>
  <r>
    <s v="Multihop,NSFnet,120"/>
    <x v="1"/>
    <x v="0"/>
    <x v="5"/>
    <n v="1267.412"/>
    <n v="1282"/>
    <n v="1.1379095163806525"/>
  </r>
  <r>
    <s v="Multihop,NSFnet,120"/>
    <x v="1"/>
    <x v="0"/>
    <x v="5"/>
    <n v="1220.3330000000001"/>
    <n v="1282"/>
    <n v="4.8102184087363424"/>
  </r>
  <r>
    <s v="Multihop,NSFnet,120"/>
    <x v="1"/>
    <x v="0"/>
    <x v="5"/>
    <n v="1306.915"/>
    <n v="1282"/>
    <n v="1.9434477379095136"/>
  </r>
  <r>
    <s v="Multihop,NSFnet,120"/>
    <x v="1"/>
    <x v="0"/>
    <x v="5"/>
    <n v="1285.9590000000001"/>
    <n v="1282"/>
    <n v="0.30881435257410761"/>
  </r>
  <r>
    <s v="Multihop,NSFnet,120"/>
    <x v="1"/>
    <x v="0"/>
    <x v="5"/>
    <n v="1186.123"/>
    <n v="1282"/>
    <n v="7.4787051482059246"/>
  </r>
  <r>
    <s v="Multihop,NSFnet,120"/>
    <x v="1"/>
    <x v="0"/>
    <x v="5"/>
    <n v="1300.1679999999999"/>
    <n v="1282"/>
    <n v="1.4171606864274486"/>
  </r>
  <r>
    <s v="Multihop,NSFnet,120"/>
    <x v="1"/>
    <x v="0"/>
    <x v="5"/>
    <n v="1346.31"/>
    <n v="1282"/>
    <n v="5.0163806552262047"/>
  </r>
  <r>
    <s v="Multihop,NSFnet,120"/>
    <x v="1"/>
    <x v="0"/>
    <x v="5"/>
    <n v="1255.3699999999999"/>
    <n v="1282"/>
    <n v="2.0772230889235654"/>
  </r>
  <r>
    <s v="Multihop,NSFnet,120"/>
    <x v="1"/>
    <x v="0"/>
    <x v="5"/>
    <n v="1230.345"/>
    <n v="1282"/>
    <n v="4.0292511700468001"/>
  </r>
  <r>
    <s v="Multihop,NSFnet,120"/>
    <x v="1"/>
    <x v="0"/>
    <x v="5"/>
    <n v="1364.365"/>
    <n v="1282"/>
    <n v="6.4247269890795637"/>
  </r>
  <r>
    <s v="Multihop,NSFnet,120"/>
    <x v="1"/>
    <x v="0"/>
    <x v="5"/>
    <n v="1288.308"/>
    <n v="1282"/>
    <n v="0.49204368174726931"/>
  </r>
  <r>
    <s v="Multihop,NSFnet,120"/>
    <x v="1"/>
    <x v="0"/>
    <x v="5"/>
    <n v="1306.934"/>
    <n v="1282"/>
    <n v="1.9449297971918851"/>
  </r>
  <r>
    <s v="Multihop,NSFnet,120"/>
    <x v="1"/>
    <x v="0"/>
    <x v="5"/>
    <n v="1234.8340000000001"/>
    <n v="1282"/>
    <n v="3.6790951638065477"/>
  </r>
  <r>
    <s v="Multihop,NSFnet,120"/>
    <x v="1"/>
    <x v="0"/>
    <x v="5"/>
    <n v="1178.366"/>
    <n v="1282"/>
    <n v="8.083775351014042"/>
  </r>
  <r>
    <s v="Multihop,NSFnet,120"/>
    <x v="1"/>
    <x v="0"/>
    <x v="5"/>
    <n v="1224.8019999999999"/>
    <n v="1282"/>
    <n v="4.4616224648986034"/>
  </r>
  <r>
    <s v="Multihop,NSFnet,120"/>
    <x v="1"/>
    <x v="0"/>
    <x v="5"/>
    <n v="1307.1420000000001"/>
    <n v="1282"/>
    <n v="1.9611544461778512"/>
  </r>
  <r>
    <s v="Multihop,NSFnet,120"/>
    <x v="1"/>
    <x v="0"/>
    <x v="5"/>
    <n v="1225.721"/>
    <n v="1282"/>
    <n v="4.3899375975038994"/>
  </r>
  <r>
    <s v="Multihop,NSFnet,120"/>
    <x v="1"/>
    <x v="0"/>
    <x v="5"/>
    <n v="1251.146"/>
    <n v="1282"/>
    <n v="2.4067082683307364"/>
  </r>
  <r>
    <s v="Multihop,NSFnet,120"/>
    <x v="1"/>
    <x v="0"/>
    <x v="5"/>
    <n v="1330.194"/>
    <n v="1282"/>
    <n v="3.7592823712948489"/>
  </r>
  <r>
    <s v="Multihop,NSFnet,120"/>
    <x v="1"/>
    <x v="0"/>
    <x v="5"/>
    <n v="1307.4469999999999"/>
    <n v="1282"/>
    <n v="1.984945397815904"/>
  </r>
  <r>
    <s v="Multihop,NSFnet,120"/>
    <x v="1"/>
    <x v="0"/>
    <x v="5"/>
    <n v="1293.3489999999999"/>
    <n v="1282"/>
    <n v="0.88525741029640659"/>
  </r>
  <r>
    <s v="Multihop,NSFnet,120"/>
    <x v="1"/>
    <x v="0"/>
    <x v="5"/>
    <n v="1242.145"/>
    <n v="1282"/>
    <n v="3.1088143525741043"/>
  </r>
  <r>
    <s v="Multihop,NSFnet,120"/>
    <x v="1"/>
    <x v="0"/>
    <x v="5"/>
    <n v="1173.5409999999999"/>
    <n v="1282"/>
    <n v="8.4601404056162295"/>
  </r>
  <r>
    <s v="Multihop,NSFnet,120"/>
    <x v="1"/>
    <x v="0"/>
    <x v="5"/>
    <n v="1161.1400000000001"/>
    <n v="1282"/>
    <n v="9.4274570982839236"/>
  </r>
  <r>
    <s v="Multihop,NSFnet,120"/>
    <x v="1"/>
    <x v="0"/>
    <x v="5"/>
    <n v="1231.43"/>
    <n v="1282"/>
    <n v="3.9446177847113835"/>
  </r>
  <r>
    <s v="Multihop,NSFnet,120"/>
    <x v="1"/>
    <x v="0"/>
    <x v="5"/>
    <n v="1293.3489999999999"/>
    <n v="1282"/>
    <n v="0.88525741029640659"/>
  </r>
  <r>
    <s v="Multihop,NSFnet,120"/>
    <x v="1"/>
    <x v="0"/>
    <x v="5"/>
    <n v="1306.2809999999999"/>
    <n v="1282"/>
    <n v="1.893993759750386"/>
  </r>
  <r>
    <s v="Multihop,NSFnet,120"/>
    <x v="1"/>
    <x v="0"/>
    <x v="5"/>
    <n v="1208.0650000000001"/>
    <n v="1282"/>
    <n v="5.7671606864274523"/>
  </r>
  <r>
    <s v="Multihop,NSFnet,120"/>
    <x v="1"/>
    <x v="0"/>
    <x v="5"/>
    <n v="1263.886"/>
    <n v="1282"/>
    <n v="1.4129485179407202"/>
  </r>
  <r>
    <s v="Multihop,NSFnet,120"/>
    <x v="1"/>
    <x v="0"/>
    <x v="5"/>
    <n v="1308.9929999999999"/>
    <n v="1282"/>
    <n v="2.1055382215288563"/>
  </r>
  <r>
    <s v="Multihop,NSFnet,120"/>
    <x v="1"/>
    <x v="0"/>
    <x v="5"/>
    <n v="1264.7329999999999"/>
    <n v="1282"/>
    <n v="1.346879875195012"/>
  </r>
  <r>
    <s v="Multihop,NSFnet,120"/>
    <x v="1"/>
    <x v="0"/>
    <x v="5"/>
    <n v="1279.56"/>
    <n v="1282"/>
    <n v="0.19032761310452845"/>
  </r>
  <r>
    <s v="Multihop,NSFnet,120"/>
    <x v="1"/>
    <x v="0"/>
    <x v="5"/>
    <n v="1315.942"/>
    <n v="1282"/>
    <n v="2.6475819032761314"/>
  </r>
  <r>
    <s v="Multihop,NSFnet,120"/>
    <x v="1"/>
    <x v="0"/>
    <x v="5"/>
    <n v="1280.7950000000001"/>
    <n v="1282"/>
    <n v="9.3993759750384348E-2"/>
  </r>
  <r>
    <s v="Multihop,NSFnet,120"/>
    <x v="1"/>
    <x v="0"/>
    <x v="5"/>
    <n v="1292.691"/>
    <n v="1282"/>
    <n v="0.83393135725429257"/>
  </r>
  <r>
    <s v="Multihop,NSFnet,120"/>
    <x v="1"/>
    <x v="0"/>
    <x v="5"/>
    <n v="1171.1110000000001"/>
    <n v="1282"/>
    <n v="8.6496879875194921"/>
  </r>
  <r>
    <s v="Multihop,NSFnet,120"/>
    <x v="1"/>
    <x v="0"/>
    <x v="5"/>
    <n v="1230.8720000000001"/>
    <n v="1282"/>
    <n v="3.988143525741024"/>
  </r>
  <r>
    <s v="Multihop,NSFnet,120"/>
    <x v="1"/>
    <x v="0"/>
    <x v="5"/>
    <n v="1235.501"/>
    <n v="1282"/>
    <n v="3.6270670826833094"/>
  </r>
  <r>
    <s v="Multihop,NSFnet,120"/>
    <x v="1"/>
    <x v="0"/>
    <x v="5"/>
    <n v="1239.6669999999999"/>
    <n v="1282"/>
    <n v="3.302106084243376"/>
  </r>
  <r>
    <s v="Multihop,NSFnet,120"/>
    <x v="1"/>
    <x v="0"/>
    <x v="5"/>
    <n v="1305.075"/>
    <n v="1282"/>
    <n v="1.7999219968798787"/>
  </r>
  <r>
    <s v="Multihop,NSFnet,120"/>
    <x v="1"/>
    <x v="0"/>
    <x v="5"/>
    <n v="1282.6510000000001"/>
    <n v="1282"/>
    <n v="5.0780031201253295E-2"/>
  </r>
  <r>
    <s v="Multihop,NSFnet,120"/>
    <x v="1"/>
    <x v="0"/>
    <x v="5"/>
    <n v="1256.068"/>
    <n v="1282"/>
    <n v="2.0227769110764444"/>
  </r>
  <r>
    <s v="Multihop,NSFnet,120"/>
    <x v="1"/>
    <x v="0"/>
    <x v="5"/>
    <n v="1194.4459999999999"/>
    <n v="1282"/>
    <n v="6.8294851794071825"/>
  </r>
  <r>
    <s v="Multihop,NSFnet,120"/>
    <x v="1"/>
    <x v="0"/>
    <x v="5"/>
    <n v="1255.23"/>
    <n v="1282"/>
    <n v="2.0881435257410281"/>
  </r>
  <r>
    <s v="Multihop,NSFnet,120"/>
    <x v="1"/>
    <x v="0"/>
    <x v="5"/>
    <n v="1262.5160000000001"/>
    <n v="1282"/>
    <n v="1.5198127925116944"/>
  </r>
  <r>
    <s v="Multihop,NSFnet,120"/>
    <x v="1"/>
    <x v="0"/>
    <x v="5"/>
    <n v="1305.0899999999999"/>
    <n v="1282"/>
    <n v="1.8010920436817408"/>
  </r>
  <r>
    <s v="Multihop,NSFnet,120"/>
    <x v="1"/>
    <x v="0"/>
    <x v="5"/>
    <n v="1329.2860000000001"/>
    <n v="1282"/>
    <n v="3.6884555382215334"/>
  </r>
  <r>
    <s v="Multihop,NSFnet,120"/>
    <x v="1"/>
    <x v="0"/>
    <x v="5"/>
    <n v="1323.845"/>
    <n v="1282"/>
    <n v="3.2640405616224673"/>
  </r>
  <r>
    <s v="Multihop,NSFnet,120"/>
    <x v="1"/>
    <x v="0"/>
    <x v="5"/>
    <n v="1274.9580000000001"/>
    <n v="1282"/>
    <n v="0.5492979719188702"/>
  </r>
  <r>
    <s v="Multihop,NSFnet,120"/>
    <x v="1"/>
    <x v="0"/>
    <x v="5"/>
    <n v="1213.356"/>
    <n v="1282"/>
    <n v="5.3544461778471142"/>
  </r>
  <r>
    <s v="Multihop,NSFnet,120"/>
    <x v="1"/>
    <x v="0"/>
    <x v="5"/>
    <n v="1280.787"/>
    <n v="1282"/>
    <n v="9.4617784711385752E-2"/>
  </r>
  <r>
    <s v="Multihop,NSFnet,120"/>
    <x v="1"/>
    <x v="0"/>
    <x v="5"/>
    <n v="1247.8579999999999"/>
    <n v="1282"/>
    <n v="2.6631825273010961"/>
  </r>
  <r>
    <s v="Multihop,NSFnet,120"/>
    <x v="1"/>
    <x v="0"/>
    <x v="5"/>
    <n v="1321.7840000000001"/>
    <n v="1282"/>
    <n v="3.1032761310452499"/>
  </r>
  <r>
    <s v="Multihop,NSFnet,120"/>
    <x v="1"/>
    <x v="0"/>
    <x v="5"/>
    <n v="1281.009"/>
    <n v="1282"/>
    <n v="7.7301092043680616E-2"/>
  </r>
  <r>
    <s v="Multihop,NSFnet,120"/>
    <x v="1"/>
    <x v="0"/>
    <x v="5"/>
    <n v="1261.1010000000001"/>
    <n v="1282"/>
    <n v="1.6301872074882908"/>
  </r>
  <r>
    <s v="Multihop,NSFnet,120"/>
    <x v="1"/>
    <x v="0"/>
    <x v="5"/>
    <n v="1300.5709999999999"/>
    <n v="1282"/>
    <n v="1.4485959438377467"/>
  </r>
  <r>
    <s v="Multihop,NSFnet,120"/>
    <x v="1"/>
    <x v="0"/>
    <x v="5"/>
    <n v="1274.768"/>
    <n v="1282"/>
    <n v="0.56411856474258737"/>
  </r>
  <r>
    <s v="Multihop,NSFnet,120"/>
    <x v="1"/>
    <x v="0"/>
    <x v="5"/>
    <n v="1210.2470000000001"/>
    <n v="1282"/>
    <n v="5.596957878315127"/>
  </r>
  <r>
    <s v="Multihop,NSFnet,120"/>
    <x v="1"/>
    <x v="0"/>
    <x v="5"/>
    <n v="1285.9760000000001"/>
    <n v="1282"/>
    <n v="0.31014040561623346"/>
  </r>
  <r>
    <s v="Multihop,NSFnet,120"/>
    <x v="1"/>
    <x v="0"/>
    <x v="5"/>
    <n v="1272.165"/>
    <n v="1282"/>
    <n v="0.76716068642745994"/>
  </r>
  <r>
    <s v="Multihop,NSFnet,120"/>
    <x v="1"/>
    <x v="0"/>
    <x v="5"/>
    <n v="1219.24"/>
    <n v="1282"/>
    <n v="4.895475819032761"/>
  </r>
  <r>
    <s v="Multihop,NSFnet,120"/>
    <x v="1"/>
    <x v="0"/>
    <x v="5"/>
    <n v="1242.643"/>
    <n v="1282"/>
    <n v="3.0699687987519479"/>
  </r>
  <r>
    <s v="Multihop,NSFnet,120"/>
    <x v="1"/>
    <x v="0"/>
    <x v="5"/>
    <n v="1233.874"/>
    <n v="1282"/>
    <n v="3.7539781591263628"/>
  </r>
  <r>
    <s v="Multihop,NSFnet,120"/>
    <x v="1"/>
    <x v="0"/>
    <x v="5"/>
    <n v="1298.9749999999999"/>
    <n v="1282"/>
    <n v="1.3241029641185575"/>
  </r>
  <r>
    <s v="Multihop,NSFnet,120"/>
    <x v="1"/>
    <x v="0"/>
    <x v="5"/>
    <n v="1289.606"/>
    <n v="1282"/>
    <n v="0.59329173166926641"/>
  </r>
  <r>
    <s v="Multihop,NSFnet,120"/>
    <x v="1"/>
    <x v="0"/>
    <x v="5"/>
    <n v="1246.8920000000001"/>
    <n v="1282"/>
    <n v="2.7385335413416496"/>
  </r>
  <r>
    <s v="Multihop,NSFnet,120"/>
    <x v="1"/>
    <x v="0"/>
    <x v="5"/>
    <n v="1309.319"/>
    <n v="1282"/>
    <n v="2.1309672386895446"/>
  </r>
  <r>
    <s v="Multihop,NSFnet,120"/>
    <x v="1"/>
    <x v="0"/>
    <x v="5"/>
    <n v="1230.9000000000001"/>
    <n v="1282"/>
    <n v="3.9859594383775279"/>
  </r>
  <r>
    <s v="Multihop,NSFnet,120"/>
    <x v="1"/>
    <x v="0"/>
    <x v="5"/>
    <n v="1265.1569999999999"/>
    <n v="1282"/>
    <n v="1.3138065522620963"/>
  </r>
  <r>
    <s v="Multihop,NSFnet,120"/>
    <x v="1"/>
    <x v="0"/>
    <x v="5"/>
    <n v="1212.9770000000001"/>
    <n v="1282"/>
    <n v="5.3840093603744084"/>
  </r>
  <r>
    <s v="Multihop,NSFnet,120"/>
    <x v="1"/>
    <x v="0"/>
    <x v="5"/>
    <n v="1252.4780000000001"/>
    <n v="1282"/>
    <n v="2.3028081123244877"/>
  </r>
  <r>
    <s v="Multihop,NSFnet,120"/>
    <x v="1"/>
    <x v="0"/>
    <x v="5"/>
    <n v="1170.355"/>
    <n v="1282"/>
    <n v="8.7086583463338521"/>
  </r>
  <r>
    <s v="Multihop,NSFnet,120"/>
    <x v="1"/>
    <x v="0"/>
    <x v="5"/>
    <n v="1306.297"/>
    <n v="1282"/>
    <n v="1.8952418096723889"/>
  </r>
  <r>
    <s v="Multihop,NSFnet,120"/>
    <x v="1"/>
    <x v="0"/>
    <x v="5"/>
    <n v="1245.3610000000001"/>
    <n v="1282"/>
    <n v="2.8579563182527221"/>
  </r>
  <r>
    <s v="Multihop,NSFnet,120"/>
    <x v="1"/>
    <x v="0"/>
    <x v="5"/>
    <n v="1243.482"/>
    <n v="1282"/>
    <n v="3.0045241809672407"/>
  </r>
  <r>
    <s v="Multihop,NSFnet,120"/>
    <x v="1"/>
    <x v="0"/>
    <x v="5"/>
    <n v="1189.527"/>
    <n v="1282"/>
    <n v="7.2131825273010888"/>
  </r>
  <r>
    <s v="Multihop,NSFnet,120"/>
    <x v="1"/>
    <x v="0"/>
    <x v="5"/>
    <n v="1226.778"/>
    <n v="1282"/>
    <n v="4.3074882995319799"/>
  </r>
  <r>
    <s v="Multihop,NSFnet,120"/>
    <x v="1"/>
    <x v="0"/>
    <x v="5"/>
    <n v="1307.002"/>
    <n v="1282"/>
    <n v="1.9502340093603707"/>
  </r>
  <r>
    <s v="Multihop,NSFnet,120"/>
    <x v="1"/>
    <x v="0"/>
    <x v="5"/>
    <n v="1289.0619999999999"/>
    <n v="1282"/>
    <n v="0.55085803432136493"/>
  </r>
  <r>
    <s v="Multihop,NSFnet,120"/>
    <x v="1"/>
    <x v="0"/>
    <x v="5"/>
    <n v="1289.2190000000001"/>
    <n v="1282"/>
    <n v="0.56310452418097123"/>
  </r>
  <r>
    <s v="Multihop,NSFnet,120"/>
    <x v="1"/>
    <x v="0"/>
    <x v="5"/>
    <n v="1224.23"/>
    <n v="1282"/>
    <n v="4.5062402496099825"/>
  </r>
  <r>
    <s v="Multihop,NSFnet,120"/>
    <x v="1"/>
    <x v="0"/>
    <x v="5"/>
    <n v="1250.7380000000001"/>
    <n v="1282"/>
    <n v="2.4385335413416493"/>
  </r>
  <r>
    <s v="Multihop,NSFnet,120"/>
    <x v="1"/>
    <x v="0"/>
    <x v="5"/>
    <n v="1263.7829999999999"/>
    <n v="1282"/>
    <n v="1.4209828393135802"/>
  </r>
  <r>
    <s v="Multihop,NSFnet,120"/>
    <x v="1"/>
    <x v="0"/>
    <x v="5"/>
    <n v="1198.4090000000001"/>
    <n v="1282"/>
    <n v="6.5203588143525657"/>
  </r>
  <r>
    <s v="Multihop,NSFnet,120"/>
    <x v="1"/>
    <x v="0"/>
    <x v="5"/>
    <n v="1250.1790000000001"/>
    <n v="1282"/>
    <n v="2.4821372854914125"/>
  </r>
  <r>
    <s v="Multihop,NSFnet,120"/>
    <x v="1"/>
    <x v="0"/>
    <x v="5"/>
    <n v="1226.203"/>
    <n v="1282"/>
    <n v="4.352340093603746"/>
  </r>
  <r>
    <s v="Multihop,NSFnet,120"/>
    <x v="1"/>
    <x v="0"/>
    <x v="5"/>
    <n v="1210.3900000000001"/>
    <n v="1282"/>
    <n v="5.5858034321372774"/>
  </r>
  <r>
    <s v="Multihop,NSFnet,120"/>
    <x v="1"/>
    <x v="0"/>
    <x v="5"/>
    <n v="1342.579"/>
    <n v="1282"/>
    <n v="4.725351014040557"/>
  </r>
  <r>
    <s v="Multihop,NSFnet,120"/>
    <x v="1"/>
    <x v="0"/>
    <x v="5"/>
    <n v="1288.175"/>
    <n v="1282"/>
    <n v="0.48166926677066729"/>
  </r>
  <r>
    <s v="Multihop,NSFnet,120"/>
    <x v="1"/>
    <x v="0"/>
    <x v="5"/>
    <n v="1233.8979999999999"/>
    <n v="1282"/>
    <n v="3.7521060842433762"/>
  </r>
  <r>
    <s v="Multihop,NSFnet,120"/>
    <x v="1"/>
    <x v="0"/>
    <x v="5"/>
    <n v="1255.8409999999999"/>
    <n v="1282"/>
    <n v="2.0404836193447817"/>
  </r>
  <r>
    <s v="Multihop,NSFnet,120"/>
    <x v="1"/>
    <x v="0"/>
    <x v="5"/>
    <n v="1295.318"/>
    <n v="1282"/>
    <n v="1.0388455538221515"/>
  </r>
  <r>
    <s v="Multihop,NSFnet,120"/>
    <x v="1"/>
    <x v="0"/>
    <x v="5"/>
    <n v="1246.56"/>
    <n v="1282"/>
    <n v="2.7644305772230933"/>
  </r>
  <r>
    <s v="Multihop,NSFnet,120"/>
    <x v="1"/>
    <x v="0"/>
    <x v="5"/>
    <n v="1204.2070000000001"/>
    <n v="1282"/>
    <n v="6.0680967238689467"/>
  </r>
  <r>
    <s v="Multihop,STnet,20"/>
    <x v="1"/>
    <x v="1"/>
    <x v="0"/>
    <n v="44.222000000000001"/>
    <n v="46"/>
    <n v="3.8652173913043453"/>
  </r>
  <r>
    <s v="Multihop,STnet,20"/>
    <x v="1"/>
    <x v="1"/>
    <x v="0"/>
    <n v="43.003"/>
    <n v="46"/>
    <n v="6.5152173913043478"/>
  </r>
  <r>
    <s v="Multihop,STnet,20"/>
    <x v="1"/>
    <x v="1"/>
    <x v="0"/>
    <n v="48.295000000000002"/>
    <n v="46"/>
    <n v="4.9891304347826129"/>
  </r>
  <r>
    <s v="Multihop,STnet,20"/>
    <x v="1"/>
    <x v="1"/>
    <x v="0"/>
    <n v="43.003"/>
    <n v="46"/>
    <n v="6.5152173913043478"/>
  </r>
  <r>
    <s v="Multihop,STnet,20"/>
    <x v="1"/>
    <x v="1"/>
    <x v="0"/>
    <n v="45.295000000000002"/>
    <n v="46"/>
    <n v="1.5326086956521701"/>
  </r>
  <r>
    <s v="Multihop,STnet,20"/>
    <x v="1"/>
    <x v="1"/>
    <x v="0"/>
    <n v="42.003"/>
    <n v="46"/>
    <n v="8.6891304347826086"/>
  </r>
  <r>
    <s v="Multihop,STnet,20"/>
    <x v="1"/>
    <x v="1"/>
    <x v="0"/>
    <n v="45.003"/>
    <n v="46"/>
    <n v="2.1673913043478259"/>
  </r>
  <r>
    <s v="Multihop,STnet,20"/>
    <x v="1"/>
    <x v="1"/>
    <x v="0"/>
    <n v="45.003"/>
    <n v="46"/>
    <n v="2.1673913043478259"/>
  </r>
  <r>
    <s v="Multihop,STnet,20"/>
    <x v="1"/>
    <x v="1"/>
    <x v="0"/>
    <n v="46.295000000000002"/>
    <n v="46"/>
    <n v="0.64130434782609069"/>
  </r>
  <r>
    <s v="Multihop,STnet,20"/>
    <x v="1"/>
    <x v="1"/>
    <x v="0"/>
    <n v="44.076000000000001"/>
    <n v="46"/>
    <n v="4.1826086956521724"/>
  </r>
  <r>
    <s v="Multihop,STnet,20"/>
    <x v="1"/>
    <x v="1"/>
    <x v="0"/>
    <n v="43.93"/>
    <n v="46"/>
    <n v="4.5000000000000009"/>
  </r>
  <r>
    <s v="Multihop,STnet,20"/>
    <x v="1"/>
    <x v="1"/>
    <x v="0"/>
    <n v="44.076000000000001"/>
    <n v="46"/>
    <n v="4.1826086956521724"/>
  </r>
  <r>
    <s v="Multihop,STnet,20"/>
    <x v="1"/>
    <x v="1"/>
    <x v="0"/>
    <n v="44.93"/>
    <n v="46"/>
    <n v="2.3260869565217397"/>
  </r>
  <r>
    <s v="Multihop,STnet,20"/>
    <x v="1"/>
    <x v="1"/>
    <x v="0"/>
    <n v="45.076000000000001"/>
    <n v="46"/>
    <n v="2.0086956521739121"/>
  </r>
  <r>
    <s v="Multihop,STnet,20"/>
    <x v="1"/>
    <x v="1"/>
    <x v="0"/>
    <n v="45.076000000000001"/>
    <n v="46"/>
    <n v="2.0086956521739121"/>
  </r>
  <r>
    <s v="Multihop,STnet,20"/>
    <x v="1"/>
    <x v="1"/>
    <x v="0"/>
    <n v="45.222000000000001"/>
    <n v="46"/>
    <n v="1.6913043478260841"/>
  </r>
  <r>
    <s v="Multihop,STnet,20"/>
    <x v="1"/>
    <x v="1"/>
    <x v="0"/>
    <n v="44.003"/>
    <n v="46"/>
    <n v="4.3413043478260871"/>
  </r>
  <r>
    <s v="Multihop,STnet,20"/>
    <x v="1"/>
    <x v="1"/>
    <x v="0"/>
    <n v="43.149000000000001"/>
    <n v="46"/>
    <n v="6.1978260869565194"/>
  </r>
  <r>
    <s v="Multihop,STnet,20"/>
    <x v="1"/>
    <x v="1"/>
    <x v="0"/>
    <n v="47.295000000000002"/>
    <n v="46"/>
    <n v="2.8152173913043517"/>
  </r>
  <r>
    <s v="Multihop,STnet,20"/>
    <x v="1"/>
    <x v="1"/>
    <x v="0"/>
    <n v="46.222000000000001"/>
    <n v="46"/>
    <n v="0.48260869565217673"/>
  </r>
  <r>
    <s v="Multihop,STnet,20"/>
    <x v="1"/>
    <x v="1"/>
    <x v="0"/>
    <n v="46.368000000000002"/>
    <n v="46"/>
    <n v="0.80000000000000449"/>
  </r>
  <r>
    <s v="Multihop,STnet,20"/>
    <x v="1"/>
    <x v="1"/>
    <x v="0"/>
    <n v="45.076000000000001"/>
    <n v="46"/>
    <n v="2.0086956521739121"/>
  </r>
  <r>
    <s v="Multihop,STnet,20"/>
    <x v="1"/>
    <x v="1"/>
    <x v="0"/>
    <n v="43.93"/>
    <n v="46"/>
    <n v="4.5000000000000009"/>
  </r>
  <r>
    <s v="Multihop,STnet,20"/>
    <x v="1"/>
    <x v="1"/>
    <x v="0"/>
    <n v="46.368000000000002"/>
    <n v="46"/>
    <n v="0.80000000000000449"/>
  </r>
  <r>
    <s v="Multihop,STnet,20"/>
    <x v="1"/>
    <x v="1"/>
    <x v="0"/>
    <n v="43.003"/>
    <n v="46"/>
    <n v="6.5152173913043478"/>
  </r>
  <r>
    <s v="Multihop,STnet,20"/>
    <x v="1"/>
    <x v="1"/>
    <x v="0"/>
    <n v="43.003"/>
    <n v="46"/>
    <n v="6.5152173913043478"/>
  </r>
  <r>
    <s v="Multihop,STnet,20"/>
    <x v="1"/>
    <x v="1"/>
    <x v="0"/>
    <n v="42.93"/>
    <n v="46"/>
    <n v="6.6739130434782616"/>
  </r>
  <r>
    <s v="Multihop,STnet,20"/>
    <x v="1"/>
    <x v="1"/>
    <x v="0"/>
    <n v="44.003"/>
    <n v="46"/>
    <n v="4.3413043478260871"/>
  </r>
  <r>
    <s v="Multihop,STnet,20"/>
    <x v="1"/>
    <x v="1"/>
    <x v="0"/>
    <n v="43.149000000000001"/>
    <n v="46"/>
    <n v="6.1978260869565194"/>
  </r>
  <r>
    <s v="Multihop,STnet,20"/>
    <x v="1"/>
    <x v="1"/>
    <x v="0"/>
    <n v="45.222000000000001"/>
    <n v="46"/>
    <n v="1.6913043478260841"/>
  </r>
  <r>
    <s v="Multihop,STnet,20"/>
    <x v="1"/>
    <x v="1"/>
    <x v="0"/>
    <n v="47.222000000000001"/>
    <n v="46"/>
    <n v="2.6565217391304374"/>
  </r>
  <r>
    <s v="Multihop,STnet,20"/>
    <x v="1"/>
    <x v="1"/>
    <x v="0"/>
    <n v="43.076000000000001"/>
    <n v="46"/>
    <n v="6.3565217391304341"/>
  </r>
  <r>
    <s v="Multihop,STnet,20"/>
    <x v="1"/>
    <x v="1"/>
    <x v="0"/>
    <n v="47.368000000000002"/>
    <n v="46"/>
    <n v="2.9739130434782655"/>
  </r>
  <r>
    <s v="Multihop,STnet,20"/>
    <x v="1"/>
    <x v="1"/>
    <x v="0"/>
    <n v="47.368000000000002"/>
    <n v="46"/>
    <n v="2.9739130434782655"/>
  </r>
  <r>
    <s v="Multihop,STnet,20"/>
    <x v="1"/>
    <x v="1"/>
    <x v="0"/>
    <n v="41.783999999999999"/>
    <n v="46"/>
    <n v="9.1652173913043509"/>
  </r>
  <r>
    <s v="Multihop,STnet,20"/>
    <x v="1"/>
    <x v="1"/>
    <x v="0"/>
    <n v="46.368000000000002"/>
    <n v="46"/>
    <n v="0.80000000000000449"/>
  </r>
  <r>
    <s v="Multihop,STnet,20"/>
    <x v="1"/>
    <x v="1"/>
    <x v="0"/>
    <n v="45.076000000000001"/>
    <n v="46"/>
    <n v="2.0086956521739121"/>
  </r>
  <r>
    <s v="Multihop,STnet,20"/>
    <x v="1"/>
    <x v="1"/>
    <x v="0"/>
    <n v="47.368000000000002"/>
    <n v="46"/>
    <n v="2.9739130434782655"/>
  </r>
  <r>
    <s v="Multihop,STnet,20"/>
    <x v="1"/>
    <x v="1"/>
    <x v="0"/>
    <n v="47.368000000000002"/>
    <n v="46"/>
    <n v="2.9739130434782655"/>
  </r>
  <r>
    <s v="Multihop,STnet,20"/>
    <x v="1"/>
    <x v="1"/>
    <x v="0"/>
    <n v="44.149000000000001"/>
    <n v="46"/>
    <n v="4.0239130434782586"/>
  </r>
  <r>
    <s v="Multihop,STnet,20"/>
    <x v="1"/>
    <x v="1"/>
    <x v="0"/>
    <n v="45.222000000000001"/>
    <n v="46"/>
    <n v="1.6913043478260841"/>
  </r>
  <r>
    <s v="Multihop,STnet,20"/>
    <x v="1"/>
    <x v="1"/>
    <x v="0"/>
    <n v="41.856999999999999"/>
    <n v="46"/>
    <n v="9.0065217391304362"/>
  </r>
  <r>
    <s v="Multihop,STnet,20"/>
    <x v="1"/>
    <x v="1"/>
    <x v="0"/>
    <n v="42.783999999999999"/>
    <n v="46"/>
    <n v="6.9913043478260901"/>
  </r>
  <r>
    <s v="Multihop,STnet,20"/>
    <x v="1"/>
    <x v="1"/>
    <x v="0"/>
    <n v="44.222000000000001"/>
    <n v="46"/>
    <n v="3.8652173913043453"/>
  </r>
  <r>
    <s v="Multihop,STnet,20"/>
    <x v="1"/>
    <x v="1"/>
    <x v="0"/>
    <n v="47.441000000000003"/>
    <n v="46"/>
    <n v="3.1326086956521797"/>
  </r>
  <r>
    <s v="Multihop,STnet,20"/>
    <x v="1"/>
    <x v="1"/>
    <x v="0"/>
    <n v="46.003"/>
    <n v="46"/>
    <n v="6.5217391304350303E-3"/>
  </r>
  <r>
    <s v="Multihop,STnet,20"/>
    <x v="1"/>
    <x v="1"/>
    <x v="0"/>
    <n v="46.295000000000002"/>
    <n v="46"/>
    <n v="0.64130434782609069"/>
  </r>
  <r>
    <s v="Multihop,STnet,20"/>
    <x v="1"/>
    <x v="1"/>
    <x v="0"/>
    <n v="45.222000000000001"/>
    <n v="46"/>
    <n v="1.6913043478260841"/>
  </r>
  <r>
    <s v="Multihop,STnet,20"/>
    <x v="1"/>
    <x v="1"/>
    <x v="0"/>
    <n v="45.856999999999999"/>
    <n v="46"/>
    <n v="0.31086956521739278"/>
  </r>
  <r>
    <s v="Multihop,STnet,20"/>
    <x v="1"/>
    <x v="1"/>
    <x v="0"/>
    <n v="45.149000000000001"/>
    <n v="46"/>
    <n v="1.8499999999999981"/>
  </r>
  <r>
    <s v="Multihop,STnet,20"/>
    <x v="1"/>
    <x v="1"/>
    <x v="0"/>
    <n v="47.295000000000002"/>
    <n v="46"/>
    <n v="2.8152173913043517"/>
  </r>
  <r>
    <s v="Multihop,STnet,20"/>
    <x v="1"/>
    <x v="1"/>
    <x v="0"/>
    <n v="47.441000000000003"/>
    <n v="46"/>
    <n v="3.1326086956521797"/>
  </r>
  <r>
    <s v="Multihop,STnet,20"/>
    <x v="1"/>
    <x v="1"/>
    <x v="0"/>
    <n v="44.222000000000001"/>
    <n v="46"/>
    <n v="3.8652173913043453"/>
  </r>
  <r>
    <s v="Multihop,STnet,20"/>
    <x v="1"/>
    <x v="1"/>
    <x v="0"/>
    <n v="42.222000000000001"/>
    <n v="46"/>
    <n v="8.2130434782608663"/>
  </r>
  <r>
    <s v="Multihop,STnet,20"/>
    <x v="1"/>
    <x v="1"/>
    <x v="0"/>
    <n v="43.93"/>
    <n v="46"/>
    <n v="4.5000000000000009"/>
  </r>
  <r>
    <s v="Multihop,STnet,20"/>
    <x v="1"/>
    <x v="1"/>
    <x v="0"/>
    <n v="47.295000000000002"/>
    <n v="46"/>
    <n v="2.8152173913043517"/>
  </r>
  <r>
    <s v="Multihop,STnet,20"/>
    <x v="1"/>
    <x v="1"/>
    <x v="0"/>
    <n v="46.149000000000001"/>
    <n v="46"/>
    <n v="0.32391304347826283"/>
  </r>
  <r>
    <s v="Multihop,STnet,20"/>
    <x v="1"/>
    <x v="1"/>
    <x v="0"/>
    <n v="45.003"/>
    <n v="46"/>
    <n v="2.1673913043478259"/>
  </r>
  <r>
    <s v="Multihop,STnet,20"/>
    <x v="1"/>
    <x v="1"/>
    <x v="0"/>
    <n v="45.368000000000002"/>
    <n v="46"/>
    <n v="1.3739130434782563"/>
  </r>
  <r>
    <s v="Multihop,STnet,20"/>
    <x v="1"/>
    <x v="1"/>
    <x v="0"/>
    <n v="46.076000000000001"/>
    <n v="46"/>
    <n v="0.16521739130434893"/>
  </r>
  <r>
    <s v="Multihop,STnet,20"/>
    <x v="1"/>
    <x v="1"/>
    <x v="0"/>
    <n v="45.076000000000001"/>
    <n v="46"/>
    <n v="2.0086956521739121"/>
  </r>
  <r>
    <s v="Multihop,STnet,20"/>
    <x v="1"/>
    <x v="1"/>
    <x v="0"/>
    <n v="46.295000000000002"/>
    <n v="46"/>
    <n v="0.64130434782609069"/>
  </r>
  <r>
    <s v="Multihop,STnet,20"/>
    <x v="1"/>
    <x v="1"/>
    <x v="0"/>
    <n v="46.368000000000002"/>
    <n v="46"/>
    <n v="0.80000000000000449"/>
  </r>
  <r>
    <s v="Multihop,STnet,20"/>
    <x v="1"/>
    <x v="1"/>
    <x v="0"/>
    <n v="43.93"/>
    <n v="46"/>
    <n v="4.5000000000000009"/>
  </r>
  <r>
    <s v="Multihop,STnet,20"/>
    <x v="1"/>
    <x v="1"/>
    <x v="0"/>
    <n v="46.149000000000001"/>
    <n v="46"/>
    <n v="0.32391304347826283"/>
  </r>
  <r>
    <s v="Multihop,STnet,20"/>
    <x v="1"/>
    <x v="1"/>
    <x v="0"/>
    <n v="44.149000000000001"/>
    <n v="46"/>
    <n v="4.0239130434782586"/>
  </r>
  <r>
    <s v="Multihop,STnet,20"/>
    <x v="1"/>
    <x v="1"/>
    <x v="0"/>
    <n v="45.149000000000001"/>
    <n v="46"/>
    <n v="1.8499999999999981"/>
  </r>
  <r>
    <s v="Multihop,STnet,20"/>
    <x v="1"/>
    <x v="1"/>
    <x v="0"/>
    <n v="48.441000000000003"/>
    <n v="46"/>
    <n v="5.3065217391304405"/>
  </r>
  <r>
    <s v="Multihop,STnet,20"/>
    <x v="1"/>
    <x v="1"/>
    <x v="0"/>
    <n v="46.441000000000003"/>
    <n v="46"/>
    <n v="0.9586956521739185"/>
  </r>
  <r>
    <s v="Multihop,STnet,20"/>
    <x v="1"/>
    <x v="1"/>
    <x v="0"/>
    <n v="44.076000000000001"/>
    <n v="46"/>
    <n v="4.1826086956521724"/>
  </r>
  <r>
    <s v="Multihop,STnet,20"/>
    <x v="1"/>
    <x v="1"/>
    <x v="0"/>
    <n v="45.222000000000001"/>
    <n v="46"/>
    <n v="1.6913043478260841"/>
  </r>
  <r>
    <s v="Multihop,STnet,20"/>
    <x v="1"/>
    <x v="1"/>
    <x v="0"/>
    <n v="46.368000000000002"/>
    <n v="46"/>
    <n v="0.80000000000000449"/>
  </r>
  <r>
    <s v="Multihop,STnet,20"/>
    <x v="1"/>
    <x v="1"/>
    <x v="0"/>
    <n v="45.076000000000001"/>
    <n v="46"/>
    <n v="2.0086956521739121"/>
  </r>
  <r>
    <s v="Multihop,STnet,20"/>
    <x v="1"/>
    <x v="1"/>
    <x v="0"/>
    <n v="42.564999999999998"/>
    <n v="46"/>
    <n v="7.4673913043478315"/>
  </r>
  <r>
    <s v="Multihop,STnet,20"/>
    <x v="1"/>
    <x v="1"/>
    <x v="0"/>
    <n v="45.076000000000001"/>
    <n v="46"/>
    <n v="2.0086956521739121"/>
  </r>
  <r>
    <s v="Multihop,STnet,20"/>
    <x v="1"/>
    <x v="1"/>
    <x v="0"/>
    <n v="43.856999999999999"/>
    <n v="46"/>
    <n v="4.6586956521739147"/>
  </r>
  <r>
    <s v="Multihop,STnet,20"/>
    <x v="1"/>
    <x v="1"/>
    <x v="0"/>
    <n v="43.93"/>
    <n v="46"/>
    <n v="4.5000000000000009"/>
  </r>
  <r>
    <s v="Multihop,STnet,20"/>
    <x v="1"/>
    <x v="1"/>
    <x v="0"/>
    <n v="49.222000000000001"/>
    <n v="46"/>
    <n v="7.0043478260869598"/>
  </r>
  <r>
    <s v="Multihop,STnet,20"/>
    <x v="1"/>
    <x v="1"/>
    <x v="0"/>
    <n v="43.93"/>
    <n v="46"/>
    <n v="4.5000000000000009"/>
  </r>
  <r>
    <s v="Multihop,STnet,20"/>
    <x v="1"/>
    <x v="1"/>
    <x v="0"/>
    <n v="46.222000000000001"/>
    <n v="46"/>
    <n v="0.48260869565217673"/>
  </r>
  <r>
    <s v="Multihop,STnet,20"/>
    <x v="1"/>
    <x v="1"/>
    <x v="0"/>
    <n v="43.93"/>
    <n v="46"/>
    <n v="4.5000000000000009"/>
  </r>
  <r>
    <s v="Multihop,STnet,20"/>
    <x v="1"/>
    <x v="1"/>
    <x v="0"/>
    <n v="46.368000000000002"/>
    <n v="46"/>
    <n v="0.80000000000000449"/>
  </r>
  <r>
    <s v="Multihop,STnet,20"/>
    <x v="1"/>
    <x v="1"/>
    <x v="0"/>
    <n v="44.856999999999999"/>
    <n v="46"/>
    <n v="2.4847826086956535"/>
  </r>
  <r>
    <s v="Multihop,STnet,20"/>
    <x v="1"/>
    <x v="1"/>
    <x v="0"/>
    <n v="45.295000000000002"/>
    <n v="46"/>
    <n v="1.5326086956521701"/>
  </r>
  <r>
    <s v="Multihop,STnet,20"/>
    <x v="1"/>
    <x v="1"/>
    <x v="0"/>
    <n v="45.222000000000001"/>
    <n v="46"/>
    <n v="1.6913043478260841"/>
  </r>
  <r>
    <s v="Multihop,STnet,20"/>
    <x v="1"/>
    <x v="1"/>
    <x v="0"/>
    <n v="44.076000000000001"/>
    <n v="46"/>
    <n v="4.1826086956521724"/>
  </r>
  <r>
    <s v="Multihop,STnet,20"/>
    <x v="1"/>
    <x v="1"/>
    <x v="0"/>
    <n v="46.149000000000001"/>
    <n v="46"/>
    <n v="0.32391304347826283"/>
  </r>
  <r>
    <s v="Multihop,STnet,20"/>
    <x v="1"/>
    <x v="1"/>
    <x v="0"/>
    <n v="44.149000000000001"/>
    <n v="46"/>
    <n v="4.0239130434782586"/>
  </r>
  <r>
    <s v="Multihop,STnet,20"/>
    <x v="1"/>
    <x v="1"/>
    <x v="0"/>
    <n v="43.076000000000001"/>
    <n v="46"/>
    <n v="6.3565217391304341"/>
  </r>
  <r>
    <s v="Multihop,STnet,20"/>
    <x v="1"/>
    <x v="1"/>
    <x v="0"/>
    <n v="47.295000000000002"/>
    <n v="46"/>
    <n v="2.8152173913043517"/>
  </r>
  <r>
    <s v="Multihop,STnet,20"/>
    <x v="1"/>
    <x v="1"/>
    <x v="0"/>
    <n v="46.295000000000002"/>
    <n v="46"/>
    <n v="0.64130434782609069"/>
  </r>
  <r>
    <s v="Multihop,STnet,20"/>
    <x v="1"/>
    <x v="1"/>
    <x v="0"/>
    <n v="45.076000000000001"/>
    <n v="46"/>
    <n v="2.0086956521739121"/>
  </r>
  <r>
    <s v="Multihop,STnet,20"/>
    <x v="1"/>
    <x v="1"/>
    <x v="0"/>
    <n v="46.295000000000002"/>
    <n v="46"/>
    <n v="0.64130434782609069"/>
  </r>
  <r>
    <s v="Multihop,STnet,20"/>
    <x v="1"/>
    <x v="1"/>
    <x v="0"/>
    <n v="46.295000000000002"/>
    <n v="46"/>
    <n v="0.64130434782609069"/>
  </r>
  <r>
    <s v="Multihop,STnet,20"/>
    <x v="1"/>
    <x v="1"/>
    <x v="0"/>
    <n v="45.149000000000001"/>
    <n v="46"/>
    <n v="1.8499999999999981"/>
  </r>
  <r>
    <s v="Multihop,STnet,20"/>
    <x v="1"/>
    <x v="1"/>
    <x v="0"/>
    <n v="44.149000000000001"/>
    <n v="46"/>
    <n v="4.0239130434782586"/>
  </r>
  <r>
    <s v="Multihop,STnet,20"/>
    <x v="1"/>
    <x v="1"/>
    <x v="0"/>
    <n v="46.149000000000001"/>
    <n v="46"/>
    <n v="0.32391304347826283"/>
  </r>
  <r>
    <s v="Multihop,STnet,20"/>
    <x v="1"/>
    <x v="1"/>
    <x v="0"/>
    <n v="46.295000000000002"/>
    <n v="46"/>
    <n v="0.64130434782609069"/>
  </r>
  <r>
    <s v="Multihop,STnet,20"/>
    <x v="1"/>
    <x v="1"/>
    <x v="0"/>
    <n v="46.149000000000001"/>
    <n v="46"/>
    <n v="0.32391304347826283"/>
  </r>
  <r>
    <s v="Multihop,STnet,20"/>
    <x v="1"/>
    <x v="1"/>
    <x v="0"/>
    <n v="46.003"/>
    <n v="46"/>
    <n v="6.5217391304350303E-3"/>
  </r>
  <r>
    <s v="Multihop,STnet,40"/>
    <x v="1"/>
    <x v="1"/>
    <x v="1"/>
    <n v="82.266000000000005"/>
    <n v="79.7"/>
    <n v="3.219573400250944"/>
  </r>
  <r>
    <s v="Multihop,STnet,40"/>
    <x v="1"/>
    <x v="1"/>
    <x v="1"/>
    <n v="71.316999999999993"/>
    <n v="79.7"/>
    <n v="10.518193224592233"/>
  </r>
  <r>
    <s v="Multihop,STnet,40"/>
    <x v="1"/>
    <x v="1"/>
    <x v="1"/>
    <n v="66.462999999999994"/>
    <n v="79.7"/>
    <n v="16.608531994981192"/>
  </r>
  <r>
    <s v="Multihop,STnet,40"/>
    <x v="1"/>
    <x v="1"/>
    <x v="1"/>
    <n v="76.608999999999995"/>
    <n v="79.7"/>
    <n v="3.8782936010037745"/>
  </r>
  <r>
    <s v="Multihop,STnet,40"/>
    <x v="1"/>
    <x v="1"/>
    <x v="1"/>
    <n v="69.097999999999999"/>
    <n v="79.7"/>
    <n v="13.302383939774156"/>
  </r>
  <r>
    <s v="Multihop,STnet,40"/>
    <x v="1"/>
    <x v="1"/>
    <x v="1"/>
    <n v="84.191999999999993"/>
    <n v="79.7"/>
    <n v="5.6361355081555704"/>
  </r>
  <r>
    <s v="Multihop,STnet,40"/>
    <x v="1"/>
    <x v="1"/>
    <x v="1"/>
    <n v="77.900999999999996"/>
    <n v="79.7"/>
    <n v="2.257214554579682"/>
  </r>
  <r>
    <s v="Multihop,STnet,40"/>
    <x v="1"/>
    <x v="1"/>
    <x v="1"/>
    <n v="75.828000000000003"/>
    <n v="79.7"/>
    <n v="4.8582183186951067"/>
  </r>
  <r>
    <s v="Multihop,STnet,40"/>
    <x v="1"/>
    <x v="1"/>
    <x v="1"/>
    <n v="84.12"/>
    <n v="79.7"/>
    <n v="5.5457967377666266"/>
  </r>
  <r>
    <s v="Multihop,STnet,40"/>
    <x v="1"/>
    <x v="1"/>
    <x v="1"/>
    <n v="78.046000000000006"/>
    <n v="79.7"/>
    <n v="2.075282308657461"/>
  </r>
  <r>
    <s v="Multihop,STnet,40"/>
    <x v="1"/>
    <x v="1"/>
    <x v="1"/>
    <n v="87.266000000000005"/>
    <n v="79.7"/>
    <n v="9.4930991217064005"/>
  </r>
  <r>
    <s v="Multihop,STnet,40"/>
    <x v="1"/>
    <x v="1"/>
    <x v="1"/>
    <n v="70.462999999999994"/>
    <n v="79.7"/>
    <n v="11.589711417816824"/>
  </r>
  <r>
    <s v="Multihop,STnet,40"/>
    <x v="1"/>
    <x v="1"/>
    <x v="1"/>
    <n v="67.754000000000005"/>
    <n v="79.7"/>
    <n v="14.988707653701377"/>
  </r>
  <r>
    <s v="Multihop,STnet,40"/>
    <x v="1"/>
    <x v="1"/>
    <x v="1"/>
    <n v="79.900000000000006"/>
    <n v="79.7"/>
    <n v="0.25094102885822184"/>
  </r>
  <r>
    <s v="Multihop,STnet,40"/>
    <x v="1"/>
    <x v="1"/>
    <x v="1"/>
    <n v="87.483999999999995"/>
    <n v="79.7"/>
    <n v="9.7666248431618463"/>
  </r>
  <r>
    <s v="Multihop,STnet,40"/>
    <x v="1"/>
    <x v="1"/>
    <x v="1"/>
    <n v="76.608999999999995"/>
    <n v="79.7"/>
    <n v="3.8782936010037745"/>
  </r>
  <r>
    <s v="Multihop,STnet,40"/>
    <x v="1"/>
    <x v="1"/>
    <x v="1"/>
    <n v="82.900999999999996"/>
    <n v="79.7"/>
    <n v="4.0163111668757763"/>
  </r>
  <r>
    <s v="Multihop,STnet,40"/>
    <x v="1"/>
    <x v="1"/>
    <x v="1"/>
    <n v="74.826999999999998"/>
    <n v="79.7"/>
    <n v="6.1141781681304952"/>
  </r>
  <r>
    <s v="Multihop,STnet,40"/>
    <x v="1"/>
    <x v="1"/>
    <x v="1"/>
    <n v="75.119"/>
    <n v="79.7"/>
    <n v="5.7478042659974946"/>
  </r>
  <r>
    <s v="Multihop,STnet,40"/>
    <x v="1"/>
    <x v="1"/>
    <x v="1"/>
    <n v="70.39"/>
    <n v="79.7"/>
    <n v="11.681304893350065"/>
  </r>
  <r>
    <s v="Multihop,STnet,40"/>
    <x v="1"/>
    <x v="1"/>
    <x v="1"/>
    <n v="68.680999999999997"/>
    <n v="79.7"/>
    <n v="13.825595984943545"/>
  </r>
  <r>
    <s v="Multihop,STnet,40"/>
    <x v="1"/>
    <x v="1"/>
    <x v="1"/>
    <n v="70.316999999999993"/>
    <n v="79.7"/>
    <n v="11.772898368883324"/>
  </r>
  <r>
    <s v="Multihop,STnet,40"/>
    <x v="1"/>
    <x v="1"/>
    <x v="1"/>
    <n v="83.411000000000001"/>
    <n v="79.7"/>
    <n v="4.6562107904642387"/>
  </r>
  <r>
    <s v="Multihop,STnet,40"/>
    <x v="1"/>
    <x v="1"/>
    <x v="1"/>
    <n v="72.536000000000001"/>
    <n v="79.7"/>
    <n v="8.9887076537013826"/>
  </r>
  <r>
    <s v="Multihop,STnet,40"/>
    <x v="1"/>
    <x v="1"/>
    <x v="1"/>
    <n v="74.680999999999997"/>
    <n v="79.7"/>
    <n v="6.2973651191969964"/>
  </r>
  <r>
    <s v="Multihop,STnet,40"/>
    <x v="1"/>
    <x v="1"/>
    <x v="1"/>
    <n v="75.900999999999996"/>
    <n v="79.7"/>
    <n v="4.766624843161865"/>
  </r>
  <r>
    <s v="Multihop,STnet,40"/>
    <x v="1"/>
    <x v="1"/>
    <x v="1"/>
    <n v="74.682000000000002"/>
    <n v="79.7"/>
    <n v="6.2961104140526984"/>
  </r>
  <r>
    <s v="Multihop,STnet,40"/>
    <x v="1"/>
    <x v="1"/>
    <x v="1"/>
    <n v="67.171000000000006"/>
    <n v="79.7"/>
    <n v="15.720200752823082"/>
  </r>
  <r>
    <s v="Multihop,STnet,40"/>
    <x v="1"/>
    <x v="1"/>
    <x v="1"/>
    <n v="82.900999999999996"/>
    <n v="79.7"/>
    <n v="4.0163111668757763"/>
  </r>
  <r>
    <s v="Multihop,STnet,40"/>
    <x v="1"/>
    <x v="1"/>
    <x v="1"/>
    <n v="71.608999999999995"/>
    <n v="79.7"/>
    <n v="10.151819322459232"/>
  </r>
  <r>
    <s v="Multihop,STnet,40"/>
    <x v="1"/>
    <x v="1"/>
    <x v="1"/>
    <n v="68.171000000000006"/>
    <n v="79.7"/>
    <n v="14.46549560853199"/>
  </r>
  <r>
    <s v="Multihop,STnet,40"/>
    <x v="1"/>
    <x v="1"/>
    <x v="1"/>
    <n v="81.265000000000001"/>
    <n v="79.7"/>
    <n v="1.9636135508155554"/>
  </r>
  <r>
    <s v="Multihop,STnet,40"/>
    <x v="1"/>
    <x v="1"/>
    <x v="1"/>
    <n v="73.536000000000001"/>
    <n v="79.7"/>
    <n v="7.7340025094102902"/>
  </r>
  <r>
    <s v="Multihop,STnet,40"/>
    <x v="1"/>
    <x v="1"/>
    <x v="1"/>
    <n v="69.316999999999993"/>
    <n v="79.7"/>
    <n v="13.027603513174416"/>
  </r>
  <r>
    <s v="Multihop,STnet,40"/>
    <x v="1"/>
    <x v="1"/>
    <x v="1"/>
    <n v="78.046000000000006"/>
    <n v="79.7"/>
    <n v="2.075282308657461"/>
  </r>
  <r>
    <s v="Multihop,STnet,40"/>
    <x v="1"/>
    <x v="1"/>
    <x v="1"/>
    <n v="70.536000000000001"/>
    <n v="79.7"/>
    <n v="11.498117942283564"/>
  </r>
  <r>
    <s v="Multihop,STnet,40"/>
    <x v="1"/>
    <x v="1"/>
    <x v="1"/>
    <n v="77.046000000000006"/>
    <n v="79.7"/>
    <n v="3.3299874529485525"/>
  </r>
  <r>
    <s v="Multihop,STnet,40"/>
    <x v="1"/>
    <x v="1"/>
    <x v="1"/>
    <n v="87.483999999999995"/>
    <n v="79.7"/>
    <n v="9.7666248431618463"/>
  </r>
  <r>
    <s v="Multihop,STnet,40"/>
    <x v="1"/>
    <x v="1"/>
    <x v="1"/>
    <n v="77.900999999999996"/>
    <n v="79.7"/>
    <n v="2.257214554579682"/>
  </r>
  <r>
    <s v="Multihop,STnet,40"/>
    <x v="1"/>
    <x v="1"/>
    <x v="1"/>
    <n v="80.12"/>
    <n v="79.7"/>
    <n v="0.5269761606022606"/>
  </r>
  <r>
    <s v="Multihop,STnet,40"/>
    <x v="1"/>
    <x v="1"/>
    <x v="1"/>
    <n v="75.828000000000003"/>
    <n v="79.7"/>
    <n v="4.8582183186951067"/>
  </r>
  <r>
    <s v="Multihop,STnet,40"/>
    <x v="1"/>
    <x v="1"/>
    <x v="1"/>
    <n v="78.119"/>
    <n v="79.7"/>
    <n v="1.9836888331242197"/>
  </r>
  <r>
    <s v="Multihop,STnet,40"/>
    <x v="1"/>
    <x v="1"/>
    <x v="1"/>
    <n v="72.900000000000006"/>
    <n v="79.7"/>
    <n v="8.5319949811794196"/>
  </r>
  <r>
    <s v="Multihop,STnet,40"/>
    <x v="1"/>
    <x v="1"/>
    <x v="1"/>
    <n v="75.828000000000003"/>
    <n v="79.7"/>
    <n v="4.8582183186951067"/>
  </r>
  <r>
    <s v="Multihop,STnet,40"/>
    <x v="1"/>
    <x v="1"/>
    <x v="1"/>
    <n v="84.411000000000001"/>
    <n v="79.7"/>
    <n v="5.9109159347553311"/>
  </r>
  <r>
    <s v="Multihop,STnet,40"/>
    <x v="1"/>
    <x v="1"/>
    <x v="1"/>
    <n v="70.244"/>
    <n v="79.7"/>
    <n v="11.864491844416564"/>
  </r>
  <r>
    <s v="Multihop,STnet,40"/>
    <x v="1"/>
    <x v="1"/>
    <x v="1"/>
    <n v="75.682000000000002"/>
    <n v="79.7"/>
    <n v="5.041405269761607"/>
  </r>
  <r>
    <s v="Multihop,STnet,40"/>
    <x v="1"/>
    <x v="1"/>
    <x v="1"/>
    <n v="75.900999999999996"/>
    <n v="79.7"/>
    <n v="4.766624843161865"/>
  </r>
  <r>
    <s v="Multihop,STnet,40"/>
    <x v="1"/>
    <x v="1"/>
    <x v="1"/>
    <n v="75.608999999999995"/>
    <n v="79.7"/>
    <n v="5.1329987452948656"/>
  </r>
  <r>
    <s v="Multihop,STnet,40"/>
    <x v="1"/>
    <x v="1"/>
    <x v="1"/>
    <n v="78.974000000000004"/>
    <n v="79.7"/>
    <n v="0.91091593475533128"/>
  </r>
  <r>
    <s v="Multihop,STnet,40"/>
    <x v="1"/>
    <x v="1"/>
    <x v="1"/>
    <n v="80.265000000000001"/>
    <n v="79.7"/>
    <n v="0.70890840652446385"/>
  </r>
  <r>
    <s v="Multihop,STnet,40"/>
    <x v="1"/>
    <x v="1"/>
    <x v="1"/>
    <n v="70.316999999999993"/>
    <n v="79.7"/>
    <n v="11.772898368883324"/>
  </r>
  <r>
    <s v="Multihop,STnet,40"/>
    <x v="1"/>
    <x v="1"/>
    <x v="1"/>
    <n v="86.483999999999995"/>
    <n v="79.7"/>
    <n v="8.5119196988707557"/>
  </r>
  <r>
    <s v="Multihop,STnet,40"/>
    <x v="1"/>
    <x v="1"/>
    <x v="1"/>
    <n v="86.900999999999996"/>
    <n v="79.7"/>
    <n v="9.0351317440401431"/>
  </r>
  <r>
    <s v="Multihop,STnet,40"/>
    <x v="1"/>
    <x v="1"/>
    <x v="1"/>
    <n v="82.411000000000001"/>
    <n v="79.7"/>
    <n v="3.4015056461731472"/>
  </r>
  <r>
    <s v="Multihop,STnet,40"/>
    <x v="1"/>
    <x v="1"/>
    <x v="1"/>
    <n v="79.119"/>
    <n v="79.7"/>
    <n v="0.72898368883312803"/>
  </r>
  <r>
    <s v="Multihop,STnet,40"/>
    <x v="1"/>
    <x v="1"/>
    <x v="1"/>
    <n v="74.462999999999994"/>
    <n v="79.7"/>
    <n v="6.5708908406524573"/>
  </r>
  <r>
    <s v="Multihop,STnet,40"/>
    <x v="1"/>
    <x v="1"/>
    <x v="1"/>
    <n v="74.754999999999995"/>
    <n v="79.7"/>
    <n v="6.2045169385194567"/>
  </r>
  <r>
    <s v="Multihop,STnet,40"/>
    <x v="1"/>
    <x v="1"/>
    <x v="1"/>
    <n v="76.608999999999995"/>
    <n v="79.7"/>
    <n v="3.8782936010037745"/>
  </r>
  <r>
    <s v="Multihop,STnet,40"/>
    <x v="1"/>
    <x v="1"/>
    <x v="1"/>
    <n v="73.682000000000002"/>
    <n v="79.7"/>
    <n v="7.5508155583437899"/>
  </r>
  <r>
    <s v="Multihop,STnet,40"/>
    <x v="1"/>
    <x v="1"/>
    <x v="1"/>
    <n v="79.900999999999996"/>
    <n v="79.7"/>
    <n v="0.25219573400250112"/>
  </r>
  <r>
    <s v="Multihop,STnet,40"/>
    <x v="1"/>
    <x v="1"/>
    <x v="1"/>
    <n v="78.191999999999993"/>
    <n v="79.7"/>
    <n v="1.8920953575909782"/>
  </r>
  <r>
    <s v="Multihop,STnet,40"/>
    <x v="1"/>
    <x v="1"/>
    <x v="1"/>
    <n v="74.536000000000001"/>
    <n v="79.7"/>
    <n v="6.4792973651191996"/>
  </r>
  <r>
    <s v="Multihop,STnet,40"/>
    <x v="1"/>
    <x v="1"/>
    <x v="1"/>
    <n v="87.483999999999995"/>
    <n v="79.7"/>
    <n v="9.7666248431618463"/>
  </r>
  <r>
    <s v="Multihop,STnet,40"/>
    <x v="1"/>
    <x v="1"/>
    <x v="1"/>
    <n v="68.462999999999994"/>
    <n v="79.7"/>
    <n v="14.099121706399007"/>
  </r>
  <r>
    <s v="Multihop,STnet,40"/>
    <x v="1"/>
    <x v="1"/>
    <x v="1"/>
    <n v="85.265000000000001"/>
    <n v="79.7"/>
    <n v="6.9824341279799214"/>
  </r>
  <r>
    <s v="Multihop,STnet,40"/>
    <x v="1"/>
    <x v="1"/>
    <x v="1"/>
    <n v="73.536000000000001"/>
    <n v="79.7"/>
    <n v="7.7340025094102902"/>
  </r>
  <r>
    <s v="Multihop,STnet,40"/>
    <x v="1"/>
    <x v="1"/>
    <x v="1"/>
    <n v="73.682000000000002"/>
    <n v="79.7"/>
    <n v="7.5508155583437899"/>
  </r>
  <r>
    <s v="Multihop,STnet,40"/>
    <x v="1"/>
    <x v="1"/>
    <x v="1"/>
    <n v="77.828000000000003"/>
    <n v="79.7"/>
    <n v="2.3488080301129233"/>
  </r>
  <r>
    <s v="Multihop,STnet,40"/>
    <x v="1"/>
    <x v="1"/>
    <x v="1"/>
    <n v="82.119"/>
    <n v="79.7"/>
    <n v="3.0351317440401466"/>
  </r>
  <r>
    <s v="Multihop,STnet,40"/>
    <x v="1"/>
    <x v="1"/>
    <x v="1"/>
    <n v="75.462999999999994"/>
    <n v="79.7"/>
    <n v="5.3161856963613658"/>
  </r>
  <r>
    <s v="Multihop,STnet,40"/>
    <x v="1"/>
    <x v="1"/>
    <x v="1"/>
    <n v="77.680999999999997"/>
    <n v="79.7"/>
    <n v="2.5332496863237206"/>
  </r>
  <r>
    <s v="Multihop,STnet,40"/>
    <x v="1"/>
    <x v="1"/>
    <x v="1"/>
    <n v="85.557000000000002"/>
    <n v="79.7"/>
    <n v="7.3488080301129228"/>
  </r>
  <r>
    <s v="Multihop,STnet,40"/>
    <x v="1"/>
    <x v="1"/>
    <x v="1"/>
    <n v="77.828000000000003"/>
    <n v="79.7"/>
    <n v="2.3488080301129233"/>
  </r>
  <r>
    <s v="Multihop,STnet,40"/>
    <x v="1"/>
    <x v="1"/>
    <x v="1"/>
    <n v="86.12"/>
    <n v="79.7"/>
    <n v="8.0552070263488105"/>
  </r>
  <r>
    <s v="Multihop,STnet,40"/>
    <x v="1"/>
    <x v="1"/>
    <x v="1"/>
    <n v="79.828000000000003"/>
    <n v="79.7"/>
    <n v="0.16060225846925985"/>
  </r>
  <r>
    <s v="Multihop,STnet,40"/>
    <x v="1"/>
    <x v="1"/>
    <x v="1"/>
    <n v="73.608999999999995"/>
    <n v="79.7"/>
    <n v="7.6424090338770485"/>
  </r>
  <r>
    <s v="Multihop,STnet,40"/>
    <x v="1"/>
    <x v="1"/>
    <x v="1"/>
    <n v="81.337999999999994"/>
    <n v="79.7"/>
    <n v="2.0552070263487967"/>
  </r>
  <r>
    <s v="Multihop,STnet,40"/>
    <x v="1"/>
    <x v="1"/>
    <x v="1"/>
    <n v="77.754999999999995"/>
    <n v="79.7"/>
    <n v="2.4404015056461823"/>
  </r>
  <r>
    <s v="Multihop,STnet,40"/>
    <x v="1"/>
    <x v="1"/>
    <x v="1"/>
    <n v="76.900000000000006"/>
    <n v="79.7"/>
    <n v="3.5131744040150528"/>
  </r>
  <r>
    <s v="Multihop,STnet,40"/>
    <x v="1"/>
    <x v="1"/>
    <x v="1"/>
    <n v="78.462999999999994"/>
    <n v="79.7"/>
    <n v="1.5520702634880916"/>
  </r>
  <r>
    <s v="Multihop,STnet,40"/>
    <x v="1"/>
    <x v="1"/>
    <x v="1"/>
    <n v="71.39"/>
    <n v="79.7"/>
    <n v="10.426599749058973"/>
  </r>
  <r>
    <s v="Multihop,STnet,40"/>
    <x v="1"/>
    <x v="1"/>
    <x v="1"/>
    <n v="82.191999999999993"/>
    <n v="79.7"/>
    <n v="3.1267252195733874"/>
  </r>
  <r>
    <s v="Multihop,STnet,40"/>
    <x v="1"/>
    <x v="1"/>
    <x v="1"/>
    <n v="73.608999999999995"/>
    <n v="79.7"/>
    <n v="7.6424090338770485"/>
  </r>
  <r>
    <s v="Multihop,STnet,40"/>
    <x v="1"/>
    <x v="1"/>
    <x v="1"/>
    <n v="69.39"/>
    <n v="79.7"/>
    <n v="12.936010037641157"/>
  </r>
  <r>
    <s v="Multihop,STnet,40"/>
    <x v="1"/>
    <x v="1"/>
    <x v="1"/>
    <n v="82.191999999999993"/>
    <n v="79.7"/>
    <n v="3.1267252195733874"/>
  </r>
  <r>
    <s v="Multihop,STnet,40"/>
    <x v="1"/>
    <x v="1"/>
    <x v="1"/>
    <n v="73.536000000000001"/>
    <n v="79.7"/>
    <n v="7.7340025094102902"/>
  </r>
  <r>
    <s v="Multihop,STnet,40"/>
    <x v="1"/>
    <x v="1"/>
    <x v="1"/>
    <n v="81.337999999999994"/>
    <n v="79.7"/>
    <n v="2.0552070263487967"/>
  </r>
  <r>
    <s v="Multihop,STnet,40"/>
    <x v="1"/>
    <x v="1"/>
    <x v="1"/>
    <n v="83.046999999999997"/>
    <n v="79.7"/>
    <n v="4.1994981179422766"/>
  </r>
  <r>
    <s v="Multihop,STnet,40"/>
    <x v="1"/>
    <x v="1"/>
    <x v="1"/>
    <n v="71.536000000000001"/>
    <n v="79.7"/>
    <n v="10.243412797992473"/>
  </r>
  <r>
    <s v="Multihop,STnet,40"/>
    <x v="1"/>
    <x v="1"/>
    <x v="1"/>
    <n v="79.191999999999993"/>
    <n v="79.7"/>
    <n v="0.63739021329988677"/>
  </r>
  <r>
    <s v="Multihop,STnet,40"/>
    <x v="1"/>
    <x v="1"/>
    <x v="1"/>
    <n v="81.046999999999997"/>
    <n v="79.7"/>
    <n v="1.6900878293600929"/>
  </r>
  <r>
    <s v="Multihop,STnet,40"/>
    <x v="1"/>
    <x v="1"/>
    <x v="1"/>
    <n v="74.608999999999995"/>
    <n v="79.7"/>
    <n v="6.3877038895859579"/>
  </r>
  <r>
    <s v="Multihop,STnet,40"/>
    <x v="1"/>
    <x v="1"/>
    <x v="1"/>
    <n v="73.39"/>
    <n v="79.7"/>
    <n v="7.9171894604767905"/>
  </r>
  <r>
    <s v="Multihop,STnet,40"/>
    <x v="1"/>
    <x v="1"/>
    <x v="1"/>
    <n v="75.119"/>
    <n v="79.7"/>
    <n v="5.7478042659974946"/>
  </r>
  <r>
    <s v="Multihop,STnet,40"/>
    <x v="1"/>
    <x v="1"/>
    <x v="1"/>
    <n v="77.754999999999995"/>
    <n v="79.7"/>
    <n v="2.4404015056461823"/>
  </r>
  <r>
    <s v="Multihop,STnet,40"/>
    <x v="1"/>
    <x v="1"/>
    <x v="1"/>
    <n v="71.316999999999993"/>
    <n v="79.7"/>
    <n v="10.518193224592233"/>
  </r>
  <r>
    <s v="Multihop,STnet,40"/>
    <x v="1"/>
    <x v="1"/>
    <x v="1"/>
    <n v="69.462999999999994"/>
    <n v="79.7"/>
    <n v="12.844416562107916"/>
  </r>
  <r>
    <s v="Multihop,STnet,40"/>
    <x v="1"/>
    <x v="1"/>
    <x v="1"/>
    <n v="83.191999999999993"/>
    <n v="79.7"/>
    <n v="4.3814303638644798"/>
  </r>
  <r>
    <s v="Multihop,STnet,40"/>
    <x v="1"/>
    <x v="1"/>
    <x v="1"/>
    <n v="77.900999999999996"/>
    <n v="79.7"/>
    <n v="2.257214554579682"/>
  </r>
  <r>
    <s v="Multihop,STnet,60"/>
    <x v="1"/>
    <x v="1"/>
    <x v="2"/>
    <n v="116.09"/>
    <n v="110.5"/>
    <n v="5.058823529411768"/>
  </r>
  <r>
    <s v="Multihop,STnet,60"/>
    <x v="1"/>
    <x v="1"/>
    <x v="2"/>
    <n v="103.57899999999999"/>
    <n v="110.5"/>
    <n v="6.2633484162895989"/>
  </r>
  <r>
    <s v="Multihop,STnet,60"/>
    <x v="1"/>
    <x v="1"/>
    <x v="2"/>
    <n v="104.652"/>
    <n v="110.5"/>
    <n v="5.2923076923076913"/>
  </r>
  <r>
    <s v="Multihop,STnet,60"/>
    <x v="1"/>
    <x v="1"/>
    <x v="2"/>
    <n v="120.871"/>
    <n v="110.5"/>
    <n v="9.3855203619909453"/>
  </r>
  <r>
    <s v="Multihop,STnet,60"/>
    <x v="1"/>
    <x v="1"/>
    <x v="2"/>
    <n v="121.798"/>
    <n v="110.5"/>
    <n v="10.224434389140272"/>
  </r>
  <r>
    <s v="Multihop,STnet,60"/>
    <x v="1"/>
    <x v="1"/>
    <x v="2"/>
    <n v="102.995"/>
    <n v="110.5"/>
    <n v="6.7918552036199049"/>
  </r>
  <r>
    <s v="Multihop,STnet,60"/>
    <x v="1"/>
    <x v="1"/>
    <x v="2"/>
    <n v="101.214"/>
    <n v="110.5"/>
    <n v="8.4036199095022628"/>
  </r>
  <r>
    <s v="Multihop,STnet,60"/>
    <x v="1"/>
    <x v="1"/>
    <x v="2"/>
    <n v="109.28700000000001"/>
    <n v="110.5"/>
    <n v="1.0977375565610803"/>
  </r>
  <r>
    <s v="Multihop,STnet,60"/>
    <x v="1"/>
    <x v="1"/>
    <x v="2"/>
    <n v="121.455"/>
    <n v="110.5"/>
    <n v="9.9140271493212655"/>
  </r>
  <r>
    <s v="Multihop,STnet,60"/>
    <x v="1"/>
    <x v="1"/>
    <x v="2"/>
    <n v="105.652"/>
    <n v="110.5"/>
    <n v="4.3873303167420801"/>
  </r>
  <r>
    <s v="Multihop,STnet,60"/>
    <x v="1"/>
    <x v="1"/>
    <x v="2"/>
    <n v="107.944"/>
    <n v="110.5"/>
    <n v="2.3131221719456989"/>
  </r>
  <r>
    <s v="Multihop,STnet,60"/>
    <x v="1"/>
    <x v="1"/>
    <x v="2"/>
    <n v="93.775999999999996"/>
    <n v="110.5"/>
    <n v="15.134841628959281"/>
  </r>
  <r>
    <s v="Multihop,STnet,60"/>
    <x v="1"/>
    <x v="1"/>
    <x v="2"/>
    <n v="102.36"/>
    <n v="110.5"/>
    <n v="7.3665158371040738"/>
  </r>
  <r>
    <s v="Multihop,STnet,60"/>
    <x v="1"/>
    <x v="1"/>
    <x v="2"/>
    <n v="113.506"/>
    <n v="110.5"/>
    <n v="2.7203619909502263"/>
  </r>
  <r>
    <s v="Multihop,STnet,60"/>
    <x v="1"/>
    <x v="1"/>
    <x v="2"/>
    <n v="106.28700000000001"/>
    <n v="110.5"/>
    <n v="3.812669683257913"/>
  </r>
  <r>
    <s v="Multihop,STnet,60"/>
    <x v="1"/>
    <x v="1"/>
    <x v="2"/>
    <n v="106.798"/>
    <n v="110.5"/>
    <n v="3.3502262443438893"/>
  </r>
  <r>
    <s v="Multihop,STnet,60"/>
    <x v="1"/>
    <x v="1"/>
    <x v="2"/>
    <n v="100.14100000000001"/>
    <n v="110.5"/>
    <n v="9.374660633484158"/>
  </r>
  <r>
    <s v="Multihop,STnet,60"/>
    <x v="1"/>
    <x v="1"/>
    <x v="2"/>
    <n v="111.871"/>
    <n v="110.5"/>
    <n v="1.2407239819004481"/>
  </r>
  <r>
    <s v="Multihop,STnet,60"/>
    <x v="1"/>
    <x v="1"/>
    <x v="2"/>
    <n v="96.921999999999997"/>
    <n v="110.5"/>
    <n v="12.287782805429867"/>
  </r>
  <r>
    <s v="Multihop,STnet,60"/>
    <x v="1"/>
    <x v="1"/>
    <x v="2"/>
    <n v="107.43300000000001"/>
    <n v="110.5"/>
    <n v="2.7755656108597222"/>
  </r>
  <r>
    <s v="Multihop,STnet,60"/>
    <x v="1"/>
    <x v="1"/>
    <x v="2"/>
    <n v="115.09"/>
    <n v="110.5"/>
    <n v="4.1538461538461569"/>
  </r>
  <r>
    <s v="Multihop,STnet,60"/>
    <x v="1"/>
    <x v="1"/>
    <x v="2"/>
    <n v="114.09"/>
    <n v="110.5"/>
    <n v="3.2488687782805461"/>
  </r>
  <r>
    <s v="Multihop,STnet,60"/>
    <x v="1"/>
    <x v="1"/>
    <x v="2"/>
    <n v="105.43300000000001"/>
    <n v="110.5"/>
    <n v="4.5855203619909437"/>
  </r>
  <r>
    <s v="Multihop,STnet,60"/>
    <x v="1"/>
    <x v="1"/>
    <x v="2"/>
    <n v="117.017"/>
    <n v="110.5"/>
    <n v="5.8977375565610819"/>
  </r>
  <r>
    <s v="Multihop,STnet,60"/>
    <x v="1"/>
    <x v="1"/>
    <x v="2"/>
    <n v="119.09"/>
    <n v="110.5"/>
    <n v="7.7737556561086008"/>
  </r>
  <r>
    <s v="Multihop,STnet,60"/>
    <x v="1"/>
    <x v="1"/>
    <x v="2"/>
    <n v="103.43300000000001"/>
    <n v="110.5"/>
    <n v="6.3954751131221661"/>
  </r>
  <r>
    <s v="Multihop,STnet,60"/>
    <x v="1"/>
    <x v="1"/>
    <x v="2"/>
    <n v="107.43300000000001"/>
    <n v="110.5"/>
    <n v="2.7755656108597222"/>
  </r>
  <r>
    <s v="Multihop,STnet,60"/>
    <x v="1"/>
    <x v="1"/>
    <x v="2"/>
    <n v="104.36"/>
    <n v="110.5"/>
    <n v="5.5565610859728514"/>
  </r>
  <r>
    <s v="Multihop,STnet,60"/>
    <x v="1"/>
    <x v="1"/>
    <x v="2"/>
    <n v="110.652"/>
    <n v="110.5"/>
    <n v="0.13755656108597378"/>
  </r>
  <r>
    <s v="Multihop,STnet,60"/>
    <x v="1"/>
    <x v="1"/>
    <x v="2"/>
    <n v="92.995000000000005"/>
    <n v="110.5"/>
    <n v="15.841628959276013"/>
  </r>
  <r>
    <s v="Multihop,STnet,60"/>
    <x v="1"/>
    <x v="1"/>
    <x v="2"/>
    <n v="108.14100000000001"/>
    <n v="110.5"/>
    <n v="2.1348416289592711"/>
  </r>
  <r>
    <s v="Multihop,STnet,60"/>
    <x v="1"/>
    <x v="1"/>
    <x v="2"/>
    <n v="106.506"/>
    <n v="110.5"/>
    <n v="3.6144796380090494"/>
  </r>
  <r>
    <s v="Multihop,STnet,60"/>
    <x v="1"/>
    <x v="1"/>
    <x v="2"/>
    <n v="107.43300000000001"/>
    <n v="110.5"/>
    <n v="2.7755656108597222"/>
  </r>
  <r>
    <s v="Multihop,STnet,60"/>
    <x v="1"/>
    <x v="1"/>
    <x v="2"/>
    <n v="110.14100000000001"/>
    <n v="110.5"/>
    <n v="0.32488687782804948"/>
  </r>
  <r>
    <s v="Multihop,STnet,60"/>
    <x v="1"/>
    <x v="1"/>
    <x v="2"/>
    <n v="103.849"/>
    <n v="110.5"/>
    <n v="6.0190045248868742"/>
  </r>
  <r>
    <s v="Multihop,STnet,60"/>
    <x v="1"/>
    <x v="1"/>
    <x v="2"/>
    <n v="98.067999999999998"/>
    <n v="110.5"/>
    <n v="11.250678733031675"/>
  </r>
  <r>
    <s v="Multihop,STnet,60"/>
    <x v="1"/>
    <x v="1"/>
    <x v="2"/>
    <n v="115.506"/>
    <n v="110.5"/>
    <n v="4.5303167420814479"/>
  </r>
  <r>
    <s v="Multihop,STnet,60"/>
    <x v="1"/>
    <x v="1"/>
    <x v="2"/>
    <n v="126.38200000000001"/>
    <n v="110.5"/>
    <n v="14.372850678733037"/>
  </r>
  <r>
    <s v="Multihop,STnet,60"/>
    <x v="1"/>
    <x v="1"/>
    <x v="2"/>
    <n v="108.36"/>
    <n v="110.5"/>
    <n v="1.9366515837104077"/>
  </r>
  <r>
    <s v="Multihop,STnet,60"/>
    <x v="1"/>
    <x v="1"/>
    <x v="2"/>
    <n v="106.944"/>
    <n v="110.5"/>
    <n v="3.2180995475113097"/>
  </r>
  <r>
    <s v="Multihop,STnet,60"/>
    <x v="1"/>
    <x v="1"/>
    <x v="2"/>
    <n v="105.43300000000001"/>
    <n v="110.5"/>
    <n v="4.5855203619909437"/>
  </r>
  <r>
    <s v="Multihop,STnet,60"/>
    <x v="1"/>
    <x v="1"/>
    <x v="2"/>
    <n v="118.798"/>
    <n v="110.5"/>
    <n v="7.5095022624434407"/>
  </r>
  <r>
    <s v="Multihop,STnet,60"/>
    <x v="1"/>
    <x v="1"/>
    <x v="2"/>
    <n v="119.652"/>
    <n v="110.5"/>
    <n v="8.2823529411764714"/>
  </r>
  <r>
    <s v="Multihop,STnet,60"/>
    <x v="1"/>
    <x v="1"/>
    <x v="2"/>
    <n v="108.506"/>
    <n v="110.5"/>
    <n v="1.8045248868778279"/>
  </r>
  <r>
    <s v="Multihop,STnet,60"/>
    <x v="1"/>
    <x v="1"/>
    <x v="2"/>
    <n v="103.923"/>
    <n v="110.5"/>
    <n v="5.952036199095021"/>
  </r>
  <r>
    <s v="Multihop,STnet,60"/>
    <x v="1"/>
    <x v="1"/>
    <x v="2"/>
    <n v="118.944"/>
    <n v="110.5"/>
    <n v="7.6416289592760203"/>
  </r>
  <r>
    <s v="Multihop,STnet,60"/>
    <x v="1"/>
    <x v="1"/>
    <x v="2"/>
    <n v="101.36"/>
    <n v="110.5"/>
    <n v="8.2714932126696841"/>
  </r>
  <r>
    <s v="Multihop,STnet,60"/>
    <x v="1"/>
    <x v="1"/>
    <x v="2"/>
    <n v="120.309"/>
    <n v="110.5"/>
    <n v="8.8769230769230756"/>
  </r>
  <r>
    <s v="Multihop,STnet,60"/>
    <x v="1"/>
    <x v="1"/>
    <x v="2"/>
    <n v="97.067999999999998"/>
    <n v="110.5"/>
    <n v="12.155656108597288"/>
  </r>
  <r>
    <s v="Multihop,STnet,60"/>
    <x v="1"/>
    <x v="1"/>
    <x v="2"/>
    <n v="102.142"/>
    <n v="110.5"/>
    <n v="7.5638009049773789"/>
  </r>
  <r>
    <s v="Multihop,STnet,60"/>
    <x v="1"/>
    <x v="1"/>
    <x v="2"/>
    <n v="100.36"/>
    <n v="110.5"/>
    <n v="9.1764705882352935"/>
  </r>
  <r>
    <s v="Multihop,STnet,60"/>
    <x v="1"/>
    <x v="1"/>
    <x v="2"/>
    <n v="105.72499999999999"/>
    <n v="110.5"/>
    <n v="4.3212669683257969"/>
  </r>
  <r>
    <s v="Multihop,STnet,60"/>
    <x v="1"/>
    <x v="1"/>
    <x v="2"/>
    <n v="105.57899999999999"/>
    <n v="110.5"/>
    <n v="4.4533936651583765"/>
  </r>
  <r>
    <s v="Multihop,STnet,60"/>
    <x v="1"/>
    <x v="1"/>
    <x v="2"/>
    <n v="101.14100000000001"/>
    <n v="110.5"/>
    <n v="8.4696832579185468"/>
  </r>
  <r>
    <s v="Multihop,STnet,60"/>
    <x v="1"/>
    <x v="1"/>
    <x v="2"/>
    <n v="109.944"/>
    <n v="110.5"/>
    <n v="0.5031674208144773"/>
  </r>
  <r>
    <s v="Multihop,STnet,60"/>
    <x v="1"/>
    <x v="1"/>
    <x v="2"/>
    <n v="121.09"/>
    <n v="110.5"/>
    <n v="9.5837104072398223"/>
  </r>
  <r>
    <s v="Multihop,STnet,60"/>
    <x v="1"/>
    <x v="1"/>
    <x v="2"/>
    <n v="102.506"/>
    <n v="110.5"/>
    <n v="7.2343891402714924"/>
  </r>
  <r>
    <s v="Multihop,STnet,60"/>
    <x v="1"/>
    <x v="1"/>
    <x v="2"/>
    <n v="108.923"/>
    <n v="110.5"/>
    <n v="1.4271493212669666"/>
  </r>
  <r>
    <s v="Multihop,STnet,60"/>
    <x v="1"/>
    <x v="1"/>
    <x v="2"/>
    <n v="104.871"/>
    <n v="110.5"/>
    <n v="5.0941176470588285"/>
  </r>
  <r>
    <s v="Multihop,STnet,60"/>
    <x v="1"/>
    <x v="1"/>
    <x v="2"/>
    <n v="111.43300000000001"/>
    <n v="110.5"/>
    <n v="0.84434389140272126"/>
  </r>
  <r>
    <s v="Multihop,STnet,60"/>
    <x v="1"/>
    <x v="1"/>
    <x v="2"/>
    <n v="102.798"/>
    <n v="110.5"/>
    <n v="6.9701357466063332"/>
  </r>
  <r>
    <s v="Multihop,STnet,60"/>
    <x v="1"/>
    <x v="1"/>
    <x v="2"/>
    <n v="89.63"/>
    <n v="110.5"/>
    <n v="18.886877828054303"/>
  </r>
  <r>
    <s v="Multihop,STnet,60"/>
    <x v="1"/>
    <x v="1"/>
    <x v="2"/>
    <n v="120.163"/>
    <n v="110.5"/>
    <n v="8.7447963800904951"/>
  </r>
  <r>
    <s v="Multihop,STnet,60"/>
    <x v="1"/>
    <x v="1"/>
    <x v="2"/>
    <n v="108.798"/>
    <n v="110.5"/>
    <n v="1.5402714932126682"/>
  </r>
  <r>
    <s v="Multihop,STnet,60"/>
    <x v="1"/>
    <x v="1"/>
    <x v="2"/>
    <n v="108.506"/>
    <n v="110.5"/>
    <n v="1.8045248868778279"/>
  </r>
  <r>
    <s v="Multihop,STnet,60"/>
    <x v="1"/>
    <x v="1"/>
    <x v="2"/>
    <n v="99.36"/>
    <n v="110.5"/>
    <n v="10.081447963800906"/>
  </r>
  <r>
    <s v="Multihop,STnet,60"/>
    <x v="1"/>
    <x v="1"/>
    <x v="2"/>
    <n v="124.601"/>
    <n v="110.5"/>
    <n v="12.761085972850678"/>
  </r>
  <r>
    <s v="Multihop,STnet,60"/>
    <x v="1"/>
    <x v="1"/>
    <x v="2"/>
    <n v="101.43300000000001"/>
    <n v="110.5"/>
    <n v="8.2054298642533876"/>
  </r>
  <r>
    <s v="Multihop,STnet,60"/>
    <x v="1"/>
    <x v="1"/>
    <x v="2"/>
    <n v="104.068"/>
    <n v="110.5"/>
    <n v="5.8208144796380115"/>
  </r>
  <r>
    <s v="Multihop,STnet,60"/>
    <x v="1"/>
    <x v="1"/>
    <x v="2"/>
    <n v="105.995"/>
    <n v="110.5"/>
    <n v="4.0769230769230731"/>
  </r>
  <r>
    <s v="Multihop,STnet,60"/>
    <x v="1"/>
    <x v="1"/>
    <x v="2"/>
    <n v="96.557000000000002"/>
    <n v="110.5"/>
    <n v="12.61809954751131"/>
  </r>
  <r>
    <s v="Multihop,STnet,60"/>
    <x v="1"/>
    <x v="1"/>
    <x v="2"/>
    <n v="111.72499999999999"/>
    <n v="110.5"/>
    <n v="1.1085972850678683"/>
  </r>
  <r>
    <s v="Multihop,STnet,60"/>
    <x v="1"/>
    <x v="1"/>
    <x v="2"/>
    <n v="90.557000000000002"/>
    <n v="110.5"/>
    <n v="18.047963800904977"/>
  </r>
  <r>
    <s v="Multihop,STnet,60"/>
    <x v="1"/>
    <x v="1"/>
    <x v="2"/>
    <n v="96.483999999999995"/>
    <n v="110.5"/>
    <n v="12.684162895927606"/>
  </r>
  <r>
    <s v="Multihop,STnet,60"/>
    <x v="1"/>
    <x v="1"/>
    <x v="2"/>
    <n v="105.57899999999999"/>
    <n v="110.5"/>
    <n v="4.4533936651583765"/>
  </r>
  <r>
    <s v="Multihop,STnet,60"/>
    <x v="1"/>
    <x v="1"/>
    <x v="2"/>
    <n v="117.871"/>
    <n v="110.5"/>
    <n v="6.6705882352941126"/>
  </r>
  <r>
    <s v="Multihop,STnet,60"/>
    <x v="1"/>
    <x v="1"/>
    <x v="2"/>
    <n v="116.309"/>
    <n v="110.5"/>
    <n v="5.2570135746606317"/>
  </r>
  <r>
    <s v="Multihop,STnet,60"/>
    <x v="1"/>
    <x v="1"/>
    <x v="2"/>
    <n v="106.43300000000001"/>
    <n v="110.5"/>
    <n v="3.680542986425333"/>
  </r>
  <r>
    <s v="Multihop,STnet,60"/>
    <x v="1"/>
    <x v="1"/>
    <x v="2"/>
    <n v="97.213999999999999"/>
    <n v="110.5"/>
    <n v="12.023529411764706"/>
  </r>
  <r>
    <s v="Multihop,STnet,60"/>
    <x v="1"/>
    <x v="1"/>
    <x v="2"/>
    <n v="104.068"/>
    <n v="110.5"/>
    <n v="5.8208144796380115"/>
  </r>
  <r>
    <s v="Multihop,STnet,60"/>
    <x v="1"/>
    <x v="1"/>
    <x v="2"/>
    <n v="107.57899999999999"/>
    <n v="110.5"/>
    <n v="2.643438914027155"/>
  </r>
  <r>
    <s v="Multihop,STnet,60"/>
    <x v="1"/>
    <x v="1"/>
    <x v="2"/>
    <n v="105.28700000000001"/>
    <n v="110.5"/>
    <n v="4.7176470588235233"/>
  </r>
  <r>
    <s v="Multihop,STnet,60"/>
    <x v="1"/>
    <x v="1"/>
    <x v="2"/>
    <n v="111.652"/>
    <n v="110.5"/>
    <n v="1.0425339366515847"/>
  </r>
  <r>
    <s v="Multihop,STnet,60"/>
    <x v="1"/>
    <x v="1"/>
    <x v="2"/>
    <n v="96.067999999999998"/>
    <n v="110.5"/>
    <n v="13.060633484162897"/>
  </r>
  <r>
    <s v="Multihop,STnet,60"/>
    <x v="1"/>
    <x v="1"/>
    <x v="2"/>
    <n v="111.871"/>
    <n v="110.5"/>
    <n v="1.2407239819004481"/>
  </r>
  <r>
    <s v="Multihop,STnet,60"/>
    <x v="1"/>
    <x v="1"/>
    <x v="2"/>
    <n v="121.309"/>
    <n v="110.5"/>
    <n v="9.781900452488685"/>
  </r>
  <r>
    <s v="Multihop,STnet,60"/>
    <x v="1"/>
    <x v="1"/>
    <x v="2"/>
    <n v="117.236"/>
    <n v="110.5"/>
    <n v="6.095927601809958"/>
  </r>
  <r>
    <s v="Multihop,STnet,60"/>
    <x v="1"/>
    <x v="1"/>
    <x v="2"/>
    <n v="119.163"/>
    <n v="110.5"/>
    <n v="7.8398190045248839"/>
  </r>
  <r>
    <s v="Multihop,STnet,60"/>
    <x v="1"/>
    <x v="1"/>
    <x v="2"/>
    <n v="115.163"/>
    <n v="110.5"/>
    <n v="4.21990950226244"/>
  </r>
  <r>
    <s v="Multihop,STnet,60"/>
    <x v="1"/>
    <x v="1"/>
    <x v="2"/>
    <n v="122.38200000000001"/>
    <n v="110.5"/>
    <n v="10.752941176470593"/>
  </r>
  <r>
    <s v="Multihop,STnet,60"/>
    <x v="1"/>
    <x v="1"/>
    <x v="2"/>
    <n v="98.631"/>
    <n v="110.5"/>
    <n v="10.741176470588234"/>
  </r>
  <r>
    <s v="Multihop,STnet,60"/>
    <x v="1"/>
    <x v="1"/>
    <x v="2"/>
    <n v="106.43300000000001"/>
    <n v="110.5"/>
    <n v="3.680542986425333"/>
  </r>
  <r>
    <s v="Multihop,STnet,60"/>
    <x v="1"/>
    <x v="1"/>
    <x v="2"/>
    <n v="99.213999999999999"/>
    <n v="110.5"/>
    <n v="10.213574660633485"/>
  </r>
  <r>
    <s v="Multihop,STnet,60"/>
    <x v="1"/>
    <x v="1"/>
    <x v="2"/>
    <n v="122.309"/>
    <n v="110.5"/>
    <n v="10.686877828054296"/>
  </r>
  <r>
    <s v="Multihop,STnet,60"/>
    <x v="1"/>
    <x v="1"/>
    <x v="2"/>
    <n v="112.871"/>
    <n v="110.5"/>
    <n v="2.1457013574660588"/>
  </r>
  <r>
    <s v="Multihop,STnet,60"/>
    <x v="1"/>
    <x v="1"/>
    <x v="2"/>
    <n v="105.14100000000001"/>
    <n v="110.5"/>
    <n v="4.8497737556561038"/>
  </r>
  <r>
    <s v="Multihop,STnet,60"/>
    <x v="1"/>
    <x v="1"/>
    <x v="2"/>
    <n v="105.43300000000001"/>
    <n v="110.5"/>
    <n v="4.5855203619909437"/>
  </r>
  <r>
    <s v="Multihop,STnet,60"/>
    <x v="1"/>
    <x v="1"/>
    <x v="2"/>
    <n v="95.775999999999996"/>
    <n v="110.5"/>
    <n v="13.324886877828057"/>
  </r>
  <r>
    <s v="Multihop,STnet,60"/>
    <x v="1"/>
    <x v="1"/>
    <x v="2"/>
    <n v="108.506"/>
    <n v="110.5"/>
    <n v="1.8045248868778279"/>
  </r>
  <r>
    <s v="Multihop,STnet,60"/>
    <x v="1"/>
    <x v="1"/>
    <x v="2"/>
    <n v="97.921999999999997"/>
    <n v="110.5"/>
    <n v="11.382805429864257"/>
  </r>
  <r>
    <s v="Multihop,STnet,80"/>
    <x v="1"/>
    <x v="1"/>
    <x v="3"/>
    <n v="161.62"/>
    <n v="144.5"/>
    <n v="11.847750865051907"/>
  </r>
  <r>
    <s v="Multihop,STnet,80"/>
    <x v="1"/>
    <x v="1"/>
    <x v="3"/>
    <n v="145.33099999999999"/>
    <n v="144.5"/>
    <n v="0.57508650519030369"/>
  </r>
  <r>
    <s v="Multihop,STnet,80"/>
    <x v="1"/>
    <x v="1"/>
    <x v="3"/>
    <n v="131.52799999999999"/>
    <n v="144.5"/>
    <n v="8.9771626297577907"/>
  </r>
  <r>
    <s v="Multihop,STnet,80"/>
    <x v="1"/>
    <x v="1"/>
    <x v="3"/>
    <n v="124.163"/>
    <n v="144.5"/>
    <n v="14.074048442906575"/>
  </r>
  <r>
    <s v="Multihop,STnet,80"/>
    <x v="1"/>
    <x v="1"/>
    <x v="3"/>
    <n v="124.163"/>
    <n v="144.5"/>
    <n v="14.074048442906575"/>
  </r>
  <r>
    <s v="Multihop,STnet,80"/>
    <x v="1"/>
    <x v="1"/>
    <x v="3"/>
    <n v="134.08699999999999"/>
    <n v="144.5"/>
    <n v="7.2062283737024293"/>
  </r>
  <r>
    <s v="Multihop,STnet,80"/>
    <x v="1"/>
    <x v="1"/>
    <x v="3"/>
    <n v="156.035"/>
    <n v="144.5"/>
    <n v="7.9826989619377136"/>
  </r>
  <r>
    <s v="Multihop,STnet,80"/>
    <x v="1"/>
    <x v="1"/>
    <x v="3"/>
    <n v="128.601"/>
    <n v="144.5"/>
    <n v="11.002768166089966"/>
  </r>
  <r>
    <s v="Multihop,STnet,80"/>
    <x v="1"/>
    <x v="1"/>
    <x v="3"/>
    <n v="144.67099999999999"/>
    <n v="144.5"/>
    <n v="0.1183391003460154"/>
  </r>
  <r>
    <s v="Multihop,STnet,80"/>
    <x v="1"/>
    <x v="1"/>
    <x v="3"/>
    <n v="142.33099999999999"/>
    <n v="144.5"/>
    <n v="1.5010380622837447"/>
  </r>
  <r>
    <s v="Multihop,STnet,80"/>
    <x v="1"/>
    <x v="1"/>
    <x v="3"/>
    <n v="139.30600000000001"/>
    <n v="144.5"/>
    <n v="3.5944636678200608"/>
  </r>
  <r>
    <s v="Multihop,STnet,80"/>
    <x v="1"/>
    <x v="1"/>
    <x v="3"/>
    <n v="137.601"/>
    <n v="144.5"/>
    <n v="4.7743944636678206"/>
  </r>
  <r>
    <s v="Multihop,STnet,80"/>
    <x v="1"/>
    <x v="1"/>
    <x v="3"/>
    <n v="121.017"/>
    <n v="144.5"/>
    <n v="16.251211072664361"/>
  </r>
  <r>
    <s v="Multihop,STnet,80"/>
    <x v="1"/>
    <x v="1"/>
    <x v="3"/>
    <n v="115.36"/>
    <n v="144.5"/>
    <n v="20.166089965397923"/>
  </r>
  <r>
    <s v="Multihop,STnet,80"/>
    <x v="1"/>
    <x v="1"/>
    <x v="3"/>
    <n v="128.601"/>
    <n v="144.5"/>
    <n v="11.002768166089966"/>
  </r>
  <r>
    <s v="Multihop,STnet,80"/>
    <x v="1"/>
    <x v="1"/>
    <x v="3"/>
    <n v="140.08699999999999"/>
    <n v="144.5"/>
    <n v="3.0539792387543327"/>
  </r>
  <r>
    <s v="Multihop,STnet,80"/>
    <x v="1"/>
    <x v="1"/>
    <x v="3"/>
    <n v="122.38200000000001"/>
    <n v="144.5"/>
    <n v="15.306574394463665"/>
  </r>
  <r>
    <s v="Multihop,STnet,80"/>
    <x v="1"/>
    <x v="1"/>
    <x v="3"/>
    <n v="150.327"/>
    <n v="144.5"/>
    <n v="4.0325259515570924"/>
  </r>
  <r>
    <s v="Multihop,STnet,80"/>
    <x v="1"/>
    <x v="1"/>
    <x v="3"/>
    <n v="135.67400000000001"/>
    <n v="144.5"/>
    <n v="6.107958477508646"/>
  </r>
  <r>
    <s v="Multihop,STnet,80"/>
    <x v="1"/>
    <x v="1"/>
    <x v="3"/>
    <n v="142.37899999999999"/>
    <n v="144.5"/>
    <n v="1.4678200692041588"/>
  </r>
  <r>
    <s v="Multihop,STnet,80"/>
    <x v="1"/>
    <x v="1"/>
    <x v="3"/>
    <n v="136.45500000000001"/>
    <n v="144.5"/>
    <n v="5.5674740484428975"/>
  </r>
  <r>
    <s v="Multihop,STnet,80"/>
    <x v="1"/>
    <x v="1"/>
    <x v="3"/>
    <n v="139.30600000000001"/>
    <n v="144.5"/>
    <n v="3.5944636678200608"/>
  </r>
  <r>
    <s v="Multihop,STnet,80"/>
    <x v="1"/>
    <x v="1"/>
    <x v="3"/>
    <n v="145.55000000000001"/>
    <n v="144.5"/>
    <n v="0.72664359861592476"/>
  </r>
  <r>
    <s v="Multihop,STnet,80"/>
    <x v="1"/>
    <x v="1"/>
    <x v="3"/>
    <n v="124.944"/>
    <n v="144.5"/>
    <n v="13.533564013840829"/>
  </r>
  <r>
    <s v="Multihop,STnet,80"/>
    <x v="1"/>
    <x v="1"/>
    <x v="3"/>
    <n v="143.768"/>
    <n v="144.5"/>
    <n v="0.50657439446366737"/>
  </r>
  <r>
    <s v="Multihop,STnet,80"/>
    <x v="1"/>
    <x v="1"/>
    <x v="3"/>
    <n v="125.455"/>
    <n v="144.5"/>
    <n v="13.179930795847753"/>
  </r>
  <r>
    <s v="Multihop,STnet,80"/>
    <x v="1"/>
    <x v="1"/>
    <x v="3"/>
    <n v="140.03899999999999"/>
    <n v="144.5"/>
    <n v="3.0871972318339189"/>
  </r>
  <r>
    <s v="Multihop,STnet,80"/>
    <x v="1"/>
    <x v="1"/>
    <x v="3"/>
    <n v="125.236"/>
    <n v="144.5"/>
    <n v="13.331487889273353"/>
  </r>
  <r>
    <s v="Multihop,STnet,80"/>
    <x v="1"/>
    <x v="1"/>
    <x v="3"/>
    <n v="124.52800000000001"/>
    <n v="144.5"/>
    <n v="13.821453287197228"/>
  </r>
  <r>
    <s v="Multihop,STnet,80"/>
    <x v="1"/>
    <x v="1"/>
    <x v="3"/>
    <n v="142.11199999999999"/>
    <n v="144.5"/>
    <n v="1.6525951557093461"/>
  </r>
  <r>
    <s v="Multihop,STnet,80"/>
    <x v="1"/>
    <x v="1"/>
    <x v="3"/>
    <n v="132.23599999999999"/>
    <n v="144.5"/>
    <n v="8.4871972318339157"/>
  </r>
  <r>
    <s v="Multihop,STnet,80"/>
    <x v="1"/>
    <x v="1"/>
    <x v="3"/>
    <n v="142.696"/>
    <n v="144.5"/>
    <n v="1.2484429065743958"/>
  </r>
  <r>
    <s v="Multihop,STnet,80"/>
    <x v="1"/>
    <x v="1"/>
    <x v="3"/>
    <n v="148.54900000000001"/>
    <n v="144.5"/>
    <n v="2.8020761245674786"/>
  </r>
  <r>
    <s v="Multihop,STnet,80"/>
    <x v="1"/>
    <x v="1"/>
    <x v="3"/>
    <n v="138.30600000000001"/>
    <n v="144.5"/>
    <n v="4.2865051903114102"/>
  </r>
  <r>
    <s v="Multihop,STnet,80"/>
    <x v="1"/>
    <x v="1"/>
    <x v="3"/>
    <n v="156.44800000000001"/>
    <n v="144.5"/>
    <n v="8.2685121107266486"/>
  </r>
  <r>
    <s v="Multihop,STnet,80"/>
    <x v="1"/>
    <x v="1"/>
    <x v="3"/>
    <n v="131.37899999999999"/>
    <n v="144.5"/>
    <n v="9.080276816609004"/>
  </r>
  <r>
    <s v="Multihop,STnet,80"/>
    <x v="1"/>
    <x v="1"/>
    <x v="3"/>
    <n v="157.18199999999999"/>
    <n v="144.5"/>
    <n v="8.776470588235286"/>
  </r>
  <r>
    <s v="Multihop,STnet,80"/>
    <x v="1"/>
    <x v="1"/>
    <x v="3"/>
    <n v="129.45500000000001"/>
    <n v="144.5"/>
    <n v="10.411764705882344"/>
  </r>
  <r>
    <s v="Multihop,STnet,80"/>
    <x v="1"/>
    <x v="1"/>
    <x v="3"/>
    <n v="131.185"/>
    <n v="144.5"/>
    <n v="9.2145328719723167"/>
  </r>
  <r>
    <s v="Multihop,STnet,80"/>
    <x v="1"/>
    <x v="1"/>
    <x v="3"/>
    <n v="132.45500000000001"/>
    <n v="144.5"/>
    <n v="8.3356401384082961"/>
  </r>
  <r>
    <s v="Multihop,STnet,80"/>
    <x v="1"/>
    <x v="1"/>
    <x v="3"/>
    <n v="128.309"/>
    <n v="144.5"/>
    <n v="11.204844290657441"/>
  </r>
  <r>
    <s v="Multihop,STnet,80"/>
    <x v="1"/>
    <x v="1"/>
    <x v="3"/>
    <n v="135.893"/>
    <n v="144.5"/>
    <n v="5.956401384083045"/>
  </r>
  <r>
    <s v="Multihop,STnet,80"/>
    <x v="1"/>
    <x v="1"/>
    <x v="3"/>
    <n v="146.33099999999999"/>
    <n v="144.5"/>
    <n v="1.2671280276816532"/>
  </r>
  <r>
    <s v="Multihop,STnet,80"/>
    <x v="1"/>
    <x v="1"/>
    <x v="3"/>
    <n v="137.74700000000001"/>
    <n v="144.5"/>
    <n v="4.6733564013840736"/>
  </r>
  <r>
    <s v="Multihop,STnet,80"/>
    <x v="1"/>
    <x v="1"/>
    <x v="3"/>
    <n v="162.42500000000001"/>
    <n v="144.5"/>
    <n v="12.404844290657447"/>
  </r>
  <r>
    <s v="Multihop,STnet,80"/>
    <x v="1"/>
    <x v="1"/>
    <x v="3"/>
    <n v="142.11199999999999"/>
    <n v="144.5"/>
    <n v="1.6525951557093461"/>
  </r>
  <r>
    <s v="Multihop,STnet,80"/>
    <x v="1"/>
    <x v="1"/>
    <x v="3"/>
    <n v="142.30600000000001"/>
    <n v="144.5"/>
    <n v="1.5183391003460127"/>
  </r>
  <r>
    <s v="Multihop,STnet,80"/>
    <x v="1"/>
    <x v="1"/>
    <x v="3"/>
    <n v="133.74700000000001"/>
    <n v="144.5"/>
    <n v="7.4415224913494713"/>
  </r>
  <r>
    <s v="Multihop,STnet,80"/>
    <x v="1"/>
    <x v="1"/>
    <x v="3"/>
    <n v="144.81700000000001"/>
    <n v="144.5"/>
    <n v="0.21937716262976281"/>
  </r>
  <r>
    <s v="Multihop,STnet,80"/>
    <x v="1"/>
    <x v="1"/>
    <x v="3"/>
    <n v="149.62299999999999"/>
    <n v="144.5"/>
    <n v="3.5453287197231766"/>
  </r>
  <r>
    <s v="Multihop,STnet,80"/>
    <x v="1"/>
    <x v="1"/>
    <x v="3"/>
    <n v="138.696"/>
    <n v="144.5"/>
    <n v="4.0166089965397935"/>
  </r>
  <r>
    <s v="Multihop,STnet,80"/>
    <x v="1"/>
    <x v="1"/>
    <x v="3"/>
    <n v="129.74700000000001"/>
    <n v="144.5"/>
    <n v="10.209688581314868"/>
  </r>
  <r>
    <s v="Multihop,STnet,80"/>
    <x v="1"/>
    <x v="1"/>
    <x v="3"/>
    <n v="126.014"/>
    <n v="144.5"/>
    <n v="12.793079584775088"/>
  </r>
  <r>
    <s v="Multihop,STnet,80"/>
    <x v="1"/>
    <x v="1"/>
    <x v="3"/>
    <n v="134.74700000000001"/>
    <n v="144.5"/>
    <n v="6.7494809688581219"/>
  </r>
  <r>
    <s v="Multihop,STnet,80"/>
    <x v="1"/>
    <x v="1"/>
    <x v="3"/>
    <n v="132.82"/>
    <n v="144.5"/>
    <n v="8.0830449826989668"/>
  </r>
  <r>
    <s v="Multihop,STnet,80"/>
    <x v="1"/>
    <x v="1"/>
    <x v="3"/>
    <n v="122.017"/>
    <n v="144.5"/>
    <n v="15.559169550173014"/>
  </r>
  <r>
    <s v="Multihop,STnet,80"/>
    <x v="1"/>
    <x v="1"/>
    <x v="3"/>
    <n v="131.59800000000001"/>
    <n v="144.5"/>
    <n v="8.9287197231833808"/>
  </r>
  <r>
    <s v="Multihop,STnet,80"/>
    <x v="1"/>
    <x v="1"/>
    <x v="3"/>
    <n v="118.747"/>
    <n v="144.5"/>
    <n v="17.822145328719724"/>
  </r>
  <r>
    <s v="Multihop,STnet,80"/>
    <x v="1"/>
    <x v="1"/>
    <x v="3"/>
    <n v="146.55000000000001"/>
    <n v="144.5"/>
    <n v="1.4186851211072744"/>
  </r>
  <r>
    <s v="Multihop,STnet,80"/>
    <x v="1"/>
    <x v="1"/>
    <x v="3"/>
    <n v="136.185"/>
    <n v="144.5"/>
    <n v="5.7543252595155696"/>
  </r>
  <r>
    <s v="Multihop,STnet,80"/>
    <x v="1"/>
    <x v="1"/>
    <x v="3"/>
    <n v="135.67400000000001"/>
    <n v="144.5"/>
    <n v="6.107958477508646"/>
  </r>
  <r>
    <s v="Multihop,STnet,80"/>
    <x v="1"/>
    <x v="1"/>
    <x v="3"/>
    <n v="138.03899999999999"/>
    <n v="144.5"/>
    <n v="4.4712802768166178"/>
  </r>
  <r>
    <s v="Multihop,STnet,80"/>
    <x v="1"/>
    <x v="1"/>
    <x v="3"/>
    <n v="134.03899999999999"/>
    <n v="144.5"/>
    <n v="7.2394463667820155"/>
  </r>
  <r>
    <s v="Multihop,STnet,80"/>
    <x v="1"/>
    <x v="1"/>
    <x v="3"/>
    <n v="136.233"/>
    <n v="144.5"/>
    <n v="5.7211072664359834"/>
  </r>
  <r>
    <s v="Multihop,STnet,80"/>
    <x v="1"/>
    <x v="1"/>
    <x v="3"/>
    <n v="142.54900000000001"/>
    <n v="144.5"/>
    <n v="1.3501730103806182"/>
  </r>
  <r>
    <s v="Multihop,STnet,80"/>
    <x v="1"/>
    <x v="1"/>
    <x v="3"/>
    <n v="141.52500000000001"/>
    <n v="144.5"/>
    <n v="2.0588235294117609"/>
  </r>
  <r>
    <s v="Multihop,STnet,80"/>
    <x v="1"/>
    <x v="1"/>
    <x v="3"/>
    <n v="144.93799999999999"/>
    <n v="144.5"/>
    <n v="0.30311418685120289"/>
  </r>
  <r>
    <s v="Multihop,STnet,80"/>
    <x v="1"/>
    <x v="1"/>
    <x v="3"/>
    <n v="145.01400000000001"/>
    <n v="144.5"/>
    <n v="0.35570934256056058"/>
  </r>
  <r>
    <s v="Multihop,STnet,80"/>
    <x v="1"/>
    <x v="1"/>
    <x v="3"/>
    <n v="169.595"/>
    <n v="144.5"/>
    <n v="17.366782006920413"/>
  </r>
  <r>
    <s v="Multihop,STnet,80"/>
    <x v="1"/>
    <x v="1"/>
    <x v="3"/>
    <n v="143.25800000000001"/>
    <n v="144.5"/>
    <n v="0.85951557093424924"/>
  </r>
  <r>
    <s v="Multihop,STnet,80"/>
    <x v="1"/>
    <x v="1"/>
    <x v="3"/>
    <n v="152.81700000000001"/>
    <n v="144.5"/>
    <n v="5.755709342560559"/>
  </r>
  <r>
    <s v="Multihop,STnet,80"/>
    <x v="1"/>
    <x v="1"/>
    <x v="3"/>
    <n v="134.893"/>
    <n v="144.5"/>
    <n v="6.6484429065743935"/>
  </r>
  <r>
    <s v="Multihop,STnet,80"/>
    <x v="1"/>
    <x v="1"/>
    <x v="3"/>
    <n v="142.33099999999999"/>
    <n v="144.5"/>
    <n v="1.5010380622837447"/>
  </r>
  <r>
    <s v="Multihop,STnet,80"/>
    <x v="1"/>
    <x v="1"/>
    <x v="3"/>
    <n v="146.696"/>
    <n v="144.5"/>
    <n v="1.5197231833910021"/>
  </r>
  <r>
    <s v="Multihop,STnet,80"/>
    <x v="1"/>
    <x v="1"/>
    <x v="3"/>
    <n v="142.452"/>
    <n v="144.5"/>
    <n v="1.417301038062285"/>
  </r>
  <r>
    <s v="Multihop,STnet,80"/>
    <x v="1"/>
    <x v="1"/>
    <x v="3"/>
    <n v="146.91399999999999"/>
    <n v="144.5"/>
    <n v="1.6705882352941088"/>
  </r>
  <r>
    <s v="Multihop,STnet,80"/>
    <x v="1"/>
    <x v="1"/>
    <x v="3"/>
    <n v="135.893"/>
    <n v="144.5"/>
    <n v="5.956401384083045"/>
  </r>
  <r>
    <s v="Multihop,STnet,80"/>
    <x v="1"/>
    <x v="1"/>
    <x v="3"/>
    <n v="118.944"/>
    <n v="144.5"/>
    <n v="17.685813148788927"/>
  </r>
  <r>
    <s v="Multihop,STnet,80"/>
    <x v="1"/>
    <x v="1"/>
    <x v="3"/>
    <n v="133.40299999999999"/>
    <n v="144.5"/>
    <n v="7.6795847750865107"/>
  </r>
  <r>
    <s v="Multihop,STnet,80"/>
    <x v="1"/>
    <x v="1"/>
    <x v="3"/>
    <n v="137.67400000000001"/>
    <n v="144.5"/>
    <n v="4.7238754325259471"/>
  </r>
  <r>
    <s v="Multihop,STnet,80"/>
    <x v="1"/>
    <x v="1"/>
    <x v="3"/>
    <n v="152.98699999999999"/>
    <n v="144.5"/>
    <n v="5.8733564013840791"/>
  </r>
  <r>
    <s v="Multihop,STnet,80"/>
    <x v="1"/>
    <x v="1"/>
    <x v="3"/>
    <n v="137.71899999999999"/>
    <n v="144.5"/>
    <n v="4.692733564013845"/>
  </r>
  <r>
    <s v="Multihop,STnet,80"/>
    <x v="1"/>
    <x v="1"/>
    <x v="3"/>
    <n v="136.25800000000001"/>
    <n v="144.5"/>
    <n v="5.7038062283736961"/>
  </r>
  <r>
    <s v="Multihop,STnet,80"/>
    <x v="1"/>
    <x v="1"/>
    <x v="3"/>
    <n v="128.03800000000001"/>
    <n v="144.5"/>
    <n v="11.392387543252587"/>
  </r>
  <r>
    <s v="Multihop,STnet,80"/>
    <x v="1"/>
    <x v="1"/>
    <x v="3"/>
    <n v="128.893"/>
    <n v="144.5"/>
    <n v="10.80069204152249"/>
  </r>
  <r>
    <s v="Multihop,STnet,80"/>
    <x v="1"/>
    <x v="1"/>
    <x v="3"/>
    <n v="130.893"/>
    <n v="144.5"/>
    <n v="9.416608996539793"/>
  </r>
  <r>
    <s v="Multihop,STnet,80"/>
    <x v="1"/>
    <x v="1"/>
    <x v="3"/>
    <n v="155.10900000000001"/>
    <n v="144.5"/>
    <n v="7.3418685121107332"/>
  </r>
  <r>
    <s v="Multihop,STnet,80"/>
    <x v="1"/>
    <x v="1"/>
    <x v="3"/>
    <n v="134.11099999999999"/>
    <n v="144.5"/>
    <n v="7.1896193771626375"/>
  </r>
  <r>
    <s v="Multihop,STnet,80"/>
    <x v="1"/>
    <x v="1"/>
    <x v="3"/>
    <n v="136.82"/>
    <n v="144.5"/>
    <n v="5.3148788927335691"/>
  </r>
  <r>
    <s v="Multihop,STnet,80"/>
    <x v="1"/>
    <x v="1"/>
    <x v="3"/>
    <n v="141.69399999999999"/>
    <n v="144.5"/>
    <n v="1.9418685121107349"/>
  </r>
  <r>
    <s v="Multihop,STnet,80"/>
    <x v="1"/>
    <x v="1"/>
    <x v="3"/>
    <n v="135.017"/>
    <n v="144.5"/>
    <n v="6.5626297577854693"/>
  </r>
  <r>
    <s v="Multihop,STnet,80"/>
    <x v="1"/>
    <x v="1"/>
    <x v="3"/>
    <n v="143.11199999999999"/>
    <n v="144.5"/>
    <n v="0.96055363321799669"/>
  </r>
  <r>
    <s v="Multihop,STnet,80"/>
    <x v="1"/>
    <x v="1"/>
    <x v="3"/>
    <n v="164.91499999999999"/>
    <n v="144.5"/>
    <n v="14.128027681660893"/>
  </r>
  <r>
    <s v="Multihop,STnet,80"/>
    <x v="1"/>
    <x v="1"/>
    <x v="3"/>
    <n v="144.768"/>
    <n v="144.5"/>
    <n v="0.18546712802768212"/>
  </r>
  <r>
    <s v="Multihop,STnet,80"/>
    <x v="1"/>
    <x v="1"/>
    <x v="3"/>
    <n v="153.54900000000001"/>
    <n v="144.5"/>
    <n v="6.2622837370242257"/>
  </r>
  <r>
    <s v="Multihop,STnet,80"/>
    <x v="1"/>
    <x v="1"/>
    <x v="3"/>
    <n v="149.40299999999999"/>
    <n v="144.5"/>
    <n v="3.3930795847750805"/>
  </r>
  <r>
    <s v="Multihop,STnet,80"/>
    <x v="1"/>
    <x v="1"/>
    <x v="3"/>
    <n v="138.11099999999999"/>
    <n v="144.5"/>
    <n v="4.421453287197239"/>
  </r>
  <r>
    <s v="Multihop,STnet,80"/>
    <x v="1"/>
    <x v="1"/>
    <x v="3"/>
    <n v="144.96600000000001"/>
    <n v="144.5"/>
    <n v="0.32249134948097452"/>
  </r>
  <r>
    <s v="Multihop,STnet,80"/>
    <x v="1"/>
    <x v="1"/>
    <x v="3"/>
    <n v="152.10900000000001"/>
    <n v="144.5"/>
    <n v="5.2657439446366849"/>
  </r>
  <r>
    <s v="Multihop,STnet,80"/>
    <x v="1"/>
    <x v="1"/>
    <x v="3"/>
    <n v="127.527"/>
    <n v="144.5"/>
    <n v="11.746020761245674"/>
  </r>
  <r>
    <s v="Multihop,STnet,100"/>
    <x v="1"/>
    <x v="1"/>
    <x v="4"/>
    <n v="187.90700000000001"/>
    <n v="176"/>
    <n v="6.7653409090909156"/>
  </r>
  <r>
    <s v="Multihop,STnet,100"/>
    <x v="1"/>
    <x v="1"/>
    <x v="4"/>
    <n v="157.91"/>
    <n v="176"/>
    <n v="10.278409090909092"/>
  </r>
  <r>
    <s v="Multihop,STnet,100"/>
    <x v="1"/>
    <x v="1"/>
    <x v="4"/>
    <n v="152.69499999999999"/>
    <n v="176"/>
    <n v="13.241477272727275"/>
  </r>
  <r>
    <s v="Multihop,STnet,100"/>
    <x v="1"/>
    <x v="1"/>
    <x v="4"/>
    <n v="172.34899999999999"/>
    <n v="176"/>
    <n v="2.0744318181818242"/>
  </r>
  <r>
    <s v="Multihop,STnet,100"/>
    <x v="1"/>
    <x v="1"/>
    <x v="4"/>
    <n v="171.911"/>
    <n v="176"/>
    <n v="2.3232954545454541"/>
  </r>
  <r>
    <s v="Multihop,STnet,100"/>
    <x v="1"/>
    <x v="1"/>
    <x v="4"/>
    <n v="169.202"/>
    <n v="176"/>
    <n v="3.8625000000000012"/>
  </r>
  <r>
    <s v="Multihop,STnet,100"/>
    <x v="1"/>
    <x v="1"/>
    <x v="4"/>
    <n v="162.59399999999999"/>
    <n v="176"/>
    <n v="7.6170454545454582"/>
  </r>
  <r>
    <s v="Multihop,STnet,100"/>
    <x v="1"/>
    <x v="1"/>
    <x v="4"/>
    <n v="178.05699999999999"/>
    <n v="176"/>
    <n v="1.1687499999999933"/>
  </r>
  <r>
    <s v="Multihop,STnet,100"/>
    <x v="1"/>
    <x v="1"/>
    <x v="4"/>
    <n v="193.328"/>
    <n v="176"/>
    <n v="9.8454545454545475"/>
  </r>
  <r>
    <s v="Multihop,STnet,100"/>
    <x v="1"/>
    <x v="1"/>
    <x v="4"/>
    <n v="201.75800000000001"/>
    <n v="176"/>
    <n v="14.635227272727278"/>
  </r>
  <r>
    <s v="Multihop,STnet,100"/>
    <x v="1"/>
    <x v="1"/>
    <x v="4"/>
    <n v="139.30799999999999"/>
    <n v="176"/>
    <n v="20.847727272727276"/>
  </r>
  <r>
    <s v="Multihop,STnet,100"/>
    <x v="1"/>
    <x v="1"/>
    <x v="4"/>
    <n v="166.4"/>
    <n v="176"/>
    <n v="5.4545454545454515"/>
  </r>
  <r>
    <s v="Multihop,STnet,100"/>
    <x v="1"/>
    <x v="1"/>
    <x v="4"/>
    <n v="166.69499999999999"/>
    <n v="176"/>
    <n v="5.2869318181818219"/>
  </r>
  <r>
    <s v="Multihop,STnet,100"/>
    <x v="1"/>
    <x v="1"/>
    <x v="4"/>
    <n v="161.03200000000001"/>
    <n v="176"/>
    <n v="8.5045454545454486"/>
  </r>
  <r>
    <s v="Multihop,STnet,100"/>
    <x v="1"/>
    <x v="1"/>
    <x v="4"/>
    <n v="171.39699999999999"/>
    <n v="176"/>
    <n v="2.6153409090909139"/>
  </r>
  <r>
    <s v="Multihop,STnet,100"/>
    <x v="1"/>
    <x v="1"/>
    <x v="4"/>
    <n v="181.90700000000001"/>
    <n v="176"/>
    <n v="3.356250000000006"/>
  </r>
  <r>
    <s v="Multihop,STnet,100"/>
    <x v="1"/>
    <x v="1"/>
    <x v="4"/>
    <n v="187.27600000000001"/>
    <n v="176"/>
    <n v="6.4068181818181875"/>
  </r>
  <r>
    <s v="Multihop,STnet,100"/>
    <x v="1"/>
    <x v="1"/>
    <x v="4"/>
    <n v="176.56700000000001"/>
    <n v="176"/>
    <n v="0.32215909090909506"/>
  </r>
  <r>
    <s v="Multihop,STnet,100"/>
    <x v="1"/>
    <x v="1"/>
    <x v="4"/>
    <n v="139.96600000000001"/>
    <n v="176"/>
    <n v="20.473863636363632"/>
  </r>
  <r>
    <s v="Multihop,STnet,100"/>
    <x v="1"/>
    <x v="1"/>
    <x v="4"/>
    <n v="165.74799999999999"/>
    <n v="176"/>
    <n v="5.8250000000000055"/>
  </r>
  <r>
    <s v="Multihop,STnet,100"/>
    <x v="1"/>
    <x v="1"/>
    <x v="4"/>
    <n v="182.68899999999999"/>
    <n v="176"/>
    <n v="3.800568181818178"/>
  </r>
  <r>
    <s v="Multihop,STnet,100"/>
    <x v="1"/>
    <x v="1"/>
    <x v="4"/>
    <n v="127.649"/>
    <n v="176"/>
    <n v="27.472159090909091"/>
  </r>
  <r>
    <s v="Multihop,STnet,100"/>
    <x v="1"/>
    <x v="1"/>
    <x v="4"/>
    <n v="171.42599999999999"/>
    <n v="176"/>
    <n v="2.5988636363636433"/>
  </r>
  <r>
    <s v="Multihop,STnet,100"/>
    <x v="1"/>
    <x v="1"/>
    <x v="4"/>
    <n v="170.91399999999999"/>
    <n v="176"/>
    <n v="2.8897727272727347"/>
  </r>
  <r>
    <s v="Multihop,STnet,100"/>
    <x v="1"/>
    <x v="1"/>
    <x v="4"/>
    <n v="175.03899999999999"/>
    <n v="176"/>
    <n v="0.54602272727273449"/>
  </r>
  <r>
    <s v="Multihop,STnet,100"/>
    <x v="1"/>
    <x v="1"/>
    <x v="4"/>
    <n v="151.25800000000001"/>
    <n v="176"/>
    <n v="14.057954545454541"/>
  </r>
  <r>
    <s v="Multihop,STnet,100"/>
    <x v="1"/>
    <x v="1"/>
    <x v="4"/>
    <n v="206.36699999999999"/>
    <n v="176"/>
    <n v="17.253977272727266"/>
  </r>
  <r>
    <s v="Multihop,STnet,100"/>
    <x v="1"/>
    <x v="1"/>
    <x v="4"/>
    <n v="178.21"/>
    <n v="176"/>
    <n v="1.2556818181818226"/>
  </r>
  <r>
    <s v="Multihop,STnet,100"/>
    <x v="1"/>
    <x v="1"/>
    <x v="4"/>
    <n v="164.10400000000001"/>
    <n v="176"/>
    <n v="6.7590909090909017"/>
  </r>
  <r>
    <s v="Multihop,STnet,100"/>
    <x v="1"/>
    <x v="1"/>
    <x v="4"/>
    <n v="180.30099999999999"/>
    <n v="176"/>
    <n v="2.443749999999993"/>
  </r>
  <r>
    <s v="Multihop,STnet,100"/>
    <x v="1"/>
    <x v="1"/>
    <x v="4"/>
    <n v="168.69300000000001"/>
    <n v="176"/>
    <n v="4.151704545454538"/>
  </r>
  <r>
    <s v="Multihop,STnet,100"/>
    <x v="1"/>
    <x v="1"/>
    <x v="4"/>
    <n v="193.12700000000001"/>
    <n v="176"/>
    <n v="9.7312500000000046"/>
  </r>
  <r>
    <s v="Multihop,STnet,100"/>
    <x v="1"/>
    <x v="1"/>
    <x v="4"/>
    <n v="182.55"/>
    <n v="176"/>
    <n v="3.7215909090909154"/>
  </r>
  <r>
    <s v="Multihop,STnet,100"/>
    <x v="1"/>
    <x v="1"/>
    <x v="4"/>
    <n v="179.39699999999999"/>
    <n v="176"/>
    <n v="1.9301136363636315"/>
  </r>
  <r>
    <s v="Multihop,STnet,100"/>
    <x v="1"/>
    <x v="1"/>
    <x v="4"/>
    <n v="196.85599999999999"/>
    <n v="176"/>
    <n v="11.849999999999996"/>
  </r>
  <r>
    <s v="Multihop,STnet,100"/>
    <x v="1"/>
    <x v="1"/>
    <x v="4"/>
    <n v="179.745"/>
    <n v="176"/>
    <n v="2.1278409090909114"/>
  </r>
  <r>
    <s v="Multihop,STnet,100"/>
    <x v="1"/>
    <x v="1"/>
    <x v="4"/>
    <n v="150.185"/>
    <n v="176"/>
    <n v="14.667613636363635"/>
  </r>
  <r>
    <s v="Multihop,STnet,100"/>
    <x v="1"/>
    <x v="1"/>
    <x v="4"/>
    <n v="168.13"/>
    <n v="176"/>
    <n v="4.4715909090909118"/>
  </r>
  <r>
    <s v="Multihop,STnet,100"/>
    <x v="1"/>
    <x v="1"/>
    <x v="4"/>
    <n v="193.41800000000001"/>
    <n v="176"/>
    <n v="9.8965909090909125"/>
  </r>
  <r>
    <s v="Multihop,STnet,100"/>
    <x v="1"/>
    <x v="1"/>
    <x v="4"/>
    <n v="152.327"/>
    <n v="176"/>
    <n v="13.450568181818182"/>
  </r>
  <r>
    <s v="Multihop,STnet,100"/>
    <x v="1"/>
    <x v="1"/>
    <x v="4"/>
    <n v="158.13399999999999"/>
    <n v="176"/>
    <n v="10.151136363636372"/>
  </r>
  <r>
    <s v="Multihop,STnet,100"/>
    <x v="1"/>
    <x v="1"/>
    <x v="4"/>
    <n v="168.71700000000001"/>
    <n v="176"/>
    <n v="4.1380681818181744"/>
  </r>
  <r>
    <s v="Multihop,STnet,100"/>
    <x v="1"/>
    <x v="1"/>
    <x v="4"/>
    <n v="186.27600000000001"/>
    <n v="176"/>
    <n v="5.8386363636363692"/>
  </r>
  <r>
    <s v="Multihop,STnet,100"/>
    <x v="1"/>
    <x v="1"/>
    <x v="4"/>
    <n v="173.44900000000001"/>
    <n v="176"/>
    <n v="1.4494318181818111"/>
  </r>
  <r>
    <s v="Multihop,STnet,100"/>
    <x v="1"/>
    <x v="1"/>
    <x v="4"/>
    <n v="185.66499999999999"/>
    <n v="176"/>
    <n v="5.491477272727268"/>
  </r>
  <r>
    <s v="Multihop,STnet,100"/>
    <x v="1"/>
    <x v="1"/>
    <x v="4"/>
    <n v="173.572"/>
    <n v="176"/>
    <n v="1.3795454545454529"/>
  </r>
  <r>
    <s v="Multihop,STnet,100"/>
    <x v="1"/>
    <x v="1"/>
    <x v="4"/>
    <n v="148.55000000000001"/>
    <n v="176"/>
    <n v="15.596590909090901"/>
  </r>
  <r>
    <s v="Multihop,STnet,100"/>
    <x v="1"/>
    <x v="1"/>
    <x v="4"/>
    <n v="139.404"/>
    <n v="176"/>
    <n v="20.793181818181818"/>
  </r>
  <r>
    <s v="Multihop,STnet,100"/>
    <x v="1"/>
    <x v="1"/>
    <x v="4"/>
    <n v="143.45099999999999"/>
    <n v="176"/>
    <n v="18.493750000000002"/>
  </r>
  <r>
    <s v="Multihop,STnet,100"/>
    <x v="1"/>
    <x v="1"/>
    <x v="4"/>
    <n v="181.273"/>
    <n v="176"/>
    <n v="2.9960227272727251"/>
  </r>
  <r>
    <s v="Multihop,STnet,100"/>
    <x v="1"/>
    <x v="1"/>
    <x v="4"/>
    <n v="156.06"/>
    <n v="176"/>
    <n v="11.329545454545453"/>
  </r>
  <r>
    <s v="Multihop,STnet,100"/>
    <x v="1"/>
    <x v="1"/>
    <x v="4"/>
    <n v="166.279"/>
    <n v="176"/>
    <n v="5.5232954545454565"/>
  </r>
  <r>
    <s v="Multihop,STnet,100"/>
    <x v="1"/>
    <x v="1"/>
    <x v="4"/>
    <n v="161.06100000000001"/>
    <n v="176"/>
    <n v="8.4880681818181767"/>
  </r>
  <r>
    <s v="Multihop,STnet,100"/>
    <x v="1"/>
    <x v="1"/>
    <x v="4"/>
    <n v="179.93199999999999"/>
    <n v="176"/>
    <n v="2.2340909090909022"/>
  </r>
  <r>
    <s v="Multihop,STnet,100"/>
    <x v="1"/>
    <x v="1"/>
    <x v="4"/>
    <n v="179.78700000000001"/>
    <n v="176"/>
    <n v="2.1517045454545491"/>
  </r>
  <r>
    <s v="Multihop,STnet,100"/>
    <x v="1"/>
    <x v="1"/>
    <x v="4"/>
    <n v="165.47399999999999"/>
    <n v="176"/>
    <n v="5.9806818181818242"/>
  </r>
  <r>
    <s v="Multihop,STnet,100"/>
    <x v="1"/>
    <x v="1"/>
    <x v="4"/>
    <n v="163.959"/>
    <n v="176"/>
    <n v="6.8414772727272712"/>
  </r>
  <r>
    <s v="Multihop,STnet,100"/>
    <x v="1"/>
    <x v="1"/>
    <x v="4"/>
    <n v="166.79"/>
    <n v="176"/>
    <n v="5.2329545454545494"/>
  </r>
  <r>
    <s v="Multihop,STnet,100"/>
    <x v="1"/>
    <x v="1"/>
    <x v="4"/>
    <n v="141.52500000000001"/>
    <n v="176"/>
    <n v="19.588068181818176"/>
  </r>
  <r>
    <s v="Multihop,STnet,100"/>
    <x v="1"/>
    <x v="1"/>
    <x v="4"/>
    <n v="175.34899999999999"/>
    <n v="176"/>
    <n v="0.36988636363636956"/>
  </r>
  <r>
    <s v="Multihop,STnet,100"/>
    <x v="1"/>
    <x v="1"/>
    <x v="4"/>
    <n v="178.54300000000001"/>
    <n v="176"/>
    <n v="1.4448863636363674"/>
  </r>
  <r>
    <s v="Multihop,STnet,100"/>
    <x v="1"/>
    <x v="1"/>
    <x v="4"/>
    <n v="190.053"/>
    <n v="176"/>
    <n v="7.9846590909090898"/>
  </r>
  <r>
    <s v="Multihop,STnet,100"/>
    <x v="1"/>
    <x v="1"/>
    <x v="4"/>
    <n v="176.81399999999999"/>
    <n v="176"/>
    <n v="0.46249999999999597"/>
  </r>
  <r>
    <s v="Multihop,STnet,100"/>
    <x v="1"/>
    <x v="1"/>
    <x v="4"/>
    <n v="171.20599999999999"/>
    <n v="176"/>
    <n v="2.7238636363636428"/>
  </r>
  <r>
    <s v="Multihop,STnet,100"/>
    <x v="1"/>
    <x v="1"/>
    <x v="4"/>
    <n v="173.422"/>
    <n v="176"/>
    <n v="1.4647727272727289"/>
  </r>
  <r>
    <s v="Multihop,STnet,100"/>
    <x v="1"/>
    <x v="1"/>
    <x v="4"/>
    <n v="170.56700000000001"/>
    <n v="176"/>
    <n v="3.0869318181818142"/>
  </r>
  <r>
    <s v="Multihop,STnet,100"/>
    <x v="1"/>
    <x v="1"/>
    <x v="4"/>
    <n v="173.13"/>
    <n v="176"/>
    <n v="1.6306818181818208"/>
  </r>
  <r>
    <s v="Multihop,STnet,100"/>
    <x v="1"/>
    <x v="1"/>
    <x v="4"/>
    <n v="155.91399999999999"/>
    <n v="176"/>
    <n v="11.412500000000007"/>
  </r>
  <r>
    <s v="Multihop,STnet,100"/>
    <x v="1"/>
    <x v="1"/>
    <x v="4"/>
    <n v="153.327"/>
    <n v="176"/>
    <n v="12.882386363636364"/>
  </r>
  <r>
    <s v="Multihop,STnet,100"/>
    <x v="1"/>
    <x v="1"/>
    <x v="4"/>
    <n v="165.18100000000001"/>
    <n v="176"/>
    <n v="6.1471590909090841"/>
  </r>
  <r>
    <s v="Multihop,STnet,100"/>
    <x v="1"/>
    <x v="1"/>
    <x v="4"/>
    <n v="173.911"/>
    <n v="176"/>
    <n v="1.1869318181818174"/>
  </r>
  <r>
    <s v="Multihop,STnet,100"/>
    <x v="1"/>
    <x v="1"/>
    <x v="4"/>
    <n v="162.42500000000001"/>
    <n v="176"/>
    <n v="7.7130681818181754"/>
  </r>
  <r>
    <s v="Multihop,STnet,100"/>
    <x v="1"/>
    <x v="1"/>
    <x v="4"/>
    <n v="218.732"/>
    <n v="176"/>
    <n v="24.279545454545453"/>
  </r>
  <r>
    <s v="Multihop,STnet,100"/>
    <x v="1"/>
    <x v="1"/>
    <x v="4"/>
    <n v="167.10400000000001"/>
    <n v="176"/>
    <n v="5.0545454545454467"/>
  </r>
  <r>
    <s v="Multihop,STnet,100"/>
    <x v="1"/>
    <x v="1"/>
    <x v="4"/>
    <n v="207.196"/>
    <n v="176"/>
    <n v="17.724999999999998"/>
  </r>
  <r>
    <s v="Multihop,STnet,100"/>
    <x v="1"/>
    <x v="1"/>
    <x v="4"/>
    <n v="164.886"/>
    <n v="176"/>
    <n v="6.3147727272727296"/>
  </r>
  <r>
    <s v="Multihop,STnet,100"/>
    <x v="1"/>
    <x v="1"/>
    <x v="4"/>
    <n v="170.98400000000001"/>
    <n v="176"/>
    <n v="2.8499999999999948"/>
  </r>
  <r>
    <s v="Multihop,STnet,100"/>
    <x v="1"/>
    <x v="1"/>
    <x v="4"/>
    <n v="178.05699999999999"/>
    <n v="176"/>
    <n v="1.1687499999999933"/>
  </r>
  <r>
    <s v="Multihop,STnet,100"/>
    <x v="1"/>
    <x v="1"/>
    <x v="4"/>
    <n v="151.988"/>
    <n v="176"/>
    <n v="13.643181818181818"/>
  </r>
  <r>
    <s v="Multihop,STnet,100"/>
    <x v="1"/>
    <x v="1"/>
    <x v="4"/>
    <n v="162.898"/>
    <n v="176"/>
    <n v="7.4443181818181836"/>
  </r>
  <r>
    <s v="Multihop,STnet,100"/>
    <x v="1"/>
    <x v="1"/>
    <x v="4"/>
    <n v="173.27500000000001"/>
    <n v="176"/>
    <n v="1.5482954545454513"/>
  </r>
  <r>
    <s v="Multihop,STnet,100"/>
    <x v="1"/>
    <x v="1"/>
    <x v="4"/>
    <n v="179.42099999999999"/>
    <n v="176"/>
    <n v="1.9437499999999954"/>
  </r>
  <r>
    <s v="Multihop,STnet,100"/>
    <x v="1"/>
    <x v="1"/>
    <x v="4"/>
    <n v="180.98099999999999"/>
    <n v="176"/>
    <n v="2.8301136363636332"/>
  </r>
  <r>
    <s v="Multihop,STnet,100"/>
    <x v="1"/>
    <x v="1"/>
    <x v="4"/>
    <n v="200.10300000000001"/>
    <n v="176"/>
    <n v="13.694886363636369"/>
  </r>
  <r>
    <s v="Multihop,STnet,100"/>
    <x v="1"/>
    <x v="1"/>
    <x v="4"/>
    <n v="160.279"/>
    <n v="176"/>
    <n v="8.9323863636363665"/>
  </r>
  <r>
    <s v="Multihop,STnet,100"/>
    <x v="1"/>
    <x v="1"/>
    <x v="4"/>
    <n v="158.744"/>
    <n v="176"/>
    <n v="9.8045454545454547"/>
  </r>
  <r>
    <s v="Multihop,STnet,100"/>
    <x v="1"/>
    <x v="1"/>
    <x v="4"/>
    <n v="170.76499999999999"/>
    <n v="176"/>
    <n v="2.9744318181818259"/>
  </r>
  <r>
    <s v="Multihop,STnet,100"/>
    <x v="1"/>
    <x v="1"/>
    <x v="4"/>
    <n v="185.34899999999999"/>
    <n v="176"/>
    <n v="5.3119318181818125"/>
  </r>
  <r>
    <s v="Multihop,STnet,100"/>
    <x v="1"/>
    <x v="1"/>
    <x v="4"/>
    <n v="168.76499999999999"/>
    <n v="176"/>
    <n v="4.1107954545454621"/>
  </r>
  <r>
    <s v="Multihop,STnet,100"/>
    <x v="1"/>
    <x v="1"/>
    <x v="4"/>
    <n v="155.619"/>
    <n v="176"/>
    <n v="11.580113636363636"/>
  </r>
  <r>
    <s v="Multihop,STnet,100"/>
    <x v="1"/>
    <x v="1"/>
    <x v="4"/>
    <n v="141.74700000000001"/>
    <n v="176"/>
    <n v="19.46193181818181"/>
  </r>
  <r>
    <s v="Multihop,STnet,100"/>
    <x v="1"/>
    <x v="1"/>
    <x v="4"/>
    <n v="144.62299999999999"/>
    <n v="176"/>
    <n v="17.827840909090913"/>
  </r>
  <r>
    <s v="Multihop,STnet,100"/>
    <x v="1"/>
    <x v="1"/>
    <x v="4"/>
    <n v="173.76499999999999"/>
    <n v="176"/>
    <n v="1.2698863636363715"/>
  </r>
  <r>
    <s v="Multihop,STnet,100"/>
    <x v="1"/>
    <x v="1"/>
    <x v="4"/>
    <n v="194.17400000000001"/>
    <n v="176"/>
    <n v="10.326136363636367"/>
  </r>
  <r>
    <s v="Multihop,STnet,100"/>
    <x v="1"/>
    <x v="1"/>
    <x v="4"/>
    <n v="164.33099999999999"/>
    <n v="176"/>
    <n v="6.6301136363636424"/>
  </r>
  <r>
    <s v="Multihop,STnet,100"/>
    <x v="1"/>
    <x v="1"/>
    <x v="4"/>
    <n v="180.46899999999999"/>
    <n v="176"/>
    <n v="2.5392045454545422"/>
  </r>
  <r>
    <s v="Multihop,STnet,100"/>
    <x v="1"/>
    <x v="1"/>
    <x v="4"/>
    <n v="179.90700000000001"/>
    <n v="176"/>
    <n v="2.2198863636363697"/>
  </r>
  <r>
    <s v="Multihop,STnet,100"/>
    <x v="1"/>
    <x v="1"/>
    <x v="4"/>
    <n v="176.64400000000001"/>
    <n v="176"/>
    <n v="0.36590909090909401"/>
  </r>
  <r>
    <s v="Multihop,STnet,100"/>
    <x v="1"/>
    <x v="1"/>
    <x v="4"/>
    <n v="178.154"/>
    <n v="176"/>
    <n v="1.2238636363636342"/>
  </r>
  <r>
    <s v="Multihop,STnet,100"/>
    <x v="1"/>
    <x v="1"/>
    <x v="4"/>
    <n v="165.279"/>
    <n v="176"/>
    <n v="6.0914772727272748"/>
  </r>
  <r>
    <s v="Multihop,STnet,120"/>
    <x v="1"/>
    <x v="1"/>
    <x v="5"/>
    <n v="233.87799999999999"/>
    <e v="#N/A"/>
    <e v="#N/A"/>
  </r>
  <r>
    <s v="Multihop,STnet,120"/>
    <x v="1"/>
    <x v="1"/>
    <x v="5"/>
    <n v="187.036"/>
    <e v="#N/A"/>
    <e v="#N/A"/>
  </r>
  <r>
    <s v="Multihop,STnet,120"/>
    <x v="1"/>
    <x v="1"/>
    <x v="5"/>
    <n v="206.148"/>
    <e v="#N/A"/>
    <e v="#N/A"/>
  </r>
  <r>
    <s v="Multihop,STnet,120"/>
    <x v="1"/>
    <x v="1"/>
    <x v="5"/>
    <n v="176.27600000000001"/>
    <e v="#N/A"/>
    <e v="#N/A"/>
  </r>
  <r>
    <s v="Multihop,STnet,120"/>
    <x v="1"/>
    <x v="1"/>
    <x v="5"/>
    <n v="189.37"/>
    <e v="#N/A"/>
    <e v="#N/A"/>
  </r>
  <r>
    <s v="Multihop,STnet,120"/>
    <x v="1"/>
    <x v="1"/>
    <x v="5"/>
    <n v="170.86199999999999"/>
    <e v="#N/A"/>
    <e v="#N/A"/>
  </r>
  <r>
    <s v="Multihop,STnet,120"/>
    <x v="1"/>
    <x v="1"/>
    <x v="5"/>
    <n v="251.077"/>
    <e v="#N/A"/>
    <e v="#N/A"/>
  </r>
  <r>
    <s v="Multihop,STnet,120"/>
    <x v="1"/>
    <x v="1"/>
    <x v="5"/>
    <n v="164.571"/>
    <e v="#N/A"/>
    <e v="#N/A"/>
  </r>
  <r>
    <s v="Multihop,STnet,120"/>
    <x v="1"/>
    <x v="1"/>
    <x v="5"/>
    <n v="216.71100000000001"/>
    <e v="#N/A"/>
    <e v="#N/A"/>
  </r>
  <r>
    <s v="Multihop,STnet,120"/>
    <x v="1"/>
    <x v="1"/>
    <x v="5"/>
    <n v="210.334"/>
    <e v="#N/A"/>
    <e v="#N/A"/>
  </r>
  <r>
    <s v="Multihop,STnet,120"/>
    <x v="1"/>
    <x v="1"/>
    <x v="5"/>
    <n v="225.62200000000001"/>
    <e v="#N/A"/>
    <e v="#N/A"/>
  </r>
  <r>
    <s v="Multihop,STnet,120"/>
    <x v="1"/>
    <x v="1"/>
    <x v="5"/>
    <n v="185.15899999999999"/>
    <e v="#N/A"/>
    <e v="#N/A"/>
  </r>
  <r>
    <s v="Multihop,STnet,120"/>
    <x v="1"/>
    <x v="1"/>
    <x v="5"/>
    <n v="183.30699999999999"/>
    <e v="#N/A"/>
    <e v="#N/A"/>
  </r>
  <r>
    <s v="Multihop,STnet,120"/>
    <x v="1"/>
    <x v="1"/>
    <x v="5"/>
    <n v="179.43"/>
    <e v="#N/A"/>
    <e v="#N/A"/>
  </r>
  <r>
    <s v="Multihop,STnet,120"/>
    <x v="1"/>
    <x v="1"/>
    <x v="5"/>
    <n v="213.70699999999999"/>
    <e v="#N/A"/>
    <e v="#N/A"/>
  </r>
  <r>
    <s v="Multihop,STnet,120"/>
    <x v="1"/>
    <x v="1"/>
    <x v="5"/>
    <n v="199.839"/>
    <e v="#N/A"/>
    <e v="#N/A"/>
  </r>
  <r>
    <s v="Multihop,STnet,120"/>
    <x v="1"/>
    <x v="1"/>
    <x v="5"/>
    <n v="212.05799999999999"/>
    <e v="#N/A"/>
    <e v="#N/A"/>
  </r>
  <r>
    <s v="Multihop,STnet,120"/>
    <x v="1"/>
    <x v="1"/>
    <x v="5"/>
    <n v="208.637"/>
    <e v="#N/A"/>
    <e v="#N/A"/>
  </r>
  <r>
    <s v="Multihop,STnet,120"/>
    <x v="1"/>
    <x v="1"/>
    <x v="5"/>
    <n v="219.64699999999999"/>
    <e v="#N/A"/>
    <e v="#N/A"/>
  </r>
  <r>
    <s v="Multihop,STnet,120"/>
    <x v="1"/>
    <x v="1"/>
    <x v="5"/>
    <n v="222.351"/>
    <e v="#N/A"/>
    <e v="#N/A"/>
  </r>
  <r>
    <s v="Multihop,STnet,120"/>
    <x v="1"/>
    <x v="1"/>
    <x v="5"/>
    <n v="218.85300000000001"/>
    <e v="#N/A"/>
    <e v="#N/A"/>
  </r>
  <r>
    <s v="Multihop,STnet,120"/>
    <x v="1"/>
    <x v="1"/>
    <x v="5"/>
    <n v="233.321"/>
    <e v="#N/A"/>
    <e v="#N/A"/>
  </r>
  <r>
    <s v="Multihop,STnet,120"/>
    <x v="1"/>
    <x v="1"/>
    <x v="5"/>
    <n v="220.131"/>
    <e v="#N/A"/>
    <e v="#N/A"/>
  </r>
  <r>
    <s v="Multihop,STnet,120"/>
    <x v="1"/>
    <x v="1"/>
    <x v="5"/>
    <n v="171.76499999999999"/>
    <e v="#N/A"/>
    <e v="#N/A"/>
  </r>
  <r>
    <s v="Multihop,STnet,120"/>
    <x v="1"/>
    <x v="1"/>
    <x v="5"/>
    <n v="202.85599999999999"/>
    <e v="#N/A"/>
    <e v="#N/A"/>
  </r>
  <r>
    <s v="Multihop,STnet,120"/>
    <x v="1"/>
    <x v="1"/>
    <x v="5"/>
    <n v="216.392"/>
    <e v="#N/A"/>
    <e v="#N/A"/>
  </r>
  <r>
    <s v="Multihop,STnet,120"/>
    <x v="1"/>
    <x v="1"/>
    <x v="5"/>
    <n v="196.49199999999999"/>
    <e v="#N/A"/>
    <e v="#N/A"/>
  </r>
  <r>
    <s v="Multihop,STnet,120"/>
    <x v="1"/>
    <x v="1"/>
    <x v="5"/>
    <n v="223.87799999999999"/>
    <e v="#N/A"/>
    <e v="#N/A"/>
  </r>
  <r>
    <s v="Multihop,STnet,120"/>
    <x v="1"/>
    <x v="1"/>
    <x v="5"/>
    <n v="222.86099999999999"/>
    <e v="#N/A"/>
    <e v="#N/A"/>
  </r>
  <r>
    <s v="Multihop,STnet,120"/>
    <x v="1"/>
    <x v="1"/>
    <x v="5"/>
    <n v="240.72900000000001"/>
    <e v="#N/A"/>
    <e v="#N/A"/>
  </r>
  <r>
    <s v="Multihop,STnet,120"/>
    <x v="1"/>
    <x v="1"/>
    <x v="5"/>
    <n v="218.41499999999999"/>
    <e v="#N/A"/>
    <e v="#N/A"/>
  </r>
  <r>
    <s v="Multihop,STnet,120"/>
    <x v="1"/>
    <x v="1"/>
    <x v="5"/>
    <n v="198.94"/>
    <e v="#N/A"/>
    <e v="#N/A"/>
  </r>
  <r>
    <s v="Multihop,STnet,120"/>
    <x v="1"/>
    <x v="1"/>
    <x v="5"/>
    <n v="202.102"/>
    <e v="#N/A"/>
    <e v="#N/A"/>
  </r>
  <r>
    <s v="Multihop,STnet,120"/>
    <x v="1"/>
    <x v="1"/>
    <x v="5"/>
    <n v="208.929"/>
    <e v="#N/A"/>
    <e v="#N/A"/>
  </r>
  <r>
    <s v="Multihop,STnet,120"/>
    <x v="1"/>
    <x v="1"/>
    <x v="5"/>
    <n v="199.977"/>
    <e v="#N/A"/>
    <e v="#N/A"/>
  </r>
  <r>
    <s v="Multihop,STnet,120"/>
    <x v="1"/>
    <x v="1"/>
    <x v="5"/>
    <n v="231.93100000000001"/>
    <e v="#N/A"/>
    <e v="#N/A"/>
  </r>
  <r>
    <s v="Multihop,STnet,120"/>
    <x v="1"/>
    <x v="1"/>
    <x v="5"/>
    <n v="193.56399999999999"/>
    <e v="#N/A"/>
    <e v="#N/A"/>
  </r>
  <r>
    <s v="Multihop,STnet,120"/>
    <x v="1"/>
    <x v="1"/>
    <x v="5"/>
    <n v="171.20699999999999"/>
    <e v="#N/A"/>
    <e v="#N/A"/>
  </r>
  <r>
    <s v="Multihop,STnet,120"/>
    <x v="1"/>
    <x v="1"/>
    <x v="5"/>
    <n v="196.56399999999999"/>
    <e v="#N/A"/>
    <e v="#N/A"/>
  </r>
  <r>
    <s v="Multihop,STnet,120"/>
    <x v="1"/>
    <x v="1"/>
    <x v="5"/>
    <n v="224.899"/>
    <e v="#N/A"/>
    <e v="#N/A"/>
  </r>
  <r>
    <s v="Multihop,STnet,120"/>
    <x v="1"/>
    <x v="1"/>
    <x v="5"/>
    <n v="185.93299999999999"/>
    <e v="#N/A"/>
    <e v="#N/A"/>
  </r>
  <r>
    <s v="Multihop,STnet,120"/>
    <x v="1"/>
    <x v="1"/>
    <x v="5"/>
    <n v="222.63399999999999"/>
    <e v="#N/A"/>
    <e v="#N/A"/>
  </r>
  <r>
    <s v="Multihop,STnet,120"/>
    <x v="1"/>
    <x v="1"/>
    <x v="5"/>
    <n v="215.316"/>
    <e v="#N/A"/>
    <e v="#N/A"/>
  </r>
  <r>
    <s v="Multihop,STnet,120"/>
    <x v="1"/>
    <x v="1"/>
    <x v="5"/>
    <n v="218.90899999999999"/>
    <e v="#N/A"/>
    <e v="#N/A"/>
  </r>
  <r>
    <s v="Multihop,STnet,120"/>
    <x v="1"/>
    <x v="1"/>
    <x v="5"/>
    <n v="189.24799999999999"/>
    <e v="#N/A"/>
    <e v="#N/A"/>
  </r>
  <r>
    <s v="Multihop,STnet,120"/>
    <x v="1"/>
    <x v="1"/>
    <x v="5"/>
    <n v="204.07499999999999"/>
    <e v="#N/A"/>
    <e v="#N/A"/>
  </r>
  <r>
    <s v="Multihop,STnet,120"/>
    <x v="1"/>
    <x v="1"/>
    <x v="5"/>
    <n v="209.857"/>
    <e v="#N/A"/>
    <e v="#N/A"/>
  </r>
  <r>
    <s v="Multihop,STnet,120"/>
    <x v="1"/>
    <x v="1"/>
    <x v="5"/>
    <n v="189.37"/>
    <e v="#N/A"/>
    <e v="#N/A"/>
  </r>
  <r>
    <s v="Multihop,STnet,120"/>
    <x v="1"/>
    <x v="1"/>
    <x v="5"/>
    <n v="179.64400000000001"/>
    <e v="#N/A"/>
    <e v="#N/A"/>
  </r>
  <r>
    <s v="Multihop,STnet,120"/>
    <x v="1"/>
    <x v="1"/>
    <x v="5"/>
    <n v="192.762"/>
    <e v="#N/A"/>
    <e v="#N/A"/>
  </r>
  <r>
    <s v="Multihop,STnet,120"/>
    <x v="1"/>
    <x v="1"/>
    <x v="5"/>
    <n v="164.47"/>
    <e v="#N/A"/>
    <e v="#N/A"/>
  </r>
  <r>
    <s v="Multihop,STnet,120"/>
    <x v="1"/>
    <x v="1"/>
    <x v="5"/>
    <n v="214.86099999999999"/>
    <e v="#N/A"/>
    <e v="#N/A"/>
  </r>
  <r>
    <s v="Multihop,STnet,120"/>
    <x v="1"/>
    <x v="1"/>
    <x v="5"/>
    <n v="212.715"/>
    <e v="#N/A"/>
    <e v="#N/A"/>
  </r>
  <r>
    <s v="Multihop,STnet,120"/>
    <x v="1"/>
    <x v="1"/>
    <x v="5"/>
    <n v="150.20599999999999"/>
    <e v="#N/A"/>
    <e v="#N/A"/>
  </r>
  <r>
    <s v="Multihop,STnet,120"/>
    <x v="1"/>
    <x v="1"/>
    <x v="5"/>
    <n v="185.251"/>
    <e v="#N/A"/>
    <e v="#N/A"/>
  </r>
  <r>
    <s v="Multihop,STnet,120"/>
    <x v="1"/>
    <x v="1"/>
    <x v="5"/>
    <n v="176.39699999999999"/>
    <e v="#N/A"/>
    <e v="#N/A"/>
  </r>
  <r>
    <s v="Multihop,STnet,120"/>
    <x v="1"/>
    <x v="1"/>
    <x v="5"/>
    <n v="177.053"/>
    <e v="#N/A"/>
    <e v="#N/A"/>
  </r>
  <r>
    <s v="Multihop,STnet,120"/>
    <x v="1"/>
    <x v="1"/>
    <x v="5"/>
    <n v="186.28399999999999"/>
    <e v="#N/A"/>
    <e v="#N/A"/>
  </r>
  <r>
    <s v="Multihop,STnet,120"/>
    <x v="1"/>
    <x v="1"/>
    <x v="5"/>
    <n v="227.72900000000001"/>
    <e v="#N/A"/>
    <e v="#N/A"/>
  </r>
  <r>
    <s v="Multihop,STnet,120"/>
    <x v="1"/>
    <x v="1"/>
    <x v="5"/>
    <n v="184.89099999999999"/>
    <e v="#N/A"/>
    <e v="#N/A"/>
  </r>
  <r>
    <s v="Multihop,STnet,120"/>
    <x v="1"/>
    <x v="1"/>
    <x v="5"/>
    <n v="199.85599999999999"/>
    <e v="#N/A"/>
    <e v="#N/A"/>
  </r>
  <r>
    <s v="Multihop,STnet,120"/>
    <x v="1"/>
    <x v="1"/>
    <x v="5"/>
    <n v="198.07400000000001"/>
    <e v="#N/A"/>
    <e v="#N/A"/>
  </r>
  <r>
    <s v="Multihop,STnet,120"/>
    <x v="1"/>
    <x v="1"/>
    <x v="5"/>
    <n v="194.523"/>
    <e v="#N/A"/>
    <e v="#N/A"/>
  </r>
  <r>
    <s v="Multihop,STnet,120"/>
    <x v="1"/>
    <x v="1"/>
    <x v="5"/>
    <n v="191.22399999999999"/>
    <e v="#N/A"/>
    <e v="#N/A"/>
  </r>
  <r>
    <s v="Multihop,STnet,120"/>
    <x v="1"/>
    <x v="1"/>
    <x v="5"/>
    <n v="191.01400000000001"/>
    <e v="#N/A"/>
    <e v="#N/A"/>
  </r>
  <r>
    <s v="Multihop,STnet,120"/>
    <x v="1"/>
    <x v="1"/>
    <x v="5"/>
    <n v="196.904"/>
    <e v="#N/A"/>
    <e v="#N/A"/>
  </r>
  <r>
    <s v="Multihop,STnet,120"/>
    <x v="1"/>
    <x v="1"/>
    <x v="5"/>
    <n v="158.18100000000001"/>
    <e v="#N/A"/>
    <e v="#N/A"/>
  </r>
  <r>
    <s v="Multihop,STnet,120"/>
    <x v="1"/>
    <x v="1"/>
    <x v="5"/>
    <n v="199.83199999999999"/>
    <e v="#N/A"/>
    <e v="#N/A"/>
  </r>
  <r>
    <s v="Multihop,STnet,120"/>
    <x v="1"/>
    <x v="1"/>
    <x v="5"/>
    <n v="215.06299999999999"/>
    <e v="#N/A"/>
    <e v="#N/A"/>
  </r>
  <r>
    <s v="Multihop,STnet,120"/>
    <x v="1"/>
    <x v="1"/>
    <x v="5"/>
    <n v="254.001"/>
    <e v="#N/A"/>
    <e v="#N/A"/>
  </r>
  <r>
    <s v="Multihop,STnet,120"/>
    <x v="1"/>
    <x v="1"/>
    <x v="5"/>
    <n v="167.18199999999999"/>
    <e v="#N/A"/>
    <e v="#N/A"/>
  </r>
  <r>
    <s v="Multihop,STnet,120"/>
    <x v="1"/>
    <x v="1"/>
    <x v="5"/>
    <n v="237.43700000000001"/>
    <e v="#N/A"/>
    <e v="#N/A"/>
  </r>
  <r>
    <s v="Multihop,STnet,120"/>
    <x v="1"/>
    <x v="1"/>
    <x v="5"/>
    <n v="166.10499999999999"/>
    <e v="#N/A"/>
    <e v="#N/A"/>
  </r>
  <r>
    <s v="Multihop,STnet,120"/>
    <x v="1"/>
    <x v="1"/>
    <x v="5"/>
    <n v="188.20699999999999"/>
    <e v="#N/A"/>
    <e v="#N/A"/>
  </r>
  <r>
    <s v="Multihop,STnet,120"/>
    <x v="1"/>
    <x v="1"/>
    <x v="5"/>
    <n v="234.05500000000001"/>
    <e v="#N/A"/>
    <e v="#N/A"/>
  </r>
  <r>
    <s v="Multihop,STnet,120"/>
    <x v="1"/>
    <x v="1"/>
    <x v="5"/>
    <n v="203.71100000000001"/>
    <e v="#N/A"/>
    <e v="#N/A"/>
  </r>
  <r>
    <s v="Multihop,STnet,120"/>
    <x v="1"/>
    <x v="1"/>
    <x v="5"/>
    <n v="170.27500000000001"/>
    <e v="#N/A"/>
    <e v="#N/A"/>
  </r>
  <r>
    <s v="Multihop,STnet,120"/>
    <x v="1"/>
    <x v="1"/>
    <x v="5"/>
    <n v="205.857"/>
    <e v="#N/A"/>
    <e v="#N/A"/>
  </r>
  <r>
    <s v="Multihop,STnet,120"/>
    <x v="1"/>
    <x v="1"/>
    <x v="5"/>
    <n v="204.00200000000001"/>
    <e v="#N/A"/>
    <e v="#N/A"/>
  </r>
  <r>
    <s v="Multihop,STnet,120"/>
    <x v="1"/>
    <x v="1"/>
    <x v="5"/>
    <n v="187.179"/>
    <e v="#N/A"/>
    <e v="#N/A"/>
  </r>
  <r>
    <s v="Multihop,STnet,120"/>
    <x v="1"/>
    <x v="1"/>
    <x v="5"/>
    <n v="204.297"/>
    <e v="#N/A"/>
    <e v="#N/A"/>
  </r>
  <r>
    <s v="Multihop,STnet,120"/>
    <x v="1"/>
    <x v="1"/>
    <x v="5"/>
    <n v="222.78800000000001"/>
    <e v="#N/A"/>
    <e v="#N/A"/>
  </r>
  <r>
    <s v="Multihop,STnet,120"/>
    <x v="1"/>
    <x v="1"/>
    <x v="5"/>
    <n v="181.81299999999999"/>
    <e v="#N/A"/>
    <e v="#N/A"/>
  </r>
  <r>
    <s v="Multihop,STnet,120"/>
    <x v="1"/>
    <x v="1"/>
    <x v="5"/>
    <n v="208.904"/>
    <e v="#N/A"/>
    <e v="#N/A"/>
  </r>
  <r>
    <s v="Multihop,STnet,120"/>
    <x v="1"/>
    <x v="1"/>
    <x v="5"/>
    <n v="201.328"/>
    <e v="#N/A"/>
    <e v="#N/A"/>
  </r>
  <r>
    <s v="Multihop,STnet,120"/>
    <x v="1"/>
    <x v="1"/>
    <x v="5"/>
    <n v="210.072"/>
    <e v="#N/A"/>
    <e v="#N/A"/>
  </r>
  <r>
    <s v="Multihop,STnet,120"/>
    <x v="1"/>
    <x v="1"/>
    <x v="5"/>
    <n v="211.07499999999999"/>
    <e v="#N/A"/>
    <e v="#N/A"/>
  </r>
  <r>
    <s v="Multihop,STnet,120"/>
    <x v="1"/>
    <x v="1"/>
    <x v="5"/>
    <n v="207.78"/>
    <e v="#N/A"/>
    <e v="#N/A"/>
  </r>
  <r>
    <s v="Multihop,STnet,120"/>
    <x v="1"/>
    <x v="1"/>
    <x v="5"/>
    <n v="196.126"/>
    <e v="#N/A"/>
    <e v="#N/A"/>
  </r>
  <r>
    <s v="Multihop,STnet,120"/>
    <x v="1"/>
    <x v="1"/>
    <x v="5"/>
    <n v="222.999"/>
    <e v="#N/A"/>
    <e v="#N/A"/>
  </r>
  <r>
    <s v="Multihop,STnet,120"/>
    <x v="1"/>
    <x v="1"/>
    <x v="5"/>
    <n v="207.05"/>
    <e v="#N/A"/>
    <e v="#N/A"/>
  </r>
  <r>
    <s v="Multihop,STnet,120"/>
    <x v="1"/>
    <x v="1"/>
    <x v="5"/>
    <n v="199.56399999999999"/>
    <e v="#N/A"/>
    <e v="#N/A"/>
  </r>
  <r>
    <s v="Multihop,STnet,120"/>
    <x v="1"/>
    <x v="1"/>
    <x v="5"/>
    <n v="223.535"/>
    <e v="#N/A"/>
    <e v="#N/A"/>
  </r>
  <r>
    <s v="Multihop,STnet,120"/>
    <x v="1"/>
    <x v="1"/>
    <x v="5"/>
    <n v="194.19900000000001"/>
    <e v="#N/A"/>
    <e v="#N/A"/>
  </r>
  <r>
    <s v="Multihop,STnet,120"/>
    <x v="1"/>
    <x v="1"/>
    <x v="5"/>
    <n v="194.054"/>
    <e v="#N/A"/>
    <e v="#N/A"/>
  </r>
  <r>
    <s v="Multihop,STnet,120"/>
    <x v="1"/>
    <x v="1"/>
    <x v="5"/>
    <n v="179.227"/>
    <e v="#N/A"/>
    <e v="#N/A"/>
  </r>
  <r>
    <s v="Multihop,STnet,120"/>
    <x v="1"/>
    <x v="1"/>
    <x v="5"/>
    <n v="176.03200000000001"/>
    <e v="#N/A"/>
    <e v="#N/A"/>
  </r>
  <r>
    <s v="Multihop,STnet,120"/>
    <x v="1"/>
    <x v="1"/>
    <x v="5"/>
    <n v="223.50899999999999"/>
    <e v="#N/A"/>
    <e v="#N/A"/>
  </r>
  <r>
    <s v="Multihop,STnet,120"/>
    <x v="1"/>
    <x v="1"/>
    <x v="5"/>
    <n v="178.91200000000001"/>
    <e v="#N/A"/>
    <e v="#N/A"/>
  </r>
  <r>
    <s v="Multihop,STnet,120"/>
    <x v="1"/>
    <x v="1"/>
    <x v="5"/>
    <n v="215.732"/>
    <e v="#N/A"/>
    <e v="#N/A"/>
  </r>
  <r>
    <s v="Multihop,USnet,20"/>
    <x v="1"/>
    <x v="2"/>
    <x v="0"/>
    <n v="797.32"/>
    <n v="750"/>
    <n v="6.3093333333333401"/>
  </r>
  <r>
    <s v="Multihop,USnet,20"/>
    <x v="1"/>
    <x v="2"/>
    <x v="0"/>
    <n v="820.62300000000005"/>
    <n v="750"/>
    <n v="9.4164000000000065"/>
  </r>
  <r>
    <s v="Multihop,USnet,20"/>
    <x v="1"/>
    <x v="2"/>
    <x v="0"/>
    <n v="828.03300000000002"/>
    <n v="750"/>
    <n v="10.404400000000003"/>
  </r>
  <r>
    <s v="Multihop,USnet,20"/>
    <x v="1"/>
    <x v="2"/>
    <x v="0"/>
    <n v="814.93600000000004"/>
    <n v="750"/>
    <n v="8.658133333333339"/>
  </r>
  <r>
    <s v="Multihop,USnet,20"/>
    <x v="1"/>
    <x v="2"/>
    <x v="0"/>
    <n v="812.52"/>
    <n v="750"/>
    <n v="8.3359999999999967"/>
  </r>
  <r>
    <s v="Multihop,USnet,20"/>
    <x v="1"/>
    <x v="2"/>
    <x v="0"/>
    <n v="814.95500000000004"/>
    <n v="750"/>
    <n v="8.6606666666666712"/>
  </r>
  <r>
    <s v="Multihop,USnet,20"/>
    <x v="1"/>
    <x v="2"/>
    <x v="0"/>
    <n v="824.16899999999998"/>
    <n v="750"/>
    <n v="9.8891999999999989"/>
  </r>
  <r>
    <s v="Multihop,USnet,20"/>
    <x v="1"/>
    <x v="2"/>
    <x v="0"/>
    <n v="825.10500000000002"/>
    <n v="750"/>
    <n v="10.014000000000003"/>
  </r>
  <r>
    <s v="Multihop,USnet,20"/>
    <x v="1"/>
    <x v="2"/>
    <x v="0"/>
    <n v="798.64499999999998"/>
    <n v="750"/>
    <n v="6.4859999999999971"/>
  </r>
  <r>
    <s v="Multihop,USnet,20"/>
    <x v="1"/>
    <x v="2"/>
    <x v="0"/>
    <n v="816.09799999999996"/>
    <n v="750"/>
    <n v="8.8130666666666606"/>
  </r>
  <r>
    <s v="Multihop,USnet,20"/>
    <x v="1"/>
    <x v="2"/>
    <x v="0"/>
    <n v="825.23500000000001"/>
    <n v="750"/>
    <n v="10.031333333333334"/>
  </r>
  <r>
    <s v="Multihop,USnet,20"/>
    <x v="1"/>
    <x v="2"/>
    <x v="0"/>
    <n v="821.60400000000004"/>
    <n v="750"/>
    <n v="9.5472000000000055"/>
  </r>
  <r>
    <s v="Multihop,USnet,20"/>
    <x v="1"/>
    <x v="2"/>
    <x v="0"/>
    <n v="826.36800000000005"/>
    <n v="750"/>
    <n v="10.182400000000007"/>
  </r>
  <r>
    <s v="Multihop,USnet,20"/>
    <x v="1"/>
    <x v="2"/>
    <x v="0"/>
    <n v="817.86"/>
    <n v="750"/>
    <n v="9.0480000000000018"/>
  </r>
  <r>
    <s v="Multihop,USnet,20"/>
    <x v="1"/>
    <x v="2"/>
    <x v="0"/>
    <n v="819.50900000000001"/>
    <n v="750"/>
    <n v="9.2678666666666683"/>
  </r>
  <r>
    <s v="Multihop,USnet,20"/>
    <x v="1"/>
    <x v="2"/>
    <x v="0"/>
    <n v="807.40300000000002"/>
    <n v="750"/>
    <n v="7.6537333333333359"/>
  </r>
  <r>
    <s v="Multihop,USnet,20"/>
    <x v="1"/>
    <x v="2"/>
    <x v="0"/>
    <n v="822.58600000000001"/>
    <n v="750"/>
    <n v="9.678133333333335"/>
  </r>
  <r>
    <s v="Multihop,USnet,20"/>
    <x v="1"/>
    <x v="2"/>
    <x v="0"/>
    <n v="820.19100000000003"/>
    <n v="750"/>
    <n v="9.358800000000004"/>
  </r>
  <r>
    <s v="Multihop,USnet,20"/>
    <x v="1"/>
    <x v="2"/>
    <x v="0"/>
    <n v="816.76800000000003"/>
    <n v="750"/>
    <n v="8.9024000000000036"/>
  </r>
  <r>
    <s v="Multihop,USnet,20"/>
    <x v="1"/>
    <x v="2"/>
    <x v="0"/>
    <n v="805.80200000000002"/>
    <n v="750"/>
    <n v="7.4402666666666697"/>
  </r>
  <r>
    <s v="Multihop,USnet,20"/>
    <x v="1"/>
    <x v="2"/>
    <x v="0"/>
    <n v="822.32799999999997"/>
    <n v="750"/>
    <n v="9.6437333333333299"/>
  </r>
  <r>
    <s v="Multihop,USnet,20"/>
    <x v="1"/>
    <x v="2"/>
    <x v="0"/>
    <n v="808.49800000000005"/>
    <n v="750"/>
    <n v="7.7997333333333394"/>
  </r>
  <r>
    <s v="Multihop,USnet,20"/>
    <x v="1"/>
    <x v="2"/>
    <x v="0"/>
    <n v="826.14700000000005"/>
    <n v="750"/>
    <n v="10.15293333333334"/>
  </r>
  <r>
    <s v="Multihop,USnet,20"/>
    <x v="1"/>
    <x v="2"/>
    <x v="0"/>
    <n v="812.37699999999995"/>
    <n v="750"/>
    <n v="8.3169333333333277"/>
  </r>
  <r>
    <s v="Multihop,USnet,20"/>
    <x v="1"/>
    <x v="2"/>
    <x v="0"/>
    <n v="821.12900000000002"/>
    <n v="750"/>
    <n v="9.4838666666666693"/>
  </r>
  <r>
    <s v="Multihop,USnet,20"/>
    <x v="1"/>
    <x v="2"/>
    <x v="0"/>
    <n v="823.37699999999995"/>
    <n v="750"/>
    <n v="9.7835999999999945"/>
  </r>
  <r>
    <s v="Multihop,USnet,20"/>
    <x v="1"/>
    <x v="2"/>
    <x v="0"/>
    <n v="822.34"/>
    <n v="750"/>
    <n v="9.6453333333333369"/>
  </r>
  <r>
    <s v="Multihop,USnet,20"/>
    <x v="1"/>
    <x v="2"/>
    <x v="0"/>
    <n v="820.06600000000003"/>
    <n v="750"/>
    <n v="9.3421333333333365"/>
  </r>
  <r>
    <s v="Multihop,USnet,20"/>
    <x v="1"/>
    <x v="2"/>
    <x v="0"/>
    <n v="813.33500000000004"/>
    <n v="750"/>
    <n v="8.4446666666666719"/>
  </r>
  <r>
    <s v="Multihop,USnet,20"/>
    <x v="1"/>
    <x v="2"/>
    <x v="0"/>
    <n v="823.08399999999995"/>
    <n v="750"/>
    <n v="9.7445333333333259"/>
  </r>
  <r>
    <s v="Multihop,USnet,20"/>
    <x v="1"/>
    <x v="2"/>
    <x v="0"/>
    <n v="827.41399999999999"/>
    <n v="750"/>
    <n v="10.321866666666665"/>
  </r>
  <r>
    <s v="Multihop,USnet,20"/>
    <x v="1"/>
    <x v="2"/>
    <x v="0"/>
    <n v="814.45699999999999"/>
    <n v="750"/>
    <n v="8.5942666666666661"/>
  </r>
  <r>
    <s v="Multihop,USnet,20"/>
    <x v="1"/>
    <x v="2"/>
    <x v="0"/>
    <n v="815.18899999999996"/>
    <n v="750"/>
    <n v="8.6918666666666624"/>
  </r>
  <r>
    <s v="Multihop,USnet,20"/>
    <x v="1"/>
    <x v="2"/>
    <x v="0"/>
    <n v="819.49800000000005"/>
    <n v="750"/>
    <n v="9.2664000000000062"/>
  </r>
  <r>
    <s v="Multihop,USnet,20"/>
    <x v="1"/>
    <x v="2"/>
    <x v="0"/>
    <n v="803.62199999999996"/>
    <n v="750"/>
    <n v="7.1495999999999951"/>
  </r>
  <r>
    <s v="Multihop,USnet,20"/>
    <x v="1"/>
    <x v="2"/>
    <x v="0"/>
    <n v="815.00199999999995"/>
    <n v="750"/>
    <n v="8.6669333333333256"/>
  </r>
  <r>
    <s v="Multihop,USnet,20"/>
    <x v="1"/>
    <x v="2"/>
    <x v="0"/>
    <n v="807.84199999999998"/>
    <n v="750"/>
    <n v="7.7122666666666646"/>
  </r>
  <r>
    <s v="Multihop,USnet,20"/>
    <x v="1"/>
    <x v="2"/>
    <x v="0"/>
    <n v="813.43700000000001"/>
    <n v="750"/>
    <n v="8.4582666666666686"/>
  </r>
  <r>
    <s v="Multihop,USnet,20"/>
    <x v="1"/>
    <x v="2"/>
    <x v="0"/>
    <n v="816.12300000000005"/>
    <n v="750"/>
    <n v="8.8164000000000069"/>
  </r>
  <r>
    <s v="Multihop,USnet,20"/>
    <x v="1"/>
    <x v="2"/>
    <x v="0"/>
    <n v="817.96900000000005"/>
    <n v="750"/>
    <n v="9.0625333333333398"/>
  </r>
  <r>
    <s v="Multihop,USnet,20"/>
    <x v="1"/>
    <x v="2"/>
    <x v="0"/>
    <n v="820.10699999999997"/>
    <n v="750"/>
    <n v="9.3475999999999964"/>
  </r>
  <r>
    <s v="Multihop,USnet,20"/>
    <x v="1"/>
    <x v="2"/>
    <x v="0"/>
    <n v="805.17600000000004"/>
    <n v="750"/>
    <n v="7.356800000000006"/>
  </r>
  <r>
    <s v="Multihop,USnet,20"/>
    <x v="1"/>
    <x v="2"/>
    <x v="0"/>
    <n v="803.59199999999998"/>
    <n v="750"/>
    <n v="7.1455999999999982"/>
  </r>
  <r>
    <s v="Multihop,USnet,20"/>
    <x v="1"/>
    <x v="2"/>
    <x v="0"/>
    <n v="819.62300000000005"/>
    <n v="750"/>
    <n v="9.2830666666666737"/>
  </r>
  <r>
    <s v="Multihop,USnet,20"/>
    <x v="1"/>
    <x v="2"/>
    <x v="0"/>
    <n v="833.61199999999997"/>
    <n v="750"/>
    <n v="11.148266666666661"/>
  </r>
  <r>
    <s v="Multihop,USnet,20"/>
    <x v="1"/>
    <x v="2"/>
    <x v="0"/>
    <n v="826.26900000000001"/>
    <n v="750"/>
    <n v="10.1692"/>
  </r>
  <r>
    <s v="Multihop,USnet,20"/>
    <x v="1"/>
    <x v="2"/>
    <x v="0"/>
    <n v="822.95100000000002"/>
    <n v="750"/>
    <n v="9.7268000000000043"/>
  </r>
  <r>
    <s v="Multihop,USnet,20"/>
    <x v="1"/>
    <x v="2"/>
    <x v="0"/>
    <n v="812.46299999999997"/>
    <n v="750"/>
    <n v="8.3283999999999949"/>
  </r>
  <r>
    <s v="Multihop,USnet,20"/>
    <x v="1"/>
    <x v="2"/>
    <x v="0"/>
    <n v="824.846"/>
    <n v="750"/>
    <n v="9.9794666666666672"/>
  </r>
  <r>
    <s v="Multihop,USnet,20"/>
    <x v="1"/>
    <x v="2"/>
    <x v="0"/>
    <n v="812.64400000000001"/>
    <n v="750"/>
    <n v="8.3525333333333336"/>
  </r>
  <r>
    <s v="Multihop,USnet,20"/>
    <x v="1"/>
    <x v="2"/>
    <x v="0"/>
    <n v="819.75699999999995"/>
    <n v="750"/>
    <n v="9.3009333333333259"/>
  </r>
  <r>
    <s v="Multihop,USnet,20"/>
    <x v="1"/>
    <x v="2"/>
    <x v="0"/>
    <n v="830.56"/>
    <n v="750"/>
    <n v="10.741333333333326"/>
  </r>
  <r>
    <s v="Multihop,USnet,20"/>
    <x v="1"/>
    <x v="2"/>
    <x v="0"/>
    <n v="817.07"/>
    <n v="750"/>
    <n v="8.942666666666673"/>
  </r>
  <r>
    <s v="Multihop,USnet,20"/>
    <x v="1"/>
    <x v="2"/>
    <x v="0"/>
    <n v="816.07799999999997"/>
    <n v="750"/>
    <n v="8.810399999999996"/>
  </r>
  <r>
    <s v="Multihop,USnet,20"/>
    <x v="1"/>
    <x v="2"/>
    <x v="0"/>
    <n v="815.66899999999998"/>
    <n v="750"/>
    <n v="8.7558666666666642"/>
  </r>
  <r>
    <s v="Multihop,USnet,20"/>
    <x v="1"/>
    <x v="2"/>
    <x v="0"/>
    <n v="828.572"/>
    <n v="750"/>
    <n v="10.476266666666668"/>
  </r>
  <r>
    <s v="Multihop,USnet,20"/>
    <x v="1"/>
    <x v="2"/>
    <x v="0"/>
    <n v="813.36800000000005"/>
    <n v="750"/>
    <n v="8.4490666666666741"/>
  </r>
  <r>
    <s v="Multihop,USnet,20"/>
    <x v="1"/>
    <x v="2"/>
    <x v="0"/>
    <n v="815.94399999999996"/>
    <n v="750"/>
    <n v="8.7925333333333278"/>
  </r>
  <r>
    <s v="Multihop,USnet,20"/>
    <x v="1"/>
    <x v="2"/>
    <x v="0"/>
    <n v="811.84500000000003"/>
    <n v="750"/>
    <n v="8.246000000000004"/>
  </r>
  <r>
    <s v="Multihop,USnet,20"/>
    <x v="1"/>
    <x v="2"/>
    <x v="0"/>
    <n v="809.91"/>
    <n v="750"/>
    <n v="7.9879999999999951"/>
  </r>
  <r>
    <s v="Multihop,USnet,20"/>
    <x v="1"/>
    <x v="2"/>
    <x v="0"/>
    <n v="820.12900000000002"/>
    <n v="750"/>
    <n v="9.3505333333333365"/>
  </r>
  <r>
    <s v="Multihop,USnet,20"/>
    <x v="1"/>
    <x v="2"/>
    <x v="0"/>
    <n v="818.80100000000004"/>
    <n v="750"/>
    <n v="9.1734666666666733"/>
  </r>
  <r>
    <s v="Multihop,USnet,20"/>
    <x v="1"/>
    <x v="2"/>
    <x v="0"/>
    <n v="820.55200000000002"/>
    <n v="750"/>
    <n v="9.4069333333333365"/>
  </r>
  <r>
    <s v="Multihop,USnet,20"/>
    <x v="1"/>
    <x v="2"/>
    <x v="0"/>
    <n v="828.51700000000005"/>
    <n v="750"/>
    <n v="10.468933333333339"/>
  </r>
  <r>
    <s v="Multihop,USnet,20"/>
    <x v="1"/>
    <x v="2"/>
    <x v="0"/>
    <n v="814.90300000000002"/>
    <n v="750"/>
    <n v="8.6537333333333351"/>
  </r>
  <r>
    <s v="Multihop,USnet,20"/>
    <x v="1"/>
    <x v="2"/>
    <x v="0"/>
    <n v="814.40800000000002"/>
    <n v="750"/>
    <n v="8.5877333333333343"/>
  </r>
  <r>
    <s v="Multihop,USnet,20"/>
    <x v="1"/>
    <x v="2"/>
    <x v="0"/>
    <n v="813.83500000000004"/>
    <n v="750"/>
    <n v="8.5113333333333383"/>
  </r>
  <r>
    <s v="Multihop,USnet,20"/>
    <x v="1"/>
    <x v="2"/>
    <x v="0"/>
    <n v="817.1"/>
    <n v="750"/>
    <n v="8.946666666666669"/>
  </r>
  <r>
    <s v="Multihop,USnet,20"/>
    <x v="1"/>
    <x v="2"/>
    <x v="0"/>
    <n v="812.49099999999999"/>
    <n v="750"/>
    <n v="8.3321333333333314"/>
  </r>
  <r>
    <s v="Multihop,USnet,20"/>
    <x v="1"/>
    <x v="2"/>
    <x v="0"/>
    <n v="813.35500000000002"/>
    <n v="750"/>
    <n v="8.4473333333333365"/>
  </r>
  <r>
    <s v="Multihop,USnet,20"/>
    <x v="1"/>
    <x v="2"/>
    <x v="0"/>
    <n v="808.92600000000004"/>
    <n v="750"/>
    <n v="7.8568000000000051"/>
  </r>
  <r>
    <s v="Multihop,USnet,20"/>
    <x v="1"/>
    <x v="2"/>
    <x v="0"/>
    <n v="817.827"/>
    <n v="750"/>
    <n v="9.0435999999999996"/>
  </r>
  <r>
    <s v="Multihop,USnet,20"/>
    <x v="1"/>
    <x v="2"/>
    <x v="0"/>
    <n v="811.77300000000002"/>
    <n v="750"/>
    <n v="8.2364000000000033"/>
  </r>
  <r>
    <s v="Multihop,USnet,20"/>
    <x v="1"/>
    <x v="2"/>
    <x v="0"/>
    <n v="823.822"/>
    <n v="750"/>
    <n v="9.8429333333333346"/>
  </r>
  <r>
    <s v="Multihop,USnet,20"/>
    <x v="1"/>
    <x v="2"/>
    <x v="0"/>
    <n v="824.43299999999999"/>
    <n v="750"/>
    <n v="9.9243999999999986"/>
  </r>
  <r>
    <s v="Multihop,USnet,20"/>
    <x v="1"/>
    <x v="2"/>
    <x v="0"/>
    <n v="813.93399999999997"/>
    <n v="750"/>
    <n v="8.5245333333333306"/>
  </r>
  <r>
    <s v="Multihop,USnet,20"/>
    <x v="1"/>
    <x v="2"/>
    <x v="0"/>
    <n v="815.08799999999997"/>
    <n v="750"/>
    <n v="8.6783999999999963"/>
  </r>
  <r>
    <s v="Multihop,USnet,20"/>
    <x v="1"/>
    <x v="2"/>
    <x v="0"/>
    <n v="823.59299999999996"/>
    <n v="750"/>
    <n v="9.8123999999999949"/>
  </r>
  <r>
    <s v="Multihop,USnet,20"/>
    <x v="1"/>
    <x v="2"/>
    <x v="0"/>
    <n v="834.68799999999999"/>
    <n v="750"/>
    <n v="11.291733333333331"/>
  </r>
  <r>
    <s v="Multihop,USnet,20"/>
    <x v="1"/>
    <x v="2"/>
    <x v="0"/>
    <n v="822.58600000000001"/>
    <n v="750"/>
    <n v="9.678133333333335"/>
  </r>
  <r>
    <s v="Multihop,USnet,20"/>
    <x v="1"/>
    <x v="2"/>
    <x v="0"/>
    <n v="819.96500000000003"/>
    <n v="750"/>
    <n v="9.3286666666666704"/>
  </r>
  <r>
    <s v="Multihop,USnet,20"/>
    <x v="1"/>
    <x v="2"/>
    <x v="0"/>
    <n v="815.74400000000003"/>
    <n v="750"/>
    <n v="8.7658666666666711"/>
  </r>
  <r>
    <s v="Multihop,USnet,20"/>
    <x v="1"/>
    <x v="2"/>
    <x v="0"/>
    <n v="813.80899999999997"/>
    <n v="750"/>
    <n v="8.5078666666666614"/>
  </r>
  <r>
    <s v="Multihop,USnet,20"/>
    <x v="1"/>
    <x v="2"/>
    <x v="0"/>
    <n v="811.37400000000002"/>
    <n v="750"/>
    <n v="8.1832000000000029"/>
  </r>
  <r>
    <s v="Multihop,USnet,20"/>
    <x v="1"/>
    <x v="2"/>
    <x v="0"/>
    <n v="812.28300000000002"/>
    <n v="750"/>
    <n v="8.3044000000000029"/>
  </r>
  <r>
    <s v="Multihop,USnet,20"/>
    <x v="1"/>
    <x v="2"/>
    <x v="0"/>
    <n v="817.04100000000005"/>
    <n v="750"/>
    <n v="8.9388000000000059"/>
  </r>
  <r>
    <s v="Multihop,USnet,20"/>
    <x v="1"/>
    <x v="2"/>
    <x v="0"/>
    <n v="813.16099999999994"/>
    <n v="750"/>
    <n v="8.4214666666666584"/>
  </r>
  <r>
    <s v="Multihop,USnet,20"/>
    <x v="1"/>
    <x v="2"/>
    <x v="0"/>
    <n v="806.76400000000001"/>
    <n v="750"/>
    <n v="7.5685333333333338"/>
  </r>
  <r>
    <s v="Multihop,USnet,20"/>
    <x v="1"/>
    <x v="2"/>
    <x v="0"/>
    <n v="818.45299999999997"/>
    <n v="750"/>
    <n v="9.1270666666666642"/>
  </r>
  <r>
    <s v="Multihop,USnet,20"/>
    <x v="1"/>
    <x v="2"/>
    <x v="0"/>
    <n v="809.29200000000003"/>
    <n v="750"/>
    <n v="7.9056000000000042"/>
  </r>
  <r>
    <s v="Multihop,USnet,20"/>
    <x v="1"/>
    <x v="2"/>
    <x v="0"/>
    <n v="803.22199999999998"/>
    <n v="750"/>
    <n v="7.0962666666666649"/>
  </r>
  <r>
    <s v="Multihop,USnet,20"/>
    <x v="1"/>
    <x v="2"/>
    <x v="0"/>
    <n v="811.60400000000004"/>
    <n v="750"/>
    <n v="8.2138666666666715"/>
  </r>
  <r>
    <s v="Multihop,USnet,20"/>
    <x v="1"/>
    <x v="2"/>
    <x v="0"/>
    <n v="817.46400000000006"/>
    <n v="750"/>
    <n v="8.9952000000000076"/>
  </r>
  <r>
    <s v="Multihop,USnet,20"/>
    <x v="1"/>
    <x v="2"/>
    <x v="0"/>
    <n v="828.50800000000004"/>
    <n v="750"/>
    <n v="10.467733333333339"/>
  </r>
  <r>
    <s v="Multihop,USnet,20"/>
    <x v="1"/>
    <x v="2"/>
    <x v="0"/>
    <n v="812.48599999999999"/>
    <n v="750"/>
    <n v="8.3314666666666639"/>
  </r>
  <r>
    <s v="Multihop,USnet,20"/>
    <x v="1"/>
    <x v="2"/>
    <x v="0"/>
    <n v="821.62199999999996"/>
    <n v="750"/>
    <n v="9.5495999999999945"/>
  </r>
  <r>
    <s v="Multihop,USnet,20"/>
    <x v="1"/>
    <x v="2"/>
    <x v="0"/>
    <n v="807.64099999999996"/>
    <n v="750"/>
    <n v="7.6854666666666613"/>
  </r>
  <r>
    <s v="Multihop,USnet,20"/>
    <x v="1"/>
    <x v="2"/>
    <x v="0"/>
    <n v="811.38900000000001"/>
    <n v="750"/>
    <n v="8.1852"/>
  </r>
  <r>
    <s v="Multihop,USnet,20"/>
    <x v="1"/>
    <x v="2"/>
    <x v="0"/>
    <n v="803.35299999999995"/>
    <n v="750"/>
    <n v="7.113733333333327"/>
  </r>
  <r>
    <s v="Multihop,USnet,20"/>
    <x v="1"/>
    <x v="2"/>
    <x v="0"/>
    <n v="815.50400000000002"/>
    <n v="750"/>
    <n v="8.7338666666666693"/>
  </r>
  <r>
    <s v="Multihop,USnet,40"/>
    <x v="1"/>
    <x v="2"/>
    <x v="1"/>
    <n v="1424.627"/>
    <n v="1410"/>
    <n v="1.0373758865248193"/>
  </r>
  <r>
    <s v="Multihop,USnet,40"/>
    <x v="1"/>
    <x v="2"/>
    <x v="1"/>
    <n v="1416.05"/>
    <n v="1410"/>
    <n v="0.42907801418439395"/>
  </r>
  <r>
    <s v="Multihop,USnet,40"/>
    <x v="1"/>
    <x v="2"/>
    <x v="1"/>
    <n v="1407.2349999999999"/>
    <n v="1410"/>
    <n v="0.19609929078014893"/>
  </r>
  <r>
    <s v="Multihop,USnet,40"/>
    <x v="1"/>
    <x v="2"/>
    <x v="1"/>
    <n v="1409.7070000000001"/>
    <n v="1410"/>
    <n v="2.0780141843964019E-2"/>
  </r>
  <r>
    <s v="Multihop,USnet,40"/>
    <x v="1"/>
    <x v="2"/>
    <x v="1"/>
    <n v="1383.251"/>
    <n v="1410"/>
    <n v="1.8970921985815619"/>
  </r>
  <r>
    <s v="Multihop,USnet,40"/>
    <x v="1"/>
    <x v="2"/>
    <x v="1"/>
    <n v="1375.0909999999999"/>
    <n v="1410"/>
    <n v="2.475815602836887"/>
  </r>
  <r>
    <s v="Multihop,USnet,40"/>
    <x v="1"/>
    <x v="2"/>
    <x v="1"/>
    <n v="1397.3779999999999"/>
    <n v="1410"/>
    <n v="0.89517730496454406"/>
  </r>
  <r>
    <s v="Multihop,USnet,40"/>
    <x v="1"/>
    <x v="2"/>
    <x v="1"/>
    <n v="1419.11"/>
    <n v="1410"/>
    <n v="0.64609929078013473"/>
  </r>
  <r>
    <s v="Multihop,USnet,40"/>
    <x v="1"/>
    <x v="2"/>
    <x v="1"/>
    <n v="1399.2329999999999"/>
    <n v="1410"/>
    <n v="0.76361702127659947"/>
  </r>
  <r>
    <s v="Multihop,USnet,40"/>
    <x v="1"/>
    <x v="2"/>
    <x v="1"/>
    <n v="1423.3869999999999"/>
    <n v="1410"/>
    <n v="0.94943262411347118"/>
  </r>
  <r>
    <s v="Multihop,USnet,40"/>
    <x v="1"/>
    <x v="2"/>
    <x v="1"/>
    <n v="1415.8109999999999"/>
    <n v="1410"/>
    <n v="0.41212765957446257"/>
  </r>
  <r>
    <s v="Multihop,USnet,40"/>
    <x v="1"/>
    <x v="2"/>
    <x v="1"/>
    <n v="1418.2"/>
    <n v="1410"/>
    <n v="0.58156028368794643"/>
  </r>
  <r>
    <s v="Multihop,USnet,40"/>
    <x v="1"/>
    <x v="2"/>
    <x v="1"/>
    <n v="1402.4739999999999"/>
    <n v="1410"/>
    <n v="0.53375886524823168"/>
  </r>
  <r>
    <s v="Multihop,USnet,40"/>
    <x v="1"/>
    <x v="2"/>
    <x v="1"/>
    <n v="1438.4570000000001"/>
    <n v="1410"/>
    <n v="2.0182269503546175"/>
  </r>
  <r>
    <s v="Multihop,USnet,40"/>
    <x v="1"/>
    <x v="2"/>
    <x v="1"/>
    <n v="1424.117"/>
    <n v="1410"/>
    <n v="1.0012056737588626"/>
  </r>
  <r>
    <s v="Multihop,USnet,40"/>
    <x v="1"/>
    <x v="2"/>
    <x v="1"/>
    <n v="1430.8579999999999"/>
    <n v="1410"/>
    <n v="1.4792907801418402"/>
  </r>
  <r>
    <s v="Multihop,USnet,40"/>
    <x v="1"/>
    <x v="2"/>
    <x v="1"/>
    <n v="1397.3489999999999"/>
    <n v="1410"/>
    <n v="0.89723404255319628"/>
  </r>
  <r>
    <s v="Multihop,USnet,40"/>
    <x v="1"/>
    <x v="2"/>
    <x v="1"/>
    <n v="1417.47"/>
    <n v="1410"/>
    <n v="0.52978723404255512"/>
  </r>
  <r>
    <s v="Multihop,USnet,40"/>
    <x v="1"/>
    <x v="2"/>
    <x v="1"/>
    <n v="1411.1369999999999"/>
    <n v="1410"/>
    <n v="8.0638297872336437E-2"/>
  </r>
  <r>
    <s v="Multihop,USnet,40"/>
    <x v="1"/>
    <x v="2"/>
    <x v="1"/>
    <n v="1440.318"/>
    <n v="1410"/>
    <n v="2.1502127659574457"/>
  </r>
  <r>
    <s v="Multihop,USnet,40"/>
    <x v="1"/>
    <x v="2"/>
    <x v="1"/>
    <n v="1405.1320000000001"/>
    <n v="1410"/>
    <n v="0.34524822695035023"/>
  </r>
  <r>
    <s v="Multihop,USnet,40"/>
    <x v="1"/>
    <x v="2"/>
    <x v="1"/>
    <n v="1400.8869999999999"/>
    <n v="1410"/>
    <n v="0.64631205673759262"/>
  </r>
  <r>
    <s v="Multihop,USnet,40"/>
    <x v="1"/>
    <x v="2"/>
    <x v="1"/>
    <n v="1428.095"/>
    <n v="1410"/>
    <n v="1.2833333333333352"/>
  </r>
  <r>
    <s v="Multihop,USnet,40"/>
    <x v="1"/>
    <x v="2"/>
    <x v="1"/>
    <n v="1377.684"/>
    <n v="1410"/>
    <n v="2.2919148936170237"/>
  </r>
  <r>
    <s v="Multihop,USnet,40"/>
    <x v="1"/>
    <x v="2"/>
    <x v="1"/>
    <n v="1423.4880000000001"/>
    <n v="1410"/>
    <n v="0.95659574468085506"/>
  </r>
  <r>
    <s v="Multihop,USnet,40"/>
    <x v="1"/>
    <x v="2"/>
    <x v="1"/>
    <n v="1417.43"/>
    <n v="1410"/>
    <n v="0.52695035460993356"/>
  </r>
  <r>
    <s v="Multihop,USnet,40"/>
    <x v="1"/>
    <x v="2"/>
    <x v="1"/>
    <n v="1406.7159999999999"/>
    <n v="1410"/>
    <n v="0.23290780141844719"/>
  </r>
  <r>
    <s v="Multihop,USnet,40"/>
    <x v="1"/>
    <x v="2"/>
    <x v="1"/>
    <n v="1420.116"/>
    <n v="1410"/>
    <n v="0.71744680851063725"/>
  </r>
  <r>
    <s v="Multihop,USnet,40"/>
    <x v="1"/>
    <x v="2"/>
    <x v="1"/>
    <n v="1416.56"/>
    <n v="1410"/>
    <n v="0.46524822695035073"/>
  </r>
  <r>
    <s v="Multihop,USnet,40"/>
    <x v="1"/>
    <x v="2"/>
    <x v="1"/>
    <n v="1428.672"/>
    <n v="1410"/>
    <n v="1.3242553191489381"/>
  </r>
  <r>
    <s v="Multihop,USnet,40"/>
    <x v="1"/>
    <x v="2"/>
    <x v="1"/>
    <n v="1398.575"/>
    <n v="1410"/>
    <n v="0.81028368794325911"/>
  </r>
  <r>
    <s v="Multihop,USnet,40"/>
    <x v="1"/>
    <x v="2"/>
    <x v="1"/>
    <n v="1404.3589999999999"/>
    <n v="1410"/>
    <n v="0.40007092198582106"/>
  </r>
  <r>
    <s v="Multihop,USnet,40"/>
    <x v="1"/>
    <x v="2"/>
    <x v="1"/>
    <n v="1402.402"/>
    <n v="1410"/>
    <n v="0.53886524822694726"/>
  </r>
  <r>
    <s v="Multihop,USnet,40"/>
    <x v="1"/>
    <x v="2"/>
    <x v="1"/>
    <n v="1400.165"/>
    <n v="1410"/>
    <n v="0.69751773049645649"/>
  </r>
  <r>
    <s v="Multihop,USnet,40"/>
    <x v="1"/>
    <x v="2"/>
    <x v="1"/>
    <n v="1415.569"/>
    <n v="1410"/>
    <n v="0.39496453900708939"/>
  </r>
  <r>
    <s v="Multihop,USnet,40"/>
    <x v="1"/>
    <x v="2"/>
    <x v="1"/>
    <n v="1414.846"/>
    <n v="1410"/>
    <n v="0.34368794326241159"/>
  </r>
  <r>
    <s v="Multihop,USnet,40"/>
    <x v="1"/>
    <x v="2"/>
    <x v="1"/>
    <n v="1383.1310000000001"/>
    <n v="1410"/>
    <n v="1.9056028368794264"/>
  </r>
  <r>
    <s v="Multihop,USnet,40"/>
    <x v="1"/>
    <x v="2"/>
    <x v="1"/>
    <n v="1407.8109999999999"/>
    <n v="1410"/>
    <n v="0.15524822695036014"/>
  </r>
  <r>
    <s v="Multihop,USnet,40"/>
    <x v="1"/>
    <x v="2"/>
    <x v="1"/>
    <n v="1375.3389999999999"/>
    <n v="1410"/>
    <n v="2.4582269503546139"/>
  </r>
  <r>
    <s v="Multihop,USnet,40"/>
    <x v="1"/>
    <x v="2"/>
    <x v="1"/>
    <n v="1416.931"/>
    <n v="1410"/>
    <n v="0.49156028368794613"/>
  </r>
  <r>
    <s v="Multihop,USnet,40"/>
    <x v="1"/>
    <x v="2"/>
    <x v="1"/>
    <n v="1405.116"/>
    <n v="1410"/>
    <n v="0.34638297872340529"/>
  </r>
  <r>
    <s v="Multihop,USnet,40"/>
    <x v="1"/>
    <x v="2"/>
    <x v="1"/>
    <n v="1391.76"/>
    <n v="1410"/>
    <n v="1.2936170212765963"/>
  </r>
  <r>
    <s v="Multihop,USnet,40"/>
    <x v="1"/>
    <x v="2"/>
    <x v="1"/>
    <n v="1390.1310000000001"/>
    <n v="1410"/>
    <n v="1.4091489361702065"/>
  </r>
  <r>
    <s v="Multihop,USnet,40"/>
    <x v="1"/>
    <x v="2"/>
    <x v="1"/>
    <n v="1428.576"/>
    <n v="1410"/>
    <n v="1.3174468085106399"/>
  </r>
  <r>
    <s v="Multihop,USnet,40"/>
    <x v="1"/>
    <x v="2"/>
    <x v="1"/>
    <n v="1436.9580000000001"/>
    <n v="1410"/>
    <n v="1.9119148936170272"/>
  </r>
  <r>
    <s v="Multihop,USnet,40"/>
    <x v="1"/>
    <x v="2"/>
    <x v="1"/>
    <n v="1413.8309999999999"/>
    <n v="1410"/>
    <n v="0.27170212765956764"/>
  </r>
  <r>
    <s v="Multihop,USnet,40"/>
    <x v="1"/>
    <x v="2"/>
    <x v="1"/>
    <n v="1418.7529999999999"/>
    <n v="1410"/>
    <n v="0.62078014184396668"/>
  </r>
  <r>
    <s v="Multihop,USnet,40"/>
    <x v="1"/>
    <x v="2"/>
    <x v="1"/>
    <n v="1422.4880000000001"/>
    <n v="1410"/>
    <n v="0.88567375886525224"/>
  </r>
  <r>
    <s v="Multihop,USnet,40"/>
    <x v="1"/>
    <x v="2"/>
    <x v="1"/>
    <n v="1427.3689999999999"/>
    <n v="1410"/>
    <n v="1.2318439716311995"/>
  </r>
  <r>
    <s v="Multihop,USnet,40"/>
    <x v="1"/>
    <x v="2"/>
    <x v="1"/>
    <n v="1422.797"/>
    <n v="1410"/>
    <n v="0.90758865248227127"/>
  </r>
  <r>
    <s v="Multihop,USnet,40"/>
    <x v="1"/>
    <x v="2"/>
    <x v="1"/>
    <n v="1401.3869999999999"/>
    <n v="1410"/>
    <n v="0.61085106382979126"/>
  </r>
  <r>
    <s v="Multihop,USnet,40"/>
    <x v="1"/>
    <x v="2"/>
    <x v="1"/>
    <n v="1469.2049999999999"/>
    <n v="1410"/>
    <n v="4.198936170212761"/>
  </r>
  <r>
    <s v="Multihop,USnet,40"/>
    <x v="1"/>
    <x v="2"/>
    <x v="1"/>
    <n v="1402.241"/>
    <n v="1410"/>
    <n v="0.55028368794326343"/>
  </r>
  <r>
    <s v="Multihop,USnet,40"/>
    <x v="1"/>
    <x v="2"/>
    <x v="1"/>
    <n v="1442.9690000000001"/>
    <n v="1410"/>
    <n v="2.3382269503546138"/>
  </r>
  <r>
    <s v="Multihop,USnet,40"/>
    <x v="1"/>
    <x v="2"/>
    <x v="1"/>
    <n v="1438.126"/>
    <n v="1410"/>
    <n v="1.9947517730496436"/>
  </r>
  <r>
    <s v="Multihop,USnet,40"/>
    <x v="1"/>
    <x v="2"/>
    <x v="1"/>
    <n v="1443.0730000000001"/>
    <n v="1410"/>
    <n v="2.345602836879439"/>
  </r>
  <r>
    <s v="Multihop,USnet,40"/>
    <x v="1"/>
    <x v="2"/>
    <x v="1"/>
    <n v="1422.4590000000001"/>
    <n v="1410"/>
    <n v="0.88361702127660002"/>
  </r>
  <r>
    <s v="Multihop,USnet,40"/>
    <x v="1"/>
    <x v="2"/>
    <x v="1"/>
    <n v="1441.82"/>
    <n v="1410"/>
    <n v="2.2567375886524776"/>
  </r>
  <r>
    <s v="Multihop,USnet,40"/>
    <x v="1"/>
    <x v="2"/>
    <x v="1"/>
    <n v="1417.8589999999999"/>
    <n v="1410"/>
    <n v="0.55737588652481729"/>
  </r>
  <r>
    <s v="Multihop,USnet,40"/>
    <x v="1"/>
    <x v="2"/>
    <x v="1"/>
    <n v="1399.9"/>
    <n v="1410"/>
    <n v="0.71631205673758225"/>
  </r>
  <r>
    <s v="Multihop,USnet,40"/>
    <x v="1"/>
    <x v="2"/>
    <x v="1"/>
    <n v="1461.02"/>
    <n v="1410"/>
    <n v="3.6184397163120554"/>
  </r>
  <r>
    <s v="Multihop,USnet,40"/>
    <x v="1"/>
    <x v="2"/>
    <x v="1"/>
    <n v="1434.5219999999999"/>
    <n v="1410"/>
    <n v="1.7391489361702082"/>
  </r>
  <r>
    <s v="Multihop,USnet,40"/>
    <x v="1"/>
    <x v="2"/>
    <x v="1"/>
    <n v="1429.921"/>
    <n v="1410"/>
    <n v="1.4128368794326276"/>
  </r>
  <r>
    <s v="Multihop,USnet,40"/>
    <x v="1"/>
    <x v="2"/>
    <x v="1"/>
    <n v="1404.7670000000001"/>
    <n v="1410"/>
    <n v="0.37113475177304589"/>
  </r>
  <r>
    <s v="Multihop,USnet,40"/>
    <x v="1"/>
    <x v="2"/>
    <x v="1"/>
    <n v="1391.3109999999999"/>
    <n v="1410"/>
    <n v="1.3254609929078069"/>
  </r>
  <r>
    <s v="Multihop,USnet,40"/>
    <x v="1"/>
    <x v="2"/>
    <x v="1"/>
    <n v="1391.672"/>
    <n v="1410"/>
    <n v="1.2998581560283671"/>
  </r>
  <r>
    <s v="Multihop,USnet,40"/>
    <x v="1"/>
    <x v="2"/>
    <x v="1"/>
    <n v="1432.2840000000001"/>
    <n v="1410"/>
    <n v="1.5804255319149012"/>
  </r>
  <r>
    <s v="Multihop,USnet,40"/>
    <x v="1"/>
    <x v="2"/>
    <x v="1"/>
    <n v="1416.9760000000001"/>
    <n v="1410"/>
    <n v="0.4947517730496534"/>
  </r>
  <r>
    <s v="Multihop,USnet,40"/>
    <x v="1"/>
    <x v="2"/>
    <x v="1"/>
    <n v="1393.298"/>
    <n v="1410"/>
    <n v="1.1845390070921984"/>
  </r>
  <r>
    <s v="Multihop,USnet,40"/>
    <x v="1"/>
    <x v="2"/>
    <x v="1"/>
    <n v="1403.66"/>
    <n v="1410"/>
    <n v="0.4496453900709162"/>
  </r>
  <r>
    <s v="Multihop,USnet,40"/>
    <x v="1"/>
    <x v="2"/>
    <x v="1"/>
    <n v="1428.471"/>
    <n v="1410"/>
    <n v="1.3100000000000003"/>
  </r>
  <r>
    <s v="Multihop,USnet,40"/>
    <x v="1"/>
    <x v="2"/>
    <x v="1"/>
    <n v="1418.5139999999999"/>
    <n v="1410"/>
    <n v="0.60382978723403513"/>
  </r>
  <r>
    <s v="Multihop,USnet,40"/>
    <x v="1"/>
    <x v="2"/>
    <x v="1"/>
    <n v="1380.338"/>
    <n v="1410"/>
    <n v="2.1036879432624138"/>
  </r>
  <r>
    <s v="Multihop,USnet,40"/>
    <x v="1"/>
    <x v="2"/>
    <x v="1"/>
    <n v="1418.4110000000001"/>
    <n v="1410"/>
    <n v="0.59652482269503959"/>
  </r>
  <r>
    <s v="Multihop,USnet,40"/>
    <x v="1"/>
    <x v="2"/>
    <x v="1"/>
    <n v="1416.325"/>
    <n v="1410"/>
    <n v="0.44858156028369123"/>
  </r>
  <r>
    <s v="Multihop,USnet,40"/>
    <x v="1"/>
    <x v="2"/>
    <x v="1"/>
    <n v="1411.068"/>
    <n v="1410"/>
    <n v="7.5744680851062673E-2"/>
  </r>
  <r>
    <s v="Multihop,USnet,40"/>
    <x v="1"/>
    <x v="2"/>
    <x v="1"/>
    <n v="1391.557"/>
    <n v="1410"/>
    <n v="1.308014184397162"/>
  </r>
  <r>
    <s v="Multihop,USnet,40"/>
    <x v="1"/>
    <x v="2"/>
    <x v="1"/>
    <n v="1430.8530000000001"/>
    <n v="1410"/>
    <n v="1.4789361702127706"/>
  </r>
  <r>
    <s v="Multihop,USnet,40"/>
    <x v="1"/>
    <x v="2"/>
    <x v="1"/>
    <n v="1406.2629999999999"/>
    <n v="1410"/>
    <n v="0.26503546099291347"/>
  </r>
  <r>
    <s v="Multihop,USnet,40"/>
    <x v="1"/>
    <x v="2"/>
    <x v="1"/>
    <n v="1441.6890000000001"/>
    <n v="1410"/>
    <n v="2.2474468085106438"/>
  </r>
  <r>
    <s v="Multihop,USnet,40"/>
    <x v="1"/>
    <x v="2"/>
    <x v="1"/>
    <n v="1416.16"/>
    <n v="1410"/>
    <n v="0.43687943262411927"/>
  </r>
  <r>
    <s v="Multihop,USnet,40"/>
    <x v="1"/>
    <x v="2"/>
    <x v="1"/>
    <n v="1382.693"/>
    <n v="1410"/>
    <n v="1.9366666666666679"/>
  </r>
  <r>
    <s v="Multihop,USnet,40"/>
    <x v="1"/>
    <x v="2"/>
    <x v="1"/>
    <n v="1405.124"/>
    <n v="1410"/>
    <n v="0.34581560283687773"/>
  </r>
  <r>
    <s v="Multihop,USnet,40"/>
    <x v="1"/>
    <x v="2"/>
    <x v="1"/>
    <n v="1417.1859999999999"/>
    <n v="1410"/>
    <n v="0.50964539007091647"/>
  </r>
  <r>
    <s v="Multihop,USnet,40"/>
    <x v="1"/>
    <x v="2"/>
    <x v="1"/>
    <n v="1441.404"/>
    <n v="1410"/>
    <n v="2.2272340425531914"/>
  </r>
  <r>
    <s v="Multihop,USnet,40"/>
    <x v="1"/>
    <x v="2"/>
    <x v="1"/>
    <n v="1395.184"/>
    <n v="1410"/>
    <n v="1.0507801418439739"/>
  </r>
  <r>
    <s v="Multihop,USnet,40"/>
    <x v="1"/>
    <x v="2"/>
    <x v="1"/>
    <n v="1415.021"/>
    <n v="1410"/>
    <n v="0.35609929078013886"/>
  </r>
  <r>
    <s v="Multihop,USnet,40"/>
    <x v="1"/>
    <x v="2"/>
    <x v="1"/>
    <n v="1413.299"/>
    <n v="1410"/>
    <n v="0.23397163120567219"/>
  </r>
  <r>
    <s v="Multihop,USnet,40"/>
    <x v="1"/>
    <x v="2"/>
    <x v="1"/>
    <n v="1400.6849999999999"/>
    <n v="1410"/>
    <n v="0.66063829787234429"/>
  </r>
  <r>
    <s v="Multihop,USnet,40"/>
    <x v="1"/>
    <x v="2"/>
    <x v="1"/>
    <n v="1444.0989999999999"/>
    <n v="1410"/>
    <n v="2.4183687943262364"/>
  </r>
  <r>
    <s v="Multihop,USnet,40"/>
    <x v="1"/>
    <x v="2"/>
    <x v="1"/>
    <n v="1409.098"/>
    <n v="1410"/>
    <n v="6.3971631205676852E-2"/>
  </r>
  <r>
    <s v="Multihop,USnet,40"/>
    <x v="1"/>
    <x v="2"/>
    <x v="1"/>
    <n v="1415.663"/>
    <n v="1410"/>
    <n v="0.40163120567375965"/>
  </r>
  <r>
    <s v="Multihop,USnet,40"/>
    <x v="1"/>
    <x v="2"/>
    <x v="1"/>
    <n v="1393.896"/>
    <n v="1410"/>
    <n v="1.1421276595744709"/>
  </r>
  <r>
    <s v="Multihop,USnet,40"/>
    <x v="1"/>
    <x v="2"/>
    <x v="1"/>
    <n v="1418.7260000000001"/>
    <n v="1410"/>
    <n v="0.61886524822695843"/>
  </r>
  <r>
    <s v="Multihop,USnet,40"/>
    <x v="1"/>
    <x v="2"/>
    <x v="1"/>
    <n v="1437.0129999999999"/>
    <n v="1410"/>
    <n v="1.9158156028368738"/>
  </r>
  <r>
    <s v="Multihop,USnet,40"/>
    <x v="1"/>
    <x v="2"/>
    <x v="1"/>
    <n v="1410.252"/>
    <n v="1410"/>
    <n v="1.7872340425528561E-2"/>
  </r>
  <r>
    <s v="Multihop,USnet,40"/>
    <x v="1"/>
    <x v="2"/>
    <x v="1"/>
    <n v="1401.4680000000001"/>
    <n v="1410"/>
    <n v="0.6051063829787181"/>
  </r>
  <r>
    <s v="Multihop,USnet,40"/>
    <x v="1"/>
    <x v="2"/>
    <x v="1"/>
    <n v="1394.029"/>
    <n v="1410"/>
    <n v="1.1326950354609933"/>
  </r>
  <r>
    <s v="Multihop,USnet,40"/>
    <x v="1"/>
    <x v="2"/>
    <x v="1"/>
    <n v="1379.9549999999999"/>
    <n v="1410"/>
    <n v="2.1308510638297924"/>
  </r>
  <r>
    <s v="Multihop,USnet,40"/>
    <x v="1"/>
    <x v="2"/>
    <x v="1"/>
    <n v="1428.84"/>
    <n v="1410"/>
    <n v="1.3361702127659516"/>
  </r>
  <r>
    <s v="Multihop,USnet,60"/>
    <x v="1"/>
    <x v="2"/>
    <x v="2"/>
    <n v="1999.2739999999999"/>
    <n v="2040"/>
    <n v="1.9963725490196136"/>
  </r>
  <r>
    <s v="Multihop,USnet,60"/>
    <x v="1"/>
    <x v="2"/>
    <x v="2"/>
    <n v="2033.326"/>
    <n v="2040"/>
    <n v="0.32715686274509698"/>
  </r>
  <r>
    <s v="Multihop,USnet,60"/>
    <x v="1"/>
    <x v="2"/>
    <x v="2"/>
    <n v="2075.9520000000002"/>
    <n v="2040"/>
    <n v="1.7623529411764816"/>
  </r>
  <r>
    <s v="Multihop,USnet,60"/>
    <x v="1"/>
    <x v="2"/>
    <x v="2"/>
    <n v="1983.4649999999999"/>
    <n v="2040"/>
    <n v="2.7713235294117688"/>
  </r>
  <r>
    <s v="Multihop,USnet,60"/>
    <x v="1"/>
    <x v="2"/>
    <x v="2"/>
    <n v="2014.336"/>
    <n v="2040"/>
    <n v="1.2580392156862739"/>
  </r>
  <r>
    <s v="Multihop,USnet,60"/>
    <x v="1"/>
    <x v="2"/>
    <x v="2"/>
    <n v="1982.7840000000001"/>
    <n v="2040"/>
    <n v="2.8047058823529358"/>
  </r>
  <r>
    <s v="Multihop,USnet,60"/>
    <x v="1"/>
    <x v="2"/>
    <x v="2"/>
    <n v="2035.3610000000001"/>
    <n v="2040"/>
    <n v="0.22740196078430866"/>
  </r>
  <r>
    <s v="Multihop,USnet,60"/>
    <x v="1"/>
    <x v="2"/>
    <x v="2"/>
    <n v="2003.04"/>
    <n v="2040"/>
    <n v="1.8117647058823547"/>
  </r>
  <r>
    <s v="Multihop,USnet,60"/>
    <x v="1"/>
    <x v="2"/>
    <x v="2"/>
    <n v="2009.175"/>
    <n v="2040"/>
    <n v="1.5110294117647081"/>
  </r>
  <r>
    <s v="Multihop,USnet,60"/>
    <x v="1"/>
    <x v="2"/>
    <x v="2"/>
    <n v="2112.989"/>
    <n v="2040"/>
    <n v="3.5778921568627471"/>
  </r>
  <r>
    <s v="Multihop,USnet,60"/>
    <x v="1"/>
    <x v="2"/>
    <x v="2"/>
    <n v="2006.2239999999999"/>
    <n v="2040"/>
    <n v="1.6556862745098071"/>
  </r>
  <r>
    <s v="Multihop,USnet,60"/>
    <x v="1"/>
    <x v="2"/>
    <x v="2"/>
    <n v="2036.864"/>
    <n v="2040"/>
    <n v="0.15372549019607684"/>
  </r>
  <r>
    <s v="Multihop,USnet,60"/>
    <x v="1"/>
    <x v="2"/>
    <x v="2"/>
    <n v="2005.5360000000001"/>
    <n v="2040"/>
    <n v="1.6894117647058795"/>
  </r>
  <r>
    <s v="Multihop,USnet,60"/>
    <x v="1"/>
    <x v="2"/>
    <x v="2"/>
    <n v="2042.798"/>
    <n v="2040"/>
    <n v="0.13715686274509811"/>
  </r>
  <r>
    <s v="Multihop,USnet,60"/>
    <x v="1"/>
    <x v="2"/>
    <x v="2"/>
    <n v="1987.3920000000001"/>
    <n v="2040"/>
    <n v="2.5788235294117623"/>
  </r>
  <r>
    <s v="Multihop,USnet,60"/>
    <x v="1"/>
    <x v="2"/>
    <x v="2"/>
    <n v="2047.8779999999999"/>
    <n v="2040"/>
    <n v="0.38617647058823179"/>
  </r>
  <r>
    <s v="Multihop,USnet,60"/>
    <x v="1"/>
    <x v="2"/>
    <x v="2"/>
    <n v="2001.9449999999999"/>
    <n v="2040"/>
    <n v="1.8654411764705912"/>
  </r>
  <r>
    <s v="Multihop,USnet,60"/>
    <x v="1"/>
    <x v="2"/>
    <x v="2"/>
    <n v="1967.722"/>
    <n v="2040"/>
    <n v="3.5430392156862758"/>
  </r>
  <r>
    <s v="Multihop,USnet,60"/>
    <x v="1"/>
    <x v="2"/>
    <x v="2"/>
    <n v="1996.2380000000001"/>
    <n v="2040"/>
    <n v="2.1451960784313697"/>
  </r>
  <r>
    <s v="Multihop,USnet,60"/>
    <x v="1"/>
    <x v="2"/>
    <x v="2"/>
    <n v="1968.598"/>
    <n v="2040"/>
    <n v="3.5000980392156884"/>
  </r>
  <r>
    <s v="Multihop,USnet,60"/>
    <x v="1"/>
    <x v="2"/>
    <x v="2"/>
    <n v="1996.3320000000001"/>
    <n v="2040"/>
    <n v="2.1405882352941124"/>
  </r>
  <r>
    <s v="Multihop,USnet,60"/>
    <x v="1"/>
    <x v="2"/>
    <x v="2"/>
    <n v="2035.1020000000001"/>
    <n v="2040"/>
    <n v="0.24009803921568193"/>
  </r>
  <r>
    <s v="Multihop,USnet,60"/>
    <x v="1"/>
    <x v="2"/>
    <x v="2"/>
    <n v="1992.53"/>
    <n v="2040"/>
    <n v="2.326960784313727"/>
  </r>
  <r>
    <s v="Multihop,USnet,60"/>
    <x v="1"/>
    <x v="2"/>
    <x v="2"/>
    <n v="2018.5319999999999"/>
    <n v="2040"/>
    <n v="1.0523529411764743"/>
  </r>
  <r>
    <s v="Multihop,USnet,60"/>
    <x v="1"/>
    <x v="2"/>
    <x v="2"/>
    <n v="2029.6759999999999"/>
    <n v="2040"/>
    <n v="0.50607843137255248"/>
  </r>
  <r>
    <s v="Multihop,USnet,60"/>
    <x v="1"/>
    <x v="2"/>
    <x v="2"/>
    <n v="2042.34"/>
    <n v="2040"/>
    <n v="0.11470588235293717"/>
  </r>
  <r>
    <s v="Multihop,USnet,60"/>
    <x v="1"/>
    <x v="2"/>
    <x v="2"/>
    <n v="2036.6569999999999"/>
    <n v="2040"/>
    <n v="0.16387254901961149"/>
  </r>
  <r>
    <s v="Multihop,USnet,60"/>
    <x v="1"/>
    <x v="2"/>
    <x v="2"/>
    <n v="2037.5820000000001"/>
    <n v="2040"/>
    <n v="0.11852941176470062"/>
  </r>
  <r>
    <s v="Multihop,USnet,60"/>
    <x v="1"/>
    <x v="2"/>
    <x v="2"/>
    <n v="2018.3630000000001"/>
    <n v="2040"/>
    <n v="1.060637254901958"/>
  </r>
  <r>
    <s v="Multihop,USnet,60"/>
    <x v="1"/>
    <x v="2"/>
    <x v="2"/>
    <n v="2095.5140000000001"/>
    <n v="2040"/>
    <n v="2.7212745098039273"/>
  </r>
  <r>
    <s v="Multihop,USnet,60"/>
    <x v="1"/>
    <x v="2"/>
    <x v="2"/>
    <n v="1975.902"/>
    <n v="2040"/>
    <n v="3.1420588235294096"/>
  </r>
  <r>
    <s v="Multihop,USnet,60"/>
    <x v="1"/>
    <x v="2"/>
    <x v="2"/>
    <n v="2072.7669999999998"/>
    <n v="2040"/>
    <n v="1.6062254901960697"/>
  </r>
  <r>
    <s v="Multihop,USnet,60"/>
    <x v="1"/>
    <x v="2"/>
    <x v="2"/>
    <n v="2031.174"/>
    <n v="2040"/>
    <n v="0.43264705882353049"/>
  </r>
  <r>
    <s v="Multihop,USnet,60"/>
    <x v="1"/>
    <x v="2"/>
    <x v="2"/>
    <n v="1996.222"/>
    <n v="2040"/>
    <n v="2.1459803921568636"/>
  </r>
  <r>
    <s v="Multihop,USnet,60"/>
    <x v="1"/>
    <x v="2"/>
    <x v="2"/>
    <n v="2076.3110000000001"/>
    <n v="2040"/>
    <n v="1.7799509803921643"/>
  </r>
  <r>
    <s v="Multihop,USnet,60"/>
    <x v="1"/>
    <x v="2"/>
    <x v="2"/>
    <n v="1927.366"/>
    <n v="2040"/>
    <n v="5.5212745098039226"/>
  </r>
  <r>
    <s v="Multihop,USnet,60"/>
    <x v="1"/>
    <x v="2"/>
    <x v="2"/>
    <n v="2003.6130000000001"/>
    <n v="2040"/>
    <n v="1.7836764705882326"/>
  </r>
  <r>
    <s v="Multihop,USnet,60"/>
    <x v="1"/>
    <x v="2"/>
    <x v="2"/>
    <n v="1985.44"/>
    <n v="2040"/>
    <n v="2.6745098039215662"/>
  </r>
  <r>
    <s v="Multihop,USnet,60"/>
    <x v="1"/>
    <x v="2"/>
    <x v="2"/>
    <n v="2015.943"/>
    <n v="2040"/>
    <n v="1.1792647058823538"/>
  </r>
  <r>
    <s v="Multihop,USnet,60"/>
    <x v="1"/>
    <x v="2"/>
    <x v="2"/>
    <n v="2000.1320000000001"/>
    <n v="2040"/>
    <n v="1.9543137254901932"/>
  </r>
  <r>
    <s v="Multihop,USnet,60"/>
    <x v="1"/>
    <x v="2"/>
    <x v="2"/>
    <n v="1977.9939999999999"/>
    <n v="2040"/>
    <n v="3.0395098039215727"/>
  </r>
  <r>
    <s v="Multihop,USnet,60"/>
    <x v="1"/>
    <x v="2"/>
    <x v="2"/>
    <n v="2041.6030000000001"/>
    <n v="2040"/>
    <n v="7.8578431372552229E-2"/>
  </r>
  <r>
    <s v="Multihop,USnet,60"/>
    <x v="1"/>
    <x v="2"/>
    <x v="2"/>
    <n v="1956.171"/>
    <n v="2040"/>
    <n v="4.1092647058823504"/>
  </r>
  <r>
    <s v="Multihop,USnet,60"/>
    <x v="1"/>
    <x v="2"/>
    <x v="2"/>
    <n v="2044.56"/>
    <n v="2040"/>
    <n v="0.2235294117647032"/>
  </r>
  <r>
    <s v="Multihop,USnet,60"/>
    <x v="1"/>
    <x v="2"/>
    <x v="2"/>
    <n v="1979.307"/>
    <n v="2040"/>
    <n v="2.9751470588235285"/>
  </r>
  <r>
    <s v="Multihop,USnet,60"/>
    <x v="1"/>
    <x v="2"/>
    <x v="2"/>
    <n v="2018.3040000000001"/>
    <n v="2040"/>
    <n v="1.0635294117647016"/>
  </r>
  <r>
    <s v="Multihop,USnet,60"/>
    <x v="1"/>
    <x v="2"/>
    <x v="2"/>
    <n v="2040.9359999999999"/>
    <n v="2040"/>
    <n v="4.5882352941172634E-2"/>
  </r>
  <r>
    <s v="Multihop,USnet,60"/>
    <x v="1"/>
    <x v="2"/>
    <x v="2"/>
    <n v="1974.5540000000001"/>
    <n v="2040"/>
    <n v="3.2081372549019562"/>
  </r>
  <r>
    <s v="Multihop,USnet,60"/>
    <x v="1"/>
    <x v="2"/>
    <x v="2"/>
    <n v="2053.5309999999999"/>
    <n v="2040"/>
    <n v="0.66328431372548768"/>
  </r>
  <r>
    <s v="Multihop,USnet,60"/>
    <x v="1"/>
    <x v="2"/>
    <x v="2"/>
    <n v="2019.451"/>
    <n v="2040"/>
    <n v="1.0073039215686264"/>
  </r>
  <r>
    <s v="Multihop,USnet,60"/>
    <x v="1"/>
    <x v="2"/>
    <x v="2"/>
    <n v="2044.3889999999999"/>
    <n v="2040"/>
    <n v="0.21514705882352433"/>
  </r>
  <r>
    <s v="Multihop,USnet,60"/>
    <x v="1"/>
    <x v="2"/>
    <x v="2"/>
    <n v="2008.1579999999999"/>
    <n v="2040"/>
    <n v="1.5608823529411813"/>
  </r>
  <r>
    <s v="Multihop,USnet,60"/>
    <x v="1"/>
    <x v="2"/>
    <x v="2"/>
    <n v="2020.9490000000001"/>
    <n v="2040"/>
    <n v="0.93387254901960448"/>
  </r>
  <r>
    <s v="Multihop,USnet,60"/>
    <x v="1"/>
    <x v="2"/>
    <x v="2"/>
    <n v="2028.7339999999999"/>
    <n v="2040"/>
    <n v="0.55225490196078808"/>
  </r>
  <r>
    <s v="Multihop,USnet,60"/>
    <x v="1"/>
    <x v="2"/>
    <x v="2"/>
    <n v="1993.8810000000001"/>
    <n v="2040"/>
    <n v="2.2607352941176431"/>
  </r>
  <r>
    <s v="Multihop,USnet,60"/>
    <x v="1"/>
    <x v="2"/>
    <x v="2"/>
    <n v="2009.066"/>
    <n v="2040"/>
    <n v="1.5163725490196063"/>
  </r>
  <r>
    <s v="Multihop,USnet,60"/>
    <x v="1"/>
    <x v="2"/>
    <x v="2"/>
    <n v="2012.627"/>
    <n v="2040"/>
    <n v="1.3418137254901983"/>
  </r>
  <r>
    <s v="Multihop,USnet,60"/>
    <x v="1"/>
    <x v="2"/>
    <x v="2"/>
    <n v="2033.008"/>
    <n v="2040"/>
    <n v="0.34274509803921382"/>
  </r>
  <r>
    <s v="Multihop,USnet,60"/>
    <x v="1"/>
    <x v="2"/>
    <x v="2"/>
    <n v="2034.5719999999999"/>
    <n v="2040"/>
    <n v="0.26607843137255444"/>
  </r>
  <r>
    <s v="Multihop,USnet,60"/>
    <x v="1"/>
    <x v="2"/>
    <x v="2"/>
    <n v="1937.047"/>
    <n v="2040"/>
    <n v="5.0467156862745082"/>
  </r>
  <r>
    <s v="Multihop,USnet,60"/>
    <x v="1"/>
    <x v="2"/>
    <x v="2"/>
    <n v="2044.376"/>
    <n v="2040"/>
    <n v="0.21450980392156749"/>
  </r>
  <r>
    <s v="Multihop,USnet,60"/>
    <x v="1"/>
    <x v="2"/>
    <x v="2"/>
    <n v="2035.931"/>
    <n v="2040"/>
    <n v="0.19946078431372352"/>
  </r>
  <r>
    <s v="Multihop,USnet,60"/>
    <x v="1"/>
    <x v="2"/>
    <x v="2"/>
    <n v="2080.21"/>
    <n v="2040"/>
    <n v="1.9710784313725509"/>
  </r>
  <r>
    <s v="Multihop,USnet,60"/>
    <x v="1"/>
    <x v="2"/>
    <x v="2"/>
    <n v="2085.65"/>
    <n v="2040"/>
    <n v="2.2377450980392202"/>
  </r>
  <r>
    <s v="Multihop,USnet,60"/>
    <x v="1"/>
    <x v="2"/>
    <x v="2"/>
    <n v="2058.2660000000001"/>
    <n v="2040"/>
    <n v="0.89539215686274887"/>
  </r>
  <r>
    <s v="Multihop,USnet,60"/>
    <x v="1"/>
    <x v="2"/>
    <x v="2"/>
    <n v="2044.663"/>
    <n v="2040"/>
    <n v="0.22857843137254955"/>
  </r>
  <r>
    <s v="Multihop,USnet,60"/>
    <x v="1"/>
    <x v="2"/>
    <x v="2"/>
    <n v="2074.5"/>
    <n v="2040"/>
    <n v="1.6911764705882353"/>
  </r>
  <r>
    <s v="Multihop,USnet,60"/>
    <x v="1"/>
    <x v="2"/>
    <x v="2"/>
    <n v="1947.193"/>
    <n v="2040"/>
    <n v="4.5493627450980405"/>
  </r>
  <r>
    <s v="Multihop,USnet,60"/>
    <x v="1"/>
    <x v="2"/>
    <x v="2"/>
    <n v="2031.0160000000001"/>
    <n v="2040"/>
    <n v="0.4403921568627413"/>
  </r>
  <r>
    <s v="Multihop,USnet,60"/>
    <x v="1"/>
    <x v="2"/>
    <x v="2"/>
    <n v="2019.585"/>
    <n v="2040"/>
    <n v="1.0007352941176453"/>
  </r>
  <r>
    <s v="Multihop,USnet,60"/>
    <x v="1"/>
    <x v="2"/>
    <x v="2"/>
    <n v="2001.1410000000001"/>
    <n v="2040"/>
    <n v="1.904852941176467"/>
  </r>
  <r>
    <s v="Multihop,USnet,60"/>
    <x v="1"/>
    <x v="2"/>
    <x v="2"/>
    <n v="2081.9209999999998"/>
    <n v="2040"/>
    <n v="2.0549509803921482"/>
  </r>
  <r>
    <s v="Multihop,USnet,60"/>
    <x v="1"/>
    <x v="2"/>
    <x v="2"/>
    <n v="2026.24"/>
    <n v="2040"/>
    <n v="0.67450980392156812"/>
  </r>
  <r>
    <s v="Multihop,USnet,60"/>
    <x v="1"/>
    <x v="2"/>
    <x v="2"/>
    <n v="2028.2180000000001"/>
    <n v="2040"/>
    <n v="0.57754901960783955"/>
  </r>
  <r>
    <s v="Multihop,USnet,60"/>
    <x v="1"/>
    <x v="2"/>
    <x v="2"/>
    <n v="2018.3240000000001"/>
    <n v="2040"/>
    <n v="1.0625490196078398"/>
  </r>
  <r>
    <s v="Multihop,USnet,60"/>
    <x v="1"/>
    <x v="2"/>
    <x v="2"/>
    <n v="1998.6510000000001"/>
    <n v="2040"/>
    <n v="2.0269117647058792"/>
  </r>
  <r>
    <s v="Multihop,USnet,60"/>
    <x v="1"/>
    <x v="2"/>
    <x v="2"/>
    <n v="2065.056"/>
    <n v="2040"/>
    <n v="1.2282352941176491"/>
  </r>
  <r>
    <s v="Multihop,USnet,60"/>
    <x v="1"/>
    <x v="2"/>
    <x v="2"/>
    <n v="2040.394"/>
    <n v="2040"/>
    <n v="1.9313725490196346E-2"/>
  </r>
  <r>
    <s v="Multihop,USnet,60"/>
    <x v="1"/>
    <x v="2"/>
    <x v="2"/>
    <n v="1964.443"/>
    <n v="2040"/>
    <n v="3.7037745098039228"/>
  </r>
  <r>
    <s v="Multihop,USnet,60"/>
    <x v="1"/>
    <x v="2"/>
    <x v="2"/>
    <n v="2032.58"/>
    <n v="2040"/>
    <n v="0.36372549019608202"/>
  </r>
  <r>
    <s v="Multihop,USnet,60"/>
    <x v="1"/>
    <x v="2"/>
    <x v="2"/>
    <n v="2012.066"/>
    <n v="2040"/>
    <n v="1.3693137254901946"/>
  </r>
  <r>
    <s v="Multihop,USnet,60"/>
    <x v="1"/>
    <x v="2"/>
    <x v="2"/>
    <n v="2034.4970000000001"/>
    <n v="2040"/>
    <n v="0.26975490196078084"/>
  </r>
  <r>
    <s v="Multihop,USnet,60"/>
    <x v="1"/>
    <x v="2"/>
    <x v="2"/>
    <n v="1983.7139999999999"/>
    <n v="2040"/>
    <n v="2.7591176470588263"/>
  </r>
  <r>
    <s v="Multihop,USnet,60"/>
    <x v="1"/>
    <x v="2"/>
    <x v="2"/>
    <n v="2068.1799999999998"/>
    <n v="2040"/>
    <n v="1.3813725490195998"/>
  </r>
  <r>
    <s v="Multihop,USnet,60"/>
    <x v="1"/>
    <x v="2"/>
    <x v="2"/>
    <n v="1958.626"/>
    <n v="2040"/>
    <n v="3.9889215686274522"/>
  </r>
  <r>
    <s v="Multihop,USnet,60"/>
    <x v="1"/>
    <x v="2"/>
    <x v="2"/>
    <n v="1945.317"/>
    <n v="2040"/>
    <n v="4.6413235294117641"/>
  </r>
  <r>
    <s v="Multihop,USnet,60"/>
    <x v="1"/>
    <x v="2"/>
    <x v="2"/>
    <n v="2041.7170000000001"/>
    <n v="2040"/>
    <n v="8.4166666666671483E-2"/>
  </r>
  <r>
    <s v="Multihop,USnet,60"/>
    <x v="1"/>
    <x v="2"/>
    <x v="2"/>
    <n v="2073.123"/>
    <n v="2040"/>
    <n v="1.6236764705882378"/>
  </r>
  <r>
    <s v="Multihop,USnet,60"/>
    <x v="1"/>
    <x v="2"/>
    <x v="2"/>
    <n v="2034.0219999999999"/>
    <n v="2040"/>
    <n v="0.29303921568627772"/>
  </r>
  <r>
    <s v="Multihop,USnet,60"/>
    <x v="1"/>
    <x v="2"/>
    <x v="2"/>
    <n v="2002.742"/>
    <n v="2040"/>
    <n v="1.8263725490196097"/>
  </r>
  <r>
    <s v="Multihop,USnet,60"/>
    <x v="1"/>
    <x v="2"/>
    <x v="2"/>
    <n v="2038.8820000000001"/>
    <n v="2040"/>
    <n v="5.4803921568624417E-2"/>
  </r>
  <r>
    <s v="Multihop,USnet,60"/>
    <x v="1"/>
    <x v="2"/>
    <x v="2"/>
    <n v="2051.489"/>
    <n v="2040"/>
    <n v="0.56318627450980552"/>
  </r>
  <r>
    <s v="Multihop,USnet,60"/>
    <x v="1"/>
    <x v="2"/>
    <x v="2"/>
    <n v="2034.575"/>
    <n v="2040"/>
    <n v="0.26593137254901739"/>
  </r>
  <r>
    <s v="Multihop,USnet,60"/>
    <x v="1"/>
    <x v="2"/>
    <x v="2"/>
    <n v="1980.8810000000001"/>
    <n v="2040"/>
    <n v="2.8979901960784269"/>
  </r>
  <r>
    <s v="Multihop,USnet,60"/>
    <x v="1"/>
    <x v="2"/>
    <x v="2"/>
    <n v="1962.181"/>
    <n v="2040"/>
    <n v="3.8146568627450956"/>
  </r>
  <r>
    <s v="Multihop,USnet,60"/>
    <x v="1"/>
    <x v="2"/>
    <x v="2"/>
    <n v="1973.1990000000001"/>
    <n v="2040"/>
    <n v="3.2745588235294081"/>
  </r>
  <r>
    <s v="Multihop,USnet,60"/>
    <x v="1"/>
    <x v="2"/>
    <x v="2"/>
    <n v="2078.3440000000001"/>
    <n v="2040"/>
    <n v="1.8796078431372574"/>
  </r>
  <r>
    <s v="Multihop,USnet,60"/>
    <x v="1"/>
    <x v="2"/>
    <x v="2"/>
    <n v="1997.212"/>
    <n v="2040"/>
    <n v="2.0974509803921575"/>
  </r>
  <r>
    <s v="Multihop,USnet,60"/>
    <x v="1"/>
    <x v="2"/>
    <x v="2"/>
    <n v="1988.8810000000001"/>
    <n v="2040"/>
    <n v="2.5058333333333289"/>
  </r>
  <r>
    <s v="Multihop,USnet,60"/>
    <x v="1"/>
    <x v="2"/>
    <x v="2"/>
    <n v="2036.98"/>
    <n v="2040"/>
    <n v="0.14803921568627362"/>
  </r>
  <r>
    <s v="Multihop,USnet,80"/>
    <x v="1"/>
    <x v="2"/>
    <x v="3"/>
    <n v="2596.9189999999999"/>
    <n v="2670"/>
    <n v="2.7371161048689188"/>
  </r>
  <r>
    <s v="Multihop,USnet,80"/>
    <x v="1"/>
    <x v="2"/>
    <x v="3"/>
    <n v="2762.7750000000001"/>
    <n v="2670"/>
    <n v="3.4747191011235987"/>
  </r>
  <r>
    <s v="Multihop,USnet,80"/>
    <x v="1"/>
    <x v="2"/>
    <x v="3"/>
    <n v="2684.29"/>
    <n v="2670"/>
    <n v="0.53520599250936196"/>
  </r>
  <r>
    <s v="Multihop,USnet,80"/>
    <x v="1"/>
    <x v="2"/>
    <x v="3"/>
    <n v="2749.201"/>
    <n v="2670"/>
    <n v="2.966329588014982"/>
  </r>
  <r>
    <s v="Multihop,USnet,80"/>
    <x v="1"/>
    <x v="2"/>
    <x v="3"/>
    <n v="2611.2170000000001"/>
    <n v="2670"/>
    <n v="2.2016104868913819"/>
  </r>
  <r>
    <s v="Multihop,USnet,80"/>
    <x v="1"/>
    <x v="2"/>
    <x v="3"/>
    <n v="2660.2069999999999"/>
    <n v="2670"/>
    <n v="0.36677902621723296"/>
  </r>
  <r>
    <s v="Multihop,USnet,80"/>
    <x v="1"/>
    <x v="2"/>
    <x v="3"/>
    <n v="2644.4180000000001"/>
    <n v="2670"/>
    <n v="0.95812734082396556"/>
  </r>
  <r>
    <s v="Multihop,USnet,80"/>
    <x v="1"/>
    <x v="2"/>
    <x v="3"/>
    <n v="2609.6979999999999"/>
    <n v="2670"/>
    <n v="2.2585018726591808"/>
  </r>
  <r>
    <s v="Multihop,USnet,80"/>
    <x v="1"/>
    <x v="2"/>
    <x v="3"/>
    <n v="2670.6280000000002"/>
    <n v="2670"/>
    <n v="2.352059925094219E-2"/>
  </r>
  <r>
    <s v="Multihop,USnet,80"/>
    <x v="1"/>
    <x v="2"/>
    <x v="3"/>
    <n v="2607.1930000000002"/>
    <n v="2670"/>
    <n v="2.352322097378269"/>
  </r>
  <r>
    <s v="Multihop,USnet,80"/>
    <x v="1"/>
    <x v="2"/>
    <x v="3"/>
    <n v="2607.1289999999999"/>
    <n v="2670"/>
    <n v="2.3547191011235991"/>
  </r>
  <r>
    <s v="Multihop,USnet,80"/>
    <x v="1"/>
    <x v="2"/>
    <x v="3"/>
    <n v="2611.002"/>
    <n v="2670"/>
    <n v="2.2096629213483165"/>
  </r>
  <r>
    <s v="Multihop,USnet,80"/>
    <x v="1"/>
    <x v="2"/>
    <x v="3"/>
    <n v="2604.67"/>
    <n v="2670"/>
    <n v="2.4468164794007463"/>
  </r>
  <r>
    <s v="Multihop,USnet,80"/>
    <x v="1"/>
    <x v="2"/>
    <x v="3"/>
    <n v="2611.627"/>
    <n v="2670"/>
    <n v="2.186254681647942"/>
  </r>
  <r>
    <s v="Multihop,USnet,80"/>
    <x v="1"/>
    <x v="2"/>
    <x v="3"/>
    <n v="2618.201"/>
    <n v="2670"/>
    <n v="1.9400374531835198"/>
  </r>
  <r>
    <s v="Multihop,USnet,80"/>
    <x v="1"/>
    <x v="2"/>
    <x v="3"/>
    <n v="2670.922"/>
    <n v="2670"/>
    <n v="3.4531835205993462E-2"/>
  </r>
  <r>
    <s v="Multihop,USnet,80"/>
    <x v="1"/>
    <x v="2"/>
    <x v="3"/>
    <n v="2610.04"/>
    <n v="2670"/>
    <n v="2.2456928838951327"/>
  </r>
  <r>
    <s v="Multihop,USnet,80"/>
    <x v="1"/>
    <x v="2"/>
    <x v="3"/>
    <n v="2566.712"/>
    <n v="2670"/>
    <n v="3.8684644194756554"/>
  </r>
  <r>
    <s v="Multihop,USnet,80"/>
    <x v="1"/>
    <x v="2"/>
    <x v="3"/>
    <n v="2681.5880000000002"/>
    <n v="2670"/>
    <n v="0.43400749063671135"/>
  </r>
  <r>
    <s v="Multihop,USnet,80"/>
    <x v="1"/>
    <x v="2"/>
    <x v="3"/>
    <n v="2688.3069999999998"/>
    <n v="2670"/>
    <n v="0.68565543071160262"/>
  </r>
  <r>
    <s v="Multihop,USnet,80"/>
    <x v="1"/>
    <x v="2"/>
    <x v="3"/>
    <n v="2599.6410000000001"/>
    <n v="2670"/>
    <n v="2.6351685393258397"/>
  </r>
  <r>
    <s v="Multihop,USnet,80"/>
    <x v="1"/>
    <x v="2"/>
    <x v="3"/>
    <n v="2745.4250000000002"/>
    <n v="2670"/>
    <n v="2.8249063670412053"/>
  </r>
  <r>
    <s v="Multihop,USnet,80"/>
    <x v="1"/>
    <x v="2"/>
    <x v="3"/>
    <n v="2600.5740000000001"/>
    <n v="2670"/>
    <n v="2.6002247191011207"/>
  </r>
  <r>
    <s v="Multihop,USnet,80"/>
    <x v="1"/>
    <x v="2"/>
    <x v="3"/>
    <n v="2671.8919999999998"/>
    <n v="2670"/>
    <n v="7.0861423220967237E-2"/>
  </r>
  <r>
    <s v="Multihop,USnet,80"/>
    <x v="1"/>
    <x v="2"/>
    <x v="3"/>
    <n v="2667.02"/>
    <n v="2670"/>
    <n v="0.11161048689138645"/>
  </r>
  <r>
    <s v="Multihop,USnet,80"/>
    <x v="1"/>
    <x v="2"/>
    <x v="3"/>
    <n v="2577.8020000000001"/>
    <n v="2670"/>
    <n v="3.4531086142322045"/>
  </r>
  <r>
    <s v="Multihop,USnet,80"/>
    <x v="1"/>
    <x v="2"/>
    <x v="3"/>
    <n v="2648.4639999999999"/>
    <n v="2670"/>
    <n v="0.80659176029962765"/>
  </r>
  <r>
    <s v="Multihop,USnet,80"/>
    <x v="1"/>
    <x v="2"/>
    <x v="3"/>
    <n v="2660.87"/>
    <n v="2670"/>
    <n v="0.34194756554307526"/>
  </r>
  <r>
    <s v="Multihop,USnet,80"/>
    <x v="1"/>
    <x v="2"/>
    <x v="3"/>
    <n v="2599.7570000000001"/>
    <n v="2670"/>
    <n v="2.6308239700374507"/>
  </r>
  <r>
    <s v="Multihop,USnet,80"/>
    <x v="1"/>
    <x v="2"/>
    <x v="3"/>
    <n v="2595.424"/>
    <n v="2670"/>
    <n v="2.7931086142322106"/>
  </r>
  <r>
    <s v="Multihop,USnet,80"/>
    <x v="1"/>
    <x v="2"/>
    <x v="3"/>
    <n v="2750.47"/>
    <n v="2670"/>
    <n v="3.0138576779026143"/>
  </r>
  <r>
    <s v="Multihop,USnet,80"/>
    <x v="1"/>
    <x v="2"/>
    <x v="3"/>
    <n v="2608.92"/>
    <n v="2670"/>
    <n v="2.2876404494381997"/>
  </r>
  <r>
    <s v="Multihop,USnet,80"/>
    <x v="1"/>
    <x v="2"/>
    <x v="3"/>
    <n v="2663.7190000000001"/>
    <n v="2670"/>
    <n v="0.235243445692882"/>
  </r>
  <r>
    <s v="Multihop,USnet,80"/>
    <x v="1"/>
    <x v="2"/>
    <x v="3"/>
    <n v="2567.748"/>
    <n v="2670"/>
    <n v="3.8296629213483127"/>
  </r>
  <r>
    <s v="Multihop,USnet,80"/>
    <x v="1"/>
    <x v="2"/>
    <x v="3"/>
    <n v="2602.3200000000002"/>
    <n v="2670"/>
    <n v="2.5348314606741513"/>
  </r>
  <r>
    <s v="Multihop,USnet,80"/>
    <x v="1"/>
    <x v="2"/>
    <x v="3"/>
    <n v="2603.7139999999999"/>
    <n v="2670"/>
    <n v="2.4826217228464444"/>
  </r>
  <r>
    <s v="Multihop,USnet,80"/>
    <x v="1"/>
    <x v="2"/>
    <x v="3"/>
    <n v="2678.34"/>
    <n v="2670"/>
    <n v="0.3123595505618032"/>
  </r>
  <r>
    <s v="Multihop,USnet,80"/>
    <x v="1"/>
    <x v="2"/>
    <x v="3"/>
    <n v="2689.34"/>
    <n v="2670"/>
    <n v="0.72434456928839497"/>
  </r>
  <r>
    <s v="Multihop,USnet,80"/>
    <x v="1"/>
    <x v="2"/>
    <x v="3"/>
    <n v="2677.433"/>
    <n v="2670"/>
    <n v="0.27838951310861393"/>
  </r>
  <r>
    <s v="Multihop,USnet,80"/>
    <x v="1"/>
    <x v="2"/>
    <x v="3"/>
    <n v="2722.9859999999999"/>
    <n v="2670"/>
    <n v="1.9844943820224674"/>
  </r>
  <r>
    <s v="Multihop,USnet,80"/>
    <x v="1"/>
    <x v="2"/>
    <x v="3"/>
    <n v="2513.4740000000002"/>
    <n v="2670"/>
    <n v="5.8623970037453121"/>
  </r>
  <r>
    <s v="Multihop,USnet,80"/>
    <x v="1"/>
    <x v="2"/>
    <x v="3"/>
    <n v="2599.1909999999998"/>
    <n v="2670"/>
    <n v="2.6520224719101195"/>
  </r>
  <r>
    <s v="Multihop,USnet,80"/>
    <x v="1"/>
    <x v="2"/>
    <x v="3"/>
    <n v="2673.72"/>
    <n v="2670"/>
    <n v="0.13932584269662174"/>
  </r>
  <r>
    <s v="Multihop,USnet,80"/>
    <x v="1"/>
    <x v="2"/>
    <x v="3"/>
    <n v="2590.4760000000001"/>
    <n v="2670"/>
    <n v="2.9784269662921306"/>
  </r>
  <r>
    <s v="Multihop,USnet,80"/>
    <x v="1"/>
    <x v="2"/>
    <x v="3"/>
    <n v="2565.6779999999999"/>
    <n v="2670"/>
    <n v="3.9071910112359594"/>
  </r>
  <r>
    <s v="Multihop,USnet,80"/>
    <x v="1"/>
    <x v="2"/>
    <x v="3"/>
    <n v="2613.5520000000001"/>
    <n v="2670"/>
    <n v="2.1141573033707814"/>
  </r>
  <r>
    <s v="Multihop,USnet,80"/>
    <x v="1"/>
    <x v="2"/>
    <x v="3"/>
    <n v="2696.7809999999999"/>
    <n v="2670"/>
    <n v="1.0030337078651668"/>
  </r>
  <r>
    <s v="Multihop,USnet,80"/>
    <x v="1"/>
    <x v="2"/>
    <x v="3"/>
    <n v="2636.6869999999999"/>
    <n v="2670"/>
    <n v="1.2476779026217266"/>
  </r>
  <r>
    <s v="Multihop,USnet,80"/>
    <x v="1"/>
    <x v="2"/>
    <x v="3"/>
    <n v="2654.413"/>
    <n v="2670"/>
    <n v="0.58378277153558011"/>
  </r>
  <r>
    <s v="Multihop,USnet,80"/>
    <x v="1"/>
    <x v="2"/>
    <x v="3"/>
    <n v="2574.2440000000001"/>
    <n v="2670"/>
    <n v="3.5863670411984967"/>
  </r>
  <r>
    <s v="Multihop,USnet,80"/>
    <x v="1"/>
    <x v="2"/>
    <x v="3"/>
    <n v="2666.81"/>
    <n v="2670"/>
    <n v="0.11947565543071366"/>
  </r>
  <r>
    <s v="Multihop,USnet,80"/>
    <x v="1"/>
    <x v="2"/>
    <x v="3"/>
    <n v="2611.6329999999998"/>
    <n v="2670"/>
    <n v="2.1860299625468236"/>
  </r>
  <r>
    <s v="Multihop,USnet,80"/>
    <x v="1"/>
    <x v="2"/>
    <x v="3"/>
    <n v="2653.2829999999999"/>
    <n v="2670"/>
    <n v="0.6261048689138613"/>
  </r>
  <r>
    <s v="Multihop,USnet,80"/>
    <x v="1"/>
    <x v="2"/>
    <x v="3"/>
    <n v="2678.047"/>
    <n v="2670"/>
    <n v="0.3013857677902631"/>
  </r>
  <r>
    <s v="Multihop,USnet,80"/>
    <x v="1"/>
    <x v="2"/>
    <x v="3"/>
    <n v="2636.4989999999998"/>
    <n v="2670"/>
    <n v="1.2547191011236032"/>
  </r>
  <r>
    <s v="Multihop,USnet,80"/>
    <x v="1"/>
    <x v="2"/>
    <x v="3"/>
    <n v="2671.826"/>
    <n v="2670"/>
    <n v="6.8389513108615047E-2"/>
  </r>
  <r>
    <s v="Multihop,USnet,80"/>
    <x v="1"/>
    <x v="2"/>
    <x v="3"/>
    <n v="2658.672"/>
    <n v="2670"/>
    <n v="0.42426966292134738"/>
  </r>
  <r>
    <s v="Multihop,USnet,80"/>
    <x v="1"/>
    <x v="2"/>
    <x v="3"/>
    <n v="2752.32"/>
    <n v="2670"/>
    <n v="3.0831460674157363"/>
  </r>
  <r>
    <s v="Multihop,USnet,80"/>
    <x v="1"/>
    <x v="2"/>
    <x v="3"/>
    <n v="2620.1129999999998"/>
    <n v="2670"/>
    <n v="1.8684269662921411"/>
  </r>
  <r>
    <s v="Multihop,USnet,80"/>
    <x v="1"/>
    <x v="2"/>
    <x v="3"/>
    <n v="2696.3690000000001"/>
    <n v="2670"/>
    <n v="0.98760299625468706"/>
  </r>
  <r>
    <s v="Multihop,USnet,80"/>
    <x v="1"/>
    <x v="2"/>
    <x v="3"/>
    <n v="2671.8029999999999"/>
    <n v="2670"/>
    <n v="6.7528089887636089E-2"/>
  </r>
  <r>
    <s v="Multihop,USnet,80"/>
    <x v="1"/>
    <x v="2"/>
    <x v="3"/>
    <n v="2655.8220000000001"/>
    <n v="2670"/>
    <n v="0.53101123595505184"/>
  </r>
  <r>
    <s v="Multihop,USnet,80"/>
    <x v="1"/>
    <x v="2"/>
    <x v="3"/>
    <n v="2652.4490000000001"/>
    <n v="2670"/>
    <n v="0.65734082397003479"/>
  </r>
  <r>
    <s v="Multihop,USnet,80"/>
    <x v="1"/>
    <x v="2"/>
    <x v="3"/>
    <n v="2629.8440000000001"/>
    <n v="2670"/>
    <n v="1.5039700374531817"/>
  </r>
  <r>
    <s v="Multihop,USnet,80"/>
    <x v="1"/>
    <x v="2"/>
    <x v="3"/>
    <n v="2531.87"/>
    <n v="2670"/>
    <n v="5.1734082397003789"/>
  </r>
  <r>
    <s v="Multihop,USnet,80"/>
    <x v="1"/>
    <x v="2"/>
    <x v="3"/>
    <n v="2624.1970000000001"/>
    <n v="2670"/>
    <n v="1.7154681647940033"/>
  </r>
  <r>
    <s v="Multihop,USnet,80"/>
    <x v="1"/>
    <x v="2"/>
    <x v="3"/>
    <n v="2639.6039999999998"/>
    <n v="2670"/>
    <n v="1.1384269662921418"/>
  </r>
  <r>
    <s v="Multihop,USnet,80"/>
    <x v="1"/>
    <x v="2"/>
    <x v="3"/>
    <n v="2615.7429999999999"/>
    <n v="2670"/>
    <n v="2.0320973782771556"/>
  </r>
  <r>
    <s v="Multihop,USnet,80"/>
    <x v="1"/>
    <x v="2"/>
    <x v="3"/>
    <n v="2594.9319999999998"/>
    <n v="2670"/>
    <n v="2.8115355805243527"/>
  </r>
  <r>
    <s v="Multihop,USnet,80"/>
    <x v="1"/>
    <x v="2"/>
    <x v="3"/>
    <n v="2616.6019999999999"/>
    <n v="2670"/>
    <n v="1.9999250936329638"/>
  </r>
  <r>
    <s v="Multihop,USnet,80"/>
    <x v="1"/>
    <x v="2"/>
    <x v="3"/>
    <n v="2724.6320000000001"/>
    <n v="2670"/>
    <n v="2.0461423220973805"/>
  </r>
  <r>
    <s v="Multihop,USnet,80"/>
    <x v="1"/>
    <x v="2"/>
    <x v="3"/>
    <n v="2678.752"/>
    <n v="2670"/>
    <n v="0.32779026217228285"/>
  </r>
  <r>
    <s v="Multihop,USnet,80"/>
    <x v="1"/>
    <x v="2"/>
    <x v="3"/>
    <n v="2620.5410000000002"/>
    <n v="2670"/>
    <n v="1.8523970037453121"/>
  </r>
  <r>
    <s v="Multihop,USnet,80"/>
    <x v="1"/>
    <x v="2"/>
    <x v="3"/>
    <n v="2645.0720000000001"/>
    <n v="2670"/>
    <n v="0.93363295880149377"/>
  </r>
  <r>
    <s v="Multihop,USnet,80"/>
    <x v="1"/>
    <x v="2"/>
    <x v="3"/>
    <n v="2605.5419999999999"/>
    <n v="2670"/>
    <n v="2.4141573033707897"/>
  </r>
  <r>
    <s v="Multihop,USnet,80"/>
    <x v="1"/>
    <x v="2"/>
    <x v="3"/>
    <n v="2629.1689999999999"/>
    <n v="2670"/>
    <n v="1.529250936329593"/>
  </r>
  <r>
    <s v="Multihop,USnet,80"/>
    <x v="1"/>
    <x v="2"/>
    <x v="3"/>
    <n v="2683.596"/>
    <n v="2670"/>
    <n v="0.50921348314606751"/>
  </r>
  <r>
    <s v="Multihop,USnet,80"/>
    <x v="1"/>
    <x v="2"/>
    <x v="3"/>
    <n v="2652.087"/>
    <n v="2670"/>
    <n v="0.67089887640449475"/>
  </r>
  <r>
    <s v="Multihop,USnet,80"/>
    <x v="1"/>
    <x v="2"/>
    <x v="3"/>
    <n v="2684.893"/>
    <n v="2670"/>
    <n v="0.55779026217228578"/>
  </r>
  <r>
    <s v="Multihop,USnet,80"/>
    <x v="1"/>
    <x v="2"/>
    <x v="3"/>
    <n v="2621.2350000000001"/>
    <n v="2670"/>
    <n v="1.8264044943820179"/>
  </r>
  <r>
    <s v="Multihop,USnet,80"/>
    <x v="1"/>
    <x v="2"/>
    <x v="3"/>
    <n v="2661.3090000000002"/>
    <n v="2670"/>
    <n v="0.32550561797752076"/>
  </r>
  <r>
    <s v="Multihop,USnet,80"/>
    <x v="1"/>
    <x v="2"/>
    <x v="3"/>
    <n v="2514.4"/>
    <n v="2670"/>
    <n v="5.8277153558052399"/>
  </r>
  <r>
    <s v="Multihop,USnet,80"/>
    <x v="1"/>
    <x v="2"/>
    <x v="3"/>
    <n v="2628.7370000000001"/>
    <n v="2670"/>
    <n v="1.545430711610484"/>
  </r>
  <r>
    <s v="Multihop,USnet,80"/>
    <x v="1"/>
    <x v="2"/>
    <x v="3"/>
    <n v="2578.4830000000002"/>
    <n v="2670"/>
    <n v="3.427602996254675"/>
  </r>
  <r>
    <s v="Multihop,USnet,80"/>
    <x v="1"/>
    <x v="2"/>
    <x v="3"/>
    <n v="2659.1970000000001"/>
    <n v="2670"/>
    <n v="0.40460674157302934"/>
  </r>
  <r>
    <s v="Multihop,USnet,80"/>
    <x v="1"/>
    <x v="2"/>
    <x v="3"/>
    <n v="2651.6489999999999"/>
    <n v="2670"/>
    <n v="0.68730337078652104"/>
  </r>
  <r>
    <s v="Multihop,USnet,80"/>
    <x v="1"/>
    <x v="2"/>
    <x v="3"/>
    <n v="2649.491"/>
    <n v="2670"/>
    <n v="0.76812734082397061"/>
  </r>
  <r>
    <s v="Multihop,USnet,80"/>
    <x v="1"/>
    <x v="2"/>
    <x v="3"/>
    <n v="2688.0740000000001"/>
    <n v="2670"/>
    <n v="0.67692883895131339"/>
  </r>
  <r>
    <s v="Multihop,USnet,80"/>
    <x v="1"/>
    <x v="2"/>
    <x v="3"/>
    <n v="2697.402"/>
    <n v="2670"/>
    <n v="1.0262921348314624"/>
  </r>
  <r>
    <s v="Multihop,USnet,80"/>
    <x v="1"/>
    <x v="2"/>
    <x v="3"/>
    <n v="2602.6060000000002"/>
    <n v="2670"/>
    <n v="2.5241198501872577"/>
  </r>
  <r>
    <s v="Multihop,USnet,80"/>
    <x v="1"/>
    <x v="2"/>
    <x v="3"/>
    <n v="2671.232"/>
    <n v="2670"/>
    <n v="4.6142322097377189E-2"/>
  </r>
  <r>
    <s v="Multihop,USnet,80"/>
    <x v="1"/>
    <x v="2"/>
    <x v="3"/>
    <n v="2656.0970000000002"/>
    <n v="2670"/>
    <n v="0.52071161048688364"/>
  </r>
  <r>
    <s v="Multihop,USnet,80"/>
    <x v="1"/>
    <x v="2"/>
    <x v="3"/>
    <n v="2712.3"/>
    <n v="2670"/>
    <n v="1.5842696629213553"/>
  </r>
  <r>
    <s v="Multihop,USnet,80"/>
    <x v="1"/>
    <x v="2"/>
    <x v="3"/>
    <n v="2747.3530000000001"/>
    <n v="2670"/>
    <n v="2.8971161048689162"/>
  </r>
  <r>
    <s v="Multihop,USnet,80"/>
    <x v="1"/>
    <x v="2"/>
    <x v="3"/>
    <n v="2677.0120000000002"/>
    <n v="2670"/>
    <n v="0.26262172284644836"/>
  </r>
  <r>
    <s v="Multihop,USnet,80"/>
    <x v="1"/>
    <x v="2"/>
    <x v="3"/>
    <n v="2631.5729999999999"/>
    <n v="2670"/>
    <n v="1.4392134831460723"/>
  </r>
  <r>
    <s v="Multihop,USnet,80"/>
    <x v="1"/>
    <x v="2"/>
    <x v="3"/>
    <n v="2641.7379999999998"/>
    <n v="2670"/>
    <n v="1.0585018726591824"/>
  </r>
  <r>
    <s v="Multihop,USnet,80"/>
    <x v="1"/>
    <x v="2"/>
    <x v="3"/>
    <n v="2718.7130000000002"/>
    <n v="2670"/>
    <n v="1.8244569288389585"/>
  </r>
  <r>
    <s v="Multihop,USnet,80"/>
    <x v="1"/>
    <x v="2"/>
    <x v="3"/>
    <n v="2608.9029999999998"/>
    <n v="2670"/>
    <n v="2.2882771535580599"/>
  </r>
  <r>
    <s v="Multihop,USnet,80"/>
    <x v="1"/>
    <x v="2"/>
    <x v="3"/>
    <n v="2580.913"/>
    <n v="2670"/>
    <n v="3.3365917602996253"/>
  </r>
  <r>
    <s v="Multihop,USnet,100"/>
    <x v="1"/>
    <x v="2"/>
    <x v="4"/>
    <n v="3227.395"/>
    <n v="3280"/>
    <n v="1.6038109756097565"/>
  </r>
  <r>
    <s v="Multihop,USnet,100"/>
    <x v="1"/>
    <x v="2"/>
    <x v="4"/>
    <n v="3215.7919999999999"/>
    <n v="3280"/>
    <n v="1.9575609756097587"/>
  </r>
  <r>
    <s v="Multihop,USnet,100"/>
    <x v="1"/>
    <x v="2"/>
    <x v="4"/>
    <n v="3299.7919999999999"/>
    <n v="3280"/>
    <n v="0.60341463414633889"/>
  </r>
  <r>
    <s v="Multihop,USnet,100"/>
    <x v="1"/>
    <x v="2"/>
    <x v="4"/>
    <n v="3216.36"/>
    <n v="3280"/>
    <n v="1.9402439024390206"/>
  </r>
  <r>
    <s v="Multihop,USnet,100"/>
    <x v="1"/>
    <x v="2"/>
    <x v="4"/>
    <n v="3388.2449999999999"/>
    <n v="3280"/>
    <n v="3.3001524390243868"/>
  </r>
  <r>
    <s v="Multihop,USnet,100"/>
    <x v="1"/>
    <x v="2"/>
    <x v="4"/>
    <n v="3268.1680000000001"/>
    <n v="3280"/>
    <n v="0.36073170731706955"/>
  </r>
  <r>
    <s v="Multihop,USnet,100"/>
    <x v="1"/>
    <x v="2"/>
    <x v="4"/>
    <n v="3171.1089999999999"/>
    <n v="3280"/>
    <n v="3.319847560975612"/>
  </r>
  <r>
    <s v="Multihop,USnet,100"/>
    <x v="1"/>
    <x v="2"/>
    <x v="4"/>
    <n v="3257.9409999999998"/>
    <n v="3280"/>
    <n v="0.67253048780488411"/>
  </r>
  <r>
    <s v="Multihop,USnet,100"/>
    <x v="1"/>
    <x v="2"/>
    <x v="4"/>
    <n v="3118.99"/>
    <n v="3280"/>
    <n v="4.9088414634146407"/>
  </r>
  <r>
    <s v="Multihop,USnet,100"/>
    <x v="1"/>
    <x v="2"/>
    <x v="4"/>
    <n v="3241.25"/>
    <n v="3280"/>
    <n v="1.1814024390243902"/>
  </r>
  <r>
    <s v="Multihop,USnet,100"/>
    <x v="1"/>
    <x v="2"/>
    <x v="4"/>
    <n v="3329.665"/>
    <n v="3280"/>
    <n v="1.5141768292682916"/>
  </r>
  <r>
    <s v="Multihop,USnet,100"/>
    <x v="1"/>
    <x v="2"/>
    <x v="4"/>
    <n v="3111.9009999999998"/>
    <n v="3280"/>
    <n v="5.1249695121951264"/>
  </r>
  <r>
    <s v="Multihop,USnet,100"/>
    <x v="1"/>
    <x v="2"/>
    <x v="4"/>
    <n v="3215.422"/>
    <n v="3280"/>
    <n v="1.9688414634146334"/>
  </r>
  <r>
    <s v="Multihop,USnet,100"/>
    <x v="1"/>
    <x v="2"/>
    <x v="4"/>
    <n v="3255.4389999999999"/>
    <n v="3280"/>
    <n v="0.74881097560976062"/>
  </r>
  <r>
    <s v="Multihop,USnet,100"/>
    <x v="1"/>
    <x v="2"/>
    <x v="4"/>
    <n v="3201.6010000000001"/>
    <n v="3280"/>
    <n v="2.3902134146341432"/>
  </r>
  <r>
    <s v="Multihop,USnet,100"/>
    <x v="1"/>
    <x v="2"/>
    <x v="4"/>
    <n v="3134.6329999999998"/>
    <n v="3280"/>
    <n v="4.431920731707323"/>
  </r>
  <r>
    <s v="Multihop,USnet,100"/>
    <x v="1"/>
    <x v="2"/>
    <x v="4"/>
    <n v="3269.9949999999999"/>
    <n v="3280"/>
    <n v="0.30503048780488135"/>
  </r>
  <r>
    <s v="Multihop,USnet,100"/>
    <x v="1"/>
    <x v="2"/>
    <x v="4"/>
    <n v="3218.0169999999998"/>
    <n v="3280"/>
    <n v="1.889725609756103"/>
  </r>
  <r>
    <s v="Multihop,USnet,100"/>
    <x v="1"/>
    <x v="2"/>
    <x v="4"/>
    <n v="3392.58"/>
    <n v="3280"/>
    <n v="3.4323170731707293"/>
  </r>
  <r>
    <s v="Multihop,USnet,100"/>
    <x v="1"/>
    <x v="2"/>
    <x v="4"/>
    <n v="3259.7979999999998"/>
    <n v="3280"/>
    <n v="0.61591463414634828"/>
  </r>
  <r>
    <s v="Multihop,USnet,100"/>
    <x v="1"/>
    <x v="2"/>
    <x v="4"/>
    <n v="3302.5650000000001"/>
    <n v="3280"/>
    <n v="0.68795731707317243"/>
  </r>
  <r>
    <s v="Multihop,USnet,100"/>
    <x v="1"/>
    <x v="2"/>
    <x v="4"/>
    <n v="3217.2020000000002"/>
    <n v="3280"/>
    <n v="1.9145731707317002"/>
  </r>
  <r>
    <s v="Multihop,USnet,100"/>
    <x v="1"/>
    <x v="2"/>
    <x v="4"/>
    <n v="3056.55"/>
    <n v="3280"/>
    <n v="6.8124999999999947"/>
  </r>
  <r>
    <s v="Multihop,USnet,100"/>
    <x v="1"/>
    <x v="2"/>
    <x v="4"/>
    <n v="3320.7890000000002"/>
    <n v="3280"/>
    <n v="1.2435670731707382"/>
  </r>
  <r>
    <s v="Multihop,USnet,100"/>
    <x v="1"/>
    <x v="2"/>
    <x v="4"/>
    <n v="3077.5349999999999"/>
    <n v="3280"/>
    <n v="6.17271341463415"/>
  </r>
  <r>
    <s v="Multihop,USnet,100"/>
    <x v="1"/>
    <x v="2"/>
    <x v="4"/>
    <n v="3296.7570000000001"/>
    <n v="3280"/>
    <n v="0.51088414634146528"/>
  </r>
  <r>
    <s v="Multihop,USnet,100"/>
    <x v="1"/>
    <x v="2"/>
    <x v="4"/>
    <n v="3294.0129999999999"/>
    <n v="3280"/>
    <n v="0.42722560975609508"/>
  </r>
  <r>
    <s v="Multihop,USnet,100"/>
    <x v="1"/>
    <x v="2"/>
    <x v="4"/>
    <n v="3155.0279999999998"/>
    <n v="3280"/>
    <n v="3.8101219512195188"/>
  </r>
  <r>
    <s v="Multihop,USnet,100"/>
    <x v="1"/>
    <x v="2"/>
    <x v="4"/>
    <n v="3336.7069999999999"/>
    <n v="3280"/>
    <n v="1.7288719512195085"/>
  </r>
  <r>
    <s v="Multihop,USnet,100"/>
    <x v="1"/>
    <x v="2"/>
    <x v="4"/>
    <n v="3340.3510000000001"/>
    <n v="3280"/>
    <n v="1.8399695121951256"/>
  </r>
  <r>
    <s v="Multihop,USnet,100"/>
    <x v="1"/>
    <x v="2"/>
    <x v="4"/>
    <n v="3277.2840000000001"/>
    <n v="3280"/>
    <n v="8.2804878048777272E-2"/>
  </r>
  <r>
    <s v="Multihop,USnet,100"/>
    <x v="1"/>
    <x v="2"/>
    <x v="4"/>
    <n v="3251.6370000000002"/>
    <n v="3280"/>
    <n v="0.86472560975609236"/>
  </r>
  <r>
    <s v="Multihop,USnet,100"/>
    <x v="1"/>
    <x v="2"/>
    <x v="4"/>
    <n v="3312.0390000000002"/>
    <n v="3280"/>
    <n v="0.97679878048781144"/>
  </r>
  <r>
    <s v="Multihop,USnet,100"/>
    <x v="1"/>
    <x v="2"/>
    <x v="4"/>
    <n v="3173.2020000000002"/>
    <n v="3280"/>
    <n v="3.2560365853658473"/>
  </r>
  <r>
    <s v="Multihop,USnet,100"/>
    <x v="1"/>
    <x v="2"/>
    <x v="4"/>
    <n v="3129.9119999999998"/>
    <n v="3280"/>
    <n v="4.575853658536591"/>
  </r>
  <r>
    <s v="Multihop,USnet,100"/>
    <x v="1"/>
    <x v="2"/>
    <x v="4"/>
    <n v="3119.8429999999998"/>
    <n v="3280"/>
    <n v="4.882835365853663"/>
  </r>
  <r>
    <s v="Multihop,USnet,100"/>
    <x v="1"/>
    <x v="2"/>
    <x v="4"/>
    <n v="3338.3539999999998"/>
    <n v="3280"/>
    <n v="1.779085365853653"/>
  </r>
  <r>
    <s v="Multihop,USnet,100"/>
    <x v="1"/>
    <x v="2"/>
    <x v="4"/>
    <n v="3285.5230000000001"/>
    <n v="3280"/>
    <n v="0.16838414634146764"/>
  </r>
  <r>
    <s v="Multihop,USnet,100"/>
    <x v="1"/>
    <x v="2"/>
    <x v="4"/>
    <n v="3361.9119999999998"/>
    <n v="3280"/>
    <n v="2.4973170731707257"/>
  </r>
  <r>
    <s v="Multihop,USnet,100"/>
    <x v="1"/>
    <x v="2"/>
    <x v="4"/>
    <n v="3187.74"/>
    <n v="3280"/>
    <n v="2.8128048780487873"/>
  </r>
  <r>
    <s v="Multihop,USnet,100"/>
    <x v="1"/>
    <x v="2"/>
    <x v="4"/>
    <n v="3283.1280000000002"/>
    <n v="3280"/>
    <n v="9.5365853658541347E-2"/>
  </r>
  <r>
    <s v="Multihop,USnet,100"/>
    <x v="1"/>
    <x v="2"/>
    <x v="4"/>
    <n v="3166.9830000000002"/>
    <n v="3280"/>
    <n v="3.4456402439024334"/>
  </r>
  <r>
    <s v="Multihop,USnet,100"/>
    <x v="1"/>
    <x v="2"/>
    <x v="4"/>
    <n v="3309.0320000000002"/>
    <n v="3280"/>
    <n v="0.88512195121951687"/>
  </r>
  <r>
    <s v="Multihop,USnet,100"/>
    <x v="1"/>
    <x v="2"/>
    <x v="4"/>
    <n v="3236.107"/>
    <n v="3280"/>
    <n v="1.3382012195121962"/>
  </r>
  <r>
    <s v="Multihop,USnet,100"/>
    <x v="1"/>
    <x v="2"/>
    <x v="4"/>
    <n v="3227.2020000000002"/>
    <n v="3280"/>
    <n v="1.6096951219512126"/>
  </r>
  <r>
    <s v="Multihop,USnet,100"/>
    <x v="1"/>
    <x v="2"/>
    <x v="4"/>
    <n v="3205.8130000000001"/>
    <n v="3280"/>
    <n v="2.2617987804878017"/>
  </r>
  <r>
    <s v="Multihop,USnet,100"/>
    <x v="1"/>
    <x v="2"/>
    <x v="4"/>
    <n v="3192.922"/>
    <n v="3280"/>
    <n v="2.6548170731707308"/>
  </r>
  <r>
    <s v="Multihop,USnet,100"/>
    <x v="1"/>
    <x v="2"/>
    <x v="4"/>
    <n v="3269.431"/>
    <n v="3280"/>
    <n v="0.32222560975609632"/>
  </r>
  <r>
    <s v="Multihop,USnet,100"/>
    <x v="1"/>
    <x v="2"/>
    <x v="4"/>
    <n v="3388.9490000000001"/>
    <n v="3280"/>
    <n v="3.321615853658539"/>
  </r>
  <r>
    <s v="Multihop,USnet,100"/>
    <x v="1"/>
    <x v="2"/>
    <x v="4"/>
    <n v="3331.2190000000001"/>
    <n v="3280"/>
    <n v="1.561554878048782"/>
  </r>
  <r>
    <s v="Multihop,USnet,100"/>
    <x v="1"/>
    <x v="2"/>
    <x v="4"/>
    <n v="3233.63"/>
    <n v="3280"/>
    <n v="1.4137195121951187"/>
  </r>
  <r>
    <s v="Multihop,USnet,100"/>
    <x v="1"/>
    <x v="2"/>
    <x v="4"/>
    <n v="3333.6039999999998"/>
    <n v="3280"/>
    <n v="1.6342682926829211"/>
  </r>
  <r>
    <s v="Multihop,USnet,100"/>
    <x v="1"/>
    <x v="2"/>
    <x v="4"/>
    <n v="3215.0650000000001"/>
    <n v="3280"/>
    <n v="1.9797256097560958"/>
  </r>
  <r>
    <s v="Multihop,USnet,100"/>
    <x v="1"/>
    <x v="2"/>
    <x v="4"/>
    <n v="3224.5990000000002"/>
    <n v="3280"/>
    <n v="1.6890548780487755"/>
  </r>
  <r>
    <s v="Multihop,USnet,100"/>
    <x v="1"/>
    <x v="2"/>
    <x v="4"/>
    <n v="3226.48"/>
    <n v="3280"/>
    <n v="1.6317073170731702"/>
  </r>
  <r>
    <s v="Multihop,USnet,100"/>
    <x v="1"/>
    <x v="2"/>
    <x v="4"/>
    <n v="3263.1309999999999"/>
    <n v="3280"/>
    <n v="0.51429878048780919"/>
  </r>
  <r>
    <s v="Multihop,USnet,100"/>
    <x v="1"/>
    <x v="2"/>
    <x v="4"/>
    <n v="3331.77"/>
    <n v="3280"/>
    <n v="1.5783536585365847"/>
  </r>
  <r>
    <s v="Multihop,USnet,100"/>
    <x v="1"/>
    <x v="2"/>
    <x v="4"/>
    <n v="3188.0439999999999"/>
    <n v="3280"/>
    <n v="2.8035365853658578"/>
  </r>
  <r>
    <s v="Multihop,USnet,100"/>
    <x v="1"/>
    <x v="2"/>
    <x v="4"/>
    <n v="3253.7649999999999"/>
    <n v="3280"/>
    <n v="0.7998475609756136"/>
  </r>
  <r>
    <s v="Multihop,USnet,100"/>
    <x v="1"/>
    <x v="2"/>
    <x v="4"/>
    <n v="3206.4470000000001"/>
    <n v="3280"/>
    <n v="2.2424695121951181"/>
  </r>
  <r>
    <s v="Multihop,USnet,100"/>
    <x v="1"/>
    <x v="2"/>
    <x v="4"/>
    <n v="3311.2930000000001"/>
    <n v="3280"/>
    <n v="0.95405487804878419"/>
  </r>
  <r>
    <s v="Multihop,USnet,100"/>
    <x v="1"/>
    <x v="2"/>
    <x v="4"/>
    <n v="3235.28"/>
    <n v="3280"/>
    <n v="1.3634146341463353"/>
  </r>
  <r>
    <s v="Multihop,USnet,100"/>
    <x v="1"/>
    <x v="2"/>
    <x v="4"/>
    <n v="3339.9960000000001"/>
    <n v="3280"/>
    <n v="1.8291463414634175"/>
  </r>
  <r>
    <s v="Multihop,USnet,100"/>
    <x v="1"/>
    <x v="2"/>
    <x v="4"/>
    <n v="3128.2060000000001"/>
    <n v="3280"/>
    <n v="4.6278658536585322"/>
  </r>
  <r>
    <s v="Multihop,USnet,100"/>
    <x v="1"/>
    <x v="2"/>
    <x v="4"/>
    <n v="3233.3580000000002"/>
    <n v="3280"/>
    <n v="1.422012195121946"/>
  </r>
  <r>
    <s v="Multihop,USnet,100"/>
    <x v="1"/>
    <x v="2"/>
    <x v="4"/>
    <n v="3234.306"/>
    <n v="3280"/>
    <n v="1.3931097560975598"/>
  </r>
  <r>
    <s v="Multihop,USnet,100"/>
    <x v="1"/>
    <x v="2"/>
    <x v="4"/>
    <n v="3312.8580000000002"/>
    <n v="3280"/>
    <n v="1.0017682926829321"/>
  </r>
  <r>
    <s v="Multihop,USnet,100"/>
    <x v="1"/>
    <x v="2"/>
    <x v="4"/>
    <n v="3135.7289999999998"/>
    <n v="3280"/>
    <n v="4.3985060975609818"/>
  </r>
  <r>
    <s v="Multihop,USnet,100"/>
    <x v="1"/>
    <x v="2"/>
    <x v="4"/>
    <n v="3311.0680000000002"/>
    <n v="3280"/>
    <n v="0.94719512195122602"/>
  </r>
  <r>
    <s v="Multihop,USnet,100"/>
    <x v="1"/>
    <x v="2"/>
    <x v="4"/>
    <n v="3172.462"/>
    <n v="3280"/>
    <n v="3.2785975609756104"/>
  </r>
  <r>
    <s v="Multihop,USnet,100"/>
    <x v="1"/>
    <x v="2"/>
    <x v="4"/>
    <n v="3293.7179999999998"/>
    <n v="3280"/>
    <n v="0.41823170731706855"/>
  </r>
  <r>
    <s v="Multihop,USnet,100"/>
    <x v="1"/>
    <x v="2"/>
    <x v="4"/>
    <n v="3308.62"/>
    <n v="3280"/>
    <n v="0.87256097560975276"/>
  </r>
  <r>
    <s v="Multihop,USnet,100"/>
    <x v="1"/>
    <x v="2"/>
    <x v="4"/>
    <n v="3138.3159999999998"/>
    <n v="3280"/>
    <n v="4.3196341463414694"/>
  </r>
  <r>
    <s v="Multihop,USnet,100"/>
    <x v="1"/>
    <x v="2"/>
    <x v="4"/>
    <n v="3272.4360000000001"/>
    <n v="3280"/>
    <n v="0.23060975609755641"/>
  </r>
  <r>
    <s v="Multihop,USnet,100"/>
    <x v="1"/>
    <x v="2"/>
    <x v="4"/>
    <n v="3297.7350000000001"/>
    <n v="3280"/>
    <n v="0.54070121951219896"/>
  </r>
  <r>
    <s v="Multihop,USnet,100"/>
    <x v="1"/>
    <x v="2"/>
    <x v="4"/>
    <n v="3229.5250000000001"/>
    <n v="3280"/>
    <n v="1.5388719512195095"/>
  </r>
  <r>
    <s v="Multihop,USnet,100"/>
    <x v="1"/>
    <x v="2"/>
    <x v="4"/>
    <n v="3181.3220000000001"/>
    <n v="3280"/>
    <n v="3.0084756097560938"/>
  </r>
  <r>
    <s v="Multihop,USnet,100"/>
    <x v="1"/>
    <x v="2"/>
    <x v="4"/>
    <n v="3182.8890000000001"/>
    <n v="3280"/>
    <n v="2.9607012195121913"/>
  </r>
  <r>
    <s v="Multihop,USnet,100"/>
    <x v="1"/>
    <x v="2"/>
    <x v="4"/>
    <n v="3264.17"/>
    <n v="3280"/>
    <n v="0.48262195121950996"/>
  </r>
  <r>
    <s v="Multihop,USnet,100"/>
    <x v="1"/>
    <x v="2"/>
    <x v="4"/>
    <n v="3397.444"/>
    <n v="3280"/>
    <n v="3.5806097560975596"/>
  </r>
  <r>
    <s v="Multihop,USnet,100"/>
    <x v="1"/>
    <x v="2"/>
    <x v="4"/>
    <n v="3347.1019999999999"/>
    <n v="3280"/>
    <n v="2.0457926829268249"/>
  </r>
  <r>
    <s v="Multihop,USnet,100"/>
    <x v="1"/>
    <x v="2"/>
    <x v="4"/>
    <n v="3121.9409999999998"/>
    <n v="3280"/>
    <n v="4.8188719512195179"/>
  </r>
  <r>
    <s v="Multihop,USnet,100"/>
    <x v="1"/>
    <x v="2"/>
    <x v="4"/>
    <n v="3190.009"/>
    <n v="3280"/>
    <n v="2.7436280487804874"/>
  </r>
  <r>
    <s v="Multihop,USnet,100"/>
    <x v="1"/>
    <x v="2"/>
    <x v="4"/>
    <n v="3254.0819999999999"/>
    <n v="3280"/>
    <n v="0.79018292682927183"/>
  </r>
  <r>
    <s v="Multihop,USnet,100"/>
    <x v="1"/>
    <x v="2"/>
    <x v="4"/>
    <n v="3285.7629999999999"/>
    <n v="3280"/>
    <n v="0.17570121951219267"/>
  </r>
  <r>
    <s v="Multihop,USnet,100"/>
    <x v="1"/>
    <x v="2"/>
    <x v="4"/>
    <n v="3283.3359999999998"/>
    <n v="3280"/>
    <n v="0.10170731707316417"/>
  </r>
  <r>
    <s v="Multihop,USnet,100"/>
    <x v="1"/>
    <x v="2"/>
    <x v="4"/>
    <n v="3149.4960000000001"/>
    <n v="3280"/>
    <n v="3.9787804878048756"/>
  </r>
  <r>
    <s v="Multihop,USnet,100"/>
    <x v="1"/>
    <x v="2"/>
    <x v="4"/>
    <n v="3228.143"/>
    <n v="3280"/>
    <n v="1.5810060975609748"/>
  </r>
  <r>
    <s v="Multihop,USnet,100"/>
    <x v="1"/>
    <x v="2"/>
    <x v="4"/>
    <n v="3228.2460000000001"/>
    <n v="3280"/>
    <n v="1.5778658536585337"/>
  </r>
  <r>
    <s v="Multihop,USnet,100"/>
    <x v="1"/>
    <x v="2"/>
    <x v="4"/>
    <n v="3381.7510000000002"/>
    <n v="3280"/>
    <n v="3.1021646341463476"/>
  </r>
  <r>
    <s v="Multihop,USnet,100"/>
    <x v="1"/>
    <x v="2"/>
    <x v="4"/>
    <n v="3288.5050000000001"/>
    <n v="3280"/>
    <n v="0.25929878048780819"/>
  </r>
  <r>
    <s v="Multihop,USnet,100"/>
    <x v="1"/>
    <x v="2"/>
    <x v="4"/>
    <n v="3369.6179999999999"/>
    <n v="3280"/>
    <n v="2.732256097560974"/>
  </r>
  <r>
    <s v="Multihop,USnet,100"/>
    <x v="1"/>
    <x v="2"/>
    <x v="4"/>
    <n v="3234.3809999999999"/>
    <n v="3280"/>
    <n v="1.3908231707317116"/>
  </r>
  <r>
    <s v="Multihop,USnet,100"/>
    <x v="1"/>
    <x v="2"/>
    <x v="4"/>
    <n v="3184.4360000000001"/>
    <n v="3280"/>
    <n v="2.9135365853658493"/>
  </r>
  <r>
    <s v="Multihop,USnet,100"/>
    <x v="1"/>
    <x v="2"/>
    <x v="4"/>
    <n v="3182.8339999999998"/>
    <n v="3280"/>
    <n v="2.9623780487804932"/>
  </r>
  <r>
    <s v="Multihop,USnet,100"/>
    <x v="1"/>
    <x v="2"/>
    <x v="4"/>
    <n v="3310.4470000000001"/>
    <n v="3280"/>
    <n v="0.92826219512195474"/>
  </r>
  <r>
    <s v="Multihop,USnet,100"/>
    <x v="1"/>
    <x v="2"/>
    <x v="4"/>
    <n v="3275.6559999999999"/>
    <n v="3280"/>
    <n v="0.13243902439024546"/>
  </r>
  <r>
    <s v="Multihop,USnet,100"/>
    <x v="1"/>
    <x v="2"/>
    <x v="4"/>
    <n v="2990.3850000000002"/>
    <n v="3280"/>
    <n v="8.8297256097560908"/>
  </r>
  <r>
    <s v="Multihop,USnet,100"/>
    <x v="1"/>
    <x v="2"/>
    <x v="4"/>
    <n v="3372.7130000000002"/>
    <n v="3280"/>
    <n v="2.8266158536585424"/>
  </r>
  <r>
    <s v="Multihop,USnet,100"/>
    <x v="1"/>
    <x v="2"/>
    <x v="4"/>
    <n v="3186.7570000000001"/>
    <n v="3280"/>
    <n v="2.8427743902439002"/>
  </r>
  <r>
    <s v="Multihop,USnet,120"/>
    <x v="1"/>
    <x v="2"/>
    <x v="5"/>
    <n v="3804.68"/>
    <n v="3960"/>
    <n v="3.9222222222222261"/>
  </r>
  <r>
    <s v="Multihop,USnet,120"/>
    <x v="1"/>
    <x v="2"/>
    <x v="5"/>
    <n v="3859.433"/>
    <n v="3960"/>
    <n v="2.5395707070707072"/>
  </r>
  <r>
    <s v="Multihop,USnet,120"/>
    <x v="1"/>
    <x v="2"/>
    <x v="5"/>
    <n v="3819.576"/>
    <n v="3960"/>
    <n v="3.5460606060606055"/>
  </r>
  <r>
    <s v="Multihop,USnet,120"/>
    <x v="1"/>
    <x v="2"/>
    <x v="5"/>
    <n v="3851.0630000000001"/>
    <n v="3960"/>
    <n v="2.7509343434343405"/>
  </r>
  <r>
    <s v="Multihop,USnet,120"/>
    <x v="1"/>
    <x v="2"/>
    <x v="5"/>
    <n v="3849.1179999999999"/>
    <n v="3960"/>
    <n v="2.8000505050505069"/>
  </r>
  <r>
    <s v="Multihop,USnet,120"/>
    <x v="1"/>
    <x v="2"/>
    <x v="5"/>
    <n v="3736.9740000000002"/>
    <n v="3960"/>
    <n v="5.6319696969696933"/>
  </r>
  <r>
    <s v="Multihop,USnet,120"/>
    <x v="1"/>
    <x v="2"/>
    <x v="5"/>
    <n v="3863.9110000000001"/>
    <n v="3960"/>
    <n v="2.4264898989898978"/>
  </r>
  <r>
    <s v="Multihop,USnet,120"/>
    <x v="1"/>
    <x v="2"/>
    <x v="5"/>
    <n v="3844.0010000000002"/>
    <n v="3960"/>
    <n v="2.9292676767676715"/>
  </r>
  <r>
    <s v="Multihop,USnet,120"/>
    <x v="1"/>
    <x v="2"/>
    <x v="5"/>
    <n v="3860.2730000000001"/>
    <n v="3960"/>
    <n v="2.5183585858585826"/>
  </r>
  <r>
    <s v="Multihop,USnet,120"/>
    <x v="1"/>
    <x v="2"/>
    <x v="5"/>
    <n v="3959.4760000000001"/>
    <n v="3960"/>
    <n v="1.3232323232320384E-2"/>
  </r>
  <r>
    <s v="Multihop,USnet,120"/>
    <x v="1"/>
    <x v="2"/>
    <x v="5"/>
    <n v="3811.7840000000001"/>
    <n v="3960"/>
    <n v="3.7428282828282802"/>
  </r>
  <r>
    <s v="Multihop,USnet,120"/>
    <x v="1"/>
    <x v="2"/>
    <x v="5"/>
    <n v="3888.3539999999998"/>
    <n v="3960"/>
    <n v="1.8092424242424288"/>
  </r>
  <r>
    <s v="Multihop,USnet,120"/>
    <x v="1"/>
    <x v="2"/>
    <x v="5"/>
    <n v="3703.1579999999999"/>
    <n v="3960"/>
    <n v="6.485909090909094"/>
  </r>
  <r>
    <s v="Multihop,USnet,120"/>
    <x v="1"/>
    <x v="2"/>
    <x v="5"/>
    <n v="3744.8919999999998"/>
    <n v="3960"/>
    <n v="5.4320202020202064"/>
  </r>
  <r>
    <s v="Multihop,USnet,120"/>
    <x v="1"/>
    <x v="2"/>
    <x v="5"/>
    <n v="3924.2719999999999"/>
    <n v="3960"/>
    <n v="0.90222222222222392"/>
  </r>
  <r>
    <s v="Multihop,USnet,120"/>
    <x v="1"/>
    <x v="2"/>
    <x v="5"/>
    <n v="3782.0279999999998"/>
    <n v="3960"/>
    <n v="4.4942424242424295"/>
  </r>
  <r>
    <s v="Multihop,USnet,120"/>
    <x v="1"/>
    <x v="2"/>
    <x v="5"/>
    <n v="3789.877"/>
    <n v="3960"/>
    <n v="4.2960353535353546"/>
  </r>
  <r>
    <s v="Multihop,USnet,120"/>
    <x v="1"/>
    <x v="2"/>
    <x v="5"/>
    <n v="3734.2370000000001"/>
    <n v="3960"/>
    <n v="5.7010858585858566"/>
  </r>
  <r>
    <s v="Multihop,USnet,120"/>
    <x v="1"/>
    <x v="2"/>
    <x v="5"/>
    <n v="3972.0039999999999"/>
    <n v="3960"/>
    <n v="0.30313131313131075"/>
  </r>
  <r>
    <s v="Multihop,USnet,120"/>
    <x v="1"/>
    <x v="2"/>
    <x v="5"/>
    <n v="3934.93"/>
    <n v="3960"/>
    <n v="0.63308080808081213"/>
  </r>
  <r>
    <s v="Multihop,USnet,120"/>
    <x v="1"/>
    <x v="2"/>
    <x v="5"/>
    <n v="3895.1149999999998"/>
    <n v="3960"/>
    <n v="1.6385101010101064"/>
  </r>
  <r>
    <s v="Multihop,USnet,120"/>
    <x v="1"/>
    <x v="2"/>
    <x v="5"/>
    <n v="3725.4189999999999"/>
    <n v="3960"/>
    <n v="5.9237626262626293"/>
  </r>
  <r>
    <s v="Multihop,USnet,120"/>
    <x v="1"/>
    <x v="2"/>
    <x v="5"/>
    <n v="3736.9850000000001"/>
    <n v="3960"/>
    <n v="5.6316919191919164"/>
  </r>
  <r>
    <s v="Multihop,USnet,120"/>
    <x v="1"/>
    <x v="2"/>
    <x v="5"/>
    <n v="3742.8180000000002"/>
    <n v="3960"/>
    <n v="5.484393939393934"/>
  </r>
  <r>
    <s v="Multihop,USnet,120"/>
    <x v="1"/>
    <x v="2"/>
    <x v="5"/>
    <n v="3969.2220000000002"/>
    <n v="3960"/>
    <n v="0.2328787878787931"/>
  </r>
  <r>
    <s v="Multihop,USnet,120"/>
    <x v="1"/>
    <x v="2"/>
    <x v="5"/>
    <n v="3786.2150000000001"/>
    <n v="3960"/>
    <n v="4.3885101010100973"/>
  </r>
  <r>
    <s v="Multihop,USnet,120"/>
    <x v="1"/>
    <x v="2"/>
    <x v="5"/>
    <n v="3973.2370000000001"/>
    <n v="3960"/>
    <n v="0.33426767676767877"/>
  </r>
  <r>
    <s v="Multihop,USnet,120"/>
    <x v="1"/>
    <x v="2"/>
    <x v="5"/>
    <n v="4020.692"/>
    <n v="3960"/>
    <n v="1.5326262626262628"/>
  </r>
  <r>
    <s v="Multihop,USnet,120"/>
    <x v="1"/>
    <x v="2"/>
    <x v="5"/>
    <n v="3774.3310000000001"/>
    <n v="3960"/>
    <n v="4.6886111111111077"/>
  </r>
  <r>
    <s v="Multihop,USnet,120"/>
    <x v="1"/>
    <x v="2"/>
    <x v="5"/>
    <n v="3829.1370000000002"/>
    <n v="3960"/>
    <n v="3.3046212121212082"/>
  </r>
  <r>
    <s v="Multihop,USnet,120"/>
    <x v="1"/>
    <x v="2"/>
    <x v="5"/>
    <n v="3887.1190000000001"/>
    <n v="3960"/>
    <n v="1.8404292929292891"/>
  </r>
  <r>
    <s v="Multihop,USnet,120"/>
    <x v="1"/>
    <x v="2"/>
    <x v="5"/>
    <n v="3859.0520000000001"/>
    <n v="3960"/>
    <n v="2.5491919191919159"/>
  </r>
  <r>
    <s v="Multihop,USnet,120"/>
    <x v="1"/>
    <x v="2"/>
    <x v="5"/>
    <n v="3935.1469999999999"/>
    <n v="3960"/>
    <n v="0.62760101010101177"/>
  </r>
  <r>
    <s v="Multihop,USnet,120"/>
    <x v="1"/>
    <x v="2"/>
    <x v="5"/>
    <n v="3866.4470000000001"/>
    <n v="3960"/>
    <n v="2.3624494949494919"/>
  </r>
  <r>
    <s v="Multihop,USnet,120"/>
    <x v="1"/>
    <x v="2"/>
    <x v="5"/>
    <n v="3811.8760000000002"/>
    <n v="3960"/>
    <n v="3.7405050505050457"/>
  </r>
  <r>
    <s v="Multihop,USnet,120"/>
    <x v="1"/>
    <x v="2"/>
    <x v="5"/>
    <n v="3811.027"/>
    <n v="3960"/>
    <n v="3.7619444444444436"/>
  </r>
  <r>
    <s v="Multihop,USnet,120"/>
    <x v="1"/>
    <x v="2"/>
    <x v="5"/>
    <n v="3764.2649999999999"/>
    <n v="3960"/>
    <n v="4.9428030303030335"/>
  </r>
  <r>
    <s v="Multihop,USnet,120"/>
    <x v="1"/>
    <x v="2"/>
    <x v="5"/>
    <n v="3804.1030000000001"/>
    <n v="3960"/>
    <n v="3.9367929292929276"/>
  </r>
  <r>
    <s v="Multihop,USnet,120"/>
    <x v="1"/>
    <x v="2"/>
    <x v="5"/>
    <n v="3876.654"/>
    <n v="3960"/>
    <n v="2.10469696969697"/>
  </r>
  <r>
    <s v="Multihop,USnet,120"/>
    <x v="1"/>
    <x v="2"/>
    <x v="5"/>
    <n v="3960.9090000000001"/>
    <n v="3960"/>
    <n v="2.2954545454548121E-2"/>
  </r>
  <r>
    <s v="Multihop,USnet,120"/>
    <x v="1"/>
    <x v="2"/>
    <x v="5"/>
    <n v="3829.346"/>
    <n v="3960"/>
    <n v="3.2993434343434345"/>
  </r>
  <r>
    <s v="Multihop,USnet,120"/>
    <x v="1"/>
    <x v="2"/>
    <x v="5"/>
    <n v="3692.788"/>
    <n v="3960"/>
    <n v="6.7477777777777774"/>
  </r>
  <r>
    <s v="Multihop,USnet,120"/>
    <x v="1"/>
    <x v="2"/>
    <x v="5"/>
    <n v="3788.0250000000001"/>
    <n v="3960"/>
    <n v="4.3428030303030285"/>
  </r>
  <r>
    <s v="Multihop,USnet,120"/>
    <x v="1"/>
    <x v="2"/>
    <x v="5"/>
    <n v="3933.0749999999998"/>
    <n v="3960"/>
    <n v="0.67992424242424698"/>
  </r>
  <r>
    <s v="Multihop,USnet,120"/>
    <x v="1"/>
    <x v="2"/>
    <x v="5"/>
    <n v="3850.5309999999999"/>
    <n v="3960"/>
    <n v="2.7643686868686879"/>
  </r>
  <r>
    <s v="Multihop,USnet,120"/>
    <x v="1"/>
    <x v="2"/>
    <x v="5"/>
    <n v="3875.3009999999999"/>
    <n v="3960"/>
    <n v="2.138863636363638"/>
  </r>
  <r>
    <s v="Multihop,USnet,120"/>
    <x v="1"/>
    <x v="2"/>
    <x v="5"/>
    <n v="3770.5259999999998"/>
    <n v="3960"/>
    <n v="4.7846969696969737"/>
  </r>
  <r>
    <s v="Multihop,USnet,120"/>
    <x v="1"/>
    <x v="2"/>
    <x v="5"/>
    <n v="4028.7750000000001"/>
    <n v="3960"/>
    <n v="1.7367424242424263"/>
  </r>
  <r>
    <s v="Multihop,USnet,120"/>
    <x v="1"/>
    <x v="2"/>
    <x v="5"/>
    <n v="4038.4940000000001"/>
    <n v="3960"/>
    <n v="1.9821717171717208"/>
  </r>
  <r>
    <s v="Multihop,USnet,120"/>
    <x v="1"/>
    <x v="2"/>
    <x v="5"/>
    <n v="3882.5830000000001"/>
    <n v="3960"/>
    <n v="1.9549747474747452"/>
  </r>
  <r>
    <s v="Multihop,USnet,120"/>
    <x v="1"/>
    <x v="2"/>
    <x v="5"/>
    <n v="3931.587"/>
    <n v="3960"/>
    <n v="0.71750000000000025"/>
  </r>
  <r>
    <s v="Multihop,USnet,120"/>
    <x v="1"/>
    <x v="2"/>
    <x v="5"/>
    <n v="3876.4290000000001"/>
    <n v="3960"/>
    <n v="2.1103787878787856"/>
  </r>
  <r>
    <s v="Multihop,USnet,120"/>
    <x v="1"/>
    <x v="2"/>
    <x v="5"/>
    <n v="3741.9940000000001"/>
    <n v="3960"/>
    <n v="5.5052020202020167"/>
  </r>
  <r>
    <s v="Multihop,USnet,120"/>
    <x v="1"/>
    <x v="2"/>
    <x v="5"/>
    <n v="3800.7579999999998"/>
    <n v="3960"/>
    <n v="4.0212626262626312"/>
  </r>
  <r>
    <s v="Multihop,USnet,120"/>
    <x v="1"/>
    <x v="2"/>
    <x v="5"/>
    <n v="3840.7750000000001"/>
    <n v="3960"/>
    <n v="3.0107323232323213"/>
  </r>
  <r>
    <s v="Multihop,USnet,120"/>
    <x v="1"/>
    <x v="2"/>
    <x v="5"/>
    <n v="3932.5819999999999"/>
    <n v="3960"/>
    <n v="0.69237373737374042"/>
  </r>
  <r>
    <s v="Multihop,USnet,120"/>
    <x v="1"/>
    <x v="2"/>
    <x v="5"/>
    <n v="3851.364"/>
    <n v="3960"/>
    <n v="2.7433333333333323"/>
  </r>
  <r>
    <s v="Multihop,USnet,120"/>
    <x v="1"/>
    <x v="2"/>
    <x v="5"/>
    <n v="3822.7310000000002"/>
    <n v="3960"/>
    <n v="3.4663888888888836"/>
  </r>
  <r>
    <s v="Multihop,USnet,120"/>
    <x v="1"/>
    <x v="2"/>
    <x v="5"/>
    <n v="3920.18"/>
    <n v="3960"/>
    <n v="1.0055555555555598"/>
  </r>
  <r>
    <s v="Multihop,USnet,120"/>
    <x v="1"/>
    <x v="2"/>
    <x v="5"/>
    <n v="3972.5419999999999"/>
    <n v="3960"/>
    <n v="0.31671717171716962"/>
  </r>
  <r>
    <s v="Multihop,USnet,120"/>
    <x v="1"/>
    <x v="2"/>
    <x v="5"/>
    <n v="3752.1889999999999"/>
    <n v="3960"/>
    <n v="5.2477525252525288"/>
  </r>
  <r>
    <s v="Multihop,USnet,120"/>
    <x v="1"/>
    <x v="2"/>
    <x v="5"/>
    <n v="3719.002"/>
    <n v="3960"/>
    <n v="6.0858080808080821"/>
  </r>
  <r>
    <s v="Multihop,USnet,120"/>
    <x v="1"/>
    <x v="2"/>
    <x v="5"/>
    <n v="3741.319"/>
    <n v="3960"/>
    <n v="5.5222474747474752"/>
  </r>
  <r>
    <s v="Multihop,USnet,120"/>
    <x v="1"/>
    <x v="2"/>
    <x v="5"/>
    <n v="4053.3829999999998"/>
    <n v="3960"/>
    <n v="2.3581565656565608"/>
  </r>
  <r>
    <s v="Multihop,USnet,120"/>
    <x v="1"/>
    <x v="2"/>
    <x v="5"/>
    <n v="3870.9229999999998"/>
    <n v="3960"/>
    <n v="2.2494191919191975"/>
  </r>
  <r>
    <s v="Multihop,USnet,120"/>
    <x v="1"/>
    <x v="2"/>
    <x v="5"/>
    <n v="3918.4070000000002"/>
    <n v="3960"/>
    <n v="1.0503282828282789"/>
  </r>
  <r>
    <s v="Multihop,USnet,120"/>
    <x v="1"/>
    <x v="2"/>
    <x v="5"/>
    <n v="4006.2190000000001"/>
    <n v="3960"/>
    <n v="1.167146464646466"/>
  </r>
  <r>
    <s v="Multihop,USnet,120"/>
    <x v="1"/>
    <x v="2"/>
    <x v="5"/>
    <n v="3826.317"/>
    <n v="3960"/>
    <n v="3.3758333333333335"/>
  </r>
  <r>
    <s v="Multihop,USnet,120"/>
    <x v="1"/>
    <x v="2"/>
    <x v="5"/>
    <n v="3916.241"/>
    <n v="3960"/>
    <n v="1.1050252525252529"/>
  </r>
  <r>
    <s v="Multihop,USnet,120"/>
    <x v="1"/>
    <x v="2"/>
    <x v="5"/>
    <n v="3887.127"/>
    <n v="3960"/>
    <n v="1.8402272727272739"/>
  </r>
  <r>
    <s v="Multihop,USnet,120"/>
    <x v="1"/>
    <x v="2"/>
    <x v="5"/>
    <n v="3982.2460000000001"/>
    <n v="3960"/>
    <n v="0.56176767676767914"/>
  </r>
  <r>
    <s v="Multihop,USnet,120"/>
    <x v="1"/>
    <x v="2"/>
    <x v="5"/>
    <n v="3956.2550000000001"/>
    <n v="3960"/>
    <n v="9.4570707070704307E-2"/>
  </r>
  <r>
    <s v="Multihop,USnet,120"/>
    <x v="1"/>
    <x v="2"/>
    <x v="5"/>
    <n v="3824.2939999999999"/>
    <n v="3960"/>
    <n v="3.426919191919195"/>
  </r>
  <r>
    <s v="Multihop,USnet,120"/>
    <x v="1"/>
    <x v="2"/>
    <x v="5"/>
    <n v="4011.4340000000002"/>
    <n v="3960"/>
    <n v="1.2988383838383888"/>
  </r>
  <r>
    <s v="Multihop,USnet,120"/>
    <x v="1"/>
    <x v="2"/>
    <x v="5"/>
    <n v="3823.8220000000001"/>
    <n v="3960"/>
    <n v="3.4388383838383807"/>
  </r>
  <r>
    <s v="Multihop,USnet,120"/>
    <x v="1"/>
    <x v="2"/>
    <x v="5"/>
    <n v="3766.8409999999999"/>
    <n v="3960"/>
    <n v="4.8777525252525278"/>
  </r>
  <r>
    <s v="Multihop,USnet,120"/>
    <x v="1"/>
    <x v="2"/>
    <x v="5"/>
    <n v="3947.6750000000002"/>
    <n v="3960"/>
    <n v="0.31123737373736915"/>
  </r>
  <r>
    <s v="Multihop,USnet,120"/>
    <x v="1"/>
    <x v="2"/>
    <x v="5"/>
    <n v="3821.136"/>
    <n v="3960"/>
    <n v="3.5066666666666677"/>
  </r>
  <r>
    <s v="Multihop,USnet,120"/>
    <x v="1"/>
    <x v="2"/>
    <x v="5"/>
    <n v="3890.16"/>
    <n v="3960"/>
    <n v="1.7636363636363672"/>
  </r>
  <r>
    <s v="Multihop,USnet,120"/>
    <x v="1"/>
    <x v="2"/>
    <x v="5"/>
    <n v="3671.0720000000001"/>
    <n v="3960"/>
    <n v="7.296161616161613"/>
  </r>
  <r>
    <s v="Multihop,USnet,120"/>
    <x v="1"/>
    <x v="2"/>
    <x v="5"/>
    <n v="3897.66"/>
    <n v="3960"/>
    <n v="1.574242424242428"/>
  </r>
  <r>
    <s v="Multihop,USnet,120"/>
    <x v="1"/>
    <x v="2"/>
    <x v="5"/>
    <n v="4022.8710000000001"/>
    <n v="3960"/>
    <n v="1.5876515151515176"/>
  </r>
  <r>
    <s v="Multihop,USnet,120"/>
    <x v="1"/>
    <x v="2"/>
    <x v="5"/>
    <n v="3855.21"/>
    <n v="3960"/>
    <n v="2.6462121212121206"/>
  </r>
  <r>
    <s v="Multihop,USnet,120"/>
    <x v="1"/>
    <x v="2"/>
    <x v="5"/>
    <n v="4064.895"/>
    <n v="3960"/>
    <n v="2.648863636363636"/>
  </r>
  <r>
    <s v="Multihop,USnet,120"/>
    <x v="1"/>
    <x v="2"/>
    <x v="5"/>
    <n v="3937.2730000000001"/>
    <n v="3960"/>
    <n v="0.57391414141413788"/>
  </r>
  <r>
    <s v="Multihop,USnet,120"/>
    <x v="1"/>
    <x v="2"/>
    <x v="5"/>
    <n v="3981.8969999999999"/>
    <n v="3960"/>
    <n v="0.55295454545454381"/>
  </r>
  <r>
    <s v="Multihop,USnet,120"/>
    <x v="1"/>
    <x v="2"/>
    <x v="5"/>
    <n v="3688.0410000000002"/>
    <n v="3960"/>
    <n v="6.8676515151515112"/>
  </r>
  <r>
    <s v="Multihop,USnet,120"/>
    <x v="1"/>
    <x v="2"/>
    <x v="5"/>
    <n v="3833.4140000000002"/>
    <n v="3960"/>
    <n v="3.1966161616161557"/>
  </r>
  <r>
    <s v="Multihop,USnet,120"/>
    <x v="1"/>
    <x v="2"/>
    <x v="5"/>
    <n v="3887.8029999999999"/>
    <n v="3960"/>
    <n v="1.8231565656565685"/>
  </r>
  <r>
    <s v="Multihop,USnet,120"/>
    <x v="1"/>
    <x v="2"/>
    <x v="5"/>
    <n v="3868.5320000000002"/>
    <n v="3960"/>
    <n v="2.3097979797979762"/>
  </r>
  <r>
    <s v="Multihop,USnet,120"/>
    <x v="1"/>
    <x v="2"/>
    <x v="5"/>
    <n v="3892.3270000000002"/>
    <n v="3960"/>
    <n v="1.7089141414141358"/>
  </r>
  <r>
    <s v="Multihop,USnet,120"/>
    <x v="1"/>
    <x v="2"/>
    <x v="5"/>
    <n v="3892.203"/>
    <n v="3960"/>
    <n v="1.7120454545454553"/>
  </r>
  <r>
    <s v="Multihop,USnet,120"/>
    <x v="1"/>
    <x v="2"/>
    <x v="5"/>
    <n v="3804.3560000000002"/>
    <n v="3960"/>
    <n v="3.930404040404035"/>
  </r>
  <r>
    <s v="Multihop,USnet,120"/>
    <x v="1"/>
    <x v="2"/>
    <x v="5"/>
    <n v="3882.7950000000001"/>
    <n v="3960"/>
    <n v="1.9496212121212102"/>
  </r>
  <r>
    <s v="Multihop,USnet,120"/>
    <x v="1"/>
    <x v="2"/>
    <x v="5"/>
    <n v="3807.9079999999999"/>
    <n v="3960"/>
    <n v="3.8407070707070732"/>
  </r>
  <r>
    <s v="Multihop,USnet,120"/>
    <x v="1"/>
    <x v="2"/>
    <x v="5"/>
    <n v="3834.4340000000002"/>
    <n v="3960"/>
    <n v="3.1708585858585812"/>
  </r>
  <r>
    <s v="Multihop,USnet,120"/>
    <x v="1"/>
    <x v="2"/>
    <x v="5"/>
    <n v="3860.4589999999998"/>
    <n v="3960"/>
    <n v="2.5136616161616203"/>
  </r>
  <r>
    <s v="Multihop,USnet,120"/>
    <x v="1"/>
    <x v="2"/>
    <x v="5"/>
    <n v="3928.201"/>
    <n v="3960"/>
    <n v="0.80300505050505"/>
  </r>
  <r>
    <s v="Multihop,USnet,120"/>
    <x v="1"/>
    <x v="2"/>
    <x v="5"/>
    <n v="3867.29"/>
    <n v="3960"/>
    <n v="2.3411616161616173"/>
  </r>
  <r>
    <s v="Multihop,USnet,120"/>
    <x v="1"/>
    <x v="2"/>
    <x v="5"/>
    <n v="3886.163"/>
    <n v="3960"/>
    <n v="1.864570707070706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s v="Direct,NSFnet,20"/>
    <x v="0"/>
    <x v="0"/>
    <x v="0"/>
    <n v="318.36799999999999"/>
    <n v="303"/>
    <n v="5.0719471947194696"/>
    <x v="0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1.36799999999999"/>
    <n v="303"/>
    <n v="2.7617161716171603"/>
    <x v="2"/>
  </r>
  <r>
    <s v="Direct,NSFnet,20"/>
    <x v="0"/>
    <x v="0"/>
    <x v="0"/>
    <n v="319.36799999999999"/>
    <n v="303"/>
    <n v="5.4019801980198006"/>
    <x v="3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20.36799999999999"/>
    <n v="303"/>
    <n v="5.7320132013201306"/>
    <x v="4"/>
  </r>
  <r>
    <s v="Direct,NSFnet,20"/>
    <x v="0"/>
    <x v="0"/>
    <x v="0"/>
    <n v="318.36799999999999"/>
    <n v="303"/>
    <n v="5.0719471947194696"/>
    <x v="0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1.36799999999999"/>
    <n v="303"/>
    <n v="2.7617161716171603"/>
    <x v="2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9.36799999999999"/>
    <n v="303"/>
    <n v="5.4019801980198006"/>
    <x v="3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18.36799999999999"/>
    <n v="303"/>
    <n v="5.0719471947194696"/>
    <x v="0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21.36799999999999"/>
    <n v="303"/>
    <n v="6.0620462046204606"/>
    <x v="8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2.36799999999999"/>
    <n v="303"/>
    <n v="3.0917491749174899"/>
    <x v="9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8.36799999999999"/>
    <n v="303"/>
    <n v="5.0719471947194696"/>
    <x v="0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2.36799999999999"/>
    <n v="303"/>
    <n v="3.0917491749174899"/>
    <x v="9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18.36799999999999"/>
    <n v="303"/>
    <n v="5.0719471947194696"/>
    <x v="0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9.36799999999999"/>
    <n v="303"/>
    <n v="5.4019801980198006"/>
    <x v="3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8.36799999999999"/>
    <n v="303"/>
    <n v="5.0719471947194696"/>
    <x v="0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20.36799999999999"/>
    <n v="303"/>
    <n v="5.7320132013201306"/>
    <x v="4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9.36799999999999"/>
    <n v="303"/>
    <n v="5.4019801980198006"/>
    <x v="3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1.36799999999999"/>
    <n v="303"/>
    <n v="2.7617161716171603"/>
    <x v="2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20.36799999999999"/>
    <n v="303"/>
    <n v="5.7320132013201306"/>
    <x v="4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15.36799999999999"/>
    <n v="303"/>
    <n v="4.0818481848184804"/>
    <x v="6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2.36799999999999"/>
    <n v="303"/>
    <n v="3.0917491749174899"/>
    <x v="9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2.36799999999999"/>
    <n v="303"/>
    <n v="3.0917491749174899"/>
    <x v="9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4.36799999999999"/>
    <n v="303"/>
    <n v="3.75181518151815"/>
    <x v="5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7.36799999999999"/>
    <n v="303"/>
    <n v="4.7419141914191405"/>
    <x v="10"/>
  </r>
  <r>
    <s v="Direct,NSFnet,20"/>
    <x v="0"/>
    <x v="0"/>
    <x v="0"/>
    <n v="313.36799999999999"/>
    <n v="303"/>
    <n v="3.4217821782178199"/>
    <x v="7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6.36799999999999"/>
    <n v="303"/>
    <n v="4.4118811881188105"/>
    <x v="1"/>
  </r>
  <r>
    <s v="Direct,NSFnet,20"/>
    <x v="0"/>
    <x v="0"/>
    <x v="0"/>
    <n v="312.36799999999999"/>
    <n v="303"/>
    <n v="3.0917491749174899"/>
    <x v="9"/>
  </r>
  <r>
    <s v="Direct,NSFnet,20"/>
    <x v="0"/>
    <x v="0"/>
    <x v="0"/>
    <n v="320.36799999999999"/>
    <n v="303"/>
    <n v="5.7320132013201306"/>
    <x v="4"/>
  </r>
  <r>
    <s v="Direct,NSFnet,40"/>
    <x v="0"/>
    <x v="0"/>
    <x v="1"/>
    <n v="494.24"/>
    <n v="497"/>
    <n v="0.55533199195170846"/>
    <x v="11"/>
  </r>
  <r>
    <s v="Direct,NSFnet,40"/>
    <x v="0"/>
    <x v="0"/>
    <x v="1"/>
    <n v="512.33799999999997"/>
    <n v="497"/>
    <n v="3.0861167002012002"/>
    <x v="12"/>
  </r>
  <r>
    <s v="Direct,NSFnet,40"/>
    <x v="0"/>
    <x v="0"/>
    <x v="1"/>
    <n v="495.02800000000002"/>
    <n v="497"/>
    <n v="0.3967806841046238"/>
    <x v="13"/>
  </r>
  <r>
    <s v="Direct,NSFnet,40"/>
    <x v="0"/>
    <x v="0"/>
    <x v="1"/>
    <n v="533.73"/>
    <n v="497"/>
    <n v="7.3903420523138861"/>
    <x v="14"/>
  </r>
  <r>
    <s v="Direct,NSFnet,40"/>
    <x v="0"/>
    <x v="0"/>
    <x v="1"/>
    <n v="512.48400000000004"/>
    <n v="497"/>
    <n v="3.1154929577464867"/>
    <x v="15"/>
  </r>
  <r>
    <s v="Direct,NSFnet,40"/>
    <x v="0"/>
    <x v="0"/>
    <x v="1"/>
    <n v="541.38099999999997"/>
    <n v="497"/>
    <n v="8.929778672032187"/>
    <x v="16"/>
  </r>
  <r>
    <s v="Direct,NSFnet,40"/>
    <x v="0"/>
    <x v="0"/>
    <x v="1"/>
    <n v="530.16899999999998"/>
    <n v="497"/>
    <n v="6.6738430583500969"/>
    <x v="17"/>
  </r>
  <r>
    <s v="Direct,NSFnet,40"/>
    <x v="0"/>
    <x v="0"/>
    <x v="1"/>
    <n v="542.42600000000004"/>
    <n v="497"/>
    <n v="9.1400402414487001"/>
    <x v="18"/>
  </r>
  <r>
    <s v="Direct,NSFnet,40"/>
    <x v="0"/>
    <x v="0"/>
    <x v="1"/>
    <n v="512.21199999999999"/>
    <n v="497"/>
    <n v="3.0607645875251488"/>
    <x v="19"/>
  </r>
  <r>
    <s v="Direct,NSFnet,40"/>
    <x v="0"/>
    <x v="0"/>
    <x v="1"/>
    <n v="530.02"/>
    <n v="497"/>
    <n v="6.6438631790744429"/>
    <x v="20"/>
  </r>
  <r>
    <s v="Direct,NSFnet,40"/>
    <x v="0"/>
    <x v="0"/>
    <x v="1"/>
    <n v="505.37799999999999"/>
    <n v="497"/>
    <n v="1.6857142857142828"/>
    <x v="21"/>
  </r>
  <r>
    <s v="Direct,NSFnet,40"/>
    <x v="0"/>
    <x v="0"/>
    <x v="1"/>
    <n v="507.44499999999999"/>
    <n v="497"/>
    <n v="2.1016096579476846"/>
    <x v="22"/>
  </r>
  <r>
    <s v="Direct,NSFnet,40"/>
    <x v="0"/>
    <x v="0"/>
    <x v="1"/>
    <n v="532.77700000000004"/>
    <n v="497"/>
    <n v="7.1985915492957835"/>
    <x v="23"/>
  </r>
  <r>
    <s v="Direct,NSFnet,40"/>
    <x v="0"/>
    <x v="0"/>
    <x v="1"/>
    <n v="491.82"/>
    <n v="497"/>
    <n v="1.0422535211267621"/>
    <x v="24"/>
  </r>
  <r>
    <s v="Direct,NSFnet,40"/>
    <x v="0"/>
    <x v="0"/>
    <x v="1"/>
    <n v="509.05700000000002"/>
    <n v="497"/>
    <n v="2.425955734406442"/>
    <x v="25"/>
  </r>
  <r>
    <s v="Direct,NSFnet,40"/>
    <x v="0"/>
    <x v="0"/>
    <x v="1"/>
    <n v="509.96"/>
    <n v="497"/>
    <n v="2.6076458752515053"/>
    <x v="26"/>
  </r>
  <r>
    <s v="Direct,NSFnet,40"/>
    <x v="0"/>
    <x v="0"/>
    <x v="1"/>
    <n v="495.75099999999998"/>
    <n v="497"/>
    <n v="0.2513078470824997"/>
    <x v="27"/>
  </r>
  <r>
    <s v="Direct,NSFnet,40"/>
    <x v="0"/>
    <x v="0"/>
    <x v="1"/>
    <n v="519.99699999999996"/>
    <n v="497"/>
    <n v="4.6271629778671945"/>
    <x v="28"/>
  </r>
  <r>
    <s v="Direct,NSFnet,40"/>
    <x v="0"/>
    <x v="0"/>
    <x v="1"/>
    <n v="523.58000000000004"/>
    <n v="497"/>
    <n v="5.3480885311871313"/>
    <x v="29"/>
  </r>
  <r>
    <s v="Direct,NSFnet,40"/>
    <x v="0"/>
    <x v="0"/>
    <x v="1"/>
    <n v="518.69200000000001"/>
    <n v="497"/>
    <n v="4.364587525150907"/>
    <x v="30"/>
  </r>
  <r>
    <s v="Direct,NSFnet,40"/>
    <x v="0"/>
    <x v="0"/>
    <x v="1"/>
    <n v="509.88200000000001"/>
    <n v="497"/>
    <n v="2.5919517102615703"/>
    <x v="31"/>
  </r>
  <r>
    <s v="Direct,NSFnet,40"/>
    <x v="0"/>
    <x v="0"/>
    <x v="1"/>
    <n v="496.57100000000003"/>
    <n v="497"/>
    <n v="8.6317907444662695E-2"/>
    <x v="32"/>
  </r>
  <r>
    <s v="Direct,NSFnet,40"/>
    <x v="0"/>
    <x v="0"/>
    <x v="1"/>
    <n v="485.84300000000002"/>
    <n v="497"/>
    <n v="2.2448692152917471"/>
    <x v="33"/>
  </r>
  <r>
    <s v="Direct,NSFnet,40"/>
    <x v="0"/>
    <x v="0"/>
    <x v="1"/>
    <n v="506.2"/>
    <n v="497"/>
    <n v="1.8511066398390321"/>
    <x v="34"/>
  </r>
  <r>
    <s v="Direct,NSFnet,40"/>
    <x v="0"/>
    <x v="0"/>
    <x v="1"/>
    <n v="507.827"/>
    <n v="497"/>
    <n v="2.1784708249496978"/>
    <x v="35"/>
  </r>
  <r>
    <s v="Direct,NSFnet,40"/>
    <x v="0"/>
    <x v="0"/>
    <x v="1"/>
    <n v="539.91099999999994"/>
    <n v="497"/>
    <n v="8.6340040241448577"/>
    <x v="36"/>
  </r>
  <r>
    <s v="Direct,NSFnet,40"/>
    <x v="0"/>
    <x v="0"/>
    <x v="1"/>
    <n v="504.38499999999999"/>
    <n v="497"/>
    <n v="1.4859154929577445"/>
    <x v="37"/>
  </r>
  <r>
    <s v="Direct,NSFnet,40"/>
    <x v="0"/>
    <x v="0"/>
    <x v="1"/>
    <n v="500.23099999999999"/>
    <n v="497"/>
    <n v="0.65010060362172928"/>
    <x v="38"/>
  </r>
  <r>
    <s v="Direct,NSFnet,40"/>
    <x v="0"/>
    <x v="0"/>
    <x v="1"/>
    <n v="496.55500000000001"/>
    <n v="497"/>
    <n v="8.9537223340038871E-2"/>
    <x v="39"/>
  </r>
  <r>
    <s v="Direct,NSFnet,40"/>
    <x v="0"/>
    <x v="0"/>
    <x v="1"/>
    <n v="496.78399999999999"/>
    <n v="497"/>
    <n v="4.3460764587526797E-2"/>
    <x v="40"/>
  </r>
  <r>
    <s v="Direct,NSFnet,40"/>
    <x v="0"/>
    <x v="0"/>
    <x v="1"/>
    <n v="512.08600000000001"/>
    <n v="497"/>
    <n v="3.0354124748490969"/>
    <x v="41"/>
  </r>
  <r>
    <s v="Direct,NSFnet,40"/>
    <x v="0"/>
    <x v="0"/>
    <x v="1"/>
    <n v="497.90499999999997"/>
    <n v="497"/>
    <n v="0.18209255533198646"/>
    <x v="42"/>
  </r>
  <r>
    <s v="Direct,NSFnet,40"/>
    <x v="0"/>
    <x v="0"/>
    <x v="1"/>
    <n v="512.09400000000005"/>
    <n v="497"/>
    <n v="3.0370221327967908"/>
    <x v="43"/>
  </r>
  <r>
    <s v="Direct,NSFnet,40"/>
    <x v="0"/>
    <x v="0"/>
    <x v="1"/>
    <n v="516.41899999999998"/>
    <n v="497"/>
    <n v="3.9072434607645841"/>
    <x v="44"/>
  </r>
  <r>
    <s v="Direct,NSFnet,40"/>
    <x v="0"/>
    <x v="0"/>
    <x v="1"/>
    <n v="503.47"/>
    <n v="497"/>
    <n v="1.3018108651911524"/>
    <x v="45"/>
  </r>
  <r>
    <s v="Direct,NSFnet,40"/>
    <x v="0"/>
    <x v="0"/>
    <x v="1"/>
    <n v="495.57900000000001"/>
    <n v="497"/>
    <n v="0.28591549295774493"/>
    <x v="46"/>
  </r>
  <r>
    <s v="Direct,NSFnet,40"/>
    <x v="0"/>
    <x v="0"/>
    <x v="1"/>
    <n v="535.72900000000004"/>
    <n v="497"/>
    <n v="7.7925553319919603"/>
    <x v="47"/>
  </r>
  <r>
    <s v="Direct,NSFnet,40"/>
    <x v="0"/>
    <x v="0"/>
    <x v="1"/>
    <n v="549.44200000000001"/>
    <n v="497"/>
    <n v="10.551710261569418"/>
    <x v="48"/>
  </r>
  <r>
    <s v="Direct,NSFnet,40"/>
    <x v="0"/>
    <x v="0"/>
    <x v="1"/>
    <n v="519.11900000000003"/>
    <n v="497"/>
    <n v="4.450503018108658"/>
    <x v="49"/>
  </r>
  <r>
    <s v="Direct,NSFnet,40"/>
    <x v="0"/>
    <x v="0"/>
    <x v="1"/>
    <n v="515.1"/>
    <n v="497"/>
    <n v="3.6418511066398436"/>
    <x v="50"/>
  </r>
  <r>
    <s v="Direct,NSFnet,40"/>
    <x v="0"/>
    <x v="0"/>
    <x v="1"/>
    <n v="510.10599999999999"/>
    <n v="497"/>
    <n v="2.6370221327967793"/>
    <x v="51"/>
  </r>
  <r>
    <s v="Direct,NSFnet,40"/>
    <x v="0"/>
    <x v="0"/>
    <x v="1"/>
    <n v="517.08600000000001"/>
    <n v="497"/>
    <n v="4.0414486921529198"/>
    <x v="52"/>
  </r>
  <r>
    <s v="Direct,NSFnet,40"/>
    <x v="0"/>
    <x v="0"/>
    <x v="1"/>
    <n v="515.47799999999995"/>
    <n v="497"/>
    <n v="3.7179074446679983"/>
    <x v="53"/>
  </r>
  <r>
    <s v="Direct,NSFnet,40"/>
    <x v="0"/>
    <x v="0"/>
    <x v="1"/>
    <n v="507.80500000000001"/>
    <n v="497"/>
    <n v="2.1740442655935626"/>
    <x v="54"/>
  </r>
  <r>
    <s v="Direct,NSFnet,40"/>
    <x v="0"/>
    <x v="0"/>
    <x v="1"/>
    <n v="497.52499999999998"/>
    <n v="497"/>
    <n v="0.10563380281689684"/>
    <x v="55"/>
  </r>
  <r>
    <s v="Direct,NSFnet,40"/>
    <x v="0"/>
    <x v="0"/>
    <x v="1"/>
    <n v="510.51799999999997"/>
    <n v="497"/>
    <n v="2.71991951710261"/>
    <x v="56"/>
  </r>
  <r>
    <s v="Direct,NSFnet,40"/>
    <x v="0"/>
    <x v="0"/>
    <x v="1"/>
    <n v="501.92500000000001"/>
    <n v="497"/>
    <n v="0.99094567404426781"/>
    <x v="57"/>
  </r>
  <r>
    <s v="Direct,NSFnet,40"/>
    <x v="0"/>
    <x v="0"/>
    <x v="1"/>
    <n v="508.553"/>
    <n v="497"/>
    <n v="2.3245472837022128"/>
    <x v="58"/>
  </r>
  <r>
    <s v="Direct,NSFnet,40"/>
    <x v="0"/>
    <x v="0"/>
    <x v="1"/>
    <n v="504.36500000000001"/>
    <n v="497"/>
    <n v="1.481891348088533"/>
    <x v="59"/>
  </r>
  <r>
    <s v="Direct,NSFnet,40"/>
    <x v="0"/>
    <x v="0"/>
    <x v="1"/>
    <n v="517.35500000000002"/>
    <n v="497"/>
    <n v="4.0955734406438671"/>
    <x v="60"/>
  </r>
  <r>
    <s v="Direct,NSFnet,40"/>
    <x v="0"/>
    <x v="0"/>
    <x v="1"/>
    <n v="523.73500000000001"/>
    <n v="497"/>
    <n v="5.3792756539235436"/>
    <x v="61"/>
  </r>
  <r>
    <s v="Direct,NSFnet,40"/>
    <x v="0"/>
    <x v="0"/>
    <x v="1"/>
    <n v="547.67100000000005"/>
    <n v="497"/>
    <n v="10.195372233400413"/>
    <x v="62"/>
  </r>
  <r>
    <s v="Direct,NSFnet,40"/>
    <x v="0"/>
    <x v="0"/>
    <x v="1"/>
    <n v="513.30899999999997"/>
    <n v="497"/>
    <n v="3.2814889336016035"/>
    <x v="63"/>
  </r>
  <r>
    <s v="Direct,NSFnet,40"/>
    <x v="0"/>
    <x v="0"/>
    <x v="1"/>
    <n v="510.017"/>
    <n v="497"/>
    <n v="2.6191146881287719"/>
    <x v="64"/>
  </r>
  <r>
    <s v="Direct,NSFnet,40"/>
    <x v="0"/>
    <x v="0"/>
    <x v="1"/>
    <n v="523.47299999999996"/>
    <n v="497"/>
    <n v="5.3265593561368121"/>
    <x v="65"/>
  </r>
  <r>
    <s v="Direct,NSFnet,40"/>
    <x v="0"/>
    <x v="0"/>
    <x v="1"/>
    <n v="505.40699999999998"/>
    <n v="497"/>
    <n v="1.6915492957746441"/>
    <x v="66"/>
  </r>
  <r>
    <s v="Direct,NSFnet,40"/>
    <x v="0"/>
    <x v="0"/>
    <x v="1"/>
    <n v="502.22399999999999"/>
    <n v="497"/>
    <n v="1.0511066398390321"/>
    <x v="67"/>
  </r>
  <r>
    <s v="Direct,NSFnet,40"/>
    <x v="0"/>
    <x v="0"/>
    <x v="1"/>
    <n v="536.43799999999999"/>
    <n v="497"/>
    <n v="7.9352112676056308"/>
    <x v="68"/>
  </r>
  <r>
    <s v="Direct,NSFnet,40"/>
    <x v="0"/>
    <x v="0"/>
    <x v="1"/>
    <n v="528.82399999999996"/>
    <n v="497"/>
    <n v="6.4032193158953632"/>
    <x v="69"/>
  </r>
  <r>
    <s v="Direct,NSFnet,40"/>
    <x v="0"/>
    <x v="0"/>
    <x v="1"/>
    <n v="523.50900000000001"/>
    <n v="497"/>
    <n v="5.3338028169014109"/>
    <x v="70"/>
  </r>
  <r>
    <s v="Direct,NSFnet,40"/>
    <x v="0"/>
    <x v="0"/>
    <x v="1"/>
    <n v="546.80200000000002"/>
    <n v="497"/>
    <n v="10.020523138833003"/>
    <x v="71"/>
  </r>
  <r>
    <s v="Direct,NSFnet,40"/>
    <x v="0"/>
    <x v="0"/>
    <x v="1"/>
    <n v="519.58199999999999"/>
    <n v="497"/>
    <n v="4.5436619718309847"/>
    <x v="72"/>
  </r>
  <r>
    <s v="Direct,NSFnet,40"/>
    <x v="0"/>
    <x v="0"/>
    <x v="1"/>
    <n v="518.96299999999997"/>
    <n v="497"/>
    <n v="4.4191146881287651"/>
    <x v="73"/>
  </r>
  <r>
    <s v="Direct,NSFnet,40"/>
    <x v="0"/>
    <x v="0"/>
    <x v="1"/>
    <n v="522.73199999999997"/>
    <n v="497"/>
    <n v="5.1774647887323884"/>
    <x v="74"/>
  </r>
  <r>
    <s v="Direct,NSFnet,40"/>
    <x v="0"/>
    <x v="0"/>
    <x v="1"/>
    <n v="529.09299999999996"/>
    <n v="497"/>
    <n v="6.4573440643863096"/>
    <x v="75"/>
  </r>
  <r>
    <s v="Direct,NSFnet,40"/>
    <x v="0"/>
    <x v="0"/>
    <x v="1"/>
    <n v="523.23699999999997"/>
    <n v="497"/>
    <n v="5.2790744466800739"/>
    <x v="76"/>
  </r>
  <r>
    <s v="Direct,NSFnet,40"/>
    <x v="0"/>
    <x v="0"/>
    <x v="1"/>
    <n v="520.9"/>
    <n v="497"/>
    <n v="4.8088531187122685"/>
    <x v="77"/>
  </r>
  <r>
    <s v="Direct,NSFnet,40"/>
    <x v="0"/>
    <x v="0"/>
    <x v="1"/>
    <n v="519.524"/>
    <n v="497"/>
    <n v="4.5319919517102614"/>
    <x v="78"/>
  </r>
  <r>
    <s v="Direct,NSFnet,40"/>
    <x v="0"/>
    <x v="0"/>
    <x v="1"/>
    <n v="509.81"/>
    <n v="497"/>
    <n v="2.5774647887323949"/>
    <x v="79"/>
  </r>
  <r>
    <s v="Direct,NSFnet,40"/>
    <x v="0"/>
    <x v="0"/>
    <x v="1"/>
    <n v="518.42200000000003"/>
    <n v="497"/>
    <n v="4.3102615694165038"/>
    <x v="80"/>
  </r>
  <r>
    <s v="Direct,NSFnet,40"/>
    <x v="0"/>
    <x v="0"/>
    <x v="1"/>
    <n v="505.40100000000001"/>
    <n v="497"/>
    <n v="1.6903420523138855"/>
    <x v="81"/>
  </r>
  <r>
    <s v="Direct,NSFnet,40"/>
    <x v="0"/>
    <x v="0"/>
    <x v="1"/>
    <n v="515.93799999999999"/>
    <n v="497"/>
    <n v="3.810462776659957"/>
    <x v="82"/>
  </r>
  <r>
    <s v="Direct,NSFnet,40"/>
    <x v="0"/>
    <x v="0"/>
    <x v="1"/>
    <n v="510.82600000000002"/>
    <n v="497"/>
    <n v="2.7818913480885357"/>
    <x v="83"/>
  </r>
  <r>
    <s v="Direct,NSFnet,40"/>
    <x v="0"/>
    <x v="0"/>
    <x v="1"/>
    <n v="480.56099999999998"/>
    <n v="497"/>
    <n v="3.3076458752515139"/>
    <x v="84"/>
  </r>
  <r>
    <s v="Direct,NSFnet,40"/>
    <x v="0"/>
    <x v="0"/>
    <x v="1"/>
    <n v="530.15700000000004"/>
    <n v="497"/>
    <n v="6.6714285714285797"/>
    <x v="85"/>
  </r>
  <r>
    <s v="Direct,NSFnet,40"/>
    <x v="0"/>
    <x v="0"/>
    <x v="1"/>
    <n v="514.95000000000005"/>
    <n v="497"/>
    <n v="3.6116700201207337"/>
    <x v="86"/>
  </r>
  <r>
    <s v="Direct,NSFnet,40"/>
    <x v="0"/>
    <x v="0"/>
    <x v="1"/>
    <n v="495.15899999999999"/>
    <n v="497"/>
    <n v="0.37042253521126928"/>
    <x v="87"/>
  </r>
  <r>
    <s v="Direct,NSFnet,40"/>
    <x v="0"/>
    <x v="0"/>
    <x v="1"/>
    <n v="540.673"/>
    <n v="497"/>
    <n v="8.7873239436619723"/>
    <x v="88"/>
  </r>
  <r>
    <s v="Direct,NSFnet,40"/>
    <x v="0"/>
    <x v="0"/>
    <x v="1"/>
    <n v="528.79700000000003"/>
    <n v="497"/>
    <n v="6.3977867203219363"/>
    <x v="89"/>
  </r>
  <r>
    <s v="Direct,NSFnet,40"/>
    <x v="0"/>
    <x v="0"/>
    <x v="1"/>
    <n v="519.71799999999996"/>
    <n v="497"/>
    <n v="4.5710261569416417"/>
    <x v="90"/>
  </r>
  <r>
    <s v="Direct,NSFnet,40"/>
    <x v="0"/>
    <x v="0"/>
    <x v="1"/>
    <n v="512.01700000000005"/>
    <n v="497"/>
    <n v="3.0215291750503122"/>
    <x v="91"/>
  </r>
  <r>
    <s v="Direct,NSFnet,40"/>
    <x v="0"/>
    <x v="0"/>
    <x v="1"/>
    <n v="512.30899999999997"/>
    <n v="497"/>
    <n v="3.080281690140839"/>
    <x v="92"/>
  </r>
  <r>
    <s v="Direct,NSFnet,40"/>
    <x v="0"/>
    <x v="0"/>
    <x v="1"/>
    <n v="519.58000000000004"/>
    <n v="497"/>
    <n v="4.5432595573440722"/>
    <x v="93"/>
  </r>
  <r>
    <s v="Direct,NSFnet,40"/>
    <x v="0"/>
    <x v="0"/>
    <x v="1"/>
    <n v="532.38"/>
    <n v="497"/>
    <n v="7.11871227364185"/>
    <x v="94"/>
  </r>
  <r>
    <s v="Direct,NSFnet,40"/>
    <x v="0"/>
    <x v="0"/>
    <x v="1"/>
    <n v="520.15200000000004"/>
    <n v="497"/>
    <n v="4.6583501006036299"/>
    <x v="95"/>
  </r>
  <r>
    <s v="Direct,NSFnet,40"/>
    <x v="0"/>
    <x v="0"/>
    <x v="1"/>
    <n v="519.64099999999996"/>
    <n v="497"/>
    <n v="4.555533199195164"/>
    <x v="96"/>
  </r>
  <r>
    <s v="Direct,NSFnet,40"/>
    <x v="0"/>
    <x v="0"/>
    <x v="1"/>
    <n v="513.96600000000001"/>
    <n v="497"/>
    <n v="3.4136820925553333"/>
    <x v="97"/>
  </r>
  <r>
    <s v="Direct,NSFnet,40"/>
    <x v="0"/>
    <x v="0"/>
    <x v="1"/>
    <n v="506.30099999999999"/>
    <n v="497"/>
    <n v="1.871428571428569"/>
    <x v="98"/>
  </r>
  <r>
    <s v="Direct,NSFnet,40"/>
    <x v="0"/>
    <x v="0"/>
    <x v="1"/>
    <n v="535.80399999999997"/>
    <n v="497"/>
    <n v="7.8076458752515041"/>
    <x v="99"/>
  </r>
  <r>
    <s v="Direct,NSFnet,40"/>
    <x v="0"/>
    <x v="0"/>
    <x v="1"/>
    <n v="532.66200000000003"/>
    <n v="497"/>
    <n v="7.1754527162977935"/>
    <x v="100"/>
  </r>
  <r>
    <s v="Direct,NSFnet,40"/>
    <x v="0"/>
    <x v="0"/>
    <x v="1"/>
    <n v="522.15899999999999"/>
    <n v="497"/>
    <n v="5.0621730382293748"/>
    <x v="101"/>
  </r>
  <r>
    <s v="Direct,NSFnet,40"/>
    <x v="0"/>
    <x v="0"/>
    <x v="1"/>
    <n v="508.48099999999999"/>
    <n v="497"/>
    <n v="2.3100603621730373"/>
    <x v="102"/>
  </r>
  <r>
    <s v="Direct,NSFnet,40"/>
    <x v="0"/>
    <x v="0"/>
    <x v="1"/>
    <n v="522.36800000000005"/>
    <n v="497"/>
    <n v="5.104225352112687"/>
    <x v="103"/>
  </r>
  <r>
    <s v="Direct,NSFnet,40"/>
    <x v="0"/>
    <x v="0"/>
    <x v="1"/>
    <n v="495.61599999999999"/>
    <n v="497"/>
    <n v="0.2784708249497011"/>
    <x v="104"/>
  </r>
  <r>
    <s v="Direct,NSFnet,40"/>
    <x v="0"/>
    <x v="0"/>
    <x v="1"/>
    <n v="502.41899999999998"/>
    <n v="497"/>
    <n v="1.0903420523138798"/>
    <x v="105"/>
  </r>
  <r>
    <s v="Direct,NSFnet,40"/>
    <x v="0"/>
    <x v="0"/>
    <x v="1"/>
    <n v="498.279"/>
    <n v="497"/>
    <n v="0.25734406438631718"/>
    <x v="106"/>
  </r>
  <r>
    <s v="Direct,NSFnet,40"/>
    <x v="0"/>
    <x v="0"/>
    <x v="1"/>
    <n v="524.61300000000006"/>
    <n v="497"/>
    <n v="5.5559356136821041"/>
    <x v="107"/>
  </r>
  <r>
    <s v="Direct,NSFnet,40"/>
    <x v="0"/>
    <x v="0"/>
    <x v="1"/>
    <n v="484.75099999999998"/>
    <n v="497"/>
    <n v="2.4645875251509102"/>
    <x v="108"/>
  </r>
  <r>
    <s v="Direct,NSFnet,40"/>
    <x v="0"/>
    <x v="0"/>
    <x v="1"/>
    <n v="538.75699999999995"/>
    <n v="497"/>
    <n v="8.4018108651911358"/>
    <x v="109"/>
  </r>
  <r>
    <s v="Direct,NSFnet,40"/>
    <x v="0"/>
    <x v="0"/>
    <x v="1"/>
    <n v="538.30100000000004"/>
    <n v="497"/>
    <n v="8.3100603621730471"/>
    <x v="110"/>
  </r>
  <r>
    <s v="Direct,NSFnet,60"/>
    <x v="0"/>
    <x v="0"/>
    <x v="2"/>
    <n v="702.56299999999999"/>
    <n v="687"/>
    <n v="2.2653566229985427"/>
    <x v="111"/>
  </r>
  <r>
    <s v="Direct,NSFnet,60"/>
    <x v="0"/>
    <x v="0"/>
    <x v="2"/>
    <n v="678.61199999999997"/>
    <n v="687"/>
    <n v="1.2209606986899613"/>
    <x v="112"/>
  </r>
  <r>
    <s v="Direct,NSFnet,60"/>
    <x v="0"/>
    <x v="0"/>
    <x v="2"/>
    <n v="694.56399999999996"/>
    <n v="687"/>
    <n v="1.101018922852979"/>
    <x v="113"/>
  </r>
  <r>
    <s v="Direct,NSFnet,60"/>
    <x v="0"/>
    <x v="0"/>
    <x v="2"/>
    <n v="713.60799999999995"/>
    <n v="687"/>
    <n v="3.8730713245997013"/>
    <x v="114"/>
  </r>
  <r>
    <s v="Direct,NSFnet,60"/>
    <x v="0"/>
    <x v="0"/>
    <x v="2"/>
    <n v="670.29"/>
    <n v="687"/>
    <n v="2.4323144104803545"/>
    <x v="115"/>
  </r>
  <r>
    <s v="Direct,NSFnet,60"/>
    <x v="0"/>
    <x v="0"/>
    <x v="2"/>
    <n v="663.28499999999997"/>
    <n v="687"/>
    <n v="3.4519650655021881"/>
    <x v="116"/>
  </r>
  <r>
    <s v="Direct,NSFnet,60"/>
    <x v="0"/>
    <x v="0"/>
    <x v="2"/>
    <n v="719.447"/>
    <n v="687"/>
    <n v="4.7229985443959244"/>
    <x v="117"/>
  </r>
  <r>
    <s v="Direct,NSFnet,60"/>
    <x v="0"/>
    <x v="0"/>
    <x v="2"/>
    <n v="726.22"/>
    <n v="687"/>
    <n v="5.708879184861722"/>
    <x v="118"/>
  </r>
  <r>
    <s v="Direct,NSFnet,60"/>
    <x v="0"/>
    <x v="0"/>
    <x v="2"/>
    <n v="694.23800000000006"/>
    <n v="687"/>
    <n v="1.053566229985452"/>
    <x v="119"/>
  </r>
  <r>
    <s v="Direct,NSFnet,60"/>
    <x v="0"/>
    <x v="0"/>
    <x v="2"/>
    <n v="747.22699999999998"/>
    <n v="687"/>
    <n v="8.7666666666666622"/>
    <x v="120"/>
  </r>
  <r>
    <s v="Direct,NSFnet,60"/>
    <x v="0"/>
    <x v="0"/>
    <x v="2"/>
    <n v="724.53899999999999"/>
    <n v="687"/>
    <n v="5.4641921397379898"/>
    <x v="121"/>
  </r>
  <r>
    <s v="Direct,NSFnet,60"/>
    <x v="0"/>
    <x v="0"/>
    <x v="2"/>
    <n v="713.29"/>
    <n v="687"/>
    <n v="3.8267831149927169"/>
    <x v="122"/>
  </r>
  <r>
    <s v="Direct,NSFnet,60"/>
    <x v="0"/>
    <x v="0"/>
    <x v="2"/>
    <n v="708.154"/>
    <n v="687"/>
    <n v="3.0791848617176121"/>
    <x v="123"/>
  </r>
  <r>
    <s v="Direct,NSFnet,60"/>
    <x v="0"/>
    <x v="0"/>
    <x v="2"/>
    <n v="703.28300000000002"/>
    <n v="687"/>
    <n v="2.3701601164483286"/>
    <x v="124"/>
  </r>
  <r>
    <s v="Direct,NSFnet,60"/>
    <x v="0"/>
    <x v="0"/>
    <x v="2"/>
    <n v="744.80499999999995"/>
    <n v="687"/>
    <n v="8.414119359534201"/>
    <x v="125"/>
  </r>
  <r>
    <s v="Direct,NSFnet,60"/>
    <x v="0"/>
    <x v="0"/>
    <x v="2"/>
    <n v="715.87699999999995"/>
    <n v="687"/>
    <n v="4.2033478893740828"/>
    <x v="126"/>
  </r>
  <r>
    <s v="Direct,NSFnet,60"/>
    <x v="0"/>
    <x v="0"/>
    <x v="2"/>
    <n v="739.91800000000001"/>
    <n v="687"/>
    <n v="7.7027656477438144"/>
    <x v="127"/>
  </r>
  <r>
    <s v="Direct,NSFnet,60"/>
    <x v="0"/>
    <x v="0"/>
    <x v="2"/>
    <n v="697.91099999999994"/>
    <n v="687"/>
    <n v="1.5882096069868914"/>
    <x v="128"/>
  </r>
  <r>
    <s v="Direct,NSFnet,60"/>
    <x v="0"/>
    <x v="0"/>
    <x v="2"/>
    <n v="693.51"/>
    <n v="687"/>
    <n v="0.94759825327510783"/>
    <x v="129"/>
  </r>
  <r>
    <s v="Direct,NSFnet,60"/>
    <x v="0"/>
    <x v="0"/>
    <x v="2"/>
    <n v="712.96699999999998"/>
    <n v="687"/>
    <n v="3.7797671033478872"/>
    <x v="130"/>
  </r>
  <r>
    <s v="Direct,NSFnet,60"/>
    <x v="0"/>
    <x v="0"/>
    <x v="2"/>
    <n v="750.34900000000005"/>
    <n v="687"/>
    <n v="9.2211062590975317"/>
    <x v="131"/>
  </r>
  <r>
    <s v="Direct,NSFnet,60"/>
    <x v="0"/>
    <x v="0"/>
    <x v="2"/>
    <n v="757.42200000000003"/>
    <n v="687"/>
    <n v="10.250655021834065"/>
    <x v="132"/>
  </r>
  <r>
    <s v="Direct,NSFnet,60"/>
    <x v="0"/>
    <x v="0"/>
    <x v="2"/>
    <n v="682.08199999999999"/>
    <n v="687"/>
    <n v="0.7158660844250373"/>
    <x v="133"/>
  </r>
  <r>
    <s v="Direct,NSFnet,60"/>
    <x v="0"/>
    <x v="0"/>
    <x v="2"/>
    <n v="668.35900000000004"/>
    <n v="687"/>
    <n v="2.7133915574963554"/>
    <x v="134"/>
  </r>
  <r>
    <s v="Direct,NSFnet,60"/>
    <x v="0"/>
    <x v="0"/>
    <x v="2"/>
    <n v="728.19200000000001"/>
    <n v="687"/>
    <n v="5.9959243085880649"/>
    <x v="135"/>
  </r>
  <r>
    <s v="Direct,NSFnet,60"/>
    <x v="0"/>
    <x v="0"/>
    <x v="2"/>
    <n v="716.77200000000005"/>
    <n v="687"/>
    <n v="4.3336244541484783"/>
    <x v="136"/>
  </r>
  <r>
    <s v="Direct,NSFnet,60"/>
    <x v="0"/>
    <x v="0"/>
    <x v="2"/>
    <n v="684.12300000000005"/>
    <n v="687"/>
    <n v="0.41877729257641233"/>
    <x v="137"/>
  </r>
  <r>
    <s v="Direct,NSFnet,60"/>
    <x v="0"/>
    <x v="0"/>
    <x v="2"/>
    <n v="692.00599999999997"/>
    <n v="687"/>
    <n v="0.72867540029111677"/>
    <x v="138"/>
  </r>
  <r>
    <s v="Direct,NSFnet,60"/>
    <x v="0"/>
    <x v="0"/>
    <x v="2"/>
    <n v="704.89200000000005"/>
    <n v="687"/>
    <n v="2.6043668122270818"/>
    <x v="139"/>
  </r>
  <r>
    <s v="Direct,NSFnet,60"/>
    <x v="0"/>
    <x v="0"/>
    <x v="2"/>
    <n v="728.221"/>
    <n v="687"/>
    <n v="6.0001455604075691"/>
    <x v="140"/>
  </r>
  <r>
    <s v="Direct,NSFnet,60"/>
    <x v="0"/>
    <x v="0"/>
    <x v="2"/>
    <n v="698.024"/>
    <n v="687"/>
    <n v="1.6046579330422126"/>
    <x v="141"/>
  </r>
  <r>
    <s v="Direct,NSFnet,60"/>
    <x v="0"/>
    <x v="0"/>
    <x v="2"/>
    <n v="698.50900000000001"/>
    <n v="687"/>
    <n v="1.6752547307132482"/>
    <x v="142"/>
  </r>
  <r>
    <s v="Direct,NSFnet,60"/>
    <x v="0"/>
    <x v="0"/>
    <x v="2"/>
    <n v="697.35"/>
    <n v="687"/>
    <n v="1.5065502183406145"/>
    <x v="143"/>
  </r>
  <r>
    <s v="Direct,NSFnet,60"/>
    <x v="0"/>
    <x v="0"/>
    <x v="2"/>
    <n v="667.09100000000001"/>
    <n v="687"/>
    <n v="2.8979621542940306"/>
    <x v="144"/>
  </r>
  <r>
    <s v="Direct,NSFnet,60"/>
    <x v="0"/>
    <x v="0"/>
    <x v="2"/>
    <n v="706.57600000000002"/>
    <n v="687"/>
    <n v="2.849490538573511"/>
    <x v="145"/>
  </r>
  <r>
    <s v="Direct,NSFnet,60"/>
    <x v="0"/>
    <x v="0"/>
    <x v="2"/>
    <n v="710.59799999999996"/>
    <n v="687"/>
    <n v="3.4349344978165877"/>
    <x v="146"/>
  </r>
  <r>
    <s v="Direct,NSFnet,60"/>
    <x v="0"/>
    <x v="0"/>
    <x v="2"/>
    <n v="737.16200000000003"/>
    <n v="687"/>
    <n v="7.301601164483265"/>
    <x v="147"/>
  </r>
  <r>
    <s v="Direct,NSFnet,60"/>
    <x v="0"/>
    <x v="0"/>
    <x v="2"/>
    <n v="713.97199999999998"/>
    <n v="687"/>
    <n v="3.9260553129548734"/>
    <x v="148"/>
  </r>
  <r>
    <s v="Direct,NSFnet,60"/>
    <x v="0"/>
    <x v="0"/>
    <x v="2"/>
    <n v="725.41"/>
    <n v="687"/>
    <n v="5.5909752547307088"/>
    <x v="149"/>
  </r>
  <r>
    <s v="Direct,NSFnet,60"/>
    <x v="0"/>
    <x v="0"/>
    <x v="2"/>
    <n v="743.99599999999998"/>
    <n v="687"/>
    <n v="8.2963609898107684"/>
    <x v="150"/>
  </r>
  <r>
    <s v="Direct,NSFnet,60"/>
    <x v="0"/>
    <x v="0"/>
    <x v="2"/>
    <n v="705.48800000000006"/>
    <n v="687"/>
    <n v="2.6911208151382904"/>
    <x v="151"/>
  </r>
  <r>
    <s v="Direct,NSFnet,60"/>
    <x v="0"/>
    <x v="0"/>
    <x v="2"/>
    <n v="697.62199999999996"/>
    <n v="687"/>
    <n v="1.5461426491994117"/>
    <x v="152"/>
  </r>
  <r>
    <s v="Direct,NSFnet,60"/>
    <x v="0"/>
    <x v="0"/>
    <x v="2"/>
    <n v="697.10699999999997"/>
    <n v="687"/>
    <n v="1.4711790393013058"/>
    <x v="153"/>
  </r>
  <r>
    <s v="Direct,NSFnet,60"/>
    <x v="0"/>
    <x v="0"/>
    <x v="2"/>
    <n v="708.58100000000002"/>
    <n v="687"/>
    <n v="3.1413391557496388"/>
    <x v="154"/>
  </r>
  <r>
    <s v="Direct,NSFnet,60"/>
    <x v="0"/>
    <x v="0"/>
    <x v="2"/>
    <n v="718.68100000000004"/>
    <n v="687"/>
    <n v="4.6114992721979675"/>
    <x v="155"/>
  </r>
  <r>
    <s v="Direct,NSFnet,60"/>
    <x v="0"/>
    <x v="0"/>
    <x v="2"/>
    <n v="727.49"/>
    <n v="687"/>
    <n v="5.8937409024745282"/>
    <x v="156"/>
  </r>
  <r>
    <s v="Direct,NSFnet,60"/>
    <x v="0"/>
    <x v="0"/>
    <x v="2"/>
    <n v="696.721"/>
    <n v="687"/>
    <n v="1.4149927219796221"/>
    <x v="157"/>
  </r>
  <r>
    <s v="Direct,NSFnet,60"/>
    <x v="0"/>
    <x v="0"/>
    <x v="2"/>
    <n v="706.51300000000003"/>
    <n v="687"/>
    <n v="2.8403202328966572"/>
    <x v="158"/>
  </r>
  <r>
    <s v="Direct,NSFnet,60"/>
    <x v="0"/>
    <x v="0"/>
    <x v="2"/>
    <n v="697.23"/>
    <n v="687"/>
    <n v="1.4890829694323171"/>
    <x v="159"/>
  </r>
  <r>
    <s v="Direct,NSFnet,60"/>
    <x v="0"/>
    <x v="0"/>
    <x v="2"/>
    <n v="750.84900000000005"/>
    <n v="687"/>
    <n v="9.293886462882103"/>
    <x v="160"/>
  </r>
  <r>
    <s v="Direct,NSFnet,60"/>
    <x v="0"/>
    <x v="0"/>
    <x v="2"/>
    <n v="746.00099999999998"/>
    <n v="687"/>
    <n v="8.5882096069868972"/>
    <x v="161"/>
  </r>
  <r>
    <s v="Direct,NSFnet,60"/>
    <x v="0"/>
    <x v="0"/>
    <x v="2"/>
    <n v="713.94"/>
    <n v="687"/>
    <n v="3.9213973799126713"/>
    <x v="162"/>
  </r>
  <r>
    <s v="Direct,NSFnet,60"/>
    <x v="0"/>
    <x v="0"/>
    <x v="2"/>
    <n v="664.60199999999998"/>
    <n v="687"/>
    <n v="3.2602620087336285"/>
    <x v="163"/>
  </r>
  <r>
    <s v="Direct,NSFnet,60"/>
    <x v="0"/>
    <x v="0"/>
    <x v="2"/>
    <n v="726.25599999999997"/>
    <n v="687"/>
    <n v="5.7141193595342026"/>
    <x v="164"/>
  </r>
  <r>
    <s v="Direct,NSFnet,60"/>
    <x v="0"/>
    <x v="0"/>
    <x v="2"/>
    <n v="728.51300000000003"/>
    <n v="687"/>
    <n v="6.0426491994177631"/>
    <x v="165"/>
  </r>
  <r>
    <s v="Direct,NSFnet,60"/>
    <x v="0"/>
    <x v="0"/>
    <x v="2"/>
    <n v="721.84799999999996"/>
    <n v="687"/>
    <n v="5.072489082969426"/>
    <x v="166"/>
  </r>
  <r>
    <s v="Direct,NSFnet,60"/>
    <x v="0"/>
    <x v="0"/>
    <x v="2"/>
    <n v="690.26099999999997"/>
    <n v="687"/>
    <n v="0.47467248908296467"/>
    <x v="167"/>
  </r>
  <r>
    <s v="Direct,NSFnet,60"/>
    <x v="0"/>
    <x v="0"/>
    <x v="2"/>
    <n v="701.80600000000004"/>
    <n v="687"/>
    <n v="2.1551673944687102"/>
    <x v="168"/>
  </r>
  <r>
    <s v="Direct,NSFnet,60"/>
    <x v="0"/>
    <x v="0"/>
    <x v="2"/>
    <n v="676.053"/>
    <n v="687"/>
    <n v="1.5934497816593891"/>
    <x v="169"/>
  </r>
  <r>
    <s v="Direct,NSFnet,60"/>
    <x v="0"/>
    <x v="0"/>
    <x v="2"/>
    <n v="739.21"/>
    <n v="687"/>
    <n v="7.5997088791848677"/>
    <x v="170"/>
  </r>
  <r>
    <s v="Direct,NSFnet,60"/>
    <x v="0"/>
    <x v="0"/>
    <x v="2"/>
    <n v="723.01800000000003"/>
    <n v="687"/>
    <n v="5.2427947598253315"/>
    <x v="171"/>
  </r>
  <r>
    <s v="Direct,NSFnet,60"/>
    <x v="0"/>
    <x v="0"/>
    <x v="2"/>
    <n v="703.01400000000001"/>
    <n v="687"/>
    <n v="2.3310043668122287"/>
    <x v="172"/>
  </r>
  <r>
    <s v="Direct,NSFnet,60"/>
    <x v="0"/>
    <x v="0"/>
    <x v="2"/>
    <n v="703.78"/>
    <n v="687"/>
    <n v="2.4425036390101855"/>
    <x v="173"/>
  </r>
  <r>
    <s v="Direct,NSFnet,60"/>
    <x v="0"/>
    <x v="0"/>
    <x v="2"/>
    <n v="679.49699999999996"/>
    <n v="687"/>
    <n v="1.0921397379912725"/>
    <x v="174"/>
  </r>
  <r>
    <s v="Direct,NSFnet,60"/>
    <x v="0"/>
    <x v="0"/>
    <x v="2"/>
    <n v="694.74300000000005"/>
    <n v="687"/>
    <n v="1.1270742358078678"/>
    <x v="175"/>
  </r>
  <r>
    <s v="Direct,NSFnet,60"/>
    <x v="0"/>
    <x v="0"/>
    <x v="2"/>
    <n v="723.17399999999998"/>
    <n v="687"/>
    <n v="5.2655021834061104"/>
    <x v="176"/>
  </r>
  <r>
    <s v="Direct,NSFnet,60"/>
    <x v="0"/>
    <x v="0"/>
    <x v="2"/>
    <n v="718.28499999999997"/>
    <n v="687"/>
    <n v="4.5538573508005777"/>
    <x v="177"/>
  </r>
  <r>
    <s v="Direct,NSFnet,60"/>
    <x v="0"/>
    <x v="0"/>
    <x v="2"/>
    <n v="714.08299999999997"/>
    <n v="687"/>
    <n v="3.9422125181950465"/>
    <x v="178"/>
  </r>
  <r>
    <s v="Direct,NSFnet,60"/>
    <x v="0"/>
    <x v="0"/>
    <x v="2"/>
    <n v="700.38499999999999"/>
    <n v="687"/>
    <n v="1.9483260553129533"/>
    <x v="179"/>
  </r>
  <r>
    <s v="Direct,NSFnet,60"/>
    <x v="0"/>
    <x v="0"/>
    <x v="2"/>
    <n v="759.56"/>
    <n v="687"/>
    <n v="10.561863173216878"/>
    <x v="180"/>
  </r>
  <r>
    <s v="Direct,NSFnet,60"/>
    <x v="0"/>
    <x v="0"/>
    <x v="2"/>
    <n v="744.803"/>
    <n v="687"/>
    <n v="8.4138282387190682"/>
    <x v="181"/>
  </r>
  <r>
    <s v="Direct,NSFnet,60"/>
    <x v="0"/>
    <x v="0"/>
    <x v="2"/>
    <n v="741.59199999999998"/>
    <n v="687"/>
    <n v="7.9464337700145533"/>
    <x v="182"/>
  </r>
  <r>
    <s v="Direct,NSFnet,60"/>
    <x v="0"/>
    <x v="0"/>
    <x v="2"/>
    <n v="725.05200000000002"/>
    <n v="687"/>
    <n v="5.5388646288209635"/>
    <x v="183"/>
  </r>
  <r>
    <s v="Direct,NSFnet,60"/>
    <x v="0"/>
    <x v="0"/>
    <x v="2"/>
    <n v="729.87900000000002"/>
    <n v="687"/>
    <n v="6.241484716157208"/>
    <x v="184"/>
  </r>
  <r>
    <s v="Direct,NSFnet,60"/>
    <x v="0"/>
    <x v="0"/>
    <x v="2"/>
    <n v="700.38099999999997"/>
    <n v="687"/>
    <n v="1.9477438136826741"/>
    <x v="185"/>
  </r>
  <r>
    <s v="Direct,NSFnet,60"/>
    <x v="0"/>
    <x v="0"/>
    <x v="2"/>
    <n v="707.71299999999997"/>
    <n v="687"/>
    <n v="3.0149927219796164"/>
    <x v="186"/>
  </r>
  <r>
    <s v="Direct,NSFnet,60"/>
    <x v="0"/>
    <x v="0"/>
    <x v="2"/>
    <n v="728.68499999999995"/>
    <n v="687"/>
    <n v="6.0676855895196429"/>
    <x v="187"/>
  </r>
  <r>
    <s v="Direct,NSFnet,60"/>
    <x v="0"/>
    <x v="0"/>
    <x v="2"/>
    <n v="752.48199999999997"/>
    <n v="687"/>
    <n v="9.5315866084424989"/>
    <x v="188"/>
  </r>
  <r>
    <s v="Direct,NSFnet,60"/>
    <x v="0"/>
    <x v="0"/>
    <x v="2"/>
    <n v="655.98"/>
    <n v="687"/>
    <n v="4.5152838427947577"/>
    <x v="189"/>
  </r>
  <r>
    <s v="Direct,NSFnet,60"/>
    <x v="0"/>
    <x v="0"/>
    <x v="2"/>
    <n v="704.57500000000005"/>
    <n v="687"/>
    <n v="2.558224163027663"/>
    <x v="190"/>
  </r>
  <r>
    <s v="Direct,NSFnet,60"/>
    <x v="0"/>
    <x v="0"/>
    <x v="2"/>
    <n v="738.92600000000004"/>
    <n v="687"/>
    <n v="7.5583697234352325"/>
    <x v="191"/>
  </r>
  <r>
    <s v="Direct,NSFnet,60"/>
    <x v="0"/>
    <x v="0"/>
    <x v="2"/>
    <n v="719.66800000000001"/>
    <n v="687"/>
    <n v="4.755167394468705"/>
    <x v="192"/>
  </r>
  <r>
    <s v="Direct,NSFnet,60"/>
    <x v="0"/>
    <x v="0"/>
    <x v="2"/>
    <n v="735.67899999999997"/>
    <n v="687"/>
    <n v="7.0857350800582193"/>
    <x v="193"/>
  </r>
  <r>
    <s v="Direct,NSFnet,60"/>
    <x v="0"/>
    <x v="0"/>
    <x v="2"/>
    <n v="677.37300000000005"/>
    <n v="687"/>
    <n v="1.4013100436681154"/>
    <x v="194"/>
  </r>
  <r>
    <s v="Direct,NSFnet,60"/>
    <x v="0"/>
    <x v="0"/>
    <x v="2"/>
    <n v="759.73099999999999"/>
    <n v="687"/>
    <n v="10.586754002911206"/>
    <x v="195"/>
  </r>
  <r>
    <s v="Direct,NSFnet,60"/>
    <x v="0"/>
    <x v="0"/>
    <x v="2"/>
    <n v="707.202"/>
    <n v="687"/>
    <n v="2.9406113537117902"/>
    <x v="196"/>
  </r>
  <r>
    <s v="Direct,NSFnet,60"/>
    <x v="0"/>
    <x v="0"/>
    <x v="2"/>
    <n v="674.76"/>
    <n v="687"/>
    <n v="1.7816593886462895"/>
    <x v="197"/>
  </r>
  <r>
    <s v="Direct,NSFnet,60"/>
    <x v="0"/>
    <x v="0"/>
    <x v="2"/>
    <n v="721.02700000000004"/>
    <n v="687"/>
    <n v="4.9529839883551734"/>
    <x v="198"/>
  </r>
  <r>
    <s v="Direct,NSFnet,60"/>
    <x v="0"/>
    <x v="0"/>
    <x v="2"/>
    <n v="716.94799999999998"/>
    <n v="687"/>
    <n v="4.359243085880637"/>
    <x v="199"/>
  </r>
  <r>
    <s v="Direct,NSFnet,60"/>
    <x v="0"/>
    <x v="0"/>
    <x v="2"/>
    <n v="715.85900000000004"/>
    <n v="687"/>
    <n v="4.2007278020378518"/>
    <x v="200"/>
  </r>
  <r>
    <s v="Direct,NSFnet,60"/>
    <x v="0"/>
    <x v="0"/>
    <x v="2"/>
    <n v="706.44"/>
    <n v="687"/>
    <n v="2.8296943231441127"/>
    <x v="201"/>
  </r>
  <r>
    <s v="Direct,NSFnet,60"/>
    <x v="0"/>
    <x v="0"/>
    <x v="2"/>
    <n v="696.221"/>
    <n v="687"/>
    <n v="1.3422125181950515"/>
    <x v="202"/>
  </r>
  <r>
    <s v="Direct,NSFnet,60"/>
    <x v="0"/>
    <x v="0"/>
    <x v="2"/>
    <n v="722.41300000000001"/>
    <n v="687"/>
    <n v="5.154730713245999"/>
    <x v="203"/>
  </r>
  <r>
    <s v="Direct,NSFnet,60"/>
    <x v="0"/>
    <x v="0"/>
    <x v="2"/>
    <n v="694.15599999999995"/>
    <n v="687"/>
    <n v="1.0416302765647669"/>
    <x v="204"/>
  </r>
  <r>
    <s v="Direct,NSFnet,60"/>
    <x v="0"/>
    <x v="0"/>
    <x v="2"/>
    <n v="729.553"/>
    <n v="687"/>
    <n v="6.1940320232896644"/>
    <x v="205"/>
  </r>
  <r>
    <s v="Direct,NSFnet,60"/>
    <x v="0"/>
    <x v="0"/>
    <x v="2"/>
    <n v="697.673"/>
    <n v="687"/>
    <n v="1.5535662299854442"/>
    <x v="206"/>
  </r>
  <r>
    <s v="Direct,NSFnet,60"/>
    <x v="0"/>
    <x v="0"/>
    <x v="2"/>
    <n v="679.75400000000002"/>
    <n v="687"/>
    <n v="1.0547307132459942"/>
    <x v="207"/>
  </r>
  <r>
    <s v="Direct,NSFnet,60"/>
    <x v="0"/>
    <x v="0"/>
    <x v="2"/>
    <n v="724.97799999999995"/>
    <n v="687"/>
    <n v="5.5280931586608375"/>
    <x v="208"/>
  </r>
  <r>
    <s v="Direct,NSFnet,60"/>
    <x v="0"/>
    <x v="0"/>
    <x v="2"/>
    <n v="736.67100000000005"/>
    <n v="687"/>
    <n v="7.230131004366819"/>
    <x v="209"/>
  </r>
  <r>
    <s v="Direct,NSFnet,60"/>
    <x v="0"/>
    <x v="0"/>
    <x v="2"/>
    <n v="709.14800000000002"/>
    <n v="687"/>
    <n v="3.2238719068413428"/>
    <x v="210"/>
  </r>
  <r>
    <s v="Direct,NSFnet,80"/>
    <x v="0"/>
    <x v="0"/>
    <x v="3"/>
    <n v="927.39"/>
    <n v="877"/>
    <n v="5.7457240592930425"/>
    <x v="211"/>
  </r>
  <r>
    <s v="Direct,NSFnet,80"/>
    <x v="0"/>
    <x v="0"/>
    <x v="3"/>
    <n v="929.76300000000003"/>
    <n v="877"/>
    <n v="6.0163055872291942"/>
    <x v="212"/>
  </r>
  <r>
    <s v="Direct,NSFnet,80"/>
    <x v="0"/>
    <x v="0"/>
    <x v="3"/>
    <n v="911.50099999999998"/>
    <n v="877"/>
    <n v="3.9339794754846036"/>
    <x v="213"/>
  </r>
  <r>
    <s v="Direct,NSFnet,80"/>
    <x v="0"/>
    <x v="0"/>
    <x v="3"/>
    <n v="896.2"/>
    <n v="877"/>
    <n v="2.1892816419612369"/>
    <x v="214"/>
  </r>
  <r>
    <s v="Direct,NSFnet,80"/>
    <x v="0"/>
    <x v="0"/>
    <x v="3"/>
    <n v="877.327"/>
    <n v="877"/>
    <n v="3.7286202964652015E-2"/>
    <x v="215"/>
  </r>
  <r>
    <s v="Direct,NSFnet,80"/>
    <x v="0"/>
    <x v="0"/>
    <x v="3"/>
    <n v="883.98699999999997"/>
    <n v="877"/>
    <n v="0.79669327251995059"/>
    <x v="216"/>
  </r>
  <r>
    <s v="Direct,NSFnet,80"/>
    <x v="0"/>
    <x v="0"/>
    <x v="3"/>
    <n v="886.32799999999997"/>
    <n v="877"/>
    <n v="1.0636259977194953"/>
    <x v="217"/>
  </r>
  <r>
    <s v="Direct,NSFnet,80"/>
    <x v="0"/>
    <x v="0"/>
    <x v="3"/>
    <n v="862.66499999999996"/>
    <n v="877"/>
    <n v="1.6345496009122047"/>
    <x v="218"/>
  </r>
  <r>
    <s v="Direct,NSFnet,80"/>
    <x v="0"/>
    <x v="0"/>
    <x v="3"/>
    <n v="878.79600000000005"/>
    <n v="877"/>
    <n v="0.20478905359179581"/>
    <x v="219"/>
  </r>
  <r>
    <s v="Direct,NSFnet,80"/>
    <x v="0"/>
    <x v="0"/>
    <x v="3"/>
    <n v="963.74400000000003"/>
    <n v="877"/>
    <n v="9.8909920182440167"/>
    <x v="220"/>
  </r>
  <r>
    <s v="Direct,NSFnet,80"/>
    <x v="0"/>
    <x v="0"/>
    <x v="3"/>
    <n v="957.15300000000002"/>
    <n v="877"/>
    <n v="9.1394526795895121"/>
    <x v="221"/>
  </r>
  <r>
    <s v="Direct,NSFnet,80"/>
    <x v="0"/>
    <x v="0"/>
    <x v="3"/>
    <n v="851.63699999999994"/>
    <n v="877"/>
    <n v="2.8920182440136895"/>
    <x v="222"/>
  </r>
  <r>
    <s v="Direct,NSFnet,80"/>
    <x v="0"/>
    <x v="0"/>
    <x v="3"/>
    <n v="842.38900000000001"/>
    <n v="877"/>
    <n v="3.9465222348916749"/>
    <x v="223"/>
  </r>
  <r>
    <s v="Direct,NSFnet,80"/>
    <x v="0"/>
    <x v="0"/>
    <x v="3"/>
    <n v="881.41300000000001"/>
    <n v="877"/>
    <n v="0.50319270239452796"/>
    <x v="224"/>
  </r>
  <r>
    <s v="Direct,NSFnet,80"/>
    <x v="0"/>
    <x v="0"/>
    <x v="3"/>
    <n v="893.36699999999996"/>
    <n v="877"/>
    <n v="1.8662485746864268"/>
    <x v="225"/>
  </r>
  <r>
    <s v="Direct,NSFnet,80"/>
    <x v="0"/>
    <x v="0"/>
    <x v="3"/>
    <n v="910.05499999999995"/>
    <n v="877"/>
    <n v="3.7690992018243956"/>
    <x v="226"/>
  </r>
  <r>
    <s v="Direct,NSFnet,80"/>
    <x v="0"/>
    <x v="0"/>
    <x v="3"/>
    <n v="910.28399999999999"/>
    <n v="877"/>
    <n v="3.7952109464082091"/>
    <x v="227"/>
  </r>
  <r>
    <s v="Direct,NSFnet,80"/>
    <x v="0"/>
    <x v="0"/>
    <x v="3"/>
    <n v="909.33500000000004"/>
    <n v="877"/>
    <n v="3.6870011402508589"/>
    <x v="228"/>
  </r>
  <r>
    <s v="Direct,NSFnet,80"/>
    <x v="0"/>
    <x v="0"/>
    <x v="3"/>
    <n v="943.06799999999998"/>
    <n v="877"/>
    <n v="7.5334093500570107"/>
    <x v="229"/>
  </r>
  <r>
    <s v="Direct,NSFnet,80"/>
    <x v="0"/>
    <x v="0"/>
    <x v="3"/>
    <n v="964.79100000000005"/>
    <n v="877"/>
    <n v="10.010376282782218"/>
    <x v="230"/>
  </r>
  <r>
    <s v="Direct,NSFnet,80"/>
    <x v="0"/>
    <x v="0"/>
    <x v="3"/>
    <n v="913.64"/>
    <n v="877"/>
    <n v="4.1778791334093484"/>
    <x v="231"/>
  </r>
  <r>
    <s v="Direct,NSFnet,80"/>
    <x v="0"/>
    <x v="0"/>
    <x v="3"/>
    <n v="917.077"/>
    <n v="877"/>
    <n v="4.569783352337514"/>
    <x v="232"/>
  </r>
  <r>
    <s v="Direct,NSFnet,80"/>
    <x v="0"/>
    <x v="0"/>
    <x v="3"/>
    <n v="885.31500000000005"/>
    <n v="877"/>
    <n v="0.94811858608894584"/>
    <x v="233"/>
  </r>
  <r>
    <s v="Direct,NSFnet,80"/>
    <x v="0"/>
    <x v="0"/>
    <x v="3"/>
    <n v="929.90200000000004"/>
    <n v="877"/>
    <n v="6.0321550741163108"/>
    <x v="234"/>
  </r>
  <r>
    <s v="Direct,NSFnet,80"/>
    <x v="0"/>
    <x v="0"/>
    <x v="3"/>
    <n v="919.13900000000001"/>
    <n v="877"/>
    <n v="4.8049030786773104"/>
    <x v="235"/>
  </r>
  <r>
    <s v="Direct,NSFnet,80"/>
    <x v="0"/>
    <x v="0"/>
    <x v="3"/>
    <n v="877.54"/>
    <n v="877"/>
    <n v="6.1573546180155488E-2"/>
    <x v="236"/>
  </r>
  <r>
    <s v="Direct,NSFnet,80"/>
    <x v="0"/>
    <x v="0"/>
    <x v="3"/>
    <n v="834.31600000000003"/>
    <n v="877"/>
    <n v="4.8670467502850592"/>
    <x v="237"/>
  </r>
  <r>
    <s v="Direct,NSFnet,80"/>
    <x v="0"/>
    <x v="0"/>
    <x v="3"/>
    <n v="894.74"/>
    <n v="877"/>
    <n v="2.0228050171037641"/>
    <x v="238"/>
  </r>
  <r>
    <s v="Direct,NSFnet,80"/>
    <x v="0"/>
    <x v="0"/>
    <x v="3"/>
    <n v="904.71299999999997"/>
    <n v="877"/>
    <n v="3.1599771949828921"/>
    <x v="239"/>
  </r>
  <r>
    <s v="Direct,NSFnet,80"/>
    <x v="0"/>
    <x v="0"/>
    <x v="3"/>
    <n v="928.88599999999997"/>
    <n v="877"/>
    <n v="5.9163055872291874"/>
    <x v="240"/>
  </r>
  <r>
    <s v="Direct,NSFnet,80"/>
    <x v="0"/>
    <x v="0"/>
    <x v="3"/>
    <n v="922.43100000000004"/>
    <n v="877"/>
    <n v="5.1802736602052502"/>
    <x v="241"/>
  </r>
  <r>
    <s v="Direct,NSFnet,80"/>
    <x v="0"/>
    <x v="0"/>
    <x v="3"/>
    <n v="944.60599999999999"/>
    <n v="877"/>
    <n v="7.7087799315849486"/>
    <x v="242"/>
  </r>
  <r>
    <s v="Direct,NSFnet,80"/>
    <x v="0"/>
    <x v="0"/>
    <x v="3"/>
    <n v="904.34100000000001"/>
    <n v="877"/>
    <n v="3.1175598631698982"/>
    <x v="243"/>
  </r>
  <r>
    <s v="Direct,NSFnet,80"/>
    <x v="0"/>
    <x v="0"/>
    <x v="3"/>
    <n v="943.63300000000004"/>
    <n v="877"/>
    <n v="7.5978335233751473"/>
    <x v="244"/>
  </r>
  <r>
    <s v="Direct,NSFnet,80"/>
    <x v="0"/>
    <x v="0"/>
    <x v="3"/>
    <n v="922.654"/>
    <n v="877"/>
    <n v="5.2057012542759402"/>
    <x v="245"/>
  </r>
  <r>
    <s v="Direct,NSFnet,80"/>
    <x v="0"/>
    <x v="0"/>
    <x v="3"/>
    <n v="950.10400000000004"/>
    <n v="877"/>
    <n v="8.335689851767393"/>
    <x v="246"/>
  </r>
  <r>
    <s v="Direct,NSFnet,80"/>
    <x v="0"/>
    <x v="0"/>
    <x v="3"/>
    <n v="928.44799999999998"/>
    <n v="877"/>
    <n v="5.8663625997719473"/>
    <x v="247"/>
  </r>
  <r>
    <s v="Direct,NSFnet,80"/>
    <x v="0"/>
    <x v="0"/>
    <x v="3"/>
    <n v="903.755"/>
    <n v="877"/>
    <n v="3.0507411630558718"/>
    <x v="248"/>
  </r>
  <r>
    <s v="Direct,NSFnet,80"/>
    <x v="0"/>
    <x v="0"/>
    <x v="3"/>
    <n v="904.43799999999999"/>
    <n v="877"/>
    <n v="3.128620296465221"/>
    <x v="249"/>
  </r>
  <r>
    <s v="Direct,NSFnet,80"/>
    <x v="0"/>
    <x v="0"/>
    <x v="3"/>
    <n v="914.45500000000004"/>
    <n v="877"/>
    <n v="4.2708095781071886"/>
    <x v="250"/>
  </r>
  <r>
    <s v="Direct,NSFnet,80"/>
    <x v="0"/>
    <x v="0"/>
    <x v="3"/>
    <n v="933.46699999999998"/>
    <n v="877"/>
    <n v="6.4386545039908762"/>
    <x v="251"/>
  </r>
  <r>
    <s v="Direct,NSFnet,80"/>
    <x v="0"/>
    <x v="0"/>
    <x v="3"/>
    <n v="940.79700000000003"/>
    <n v="877"/>
    <n v="7.2744583808437886"/>
    <x v="252"/>
  </r>
  <r>
    <s v="Direct,NSFnet,80"/>
    <x v="0"/>
    <x v="0"/>
    <x v="3"/>
    <n v="945.19200000000001"/>
    <n v="877"/>
    <n v="7.7755986316989736"/>
    <x v="253"/>
  </r>
  <r>
    <s v="Direct,NSFnet,80"/>
    <x v="0"/>
    <x v="0"/>
    <x v="3"/>
    <n v="940.39800000000002"/>
    <n v="877"/>
    <n v="7.2289623717217815"/>
    <x v="254"/>
  </r>
  <r>
    <s v="Direct,NSFnet,80"/>
    <x v="0"/>
    <x v="0"/>
    <x v="3"/>
    <n v="910.97400000000005"/>
    <n v="877"/>
    <n v="3.8738882554161966"/>
    <x v="255"/>
  </r>
  <r>
    <s v="Direct,NSFnet,80"/>
    <x v="0"/>
    <x v="0"/>
    <x v="3"/>
    <n v="934.03800000000001"/>
    <n v="877"/>
    <n v="6.503762827822122"/>
    <x v="256"/>
  </r>
  <r>
    <s v="Direct,NSFnet,80"/>
    <x v="0"/>
    <x v="0"/>
    <x v="3"/>
    <n v="942.7"/>
    <n v="877"/>
    <n v="7.4914481185860939"/>
    <x v="257"/>
  </r>
  <r>
    <s v="Direct,NSFnet,80"/>
    <x v="0"/>
    <x v="0"/>
    <x v="3"/>
    <n v="954.36400000000003"/>
    <n v="877"/>
    <n v="8.8214367160775407"/>
    <x v="258"/>
  </r>
  <r>
    <s v="Direct,NSFnet,80"/>
    <x v="0"/>
    <x v="0"/>
    <x v="3"/>
    <n v="917.39300000000003"/>
    <n v="877"/>
    <n v="4.6058152793614626"/>
    <x v="259"/>
  </r>
  <r>
    <s v="Direct,NSFnet,80"/>
    <x v="0"/>
    <x v="0"/>
    <x v="3"/>
    <n v="869.95100000000002"/>
    <n v="877"/>
    <n v="0.80376282782211839"/>
    <x v="260"/>
  </r>
  <r>
    <s v="Direct,NSFnet,80"/>
    <x v="0"/>
    <x v="0"/>
    <x v="3"/>
    <n v="862.09199999999998"/>
    <n v="877"/>
    <n v="1.699885974914483"/>
    <x v="261"/>
  </r>
  <r>
    <s v="Direct,NSFnet,80"/>
    <x v="0"/>
    <x v="0"/>
    <x v="3"/>
    <n v="886.01400000000001"/>
    <n v="877"/>
    <n v="1.0278221208665919"/>
    <x v="262"/>
  </r>
  <r>
    <s v="Direct,NSFnet,80"/>
    <x v="0"/>
    <x v="0"/>
    <x v="3"/>
    <n v="951.93"/>
    <n v="877"/>
    <n v="8.5438996579247384"/>
    <x v="263"/>
  </r>
  <r>
    <s v="Direct,NSFnet,80"/>
    <x v="0"/>
    <x v="0"/>
    <x v="3"/>
    <n v="888.83100000000002"/>
    <n v="877"/>
    <n v="1.349030786773092"/>
    <x v="264"/>
  </r>
  <r>
    <s v="Direct,NSFnet,80"/>
    <x v="0"/>
    <x v="0"/>
    <x v="3"/>
    <n v="915.13900000000001"/>
    <n v="877"/>
    <n v="4.3488027366020541"/>
    <x v="265"/>
  </r>
  <r>
    <s v="Direct,NSFnet,80"/>
    <x v="0"/>
    <x v="0"/>
    <x v="3"/>
    <n v="941"/>
    <n v="877"/>
    <n v="7.2976054732041051"/>
    <x v="266"/>
  </r>
  <r>
    <s v="Direct,NSFnet,80"/>
    <x v="0"/>
    <x v="0"/>
    <x v="3"/>
    <n v="947.26"/>
    <n v="877"/>
    <n v="8.0114025085518801"/>
    <x v="267"/>
  </r>
  <r>
    <s v="Direct,NSFnet,80"/>
    <x v="0"/>
    <x v="0"/>
    <x v="3"/>
    <n v="957.11900000000003"/>
    <n v="877"/>
    <n v="9.1355758266818725"/>
    <x v="268"/>
  </r>
  <r>
    <s v="Direct,NSFnet,80"/>
    <x v="0"/>
    <x v="0"/>
    <x v="3"/>
    <n v="893.34799999999996"/>
    <n v="877"/>
    <n v="1.8640820980615684"/>
    <x v="269"/>
  </r>
  <r>
    <s v="Direct,NSFnet,80"/>
    <x v="0"/>
    <x v="0"/>
    <x v="3"/>
    <n v="913.02300000000002"/>
    <n v="877"/>
    <n v="4.1075256556442445"/>
    <x v="270"/>
  </r>
  <r>
    <s v="Direct,NSFnet,80"/>
    <x v="0"/>
    <x v="0"/>
    <x v="3"/>
    <n v="938.30700000000002"/>
    <n v="877"/>
    <n v="6.9905359179019397"/>
    <x v="271"/>
  </r>
  <r>
    <s v="Direct,NSFnet,80"/>
    <x v="0"/>
    <x v="0"/>
    <x v="3"/>
    <n v="920.654"/>
    <n v="877"/>
    <n v="4.9776510832383121"/>
    <x v="272"/>
  </r>
  <r>
    <s v="Direct,NSFnet,80"/>
    <x v="0"/>
    <x v="0"/>
    <x v="3"/>
    <n v="859.88699999999994"/>
    <n v="877"/>
    <n v="1.9513112884834729"/>
    <x v="273"/>
  </r>
  <r>
    <s v="Direct,NSFnet,80"/>
    <x v="0"/>
    <x v="0"/>
    <x v="3"/>
    <n v="874.82899999999995"/>
    <n v="877"/>
    <n v="0.24754846066135111"/>
    <x v="274"/>
  </r>
  <r>
    <s v="Direct,NSFnet,80"/>
    <x v="0"/>
    <x v="0"/>
    <x v="3"/>
    <n v="954.30700000000002"/>
    <n v="877"/>
    <n v="8.8149372862029658"/>
    <x v="275"/>
  </r>
  <r>
    <s v="Direct,NSFnet,80"/>
    <x v="0"/>
    <x v="0"/>
    <x v="3"/>
    <n v="978.64200000000005"/>
    <n v="877"/>
    <n v="11.589737742303313"/>
    <x v="276"/>
  </r>
  <r>
    <s v="Direct,NSFnet,80"/>
    <x v="0"/>
    <x v="0"/>
    <x v="3"/>
    <n v="986.66499999999996"/>
    <n v="877"/>
    <n v="12.504561003420747"/>
    <x v="277"/>
  </r>
  <r>
    <s v="Direct,NSFnet,80"/>
    <x v="0"/>
    <x v="0"/>
    <x v="3"/>
    <n v="919.61"/>
    <n v="877"/>
    <n v="4.8586088939566725"/>
    <x v="278"/>
  </r>
  <r>
    <s v="Direct,NSFnet,80"/>
    <x v="0"/>
    <x v="0"/>
    <x v="3"/>
    <n v="869.28200000000004"/>
    <n v="877"/>
    <n v="0.88004561003420312"/>
    <x v="279"/>
  </r>
  <r>
    <s v="Direct,NSFnet,80"/>
    <x v="0"/>
    <x v="0"/>
    <x v="3"/>
    <n v="957.221"/>
    <n v="877"/>
    <n v="9.1472063854047896"/>
    <x v="280"/>
  </r>
  <r>
    <s v="Direct,NSFnet,80"/>
    <x v="0"/>
    <x v="0"/>
    <x v="3"/>
    <n v="931.25099999999998"/>
    <n v="877"/>
    <n v="6.1859749144811831"/>
    <x v="281"/>
  </r>
  <r>
    <s v="Direct,NSFnet,80"/>
    <x v="0"/>
    <x v="0"/>
    <x v="3"/>
    <n v="889.32100000000003"/>
    <n v="877"/>
    <n v="1.404903078677312"/>
    <x v="282"/>
  </r>
  <r>
    <s v="Direct,NSFnet,80"/>
    <x v="0"/>
    <x v="0"/>
    <x v="3"/>
    <n v="934.08900000000006"/>
    <n v="877"/>
    <n v="6.5095781071835859"/>
    <x v="283"/>
  </r>
  <r>
    <s v="Direct,NSFnet,80"/>
    <x v="0"/>
    <x v="0"/>
    <x v="3"/>
    <n v="931.45699999999999"/>
    <n v="877"/>
    <n v="6.2094640820980613"/>
    <x v="284"/>
  </r>
  <r>
    <s v="Direct,NSFnet,80"/>
    <x v="0"/>
    <x v="0"/>
    <x v="3"/>
    <n v="961.09500000000003"/>
    <n v="877"/>
    <n v="9.5889395667046777"/>
    <x v="285"/>
  </r>
  <r>
    <s v="Direct,NSFnet,80"/>
    <x v="0"/>
    <x v="0"/>
    <x v="3"/>
    <n v="915.19"/>
    <n v="877"/>
    <n v="4.3546180159635188"/>
    <x v="286"/>
  </r>
  <r>
    <s v="Direct,NSFnet,80"/>
    <x v="0"/>
    <x v="0"/>
    <x v="3"/>
    <n v="898.54399999999998"/>
    <n v="877"/>
    <n v="2.4565564424173298"/>
    <x v="287"/>
  </r>
  <r>
    <s v="Direct,NSFnet,80"/>
    <x v="0"/>
    <x v="0"/>
    <x v="3"/>
    <n v="907.94500000000005"/>
    <n v="877"/>
    <n v="3.5285062713797091"/>
    <x v="288"/>
  </r>
  <r>
    <s v="Direct,NSFnet,80"/>
    <x v="0"/>
    <x v="0"/>
    <x v="3"/>
    <n v="966.31500000000005"/>
    <n v="877"/>
    <n v="10.184150513112892"/>
    <x v="289"/>
  </r>
  <r>
    <s v="Direct,NSFnet,80"/>
    <x v="0"/>
    <x v="0"/>
    <x v="3"/>
    <n v="935.46799999999996"/>
    <n v="877"/>
    <n v="6.6668187001140202"/>
    <x v="290"/>
  </r>
  <r>
    <s v="Direct,NSFnet,80"/>
    <x v="0"/>
    <x v="0"/>
    <x v="3"/>
    <n v="881.02599999999995"/>
    <n v="877"/>
    <n v="0.45906499429874048"/>
    <x v="291"/>
  </r>
  <r>
    <s v="Direct,NSFnet,80"/>
    <x v="0"/>
    <x v="0"/>
    <x v="3"/>
    <n v="889.61699999999996"/>
    <n v="877"/>
    <n v="1.4386545039908736"/>
    <x v="292"/>
  </r>
  <r>
    <s v="Direct,NSFnet,80"/>
    <x v="0"/>
    <x v="0"/>
    <x v="3"/>
    <n v="935.86400000000003"/>
    <n v="877"/>
    <n v="6.7119726339794799"/>
    <x v="293"/>
  </r>
  <r>
    <s v="Direct,NSFnet,80"/>
    <x v="0"/>
    <x v="0"/>
    <x v="3"/>
    <n v="950.82799999999997"/>
    <n v="877"/>
    <n v="8.4182440136830081"/>
    <x v="294"/>
  </r>
  <r>
    <s v="Direct,NSFnet,80"/>
    <x v="0"/>
    <x v="0"/>
    <x v="3"/>
    <n v="878.86599999999999"/>
    <n v="877"/>
    <n v="0.21277080957810551"/>
    <x v="295"/>
  </r>
  <r>
    <s v="Direct,NSFnet,80"/>
    <x v="0"/>
    <x v="0"/>
    <x v="3"/>
    <n v="908.42399999999998"/>
    <n v="877"/>
    <n v="3.583124287343213"/>
    <x v="296"/>
  </r>
  <r>
    <s v="Direct,NSFnet,80"/>
    <x v="0"/>
    <x v="0"/>
    <x v="3"/>
    <n v="957.10599999999999"/>
    <n v="877"/>
    <n v="9.134093500570124"/>
    <x v="297"/>
  </r>
  <r>
    <s v="Direct,NSFnet,80"/>
    <x v="0"/>
    <x v="0"/>
    <x v="3"/>
    <n v="910.82100000000003"/>
    <n v="877"/>
    <n v="3.8564424173318157"/>
    <x v="298"/>
  </r>
  <r>
    <s v="Direct,NSFnet,80"/>
    <x v="0"/>
    <x v="0"/>
    <x v="3"/>
    <n v="883.00800000000004"/>
    <n v="877"/>
    <n v="0.68506271379703976"/>
    <x v="299"/>
  </r>
  <r>
    <s v="Direct,NSFnet,80"/>
    <x v="0"/>
    <x v="0"/>
    <x v="3"/>
    <n v="852.63900000000001"/>
    <n v="877"/>
    <n v="2.7777651083238304"/>
    <x v="300"/>
  </r>
  <r>
    <s v="Direct,NSFnet,80"/>
    <x v="0"/>
    <x v="0"/>
    <x v="3"/>
    <n v="950.61900000000003"/>
    <n v="877"/>
    <n v="8.3944127708095806"/>
    <x v="301"/>
  </r>
  <r>
    <s v="Direct,NSFnet,80"/>
    <x v="0"/>
    <x v="0"/>
    <x v="3"/>
    <n v="951.59199999999998"/>
    <n v="877"/>
    <n v="8.5053591790193828"/>
    <x v="302"/>
  </r>
  <r>
    <s v="Direct,NSFnet,80"/>
    <x v="0"/>
    <x v="0"/>
    <x v="3"/>
    <n v="837.42100000000005"/>
    <n v="877"/>
    <n v="4.5129988597491391"/>
    <x v="303"/>
  </r>
  <r>
    <s v="Direct,NSFnet,80"/>
    <x v="0"/>
    <x v="0"/>
    <x v="3"/>
    <n v="848.947"/>
    <n v="877"/>
    <n v="3.1987457240592923"/>
    <x v="304"/>
  </r>
  <r>
    <s v="Direct,NSFnet,80"/>
    <x v="0"/>
    <x v="0"/>
    <x v="3"/>
    <n v="896.00300000000004"/>
    <n v="877"/>
    <n v="2.16681870011403"/>
    <x v="305"/>
  </r>
  <r>
    <s v="Direct,NSFnet,80"/>
    <x v="0"/>
    <x v="0"/>
    <x v="3"/>
    <n v="969.27099999999996"/>
    <n v="877"/>
    <n v="10.521208665906496"/>
    <x v="306"/>
  </r>
  <r>
    <s v="Direct,NSFnet,80"/>
    <x v="0"/>
    <x v="0"/>
    <x v="3"/>
    <n v="918.70799999999997"/>
    <n v="877"/>
    <n v="4.7557582668186962"/>
    <x v="307"/>
  </r>
  <r>
    <s v="Direct,NSFnet,80"/>
    <x v="0"/>
    <x v="0"/>
    <x v="3"/>
    <n v="913.726"/>
    <n v="877"/>
    <n v="4.1876852907639677"/>
    <x v="308"/>
  </r>
  <r>
    <s v="Direct,NSFnet,80"/>
    <x v="0"/>
    <x v="0"/>
    <x v="3"/>
    <n v="971.26300000000003"/>
    <n v="877"/>
    <n v="10.748346636259981"/>
    <x v="309"/>
  </r>
  <r>
    <s v="Direct,NSFnet,80"/>
    <x v="0"/>
    <x v="0"/>
    <x v="3"/>
    <n v="911.78800000000001"/>
    <n v="877"/>
    <n v="3.9667046750285073"/>
    <x v="310"/>
  </r>
  <r>
    <s v="Direct,NSFnet,100"/>
    <x v="0"/>
    <x v="0"/>
    <x v="4"/>
    <n v="1085.7650000000001"/>
    <n v="1093"/>
    <n v="0.66193961573649596"/>
    <x v="311"/>
  </r>
  <r>
    <s v="Direct,NSFnet,100"/>
    <x v="0"/>
    <x v="0"/>
    <x v="4"/>
    <n v="1098.45"/>
    <n v="1093"/>
    <n v="0.49862763037511854"/>
    <x v="312"/>
  </r>
  <r>
    <s v="Direct,NSFnet,100"/>
    <x v="0"/>
    <x v="0"/>
    <x v="4"/>
    <n v="1152.4649999999999"/>
    <n v="1093"/>
    <n v="5.4405306495882817"/>
    <x v="313"/>
  </r>
  <r>
    <s v="Direct,NSFnet,100"/>
    <x v="0"/>
    <x v="0"/>
    <x v="4"/>
    <n v="1082.6420000000001"/>
    <n v="1093"/>
    <n v="0.94766697163768954"/>
    <x v="314"/>
  </r>
  <r>
    <s v="Direct,NSFnet,100"/>
    <x v="0"/>
    <x v="0"/>
    <x v="4"/>
    <n v="1137.684"/>
    <n v="1093"/>
    <n v="4.088197621225981"/>
    <x v="315"/>
  </r>
  <r>
    <s v="Direct,NSFnet,100"/>
    <x v="0"/>
    <x v="0"/>
    <x v="4"/>
    <n v="1158.2049999999999"/>
    <n v="1093"/>
    <n v="5.9656907593778525"/>
    <x v="316"/>
  </r>
  <r>
    <s v="Direct,NSFnet,100"/>
    <x v="0"/>
    <x v="0"/>
    <x v="4"/>
    <n v="1139"/>
    <n v="1093"/>
    <n v="4.2086001829826163"/>
    <x v="317"/>
  </r>
  <r>
    <s v="Direct,NSFnet,100"/>
    <x v="0"/>
    <x v="0"/>
    <x v="4"/>
    <n v="1133.722"/>
    <n v="1093"/>
    <n v="3.7257090576395222"/>
    <x v="318"/>
  </r>
  <r>
    <s v="Direct,NSFnet,100"/>
    <x v="0"/>
    <x v="0"/>
    <x v="4"/>
    <n v="1094.6379999999999"/>
    <n v="1093"/>
    <n v="0.14986276303750412"/>
    <x v="319"/>
  </r>
  <r>
    <s v="Direct,NSFnet,100"/>
    <x v="0"/>
    <x v="0"/>
    <x v="4"/>
    <n v="1123.5250000000001"/>
    <n v="1093"/>
    <n v="2.7927721866422774"/>
    <x v="320"/>
  </r>
  <r>
    <s v="Direct,NSFnet,100"/>
    <x v="0"/>
    <x v="0"/>
    <x v="4"/>
    <n v="1097.287"/>
    <n v="1093"/>
    <n v="0.39222323879231791"/>
    <x v="321"/>
  </r>
  <r>
    <s v="Direct,NSFnet,100"/>
    <x v="0"/>
    <x v="0"/>
    <x v="4"/>
    <n v="1147.48"/>
    <n v="1093"/>
    <n v="4.9844464775846307"/>
    <x v="322"/>
  </r>
  <r>
    <s v="Direct,NSFnet,100"/>
    <x v="0"/>
    <x v="0"/>
    <x v="4"/>
    <n v="1086.125"/>
    <n v="1093"/>
    <n v="0.62900274473924978"/>
    <x v="323"/>
  </r>
  <r>
    <s v="Direct,NSFnet,100"/>
    <x v="0"/>
    <x v="0"/>
    <x v="4"/>
    <n v="1166.8420000000001"/>
    <n v="1093"/>
    <n v="6.7559011893870178"/>
    <x v="324"/>
  </r>
  <r>
    <s v="Direct,NSFnet,100"/>
    <x v="0"/>
    <x v="0"/>
    <x v="4"/>
    <n v="1058.0360000000001"/>
    <n v="1093"/>
    <n v="3.1989021043000858"/>
    <x v="325"/>
  </r>
  <r>
    <s v="Direct,NSFnet,100"/>
    <x v="0"/>
    <x v="0"/>
    <x v="4"/>
    <n v="1104.3679999999999"/>
    <n v="1093"/>
    <n v="1.0400731930466549"/>
    <x v="326"/>
  </r>
  <r>
    <s v="Direct,NSFnet,100"/>
    <x v="0"/>
    <x v="0"/>
    <x v="4"/>
    <n v="1160.375"/>
    <n v="1093"/>
    <n v="6.1642268984446478"/>
    <x v="327"/>
  </r>
  <r>
    <s v="Direct,NSFnet,100"/>
    <x v="0"/>
    <x v="0"/>
    <x v="4"/>
    <n v="1062.143"/>
    <n v="1093"/>
    <n v="2.8231473010064017"/>
    <x v="328"/>
  </r>
  <r>
    <s v="Direct,NSFnet,100"/>
    <x v="0"/>
    <x v="0"/>
    <x v="4"/>
    <n v="1157.4280000000001"/>
    <n v="1093"/>
    <n v="5.894602012808793"/>
    <x v="329"/>
  </r>
  <r>
    <s v="Direct,NSFnet,100"/>
    <x v="0"/>
    <x v="0"/>
    <x v="4"/>
    <n v="1083.0309999999999"/>
    <n v="1093"/>
    <n v="0.9120768526989983"/>
    <x v="330"/>
  </r>
  <r>
    <s v="Direct,NSFnet,100"/>
    <x v="0"/>
    <x v="0"/>
    <x v="4"/>
    <n v="1102.2059999999999"/>
    <n v="1093"/>
    <n v="0.8422689844464688"/>
    <x v="331"/>
  </r>
  <r>
    <s v="Direct,NSFnet,100"/>
    <x v="0"/>
    <x v="0"/>
    <x v="4"/>
    <n v="1074.9549999999999"/>
    <n v="1093"/>
    <n v="1.6509606587374266"/>
    <x v="332"/>
  </r>
  <r>
    <s v="Direct,NSFnet,100"/>
    <x v="0"/>
    <x v="0"/>
    <x v="4"/>
    <n v="1216.8420000000001"/>
    <n v="1093"/>
    <n v="11.33046660567247"/>
    <x v="333"/>
  </r>
  <r>
    <s v="Direct,NSFnet,100"/>
    <x v="0"/>
    <x v="0"/>
    <x v="4"/>
    <n v="1073.268"/>
    <n v="1093"/>
    <n v="1.8053064958828884"/>
    <x v="334"/>
  </r>
  <r>
    <s v="Direct,NSFnet,100"/>
    <x v="0"/>
    <x v="0"/>
    <x v="4"/>
    <n v="1155.068"/>
    <n v="1093"/>
    <n v="5.6786825251601085"/>
    <x v="335"/>
  </r>
  <r>
    <s v="Direct,NSFnet,100"/>
    <x v="0"/>
    <x v="0"/>
    <x v="4"/>
    <n v="1118.9780000000001"/>
    <n v="1093"/>
    <n v="2.3767612076852758"/>
    <x v="336"/>
  </r>
  <r>
    <s v="Direct,NSFnet,100"/>
    <x v="0"/>
    <x v="0"/>
    <x v="4"/>
    <n v="1140.3119999999999"/>
    <n v="1093"/>
    <n v="4.3286367795059375"/>
    <x v="337"/>
  </r>
  <r>
    <s v="Direct,NSFnet,100"/>
    <x v="0"/>
    <x v="0"/>
    <x v="4"/>
    <n v="1103.845"/>
    <n v="1093"/>
    <n v="0.99222323879231722"/>
    <x v="338"/>
  </r>
  <r>
    <s v="Direct,NSFnet,100"/>
    <x v="0"/>
    <x v="0"/>
    <x v="4"/>
    <n v="1098.6600000000001"/>
    <n v="1093"/>
    <n v="0.51784080512352082"/>
    <x v="339"/>
  </r>
  <r>
    <s v="Direct,NSFnet,100"/>
    <x v="0"/>
    <x v="0"/>
    <x v="4"/>
    <n v="1090.1780000000001"/>
    <n v="1093"/>
    <n v="0.25818847209514079"/>
    <x v="340"/>
  </r>
  <r>
    <s v="Direct,NSFnet,100"/>
    <x v="0"/>
    <x v="0"/>
    <x v="4"/>
    <n v="1124.278"/>
    <n v="1093"/>
    <n v="2.8616651418115295"/>
    <x v="341"/>
  </r>
  <r>
    <s v="Direct,NSFnet,100"/>
    <x v="0"/>
    <x v="0"/>
    <x v="4"/>
    <n v="1161.1600000000001"/>
    <n v="1093"/>
    <n v="6.2360475754803373"/>
    <x v="342"/>
  </r>
  <r>
    <s v="Direct,NSFnet,100"/>
    <x v="0"/>
    <x v="0"/>
    <x v="4"/>
    <n v="1151.48"/>
    <n v="1093"/>
    <n v="5.3504117108874674"/>
    <x v="343"/>
  </r>
  <r>
    <s v="Direct,NSFnet,100"/>
    <x v="0"/>
    <x v="0"/>
    <x v="4"/>
    <n v="1093.662"/>
    <n v="1093"/>
    <n v="6.0567246111622564E-2"/>
    <x v="344"/>
  </r>
  <r>
    <s v="Direct,NSFnet,100"/>
    <x v="0"/>
    <x v="0"/>
    <x v="4"/>
    <n v="1082.1400000000001"/>
    <n v="1093"/>
    <n v="0.99359560841719119"/>
    <x v="345"/>
  </r>
  <r>
    <s v="Direct,NSFnet,100"/>
    <x v="0"/>
    <x v="0"/>
    <x v="4"/>
    <n v="1076.722"/>
    <n v="1093"/>
    <n v="1.4892955169258937"/>
    <x v="346"/>
  </r>
  <r>
    <s v="Direct,NSFnet,100"/>
    <x v="0"/>
    <x v="0"/>
    <x v="4"/>
    <n v="1054.866"/>
    <n v="1093"/>
    <n v="3.4889295516925904"/>
    <x v="347"/>
  </r>
  <r>
    <s v="Direct,NSFnet,100"/>
    <x v="0"/>
    <x v="0"/>
    <x v="4"/>
    <n v="1152.425"/>
    <n v="1093"/>
    <n v="5.4368709972552569"/>
    <x v="348"/>
  </r>
  <r>
    <s v="Direct,NSFnet,100"/>
    <x v="0"/>
    <x v="0"/>
    <x v="4"/>
    <n v="1093.2650000000001"/>
    <n v="1093"/>
    <n v="2.4245196706322053E-2"/>
    <x v="349"/>
  </r>
  <r>
    <s v="Direct,NSFnet,100"/>
    <x v="0"/>
    <x v="0"/>
    <x v="4"/>
    <n v="1087.403"/>
    <n v="1093"/>
    <n v="0.51207685269899172"/>
    <x v="350"/>
  </r>
  <r>
    <s v="Direct,NSFnet,100"/>
    <x v="0"/>
    <x v="0"/>
    <x v="4"/>
    <n v="1173.278"/>
    <n v="1093"/>
    <n v="7.3447392497712736"/>
    <x v="351"/>
  </r>
  <r>
    <s v="Direct,NSFnet,100"/>
    <x v="0"/>
    <x v="0"/>
    <x v="4"/>
    <n v="1142.606"/>
    <n v="1093"/>
    <n v="4.538517840805123"/>
    <x v="352"/>
  </r>
  <r>
    <s v="Direct,NSFnet,100"/>
    <x v="0"/>
    <x v="0"/>
    <x v="4"/>
    <n v="1073.5070000000001"/>
    <n v="1093"/>
    <n v="1.7834400731930409"/>
    <x v="353"/>
  </r>
  <r>
    <s v="Direct,NSFnet,100"/>
    <x v="0"/>
    <x v="0"/>
    <x v="4"/>
    <n v="1127.575"/>
    <n v="1093"/>
    <n v="3.1633119853613954"/>
    <x v="354"/>
  </r>
  <r>
    <s v="Direct,NSFnet,100"/>
    <x v="0"/>
    <x v="0"/>
    <x v="4"/>
    <n v="1096.4760000000001"/>
    <n v="1093"/>
    <n v="0.31802378774017498"/>
    <x v="355"/>
  </r>
  <r>
    <s v="Direct,NSFnet,100"/>
    <x v="0"/>
    <x v="0"/>
    <x v="4"/>
    <n v="1147.8789999999999"/>
    <n v="1093"/>
    <n v="5.0209515096065793"/>
    <x v="356"/>
  </r>
  <r>
    <s v="Direct,NSFnet,100"/>
    <x v="0"/>
    <x v="0"/>
    <x v="4"/>
    <n v="1119.037"/>
    <n v="1093"/>
    <n v="2.3821591948764897"/>
    <x v="357"/>
  </r>
  <r>
    <s v="Direct,NSFnet,100"/>
    <x v="0"/>
    <x v="0"/>
    <x v="4"/>
    <n v="1165.3800000000001"/>
    <n v="1093"/>
    <n v="6.6221408966148312"/>
    <x v="358"/>
  </r>
  <r>
    <s v="Direct,NSFnet,100"/>
    <x v="0"/>
    <x v="0"/>
    <x v="4"/>
    <n v="1159.94"/>
    <n v="1093"/>
    <n v="6.1244281793229698"/>
    <x v="359"/>
  </r>
  <r>
    <s v="Direct,NSFnet,100"/>
    <x v="0"/>
    <x v="0"/>
    <x v="4"/>
    <n v="1160.1389999999999"/>
    <n v="1093"/>
    <n v="6.1426349496797714"/>
    <x v="360"/>
  </r>
  <r>
    <s v="Direct,NSFnet,100"/>
    <x v="0"/>
    <x v="0"/>
    <x v="4"/>
    <n v="1152.6600000000001"/>
    <n v="1093"/>
    <n v="5.4583714547118101"/>
    <x v="361"/>
  </r>
  <r>
    <s v="Direct,NSFnet,100"/>
    <x v="0"/>
    <x v="0"/>
    <x v="4"/>
    <n v="1142.9459999999999"/>
    <n v="1093"/>
    <n v="4.5696248856358572"/>
    <x v="362"/>
  </r>
  <r>
    <s v="Direct,NSFnet,100"/>
    <x v="0"/>
    <x v="0"/>
    <x v="4"/>
    <n v="1098.027"/>
    <n v="1093"/>
    <n v="0.45992680695334348"/>
    <x v="363"/>
  </r>
  <r>
    <s v="Direct,NSFnet,100"/>
    <x v="0"/>
    <x v="0"/>
    <x v="4"/>
    <n v="1112.723"/>
    <n v="1093"/>
    <n v="1.8044830741079556"/>
    <x v="364"/>
  </r>
  <r>
    <s v="Direct,NSFnet,100"/>
    <x v="0"/>
    <x v="0"/>
    <x v="4"/>
    <n v="1135.2149999999999"/>
    <n v="1093"/>
    <n v="3.8623055809698008"/>
    <x v="365"/>
  </r>
  <r>
    <s v="Direct,NSFnet,100"/>
    <x v="0"/>
    <x v="0"/>
    <x v="4"/>
    <n v="1120.5239999999999"/>
    <n v="1093"/>
    <n v="2.5182067703568056"/>
    <x v="366"/>
  </r>
  <r>
    <s v="Direct,NSFnet,100"/>
    <x v="0"/>
    <x v="0"/>
    <x v="4"/>
    <n v="1094.643"/>
    <n v="1093"/>
    <n v="0.15032021957914263"/>
    <x v="367"/>
  </r>
  <r>
    <s v="Direct,NSFnet,100"/>
    <x v="0"/>
    <x v="0"/>
    <x v="4"/>
    <n v="1043.914"/>
    <n v="1093"/>
    <n v="4.4909423604757563"/>
    <x v="368"/>
  </r>
  <r>
    <s v="Direct,NSFnet,100"/>
    <x v="0"/>
    <x v="0"/>
    <x v="4"/>
    <n v="1104.4949999999999"/>
    <n v="1093"/>
    <n v="1.0516925892040156"/>
    <x v="369"/>
  </r>
  <r>
    <s v="Direct,NSFnet,100"/>
    <x v="0"/>
    <x v="0"/>
    <x v="4"/>
    <n v="1081.3309999999999"/>
    <n v="1093"/>
    <n v="1.0676120768527078"/>
    <x v="370"/>
  </r>
  <r>
    <s v="Direct,NSFnet,100"/>
    <x v="0"/>
    <x v="0"/>
    <x v="4"/>
    <n v="1125.9639999999999"/>
    <n v="1093"/>
    <n v="3.0159194876486684"/>
    <x v="371"/>
  </r>
  <r>
    <s v="Direct,NSFnet,100"/>
    <x v="0"/>
    <x v="0"/>
    <x v="4"/>
    <n v="1068.751"/>
    <n v="1093"/>
    <n v="2.2185727355901208"/>
    <x v="372"/>
  </r>
  <r>
    <s v="Direct,NSFnet,100"/>
    <x v="0"/>
    <x v="0"/>
    <x v="4"/>
    <n v="1099.5419999999999"/>
    <n v="1093"/>
    <n v="0.59853613906678105"/>
    <x v="373"/>
  </r>
  <r>
    <s v="Direct,NSFnet,100"/>
    <x v="0"/>
    <x v="0"/>
    <x v="4"/>
    <n v="1096.3679999999999"/>
    <n v="1093"/>
    <n v="0.30814272644098245"/>
    <x v="374"/>
  </r>
  <r>
    <s v="Direct,NSFnet,100"/>
    <x v="0"/>
    <x v="0"/>
    <x v="4"/>
    <n v="1087.547"/>
    <n v="1093"/>
    <n v="0.49890210430008919"/>
    <x v="375"/>
  </r>
  <r>
    <s v="Direct,NSFnet,100"/>
    <x v="0"/>
    <x v="0"/>
    <x v="4"/>
    <n v="1135.1020000000001"/>
    <n v="1093"/>
    <n v="3.851967063129011"/>
    <x v="376"/>
  </r>
  <r>
    <s v="Direct,NSFnet,100"/>
    <x v="0"/>
    <x v="0"/>
    <x v="4"/>
    <n v="1147.5899999999999"/>
    <n v="1093"/>
    <n v="4.9945105215004499"/>
    <x v="377"/>
  </r>
  <r>
    <s v="Direct,NSFnet,100"/>
    <x v="0"/>
    <x v="0"/>
    <x v="4"/>
    <n v="1156.972"/>
    <n v="1093"/>
    <n v="5.8528819762122586"/>
    <x v="378"/>
  </r>
  <r>
    <s v="Direct,NSFnet,100"/>
    <x v="0"/>
    <x v="0"/>
    <x v="4"/>
    <n v="1118.569"/>
    <n v="1093"/>
    <n v="2.3393412625800512"/>
    <x v="379"/>
  </r>
  <r>
    <s v="Direct,NSFnet,100"/>
    <x v="0"/>
    <x v="0"/>
    <x v="4"/>
    <n v="1130.51"/>
    <n v="1093"/>
    <n v="3.4318389752973459"/>
    <x v="380"/>
  </r>
  <r>
    <s v="Direct,NSFnet,100"/>
    <x v="0"/>
    <x v="0"/>
    <x v="4"/>
    <n v="1203.356"/>
    <n v="1093"/>
    <n v="10.096614821591949"/>
    <x v="381"/>
  </r>
  <r>
    <s v="Direct,NSFnet,100"/>
    <x v="0"/>
    <x v="0"/>
    <x v="4"/>
    <n v="1116.826"/>
    <n v="1093"/>
    <n v="2.1798719121683461"/>
    <x v="382"/>
  </r>
  <r>
    <s v="Direct,NSFnet,100"/>
    <x v="0"/>
    <x v="0"/>
    <x v="4"/>
    <n v="1140.1890000000001"/>
    <n v="1093"/>
    <n v="4.3173833485818918"/>
    <x v="383"/>
  </r>
  <r>
    <s v="Direct,NSFnet,100"/>
    <x v="0"/>
    <x v="0"/>
    <x v="4"/>
    <n v="1114.127"/>
    <n v="1093"/>
    <n v="1.932936870997251"/>
    <x v="384"/>
  </r>
  <r>
    <s v="Direct,NSFnet,100"/>
    <x v="0"/>
    <x v="0"/>
    <x v="4"/>
    <n v="1078.03"/>
    <n v="1093"/>
    <n v="1.369624885635867"/>
    <x v="385"/>
  </r>
  <r>
    <s v="Direct,NSFnet,100"/>
    <x v="0"/>
    <x v="0"/>
    <x v="4"/>
    <n v="1030.9480000000001"/>
    <n v="1093"/>
    <n v="5.6772186642268903"/>
    <x v="386"/>
  </r>
  <r>
    <s v="Direct,NSFnet,100"/>
    <x v="0"/>
    <x v="0"/>
    <x v="4"/>
    <n v="1120.624"/>
    <n v="1093"/>
    <n v="2.5273559011893894"/>
    <x v="387"/>
  </r>
  <r>
    <s v="Direct,NSFnet,100"/>
    <x v="0"/>
    <x v="0"/>
    <x v="4"/>
    <n v="1101.2760000000001"/>
    <n v="1093"/>
    <n v="0.75718206770357432"/>
    <x v="388"/>
  </r>
  <r>
    <s v="Direct,NSFnet,100"/>
    <x v="0"/>
    <x v="0"/>
    <x v="4"/>
    <n v="1044.498"/>
    <n v="1093"/>
    <n v="4.4375114364135362"/>
    <x v="389"/>
  </r>
  <r>
    <s v="Direct,NSFnet,100"/>
    <x v="0"/>
    <x v="0"/>
    <x v="4"/>
    <n v="1074.5070000000001"/>
    <n v="1093"/>
    <n v="1.6919487648673321"/>
    <x v="390"/>
  </r>
  <r>
    <s v="Direct,NSFnet,100"/>
    <x v="0"/>
    <x v="0"/>
    <x v="4"/>
    <n v="1134.616"/>
    <n v="1093"/>
    <n v="3.8075022872827069"/>
    <x v="391"/>
  </r>
  <r>
    <s v="Direct,NSFnet,100"/>
    <x v="0"/>
    <x v="0"/>
    <x v="4"/>
    <n v="1079.7809999999999"/>
    <n v="1093"/>
    <n v="1.2094236047575526"/>
    <x v="392"/>
  </r>
  <r>
    <s v="Direct,NSFnet,100"/>
    <x v="0"/>
    <x v="0"/>
    <x v="4"/>
    <n v="1079.7370000000001"/>
    <n v="1093"/>
    <n v="1.213449222323872"/>
    <x v="393"/>
  </r>
  <r>
    <s v="Direct,NSFnet,100"/>
    <x v="0"/>
    <x v="0"/>
    <x v="4"/>
    <n v="1101.421"/>
    <n v="1093"/>
    <n v="0.77044830741080039"/>
    <x v="394"/>
  </r>
  <r>
    <s v="Direct,NSFnet,100"/>
    <x v="0"/>
    <x v="0"/>
    <x v="4"/>
    <n v="1104.01"/>
    <n v="1093"/>
    <n v="1.0073193046660558"/>
    <x v="395"/>
  </r>
  <r>
    <s v="Direct,NSFnet,100"/>
    <x v="0"/>
    <x v="0"/>
    <x v="4"/>
    <n v="1091.615"/>
    <n v="1093"/>
    <n v="0.12671546203110623"/>
    <x v="396"/>
  </r>
  <r>
    <s v="Direct,NSFnet,100"/>
    <x v="0"/>
    <x v="0"/>
    <x v="4"/>
    <n v="1081.6199999999999"/>
    <n v="1093"/>
    <n v="1.041171088746579"/>
    <x v="397"/>
  </r>
  <r>
    <s v="Direct,NSFnet,100"/>
    <x v="0"/>
    <x v="0"/>
    <x v="4"/>
    <n v="1051.2950000000001"/>
    <n v="1093"/>
    <n v="3.8156450137236897"/>
    <x v="398"/>
  </r>
  <r>
    <s v="Direct,NSFnet,100"/>
    <x v="0"/>
    <x v="0"/>
    <x v="4"/>
    <n v="1105.9680000000001"/>
    <n v="1093"/>
    <n v="1.1864592863678018"/>
    <x v="399"/>
  </r>
  <r>
    <s v="Direct,NSFnet,100"/>
    <x v="0"/>
    <x v="0"/>
    <x v="4"/>
    <n v="1157.095"/>
    <n v="1093"/>
    <n v="5.8641354071363248"/>
    <x v="400"/>
  </r>
  <r>
    <s v="Direct,NSFnet,100"/>
    <x v="0"/>
    <x v="0"/>
    <x v="4"/>
    <n v="1058.752"/>
    <n v="1093"/>
    <n v="3.133394327538888"/>
    <x v="401"/>
  </r>
  <r>
    <s v="Direct,NSFnet,100"/>
    <x v="0"/>
    <x v="0"/>
    <x v="4"/>
    <n v="1136.2249999999999"/>
    <n v="1093"/>
    <n v="3.9547118023787657"/>
    <x v="402"/>
  </r>
  <r>
    <s v="Direct,NSFnet,100"/>
    <x v="0"/>
    <x v="0"/>
    <x v="4"/>
    <n v="1096.616"/>
    <n v="1093"/>
    <n v="0.33083257090576262"/>
    <x v="403"/>
  </r>
  <r>
    <s v="Direct,NSFnet,100"/>
    <x v="0"/>
    <x v="0"/>
    <x v="4"/>
    <n v="1122.8219999999999"/>
    <n v="1093"/>
    <n v="2.7284537968892852"/>
    <x v="404"/>
  </r>
  <r>
    <s v="Direct,NSFnet,100"/>
    <x v="0"/>
    <x v="0"/>
    <x v="4"/>
    <n v="1192.7280000000001"/>
    <n v="1093"/>
    <n v="9.1242451967063189"/>
    <x v="405"/>
  </r>
  <r>
    <s v="Direct,NSFnet,100"/>
    <x v="0"/>
    <x v="0"/>
    <x v="4"/>
    <n v="1055.58"/>
    <n v="1093"/>
    <n v="3.4236047575480399"/>
    <x v="406"/>
  </r>
  <r>
    <s v="Direct,NSFnet,100"/>
    <x v="0"/>
    <x v="0"/>
    <x v="4"/>
    <n v="1108.0319999999999"/>
    <n v="1093"/>
    <n v="1.3752973467520517"/>
    <x v="407"/>
  </r>
  <r>
    <s v="Direct,NSFnet,100"/>
    <x v="0"/>
    <x v="0"/>
    <x v="4"/>
    <n v="1144.4469999999999"/>
    <n v="1093"/>
    <n v="4.7069533394327436"/>
    <x v="408"/>
  </r>
  <r>
    <s v="Direct,NSFnet,100"/>
    <x v="0"/>
    <x v="0"/>
    <x v="4"/>
    <n v="1108.57"/>
    <n v="1093"/>
    <n v="1.4245196706312842"/>
    <x v="409"/>
  </r>
  <r>
    <s v="Direct,NSFnet,100"/>
    <x v="0"/>
    <x v="0"/>
    <x v="4"/>
    <n v="1067.5039999999999"/>
    <n v="1093"/>
    <n v="2.3326623970722866"/>
    <x v="410"/>
  </r>
  <r>
    <s v="Direct,NSFnet,120"/>
    <x v="0"/>
    <x v="0"/>
    <x v="5"/>
    <n v="1310.3510000000001"/>
    <n v="1295"/>
    <n v="1.1854054054054142"/>
    <x v="411"/>
  </r>
  <r>
    <s v="Direct,NSFnet,120"/>
    <x v="0"/>
    <x v="0"/>
    <x v="5"/>
    <n v="1345.348"/>
    <n v="1295"/>
    <n v="3.8878764478764447"/>
    <x v="412"/>
  </r>
  <r>
    <s v="Direct,NSFnet,120"/>
    <x v="0"/>
    <x v="0"/>
    <x v="5"/>
    <n v="1347.6510000000001"/>
    <n v="1295"/>
    <n v="4.0657142857142912"/>
    <x v="413"/>
  </r>
  <r>
    <s v="Direct,NSFnet,120"/>
    <x v="0"/>
    <x v="0"/>
    <x v="5"/>
    <n v="1397.2339999999999"/>
    <n v="1295"/>
    <n v="7.8945173745173678"/>
    <x v="414"/>
  </r>
  <r>
    <s v="Direct,NSFnet,120"/>
    <x v="0"/>
    <x v="0"/>
    <x v="5"/>
    <n v="1304.123"/>
    <n v="1295"/>
    <n v="0.70447876447876812"/>
    <x v="415"/>
  </r>
  <r>
    <s v="Direct,NSFnet,120"/>
    <x v="0"/>
    <x v="0"/>
    <x v="5"/>
    <n v="1418.8820000000001"/>
    <n v="1295"/>
    <n v="9.5661776061776109"/>
    <x v="416"/>
  </r>
  <r>
    <s v="Direct,NSFnet,120"/>
    <x v="0"/>
    <x v="0"/>
    <x v="5"/>
    <n v="1333.7380000000001"/>
    <n v="1295"/>
    <n v="2.9913513513513559"/>
    <x v="417"/>
  </r>
  <r>
    <s v="Direct,NSFnet,120"/>
    <x v="0"/>
    <x v="0"/>
    <x v="5"/>
    <n v="1164.193"/>
    <n v="1295"/>
    <n v="10.100926640926643"/>
    <x v="418"/>
  </r>
  <r>
    <s v="Direct,NSFnet,120"/>
    <x v="0"/>
    <x v="0"/>
    <x v="5"/>
    <n v="1318.376"/>
    <n v="1295"/>
    <n v="1.8050965250965234"/>
    <x v="419"/>
  </r>
  <r>
    <s v="Direct,NSFnet,120"/>
    <x v="0"/>
    <x v="0"/>
    <x v="5"/>
    <n v="1382.7919999999999"/>
    <n v="1295"/>
    <n v="6.7793050193050126"/>
    <x v="420"/>
  </r>
  <r>
    <s v="Direct,NSFnet,120"/>
    <x v="0"/>
    <x v="0"/>
    <x v="5"/>
    <n v="1321.3579999999999"/>
    <n v="1295"/>
    <n v="2.0353667953667913"/>
    <x v="421"/>
  </r>
  <r>
    <s v="Direct,NSFnet,120"/>
    <x v="0"/>
    <x v="0"/>
    <x v="5"/>
    <n v="1322.2460000000001"/>
    <n v="1295"/>
    <n v="2.1039382239382309"/>
    <x v="422"/>
  </r>
  <r>
    <s v="Direct,NSFnet,120"/>
    <x v="0"/>
    <x v="0"/>
    <x v="5"/>
    <n v="1356.2829999999999"/>
    <n v="1295"/>
    <n v="4.732277992277985"/>
    <x v="423"/>
  </r>
  <r>
    <s v="Direct,NSFnet,120"/>
    <x v="0"/>
    <x v="0"/>
    <x v="5"/>
    <n v="1361.059"/>
    <n v="1295"/>
    <n v="5.1010810810810794"/>
    <x v="424"/>
  </r>
  <r>
    <s v="Direct,NSFnet,120"/>
    <x v="0"/>
    <x v="0"/>
    <x v="5"/>
    <n v="1335.105"/>
    <n v="1295"/>
    <n v="3.0969111969111984"/>
    <x v="425"/>
  </r>
  <r>
    <s v="Direct,NSFnet,120"/>
    <x v="0"/>
    <x v="0"/>
    <x v="5"/>
    <n v="1290.078"/>
    <n v="1295"/>
    <n v="0.38007722007722206"/>
    <x v="426"/>
  </r>
  <r>
    <s v="Direct,NSFnet,120"/>
    <x v="0"/>
    <x v="0"/>
    <x v="5"/>
    <n v="1310.377"/>
    <n v="1295"/>
    <n v="1.1874131274131239"/>
    <x v="427"/>
  </r>
  <r>
    <s v="Direct,NSFnet,120"/>
    <x v="0"/>
    <x v="0"/>
    <x v="5"/>
    <n v="1325.232"/>
    <n v="1295"/>
    <n v="2.3345173745173722"/>
    <x v="428"/>
  </r>
  <r>
    <s v="Direct,NSFnet,120"/>
    <x v="0"/>
    <x v="0"/>
    <x v="5"/>
    <n v="1337.357"/>
    <n v="1295"/>
    <n v="3.2708108108108083"/>
    <x v="429"/>
  </r>
  <r>
    <s v="Direct,NSFnet,120"/>
    <x v="0"/>
    <x v="0"/>
    <x v="5"/>
    <n v="1418.0129999999999"/>
    <n v="1295"/>
    <n v="9.4990733590733534"/>
    <x v="430"/>
  </r>
  <r>
    <s v="Direct,NSFnet,120"/>
    <x v="0"/>
    <x v="0"/>
    <x v="5"/>
    <n v="1291.692"/>
    <n v="1295"/>
    <n v="0.2554440154440149"/>
    <x v="431"/>
  </r>
  <r>
    <s v="Direct,NSFnet,120"/>
    <x v="0"/>
    <x v="0"/>
    <x v="5"/>
    <n v="1316.847"/>
    <n v="1295"/>
    <n v="1.6870270270270253"/>
    <x v="432"/>
  </r>
  <r>
    <s v="Direct,NSFnet,120"/>
    <x v="0"/>
    <x v="0"/>
    <x v="5"/>
    <n v="1365.789"/>
    <n v="1295"/>
    <n v="5.4663320463320453"/>
    <x v="433"/>
  </r>
  <r>
    <s v="Direct,NSFnet,120"/>
    <x v="0"/>
    <x v="0"/>
    <x v="5"/>
    <n v="1341.6"/>
    <n v="1295"/>
    <n v="3.5984555984555917"/>
    <x v="434"/>
  </r>
  <r>
    <s v="Direct,NSFnet,120"/>
    <x v="0"/>
    <x v="0"/>
    <x v="5"/>
    <n v="1352.6410000000001"/>
    <n v="1295"/>
    <n v="4.4510424710424772"/>
    <x v="435"/>
  </r>
  <r>
    <s v="Direct,NSFnet,120"/>
    <x v="0"/>
    <x v="0"/>
    <x v="5"/>
    <n v="1327.5060000000001"/>
    <n v="1295"/>
    <n v="2.5101158301158368"/>
    <x v="436"/>
  </r>
  <r>
    <s v="Direct,NSFnet,120"/>
    <x v="0"/>
    <x v="0"/>
    <x v="5"/>
    <n v="1377.826"/>
    <n v="1295"/>
    <n v="6.3958301158301172"/>
    <x v="437"/>
  </r>
  <r>
    <s v="Direct,NSFnet,120"/>
    <x v="0"/>
    <x v="0"/>
    <x v="5"/>
    <n v="1311.3130000000001"/>
    <n v="1295"/>
    <n v="1.2596911196911276"/>
    <x v="438"/>
  </r>
  <r>
    <s v="Direct,NSFnet,120"/>
    <x v="0"/>
    <x v="0"/>
    <x v="5"/>
    <n v="1331.827"/>
    <n v="1295"/>
    <n v="2.8437837837837838"/>
    <x v="439"/>
  </r>
  <r>
    <s v="Direct,NSFnet,120"/>
    <x v="0"/>
    <x v="0"/>
    <x v="5"/>
    <n v="1372.7280000000001"/>
    <n v="1295"/>
    <n v="6.0021621621621675"/>
    <x v="440"/>
  </r>
  <r>
    <s v="Direct,NSFnet,120"/>
    <x v="0"/>
    <x v="0"/>
    <x v="5"/>
    <n v="1339.2049999999999"/>
    <n v="1295"/>
    <n v="3.4135135135135082"/>
    <x v="441"/>
  </r>
  <r>
    <s v="Direct,NSFnet,120"/>
    <x v="0"/>
    <x v="0"/>
    <x v="5"/>
    <n v="1261.877"/>
    <n v="1295"/>
    <n v="2.5577606177606214"/>
    <x v="442"/>
  </r>
  <r>
    <s v="Direct,NSFnet,120"/>
    <x v="0"/>
    <x v="0"/>
    <x v="5"/>
    <n v="1296.643"/>
    <n v="1295"/>
    <n v="0.12687258687258912"/>
    <x v="443"/>
  </r>
  <r>
    <s v="Direct,NSFnet,120"/>
    <x v="0"/>
    <x v="0"/>
    <x v="5"/>
    <n v="1247.663"/>
    <n v="1295"/>
    <n v="3.655366795366795"/>
    <x v="444"/>
  </r>
  <r>
    <s v="Direct,NSFnet,120"/>
    <x v="0"/>
    <x v="0"/>
    <x v="5"/>
    <n v="1195.2909999999999"/>
    <n v="1295"/>
    <n v="7.699536679536684"/>
    <x v="445"/>
  </r>
  <r>
    <s v="Direct,NSFnet,120"/>
    <x v="0"/>
    <x v="0"/>
    <x v="5"/>
    <n v="1277.961"/>
    <n v="1295"/>
    <n v="1.3157528957528948"/>
    <x v="446"/>
  </r>
  <r>
    <s v="Direct,NSFnet,120"/>
    <x v="0"/>
    <x v="0"/>
    <x v="5"/>
    <n v="1340.6869999999999"/>
    <n v="1295"/>
    <n v="3.5279536679536601"/>
    <x v="447"/>
  </r>
  <r>
    <s v="Direct,NSFnet,120"/>
    <x v="0"/>
    <x v="0"/>
    <x v="5"/>
    <n v="1299.77"/>
    <n v="1295"/>
    <n v="0.36833976833976695"/>
    <x v="448"/>
  </r>
  <r>
    <s v="Direct,NSFnet,120"/>
    <x v="0"/>
    <x v="0"/>
    <x v="5"/>
    <n v="1359.596"/>
    <n v="1295"/>
    <n v="4.9881081081081087"/>
    <x v="449"/>
  </r>
  <r>
    <s v="Direct,NSFnet,120"/>
    <x v="0"/>
    <x v="0"/>
    <x v="5"/>
    <n v="1289.24"/>
    <n v="1295"/>
    <n v="0.4447876447876441"/>
    <x v="450"/>
  </r>
  <r>
    <s v="Direct,NSFnet,120"/>
    <x v="0"/>
    <x v="0"/>
    <x v="5"/>
    <n v="1287.3"/>
    <n v="1295"/>
    <n v="0.59459459459459818"/>
    <x v="451"/>
  </r>
  <r>
    <s v="Direct,NSFnet,120"/>
    <x v="0"/>
    <x v="0"/>
    <x v="5"/>
    <n v="1327.0650000000001"/>
    <n v="1295"/>
    <n v="2.4760617760617802"/>
    <x v="452"/>
  </r>
  <r>
    <s v="Direct,NSFnet,120"/>
    <x v="0"/>
    <x v="0"/>
    <x v="5"/>
    <n v="1313.229"/>
    <n v="1295"/>
    <n v="1.4076447876447908"/>
    <x v="453"/>
  </r>
  <r>
    <s v="Direct,NSFnet,120"/>
    <x v="0"/>
    <x v="0"/>
    <x v="5"/>
    <n v="1353.2270000000001"/>
    <n v="1295"/>
    <n v="4.4962934362934428"/>
    <x v="454"/>
  </r>
  <r>
    <s v="Direct,NSFnet,120"/>
    <x v="0"/>
    <x v="0"/>
    <x v="5"/>
    <n v="1341.877"/>
    <n v="1295"/>
    <n v="3.6198455598455559"/>
    <x v="455"/>
  </r>
  <r>
    <s v="Direct,NSFnet,120"/>
    <x v="0"/>
    <x v="0"/>
    <x v="5"/>
    <n v="1281.749"/>
    <n v="1295"/>
    <n v="1.0232432432432415"/>
    <x v="456"/>
  </r>
  <r>
    <s v="Direct,NSFnet,120"/>
    <x v="0"/>
    <x v="0"/>
    <x v="5"/>
    <n v="1329.598"/>
    <n v="1295"/>
    <n v="2.671660231660228"/>
    <x v="457"/>
  </r>
  <r>
    <s v="Direct,NSFnet,120"/>
    <x v="0"/>
    <x v="0"/>
    <x v="5"/>
    <n v="1275.229"/>
    <n v="1295"/>
    <n v="1.5267181467181434"/>
    <x v="458"/>
  </r>
  <r>
    <s v="Direct,NSFnet,120"/>
    <x v="0"/>
    <x v="0"/>
    <x v="5"/>
    <n v="1303.902"/>
    <n v="1295"/>
    <n v="0.68741312741313088"/>
    <x v="459"/>
  </r>
  <r>
    <s v="Direct,NSFnet,120"/>
    <x v="0"/>
    <x v="0"/>
    <x v="5"/>
    <n v="1345.414"/>
    <n v="1295"/>
    <n v="3.8929729729729718"/>
    <x v="460"/>
  </r>
  <r>
    <s v="Direct,NSFnet,120"/>
    <x v="0"/>
    <x v="0"/>
    <x v="5"/>
    <n v="1394.93"/>
    <n v="1295"/>
    <n v="7.7166023166023212"/>
    <x v="461"/>
  </r>
  <r>
    <s v="Direct,NSFnet,120"/>
    <x v="0"/>
    <x v="0"/>
    <x v="5"/>
    <n v="1307.0429999999999"/>
    <n v="1295"/>
    <n v="0.92996138996138178"/>
    <x v="462"/>
  </r>
  <r>
    <s v="Direct,NSFnet,120"/>
    <x v="0"/>
    <x v="0"/>
    <x v="5"/>
    <n v="1409.386"/>
    <n v="1295"/>
    <n v="8.8328957528957499"/>
    <x v="463"/>
  </r>
  <r>
    <s v="Direct,NSFnet,120"/>
    <x v="0"/>
    <x v="0"/>
    <x v="5"/>
    <n v="1426.2260000000001"/>
    <n v="1295"/>
    <n v="10.133281853281861"/>
    <x v="464"/>
  </r>
  <r>
    <s v="Direct,NSFnet,120"/>
    <x v="0"/>
    <x v="0"/>
    <x v="5"/>
    <n v="1288.692"/>
    <n v="1295"/>
    <n v="0.48710424710424655"/>
    <x v="465"/>
  </r>
  <r>
    <s v="Direct,NSFnet,120"/>
    <x v="0"/>
    <x v="0"/>
    <x v="5"/>
    <n v="1370.502"/>
    <n v="1295"/>
    <n v="5.8302702702702662"/>
    <x v="466"/>
  </r>
  <r>
    <s v="Direct,NSFnet,120"/>
    <x v="0"/>
    <x v="0"/>
    <x v="5"/>
    <n v="1353.7629999999999"/>
    <n v="1295"/>
    <n v="4.5376833976833915"/>
    <x v="467"/>
  </r>
  <r>
    <s v="Direct,NSFnet,120"/>
    <x v="0"/>
    <x v="0"/>
    <x v="5"/>
    <n v="1262.729"/>
    <n v="1295"/>
    <n v="2.4919691119691088"/>
    <x v="468"/>
  </r>
  <r>
    <s v="Direct,NSFnet,120"/>
    <x v="0"/>
    <x v="0"/>
    <x v="5"/>
    <n v="1261.6600000000001"/>
    <n v="1295"/>
    <n v="2.5745173745173684"/>
    <x v="469"/>
  </r>
  <r>
    <s v="Direct,NSFnet,120"/>
    <x v="0"/>
    <x v="0"/>
    <x v="5"/>
    <n v="1303.769"/>
    <n v="1295"/>
    <n v="0.6771428571428576"/>
    <x v="470"/>
  </r>
  <r>
    <s v="Direct,NSFnet,120"/>
    <x v="0"/>
    <x v="0"/>
    <x v="5"/>
    <n v="1334.279"/>
    <n v="1295"/>
    <n v="3.0331274131274131"/>
    <x v="471"/>
  </r>
  <r>
    <s v="Direct,NSFnet,120"/>
    <x v="0"/>
    <x v="0"/>
    <x v="5"/>
    <n v="1342.107"/>
    <n v="1295"/>
    <n v="3.637606177606175"/>
    <x v="472"/>
  </r>
  <r>
    <s v="Direct,NSFnet,120"/>
    <x v="0"/>
    <x v="0"/>
    <x v="5"/>
    <n v="1266.893"/>
    <n v="1295"/>
    <n v="2.1704247104247081"/>
    <x v="473"/>
  </r>
  <r>
    <s v="Direct,NSFnet,120"/>
    <x v="0"/>
    <x v="0"/>
    <x v="5"/>
    <n v="1316.202"/>
    <n v="1295"/>
    <n v="1.6372200772200771"/>
    <x v="474"/>
  </r>
  <r>
    <s v="Direct,NSFnet,120"/>
    <x v="0"/>
    <x v="0"/>
    <x v="5"/>
    <n v="1323.3889999999999"/>
    <n v="1295"/>
    <n v="2.1922007722007644"/>
    <x v="475"/>
  </r>
  <r>
    <s v="Direct,NSFnet,120"/>
    <x v="0"/>
    <x v="0"/>
    <x v="5"/>
    <n v="1272.7270000000001"/>
    <n v="1295"/>
    <n v="1.719922779922773"/>
    <x v="476"/>
  </r>
  <r>
    <s v="Direct,NSFnet,120"/>
    <x v="0"/>
    <x v="0"/>
    <x v="5"/>
    <n v="1312.2909999999999"/>
    <n v="1295"/>
    <n v="1.3352123552123505"/>
    <x v="477"/>
  </r>
  <r>
    <s v="Direct,NSFnet,120"/>
    <x v="0"/>
    <x v="0"/>
    <x v="5"/>
    <n v="1257.377"/>
    <n v="1295"/>
    <n v="2.905250965250969"/>
    <x v="478"/>
  </r>
  <r>
    <s v="Direct,NSFnet,120"/>
    <x v="0"/>
    <x v="0"/>
    <x v="5"/>
    <n v="1267.9649999999999"/>
    <n v="1295"/>
    <n v="2.0876447876447943"/>
    <x v="479"/>
  </r>
  <r>
    <s v="Direct,NSFnet,120"/>
    <x v="0"/>
    <x v="0"/>
    <x v="5"/>
    <n v="1321.616"/>
    <n v="1295"/>
    <n v="2.0552895752895739"/>
    <x v="480"/>
  </r>
  <r>
    <s v="Direct,NSFnet,120"/>
    <x v="0"/>
    <x v="0"/>
    <x v="5"/>
    <n v="1283.6389999999999"/>
    <n v="1295"/>
    <n v="0.87729729729730532"/>
    <x v="481"/>
  </r>
  <r>
    <s v="Direct,NSFnet,120"/>
    <x v="0"/>
    <x v="0"/>
    <x v="5"/>
    <n v="1296.9590000000001"/>
    <n v="1295"/>
    <n v="0.15127413127413591"/>
    <x v="482"/>
  </r>
  <r>
    <s v="Direct,NSFnet,120"/>
    <x v="0"/>
    <x v="0"/>
    <x v="5"/>
    <n v="1306.5889999999999"/>
    <n v="1295"/>
    <n v="0.89490347490347033"/>
    <x v="483"/>
  </r>
  <r>
    <s v="Direct,NSFnet,120"/>
    <x v="0"/>
    <x v="0"/>
    <x v="5"/>
    <n v="1380.2760000000001"/>
    <n v="1295"/>
    <n v="6.5850193050193102"/>
    <x v="484"/>
  </r>
  <r>
    <s v="Direct,NSFnet,120"/>
    <x v="0"/>
    <x v="0"/>
    <x v="5"/>
    <n v="1391.682"/>
    <n v="1295"/>
    <n v="7.4657915057915067"/>
    <x v="485"/>
  </r>
  <r>
    <s v="Direct,NSFnet,120"/>
    <x v="0"/>
    <x v="0"/>
    <x v="5"/>
    <n v="1340.2929999999999"/>
    <n v="1295"/>
    <n v="3.497528957528949"/>
    <x v="486"/>
  </r>
  <r>
    <s v="Direct,NSFnet,120"/>
    <x v="0"/>
    <x v="0"/>
    <x v="5"/>
    <n v="1284.0409999999999"/>
    <n v="1295"/>
    <n v="0.84625482625483084"/>
    <x v="487"/>
  </r>
  <r>
    <s v="Direct,NSFnet,120"/>
    <x v="0"/>
    <x v="0"/>
    <x v="5"/>
    <n v="1267.93"/>
    <n v="1295"/>
    <n v="2.0903474903474857"/>
    <x v="488"/>
  </r>
  <r>
    <s v="Direct,NSFnet,120"/>
    <x v="0"/>
    <x v="0"/>
    <x v="5"/>
    <n v="1368.6010000000001"/>
    <n v="1295"/>
    <n v="5.6834749034749121"/>
    <x v="489"/>
  </r>
  <r>
    <s v="Direct,NSFnet,120"/>
    <x v="0"/>
    <x v="0"/>
    <x v="5"/>
    <n v="1337.0060000000001"/>
    <n v="1295"/>
    <n v="3.2437065637065698"/>
    <x v="490"/>
  </r>
  <r>
    <s v="Direct,NSFnet,120"/>
    <x v="0"/>
    <x v="0"/>
    <x v="5"/>
    <n v="1238.3699999999999"/>
    <n v="1295"/>
    <n v="4.3729729729729812"/>
    <x v="491"/>
  </r>
  <r>
    <s v="Direct,NSFnet,120"/>
    <x v="0"/>
    <x v="0"/>
    <x v="5"/>
    <n v="1274.2819999999999"/>
    <n v="1295"/>
    <n v="1.5998455598455654"/>
    <x v="492"/>
  </r>
  <r>
    <s v="Direct,NSFnet,120"/>
    <x v="0"/>
    <x v="0"/>
    <x v="5"/>
    <n v="1305.79"/>
    <n v="1295"/>
    <n v="0.83320463320463045"/>
    <x v="493"/>
  </r>
  <r>
    <s v="Direct,NSFnet,120"/>
    <x v="0"/>
    <x v="0"/>
    <x v="5"/>
    <n v="1324.4010000000001"/>
    <n v="1295"/>
    <n v="2.2703474903474956"/>
    <x v="494"/>
  </r>
  <r>
    <s v="Direct,NSFnet,120"/>
    <x v="0"/>
    <x v="0"/>
    <x v="5"/>
    <n v="1348.258"/>
    <n v="1295"/>
    <n v="4.1125868725868759"/>
    <x v="495"/>
  </r>
  <r>
    <s v="Direct,NSFnet,120"/>
    <x v="0"/>
    <x v="0"/>
    <x v="5"/>
    <n v="1375.173"/>
    <n v="1295"/>
    <n v="6.1909652509652506"/>
    <x v="496"/>
  </r>
  <r>
    <s v="Direct,NSFnet,120"/>
    <x v="0"/>
    <x v="0"/>
    <x v="5"/>
    <n v="1331.8889999999999"/>
    <n v="1295"/>
    <n v="2.8485714285714203"/>
    <x v="497"/>
  </r>
  <r>
    <s v="Direct,NSFnet,120"/>
    <x v="0"/>
    <x v="0"/>
    <x v="5"/>
    <n v="1310.078"/>
    <n v="1295"/>
    <n v="1.1643243243243224"/>
    <x v="498"/>
  </r>
  <r>
    <s v="Direct,NSFnet,120"/>
    <x v="0"/>
    <x v="0"/>
    <x v="5"/>
    <n v="1319.98"/>
    <n v="1295"/>
    <n v="1.9289575289575305"/>
    <x v="499"/>
  </r>
  <r>
    <s v="Direct,NSFnet,120"/>
    <x v="0"/>
    <x v="0"/>
    <x v="5"/>
    <n v="1320.595"/>
    <n v="1295"/>
    <n v="1.9764478764478783"/>
    <x v="500"/>
  </r>
  <r>
    <s v="Direct,NSFnet,120"/>
    <x v="0"/>
    <x v="0"/>
    <x v="5"/>
    <n v="1399.9469999999999"/>
    <n v="1295"/>
    <n v="8.1040154440154364"/>
    <x v="501"/>
  </r>
  <r>
    <s v="Direct,NSFnet,120"/>
    <x v="0"/>
    <x v="0"/>
    <x v="5"/>
    <n v="1362.5550000000001"/>
    <n v="1295"/>
    <n v="5.2166023166023212"/>
    <x v="502"/>
  </r>
  <r>
    <s v="Direct,NSFnet,120"/>
    <x v="0"/>
    <x v="0"/>
    <x v="5"/>
    <n v="1384.972"/>
    <n v="1295"/>
    <n v="6.9476447876447853"/>
    <x v="503"/>
  </r>
  <r>
    <s v="Direct,NSFnet,120"/>
    <x v="0"/>
    <x v="0"/>
    <x v="5"/>
    <n v="1315.307"/>
    <n v="1295"/>
    <n v="1.5681081081081092"/>
    <x v="504"/>
  </r>
  <r>
    <s v="Direct,NSFnet,120"/>
    <x v="0"/>
    <x v="0"/>
    <x v="5"/>
    <n v="1355.231"/>
    <n v="1295"/>
    <n v="4.6510424710424703"/>
    <x v="505"/>
  </r>
  <r>
    <s v="Direct,NSFnet,120"/>
    <x v="0"/>
    <x v="0"/>
    <x v="5"/>
    <n v="1267.7560000000001"/>
    <n v="1295"/>
    <n v="2.103783783783777"/>
    <x v="506"/>
  </r>
  <r>
    <s v="Direct,NSFnet,120"/>
    <x v="0"/>
    <x v="0"/>
    <x v="5"/>
    <n v="1255.9380000000001"/>
    <n v="1295"/>
    <n v="3.0163706563706487"/>
    <x v="507"/>
  </r>
  <r>
    <s v="Direct,NSFnet,120"/>
    <x v="0"/>
    <x v="0"/>
    <x v="5"/>
    <n v="1346.4449999999999"/>
    <n v="1295"/>
    <n v="3.9725868725868674"/>
    <x v="508"/>
  </r>
  <r>
    <s v="Direct,NSFnet,120"/>
    <x v="0"/>
    <x v="0"/>
    <x v="5"/>
    <n v="1359.3979999999999"/>
    <n v="1295"/>
    <n v="4.9728185328185255"/>
    <x v="509"/>
  </r>
  <r>
    <s v="Direct,NSFnet,120"/>
    <x v="0"/>
    <x v="0"/>
    <x v="5"/>
    <n v="1291.771"/>
    <n v="1295"/>
    <n v="0.24934362934363261"/>
    <x v="510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49.805999999999997"/>
    <n v="52.2"/>
    <n v="4.5862068965517349"/>
    <x v="513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49.805999999999997"/>
    <n v="52.2"/>
    <n v="4.5862068965517349"/>
    <x v="513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49.805999999999997"/>
    <n v="52.2"/>
    <n v="4.5862068965517349"/>
    <x v="513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49.805999999999997"/>
    <n v="52.2"/>
    <n v="4.5862068965517349"/>
    <x v="513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3.805999999999997"/>
    <n v="52.2"/>
    <n v="3.076628352490411"/>
    <x v="515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3.805999999999997"/>
    <n v="52.2"/>
    <n v="3.076628352490411"/>
    <x v="515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3.805999999999997"/>
    <n v="52.2"/>
    <n v="3.076628352490411"/>
    <x v="515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1.805999999999997"/>
    <n v="52.2"/>
    <n v="0.75478927203066182"/>
    <x v="512"/>
  </r>
  <r>
    <s v="Direct,STnet,20"/>
    <x v="0"/>
    <x v="1"/>
    <x v="0"/>
    <n v="52.805999999999997"/>
    <n v="52.2"/>
    <n v="1.1609195402298746"/>
    <x v="514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0.805999999999997"/>
    <n v="52.2"/>
    <n v="2.6704980842911978"/>
    <x v="511"/>
  </r>
  <r>
    <s v="Direct,STnet,20"/>
    <x v="0"/>
    <x v="1"/>
    <x v="0"/>
    <n v="50.805999999999997"/>
    <n v="52.2"/>
    <n v="2.6704980842911978"/>
    <x v="511"/>
  </r>
  <r>
    <s v="Direct,STnet,40"/>
    <x v="0"/>
    <x v="1"/>
    <x v="1"/>
    <n v="74.828000000000003"/>
    <n v="85.4"/>
    <n v="12.379391100702579"/>
    <x v="516"/>
  </r>
  <r>
    <s v="Direct,STnet,40"/>
    <x v="0"/>
    <x v="1"/>
    <x v="1"/>
    <n v="79.265000000000001"/>
    <n v="85.4"/>
    <n v="7.183840749414526"/>
    <x v="517"/>
  </r>
  <r>
    <s v="Direct,STnet,40"/>
    <x v="0"/>
    <x v="1"/>
    <x v="1"/>
    <n v="85.775999999999996"/>
    <n v="85.4"/>
    <n v="0.44028103044495376"/>
    <x v="518"/>
  </r>
  <r>
    <s v="Direct,STnet,40"/>
    <x v="0"/>
    <x v="1"/>
    <x v="1"/>
    <n v="92.141000000000005"/>
    <n v="85.4"/>
    <n v="7.8934426229508192"/>
    <x v="519"/>
  </r>
  <r>
    <s v="Direct,STnet,40"/>
    <x v="0"/>
    <x v="1"/>
    <x v="1"/>
    <n v="77.337999999999994"/>
    <n v="85.4"/>
    <n v="9.4402810304449769"/>
    <x v="520"/>
  </r>
  <r>
    <s v="Direct,STnet,40"/>
    <x v="0"/>
    <x v="1"/>
    <x v="1"/>
    <n v="88.921999999999997"/>
    <n v="85.4"/>
    <n v="4.1241217798594745"/>
    <x v="521"/>
  </r>
  <r>
    <s v="Direct,STnet,40"/>
    <x v="0"/>
    <x v="1"/>
    <x v="1"/>
    <n v="90.141000000000005"/>
    <n v="85.4"/>
    <n v="5.5515222482435584"/>
    <x v="522"/>
  </r>
  <r>
    <s v="Direct,STnet,40"/>
    <x v="0"/>
    <x v="1"/>
    <x v="1"/>
    <n v="85.558000000000007"/>
    <n v="85.4"/>
    <n v="0.18501170960187499"/>
    <x v="523"/>
  </r>
  <r>
    <s v="Direct,STnet,40"/>
    <x v="0"/>
    <x v="1"/>
    <x v="1"/>
    <n v="76.046999999999997"/>
    <n v="85.4"/>
    <n v="10.951990632318511"/>
    <x v="524"/>
  </r>
  <r>
    <s v="Direct,STnet,40"/>
    <x v="0"/>
    <x v="1"/>
    <x v="1"/>
    <n v="84.775999999999996"/>
    <n v="85.4"/>
    <n v="0.73067915690867613"/>
    <x v="525"/>
  </r>
  <r>
    <s v="Direct,STnet,40"/>
    <x v="0"/>
    <x v="1"/>
    <x v="1"/>
    <n v="82.483999999999995"/>
    <n v="85.4"/>
    <n v="3.4145199063231977"/>
    <x v="526"/>
  </r>
  <r>
    <s v="Direct,STnet,40"/>
    <x v="0"/>
    <x v="1"/>
    <x v="1"/>
    <n v="84.557000000000002"/>
    <n v="85.4"/>
    <n v="0.98711943793911416"/>
    <x v="527"/>
  </r>
  <r>
    <s v="Direct,STnet,40"/>
    <x v="0"/>
    <x v="1"/>
    <x v="1"/>
    <n v="82.63"/>
    <n v="85.4"/>
    <n v="3.2435597189695664"/>
    <x v="528"/>
  </r>
  <r>
    <s v="Direct,STnet,40"/>
    <x v="0"/>
    <x v="1"/>
    <x v="1"/>
    <n v="91.141000000000005"/>
    <n v="85.4"/>
    <n v="6.7224824355971897"/>
    <x v="529"/>
  </r>
  <r>
    <s v="Direct,STnet,40"/>
    <x v="0"/>
    <x v="1"/>
    <x v="1"/>
    <n v="82.411000000000001"/>
    <n v="85.4"/>
    <n v="3.5000000000000044"/>
    <x v="530"/>
  </r>
  <r>
    <s v="Direct,STnet,40"/>
    <x v="0"/>
    <x v="1"/>
    <x v="1"/>
    <n v="84.703000000000003"/>
    <n v="85.4"/>
    <n v="0.81615925058548322"/>
    <x v="531"/>
  </r>
  <r>
    <s v="Direct,STnet,40"/>
    <x v="0"/>
    <x v="1"/>
    <x v="1"/>
    <n v="81.63"/>
    <n v="85.4"/>
    <n v="4.4145199063231964"/>
    <x v="532"/>
  </r>
  <r>
    <s v="Direct,STnet,40"/>
    <x v="0"/>
    <x v="1"/>
    <x v="1"/>
    <n v="91.921999999999997"/>
    <n v="85.4"/>
    <n v="7.6370023419203639"/>
    <x v="533"/>
  </r>
  <r>
    <s v="Direct,STnet,40"/>
    <x v="0"/>
    <x v="1"/>
    <x v="1"/>
    <n v="89.775999999999996"/>
    <n v="85.4"/>
    <n v="5.1241217798594727"/>
    <x v="534"/>
  </r>
  <r>
    <s v="Direct,STnet,40"/>
    <x v="0"/>
    <x v="1"/>
    <x v="1"/>
    <n v="85.849000000000004"/>
    <n v="85.4"/>
    <n v="0.52576112412177756"/>
    <x v="535"/>
  </r>
  <r>
    <s v="Direct,STnet,40"/>
    <x v="0"/>
    <x v="1"/>
    <x v="1"/>
    <n v="85.483999999999995"/>
    <n v="85.4"/>
    <n v="9.8360655737691996E-2"/>
    <x v="536"/>
  </r>
  <r>
    <s v="Direct,STnet,40"/>
    <x v="0"/>
    <x v="1"/>
    <x v="1"/>
    <n v="83.557000000000002"/>
    <n v="85.4"/>
    <n v="2.1580796252927437"/>
    <x v="537"/>
  </r>
  <r>
    <s v="Direct,STnet,40"/>
    <x v="0"/>
    <x v="1"/>
    <x v="1"/>
    <n v="85.557000000000002"/>
    <n v="85.4"/>
    <n v="0.18384074941451578"/>
    <x v="538"/>
  </r>
  <r>
    <s v="Direct,STnet,40"/>
    <x v="0"/>
    <x v="1"/>
    <x v="1"/>
    <n v="85.995000000000005"/>
    <n v="85.4"/>
    <n v="0.6967213114754085"/>
    <x v="539"/>
  </r>
  <r>
    <s v="Direct,STnet,40"/>
    <x v="0"/>
    <x v="1"/>
    <x v="1"/>
    <n v="87.995000000000005"/>
    <n v="85.4"/>
    <n v="3.0386416861826682"/>
    <x v="540"/>
  </r>
  <r>
    <s v="Direct,STnet,40"/>
    <x v="0"/>
    <x v="1"/>
    <x v="1"/>
    <n v="80.337999999999994"/>
    <n v="85.4"/>
    <n v="5.9274004683840884"/>
    <x v="541"/>
  </r>
  <r>
    <s v="Direct,STnet,40"/>
    <x v="0"/>
    <x v="1"/>
    <x v="1"/>
    <n v="78.974000000000004"/>
    <n v="85.4"/>
    <n v="7.5245901639344277"/>
    <x v="542"/>
  </r>
  <r>
    <s v="Direct,STnet,40"/>
    <x v="0"/>
    <x v="1"/>
    <x v="1"/>
    <n v="80.265000000000001"/>
    <n v="85.4"/>
    <n v="6.0128805620608956"/>
    <x v="543"/>
  </r>
  <r>
    <s v="Direct,STnet,40"/>
    <x v="0"/>
    <x v="1"/>
    <x v="1"/>
    <n v="77.411000000000001"/>
    <n v="85.4"/>
    <n v="9.3548009367681537"/>
    <x v="544"/>
  </r>
  <r>
    <s v="Direct,STnet,40"/>
    <x v="0"/>
    <x v="1"/>
    <x v="1"/>
    <n v="90.213999999999999"/>
    <n v="85.4"/>
    <n v="5.6370023419203665"/>
    <x v="545"/>
  </r>
  <r>
    <s v="Direct,STnet,40"/>
    <x v="0"/>
    <x v="1"/>
    <x v="1"/>
    <n v="86.63"/>
    <n v="85.4"/>
    <n v="1.4402810304449529"/>
    <x v="546"/>
  </r>
  <r>
    <s v="Direct,STnet,40"/>
    <x v="0"/>
    <x v="1"/>
    <x v="1"/>
    <n v="84.995000000000005"/>
    <n v="85.4"/>
    <n v="0.47423887587822144"/>
    <x v="547"/>
  </r>
  <r>
    <s v="Direct,STnet,40"/>
    <x v="0"/>
    <x v="1"/>
    <x v="1"/>
    <n v="82.484999999999999"/>
    <n v="85.4"/>
    <n v="3.4133489461358386"/>
    <x v="548"/>
  </r>
  <r>
    <s v="Direct,STnet,40"/>
    <x v="0"/>
    <x v="1"/>
    <x v="1"/>
    <n v="88.849000000000004"/>
    <n v="85.4"/>
    <n v="4.0386416861826673"/>
    <x v="549"/>
  </r>
  <r>
    <s v="Direct,STnet,40"/>
    <x v="0"/>
    <x v="1"/>
    <x v="1"/>
    <n v="77.046999999999997"/>
    <n v="85.4"/>
    <n v="9.7810304449648804"/>
    <x v="550"/>
  </r>
  <r>
    <s v="Direct,STnet,40"/>
    <x v="0"/>
    <x v="1"/>
    <x v="1"/>
    <n v="78.265000000000001"/>
    <n v="85.4"/>
    <n v="8.3548009367681555"/>
    <x v="551"/>
  </r>
  <r>
    <s v="Direct,STnet,40"/>
    <x v="0"/>
    <x v="1"/>
    <x v="1"/>
    <n v="75.974000000000004"/>
    <n v="85.4"/>
    <n v="11.037470725995318"/>
    <x v="552"/>
  </r>
  <r>
    <s v="Direct,STnet,40"/>
    <x v="0"/>
    <x v="1"/>
    <x v="1"/>
    <n v="90.995000000000005"/>
    <n v="85.4"/>
    <n v="6.5515222482435576"/>
    <x v="553"/>
  </r>
  <r>
    <s v="Direct,STnet,40"/>
    <x v="0"/>
    <x v="1"/>
    <x v="1"/>
    <n v="86.849000000000004"/>
    <n v="85.4"/>
    <n v="1.6967213114754076"/>
    <x v="554"/>
  </r>
  <r>
    <s v="Direct,STnet,40"/>
    <x v="0"/>
    <x v="1"/>
    <x v="1"/>
    <n v="93.213999999999999"/>
    <n v="85.4"/>
    <n v="9.1498829039812559"/>
    <x v="555"/>
  </r>
  <r>
    <s v="Direct,STnet,40"/>
    <x v="0"/>
    <x v="1"/>
    <x v="1"/>
    <n v="87.63"/>
    <n v="85.4"/>
    <n v="2.6112412177985824"/>
    <x v="556"/>
  </r>
  <r>
    <s v="Direct,STnet,40"/>
    <x v="0"/>
    <x v="1"/>
    <x v="1"/>
    <n v="79.63"/>
    <n v="85.4"/>
    <n v="6.7564402810304571"/>
    <x v="557"/>
  </r>
  <r>
    <s v="Direct,STnet,40"/>
    <x v="0"/>
    <x v="1"/>
    <x v="1"/>
    <n v="83.483999999999995"/>
    <n v="85.4"/>
    <n v="2.2435597189695677"/>
    <x v="558"/>
  </r>
  <r>
    <s v="Direct,STnet,40"/>
    <x v="0"/>
    <x v="1"/>
    <x v="1"/>
    <n v="80.557000000000002"/>
    <n v="85.4"/>
    <n v="5.6709601873536339"/>
    <x v="559"/>
  </r>
  <r>
    <s v="Direct,STnet,40"/>
    <x v="0"/>
    <x v="1"/>
    <x v="1"/>
    <n v="83.483999999999995"/>
    <n v="85.4"/>
    <n v="2.2435597189695677"/>
    <x v="558"/>
  </r>
  <r>
    <s v="Direct,STnet,40"/>
    <x v="0"/>
    <x v="1"/>
    <x v="1"/>
    <n v="82.337999999999994"/>
    <n v="85.4"/>
    <n v="3.5854800936768285"/>
    <x v="560"/>
  </r>
  <r>
    <s v="Direct,STnet,40"/>
    <x v="0"/>
    <x v="1"/>
    <x v="1"/>
    <n v="80.411000000000001"/>
    <n v="85.4"/>
    <n v="5.8419203747072652"/>
    <x v="561"/>
  </r>
  <r>
    <s v="Direct,STnet,40"/>
    <x v="0"/>
    <x v="1"/>
    <x v="1"/>
    <n v="75.046000000000006"/>
    <n v="85.4"/>
    <n v="12.124121779859482"/>
    <x v="562"/>
  </r>
  <r>
    <s v="Direct,STnet,40"/>
    <x v="0"/>
    <x v="1"/>
    <x v="1"/>
    <n v="78.337999999999994"/>
    <n v="85.4"/>
    <n v="8.2693208430913483"/>
    <x v="563"/>
  </r>
  <r>
    <s v="Direct,STnet,40"/>
    <x v="0"/>
    <x v="1"/>
    <x v="1"/>
    <n v="79.337999999999994"/>
    <n v="85.4"/>
    <n v="7.0983606557377179"/>
    <x v="564"/>
  </r>
  <r>
    <s v="Direct,STnet,40"/>
    <x v="0"/>
    <x v="1"/>
    <x v="1"/>
    <n v="81.411000000000001"/>
    <n v="85.4"/>
    <n v="4.6709601873536339"/>
    <x v="565"/>
  </r>
  <r>
    <s v="Direct,STnet,40"/>
    <x v="0"/>
    <x v="1"/>
    <x v="1"/>
    <n v="76.974000000000004"/>
    <n v="85.4"/>
    <n v="9.8665105386416876"/>
    <x v="566"/>
  </r>
  <r>
    <s v="Direct,STnet,40"/>
    <x v="0"/>
    <x v="1"/>
    <x v="1"/>
    <n v="80.191999999999993"/>
    <n v="85.4"/>
    <n v="6.0983606557377197"/>
    <x v="567"/>
  </r>
  <r>
    <s v="Direct,STnet,40"/>
    <x v="0"/>
    <x v="1"/>
    <x v="1"/>
    <n v="83.849000000000004"/>
    <n v="85.4"/>
    <n v="1.8161592505854824"/>
    <x v="568"/>
  </r>
  <r>
    <s v="Direct,STnet,40"/>
    <x v="0"/>
    <x v="1"/>
    <x v="1"/>
    <n v="95.36"/>
    <n v="85.4"/>
    <n v="11.662763466042145"/>
    <x v="569"/>
  </r>
  <r>
    <s v="Direct,STnet,40"/>
    <x v="0"/>
    <x v="1"/>
    <x v="1"/>
    <n v="81.265000000000001"/>
    <n v="85.4"/>
    <n v="4.8419203747072652"/>
    <x v="570"/>
  </r>
  <r>
    <s v="Direct,STnet,40"/>
    <x v="0"/>
    <x v="1"/>
    <x v="1"/>
    <n v="81.411000000000001"/>
    <n v="85.4"/>
    <n v="4.6709601873536339"/>
    <x v="565"/>
  </r>
  <r>
    <s v="Direct,STnet,40"/>
    <x v="0"/>
    <x v="1"/>
    <x v="1"/>
    <n v="85.703000000000003"/>
    <n v="85.4"/>
    <n v="0.35480093676814667"/>
    <x v="571"/>
  </r>
  <r>
    <s v="Direct,STnet,40"/>
    <x v="0"/>
    <x v="1"/>
    <x v="1"/>
    <n v="83.849000000000004"/>
    <n v="85.4"/>
    <n v="1.8161592505854824"/>
    <x v="568"/>
  </r>
  <r>
    <s v="Direct,STnet,40"/>
    <x v="0"/>
    <x v="1"/>
    <x v="1"/>
    <n v="90.921999999999997"/>
    <n v="85.4"/>
    <n v="6.4660421545667344"/>
    <x v="572"/>
  </r>
  <r>
    <s v="Direct,STnet,40"/>
    <x v="0"/>
    <x v="1"/>
    <x v="1"/>
    <n v="82.483999999999995"/>
    <n v="85.4"/>
    <n v="3.4145199063231977"/>
    <x v="526"/>
  </r>
  <r>
    <s v="Direct,STnet,40"/>
    <x v="0"/>
    <x v="1"/>
    <x v="1"/>
    <n v="80.703000000000003"/>
    <n v="85.4"/>
    <n v="5.5000000000000027"/>
    <x v="573"/>
  </r>
  <r>
    <s v="Direct,STnet,40"/>
    <x v="0"/>
    <x v="1"/>
    <x v="1"/>
    <n v="86.775999999999996"/>
    <n v="85.4"/>
    <n v="1.6112412177985838"/>
    <x v="574"/>
  </r>
  <r>
    <s v="Direct,STnet,40"/>
    <x v="0"/>
    <x v="1"/>
    <x v="1"/>
    <n v="89.849000000000004"/>
    <n v="85.4"/>
    <n v="5.2096018735362977"/>
    <x v="575"/>
  </r>
  <r>
    <s v="Direct,STnet,40"/>
    <x v="0"/>
    <x v="1"/>
    <x v="1"/>
    <n v="83.63"/>
    <n v="85.4"/>
    <n v="2.0725995316159369"/>
    <x v="576"/>
  </r>
  <r>
    <s v="Direct,STnet,40"/>
    <x v="0"/>
    <x v="1"/>
    <x v="1"/>
    <n v="86.703000000000003"/>
    <n v="85.4"/>
    <n v="1.5257611241217766"/>
    <x v="577"/>
  </r>
  <r>
    <s v="Direct,STnet,40"/>
    <x v="0"/>
    <x v="1"/>
    <x v="1"/>
    <n v="79.192999999999998"/>
    <n v="85.4"/>
    <n v="7.2681498829039901"/>
    <x v="578"/>
  </r>
  <r>
    <s v="Direct,STnet,40"/>
    <x v="0"/>
    <x v="1"/>
    <x v="1"/>
    <n v="76.411000000000001"/>
    <n v="85.4"/>
    <n v="10.525761124121784"/>
    <x v="579"/>
  </r>
  <r>
    <s v="Direct,STnet,40"/>
    <x v="0"/>
    <x v="1"/>
    <x v="1"/>
    <n v="91.141000000000005"/>
    <n v="85.4"/>
    <n v="6.7224824355971897"/>
    <x v="529"/>
  </r>
  <r>
    <s v="Direct,STnet,40"/>
    <x v="0"/>
    <x v="1"/>
    <x v="1"/>
    <n v="76.191999999999993"/>
    <n v="85.4"/>
    <n v="10.782201405152239"/>
    <x v="580"/>
  </r>
  <r>
    <s v="Direct,STnet,40"/>
    <x v="0"/>
    <x v="1"/>
    <x v="1"/>
    <n v="78.557000000000002"/>
    <n v="85.4"/>
    <n v="8.0128805620608929"/>
    <x v="581"/>
  </r>
  <r>
    <s v="Direct,STnet,40"/>
    <x v="0"/>
    <x v="1"/>
    <x v="1"/>
    <n v="88.995000000000005"/>
    <n v="85.4"/>
    <n v="4.2096018735362986"/>
    <x v="582"/>
  </r>
  <r>
    <s v="Direct,STnet,40"/>
    <x v="0"/>
    <x v="1"/>
    <x v="1"/>
    <n v="80.337999999999994"/>
    <n v="85.4"/>
    <n v="5.9274004683840884"/>
    <x v="541"/>
  </r>
  <r>
    <s v="Direct,STnet,40"/>
    <x v="0"/>
    <x v="1"/>
    <x v="1"/>
    <n v="81.557000000000002"/>
    <n v="85.4"/>
    <n v="4.5000000000000036"/>
    <x v="583"/>
  </r>
  <r>
    <s v="Direct,STnet,40"/>
    <x v="0"/>
    <x v="1"/>
    <x v="1"/>
    <n v="90.921999999999997"/>
    <n v="85.4"/>
    <n v="6.4660421545667344"/>
    <x v="572"/>
  </r>
  <r>
    <s v="Direct,STnet,40"/>
    <x v="0"/>
    <x v="1"/>
    <x v="1"/>
    <n v="96.287000000000006"/>
    <n v="85.4"/>
    <n v="12.748243559718968"/>
    <x v="584"/>
  </r>
  <r>
    <s v="Direct,STnet,40"/>
    <x v="0"/>
    <x v="1"/>
    <x v="1"/>
    <n v="77.411000000000001"/>
    <n v="85.4"/>
    <n v="9.3548009367681537"/>
    <x v="544"/>
  </r>
  <r>
    <s v="Direct,STnet,40"/>
    <x v="0"/>
    <x v="1"/>
    <x v="1"/>
    <n v="81.483999999999995"/>
    <n v="85.4"/>
    <n v="4.5854800936768276"/>
    <x v="585"/>
  </r>
  <r>
    <s v="Direct,STnet,40"/>
    <x v="0"/>
    <x v="1"/>
    <x v="1"/>
    <n v="82.775999999999996"/>
    <n v="85.4"/>
    <n v="3.072599531615936"/>
    <x v="586"/>
  </r>
  <r>
    <s v="Direct,STnet,40"/>
    <x v="0"/>
    <x v="1"/>
    <x v="1"/>
    <n v="80.411000000000001"/>
    <n v="85.4"/>
    <n v="5.8419203747072652"/>
    <x v="561"/>
  </r>
  <r>
    <s v="Direct,STnet,40"/>
    <x v="0"/>
    <x v="1"/>
    <x v="1"/>
    <n v="84.849000000000004"/>
    <n v="85.4"/>
    <n v="0.64519906323185239"/>
    <x v="587"/>
  </r>
  <r>
    <s v="Direct,STnet,40"/>
    <x v="0"/>
    <x v="1"/>
    <x v="1"/>
    <n v="80.483999999999995"/>
    <n v="85.4"/>
    <n v="5.7564402810304571"/>
    <x v="588"/>
  </r>
  <r>
    <s v="Direct,STnet,40"/>
    <x v="0"/>
    <x v="1"/>
    <x v="1"/>
    <n v="89.995000000000005"/>
    <n v="85.4"/>
    <n v="5.3805620608899281"/>
    <x v="589"/>
  </r>
  <r>
    <s v="Direct,STnet,40"/>
    <x v="0"/>
    <x v="1"/>
    <x v="1"/>
    <n v="90.849000000000004"/>
    <n v="85.4"/>
    <n v="6.3805620608899272"/>
    <x v="590"/>
  </r>
  <r>
    <s v="Direct,STnet,40"/>
    <x v="0"/>
    <x v="1"/>
    <x v="1"/>
    <n v="91.921999999999997"/>
    <n v="85.4"/>
    <n v="7.6370023419203639"/>
    <x v="533"/>
  </r>
  <r>
    <s v="Direct,STnet,40"/>
    <x v="0"/>
    <x v="1"/>
    <x v="1"/>
    <n v="87.995000000000005"/>
    <n v="85.4"/>
    <n v="3.0386416861826682"/>
    <x v="540"/>
  </r>
  <r>
    <s v="Direct,STnet,40"/>
    <x v="0"/>
    <x v="1"/>
    <x v="1"/>
    <n v="84.849000000000004"/>
    <n v="85.4"/>
    <n v="0.64519906323185239"/>
    <x v="587"/>
  </r>
  <r>
    <s v="Direct,STnet,40"/>
    <x v="0"/>
    <x v="1"/>
    <x v="1"/>
    <n v="67.39"/>
    <n v="85.4"/>
    <n v="21.088992974238881"/>
    <x v="591"/>
  </r>
  <r>
    <s v="Direct,STnet,40"/>
    <x v="0"/>
    <x v="1"/>
    <x v="1"/>
    <n v="90.995000000000005"/>
    <n v="85.4"/>
    <n v="6.5515222482435576"/>
    <x v="553"/>
  </r>
  <r>
    <s v="Direct,STnet,40"/>
    <x v="0"/>
    <x v="1"/>
    <x v="1"/>
    <n v="84.411000000000001"/>
    <n v="85.4"/>
    <n v="1.158079625292745"/>
    <x v="592"/>
  </r>
  <r>
    <s v="Direct,STnet,40"/>
    <x v="0"/>
    <x v="1"/>
    <x v="1"/>
    <n v="84.557000000000002"/>
    <n v="85.4"/>
    <n v="0.98711943793911416"/>
    <x v="527"/>
  </r>
  <r>
    <s v="Direct,STnet,40"/>
    <x v="0"/>
    <x v="1"/>
    <x v="1"/>
    <n v="92.287000000000006"/>
    <n v="85.4"/>
    <n v="8.0644028103044505"/>
    <x v="593"/>
  </r>
  <r>
    <s v="Direct,STnet,40"/>
    <x v="0"/>
    <x v="1"/>
    <x v="1"/>
    <n v="78.12"/>
    <n v="85.4"/>
    <n v="8.5245901639344268"/>
    <x v="594"/>
  </r>
  <r>
    <s v="Direct,STnet,40"/>
    <x v="0"/>
    <x v="1"/>
    <x v="1"/>
    <n v="82.703000000000003"/>
    <n v="85.4"/>
    <n v="3.1580796252927432"/>
    <x v="595"/>
  </r>
  <r>
    <s v="Direct,STnet,40"/>
    <x v="0"/>
    <x v="1"/>
    <x v="1"/>
    <n v="85.483999999999995"/>
    <n v="85.4"/>
    <n v="9.8360655737691996E-2"/>
    <x v="536"/>
  </r>
  <r>
    <s v="Direct,STnet,40"/>
    <x v="0"/>
    <x v="1"/>
    <x v="1"/>
    <n v="80.63"/>
    <n v="85.4"/>
    <n v="5.5854800936768267"/>
    <x v="596"/>
  </r>
  <r>
    <s v="Direct,STnet,40"/>
    <x v="0"/>
    <x v="1"/>
    <x v="1"/>
    <n v="79.046999999999997"/>
    <n v="85.4"/>
    <n v="7.4391100702576205"/>
    <x v="597"/>
  </r>
  <r>
    <s v="Direct,STnet,40"/>
    <x v="0"/>
    <x v="1"/>
    <x v="1"/>
    <n v="70.900999999999996"/>
    <n v="85.4"/>
    <n v="16.977751756440291"/>
    <x v="598"/>
  </r>
  <r>
    <s v="Direct,STnet,40"/>
    <x v="0"/>
    <x v="1"/>
    <x v="1"/>
    <n v="89.775999999999996"/>
    <n v="85.4"/>
    <n v="5.1241217798594727"/>
    <x v="534"/>
  </r>
  <r>
    <s v="Direct,STnet,40"/>
    <x v="0"/>
    <x v="1"/>
    <x v="1"/>
    <n v="93.067999999999998"/>
    <n v="85.4"/>
    <n v="8.9789227166276238"/>
    <x v="599"/>
  </r>
  <r>
    <s v="Direct,STnet,60"/>
    <x v="0"/>
    <x v="1"/>
    <x v="2"/>
    <n v="110.57899999999999"/>
    <n v="113.5"/>
    <n v="2.5735682819383316"/>
    <x v="600"/>
  </r>
  <r>
    <s v="Direct,STnet,60"/>
    <x v="0"/>
    <x v="1"/>
    <x v="2"/>
    <n v="122.747"/>
    <n v="113.5"/>
    <n v="8.1471365638766517"/>
    <x v="601"/>
  </r>
  <r>
    <s v="Direct,STnet,60"/>
    <x v="0"/>
    <x v="1"/>
    <x v="2"/>
    <n v="113.309"/>
    <n v="113.5"/>
    <n v="0.16828193832599339"/>
    <x v="602"/>
  </r>
  <r>
    <s v="Direct,STnet,60"/>
    <x v="0"/>
    <x v="1"/>
    <x v="2"/>
    <n v="113.309"/>
    <n v="113.5"/>
    <n v="0.16828193832599339"/>
    <x v="602"/>
  </r>
  <r>
    <s v="Direct,STnet,60"/>
    <x v="0"/>
    <x v="1"/>
    <x v="2"/>
    <n v="114.017"/>
    <n v="113.5"/>
    <n v="0.45550660792951181"/>
    <x v="603"/>
  </r>
  <r>
    <s v="Direct,STnet,60"/>
    <x v="0"/>
    <x v="1"/>
    <x v="2"/>
    <n v="104.72499999999999"/>
    <n v="113.5"/>
    <n v="7.7312775330396528"/>
    <x v="604"/>
  </r>
  <r>
    <s v="Direct,STnet,60"/>
    <x v="0"/>
    <x v="1"/>
    <x v="2"/>
    <n v="115.309"/>
    <n v="113.5"/>
    <n v="1.5938325991189404"/>
    <x v="605"/>
  </r>
  <r>
    <s v="Direct,STnet,60"/>
    <x v="0"/>
    <x v="1"/>
    <x v="2"/>
    <n v="126.331"/>
    <n v="113.5"/>
    <n v="11.304845814977977"/>
    <x v="606"/>
  </r>
  <r>
    <s v="Direct,STnet,60"/>
    <x v="0"/>
    <x v="1"/>
    <x v="2"/>
    <n v="111.309"/>
    <n v="113.5"/>
    <n v="1.9303964757709273"/>
    <x v="607"/>
  </r>
  <r>
    <s v="Direct,STnet,60"/>
    <x v="0"/>
    <x v="1"/>
    <x v="2"/>
    <n v="118.38200000000001"/>
    <n v="113.5"/>
    <n v="4.3013215859030884"/>
    <x v="608"/>
  </r>
  <r>
    <s v="Direct,STnet,60"/>
    <x v="0"/>
    <x v="1"/>
    <x v="2"/>
    <n v="100.43300000000001"/>
    <n v="113.5"/>
    <n v="11.512775330396471"/>
    <x v="609"/>
  </r>
  <r>
    <s v="Direct,STnet,60"/>
    <x v="0"/>
    <x v="1"/>
    <x v="2"/>
    <n v="118.38200000000001"/>
    <n v="113.5"/>
    <n v="4.3013215859030884"/>
    <x v="608"/>
  </r>
  <r>
    <s v="Direct,STnet,60"/>
    <x v="0"/>
    <x v="1"/>
    <x v="2"/>
    <n v="124.747"/>
    <n v="113.5"/>
    <n v="9.9092511013215852"/>
    <x v="610"/>
  </r>
  <r>
    <s v="Direct,STnet,60"/>
    <x v="0"/>
    <x v="1"/>
    <x v="2"/>
    <n v="114.38200000000001"/>
    <n v="113.5"/>
    <n v="0.7770925110132203"/>
    <x v="611"/>
  </r>
  <r>
    <s v="Direct,STnet,60"/>
    <x v="0"/>
    <x v="1"/>
    <x v="2"/>
    <n v="120.309"/>
    <n v="113.5"/>
    <n v="5.9991189427312754"/>
    <x v="612"/>
  </r>
  <r>
    <s v="Direct,STnet,60"/>
    <x v="0"/>
    <x v="1"/>
    <x v="2"/>
    <n v="106.017"/>
    <n v="113.5"/>
    <n v="6.5929515418502245"/>
    <x v="613"/>
  </r>
  <r>
    <s v="Direct,STnet,60"/>
    <x v="0"/>
    <x v="1"/>
    <x v="2"/>
    <n v="112.236"/>
    <n v="113.5"/>
    <n v="1.1136563876651946"/>
    <x v="614"/>
  </r>
  <r>
    <s v="Direct,STnet,60"/>
    <x v="0"/>
    <x v="1"/>
    <x v="2"/>
    <n v="109.652"/>
    <n v="113.5"/>
    <n v="3.3903083700440519"/>
    <x v="615"/>
  </r>
  <r>
    <s v="Direct,STnet,60"/>
    <x v="0"/>
    <x v="1"/>
    <x v="2"/>
    <n v="111.09"/>
    <n v="113.5"/>
    <n v="2.1233480176211423"/>
    <x v="616"/>
  </r>
  <r>
    <s v="Direct,STnet,60"/>
    <x v="0"/>
    <x v="1"/>
    <x v="2"/>
    <n v="117.309"/>
    <n v="113.5"/>
    <n v="3.355947136563874"/>
    <x v="617"/>
  </r>
  <r>
    <s v="Direct,STnet,60"/>
    <x v="0"/>
    <x v="1"/>
    <x v="2"/>
    <n v="107.652"/>
    <n v="113.5"/>
    <n v="5.1524229074889858"/>
    <x v="618"/>
  </r>
  <r>
    <s v="Direct,STnet,60"/>
    <x v="0"/>
    <x v="1"/>
    <x v="2"/>
    <n v="114.163"/>
    <n v="113.5"/>
    <n v="0.58414096916299263"/>
    <x v="619"/>
  </r>
  <r>
    <s v="Direct,STnet,60"/>
    <x v="0"/>
    <x v="1"/>
    <x v="2"/>
    <n v="123.601"/>
    <n v="113.5"/>
    <n v="8.8995594713656381"/>
    <x v="620"/>
  </r>
  <r>
    <s v="Direct,STnet,60"/>
    <x v="0"/>
    <x v="1"/>
    <x v="2"/>
    <n v="135.33099999999999"/>
    <n v="113.5"/>
    <n v="19.234361233480165"/>
    <x v="621"/>
  </r>
  <r>
    <s v="Direct,STnet,60"/>
    <x v="0"/>
    <x v="1"/>
    <x v="2"/>
    <n v="106.28700000000001"/>
    <n v="113.5"/>
    <n v="6.355066079295149"/>
    <x v="622"/>
  </r>
  <r>
    <s v="Direct,STnet,60"/>
    <x v="0"/>
    <x v="1"/>
    <x v="2"/>
    <n v="123.82"/>
    <n v="113.5"/>
    <n v="9.0925110132158515"/>
    <x v="623"/>
  </r>
  <r>
    <s v="Direct,STnet,60"/>
    <x v="0"/>
    <x v="1"/>
    <x v="2"/>
    <n v="122.67400000000001"/>
    <n v="113.5"/>
    <n v="8.0828193832599169"/>
    <x v="624"/>
  </r>
  <r>
    <s v="Direct,STnet,60"/>
    <x v="0"/>
    <x v="1"/>
    <x v="2"/>
    <n v="111.871"/>
    <n v="113.5"/>
    <n v="1.4352422907489031"/>
    <x v="625"/>
  </r>
  <r>
    <s v="Direct,STnet,60"/>
    <x v="0"/>
    <x v="1"/>
    <x v="2"/>
    <n v="116.67400000000001"/>
    <n v="113.5"/>
    <n v="2.7964757709251162"/>
    <x v="626"/>
  </r>
  <r>
    <s v="Direct,STnet,60"/>
    <x v="0"/>
    <x v="1"/>
    <x v="2"/>
    <n v="108.652"/>
    <n v="113.5"/>
    <n v="4.2713656387665191"/>
    <x v="627"/>
  </r>
  <r>
    <s v="Direct,STnet,60"/>
    <x v="0"/>
    <x v="1"/>
    <x v="2"/>
    <n v="116.944"/>
    <n v="113.5"/>
    <n v="3.0343612334801784"/>
    <x v="628"/>
  </r>
  <r>
    <s v="Direct,STnet,60"/>
    <x v="0"/>
    <x v="1"/>
    <x v="2"/>
    <n v="112.017"/>
    <n v="113.5"/>
    <n v="1.3066079295154223"/>
    <x v="629"/>
  </r>
  <r>
    <s v="Direct,STnet,60"/>
    <x v="0"/>
    <x v="1"/>
    <x v="2"/>
    <n v="130.96600000000001"/>
    <n v="113.5"/>
    <n v="15.388546255506617"/>
    <x v="630"/>
  </r>
  <r>
    <s v="Direct,STnet,60"/>
    <x v="0"/>
    <x v="1"/>
    <x v="2"/>
    <n v="128.03899999999999"/>
    <n v="113.5"/>
    <n v="12.809691629955935"/>
    <x v="631"/>
  </r>
  <r>
    <s v="Direct,STnet,60"/>
    <x v="0"/>
    <x v="1"/>
    <x v="2"/>
    <n v="123.82"/>
    <n v="113.5"/>
    <n v="9.0925110132158515"/>
    <x v="623"/>
  </r>
  <r>
    <s v="Direct,STnet,60"/>
    <x v="0"/>
    <x v="1"/>
    <x v="2"/>
    <n v="133.55000000000001"/>
    <n v="113.5"/>
    <n v="17.665198237885473"/>
    <x v="632"/>
  </r>
  <r>
    <s v="Direct,STnet,60"/>
    <x v="0"/>
    <x v="1"/>
    <x v="2"/>
    <n v="124.82"/>
    <n v="113.5"/>
    <n v="9.97356828193832"/>
    <x v="633"/>
  </r>
  <r>
    <s v="Direct,STnet,60"/>
    <x v="0"/>
    <x v="1"/>
    <x v="2"/>
    <n v="130.11199999999999"/>
    <n v="113.5"/>
    <n v="14.636123348017616"/>
    <x v="634"/>
  </r>
  <r>
    <s v="Direct,STnet,60"/>
    <x v="0"/>
    <x v="1"/>
    <x v="2"/>
    <n v="108.57899999999999"/>
    <n v="113.5"/>
    <n v="4.3356828193832655"/>
    <x v="635"/>
  </r>
  <r>
    <s v="Direct,STnet,60"/>
    <x v="0"/>
    <x v="1"/>
    <x v="2"/>
    <n v="111.09"/>
    <n v="113.5"/>
    <n v="2.1233480176211423"/>
    <x v="616"/>
  </r>
  <r>
    <s v="Direct,STnet,60"/>
    <x v="0"/>
    <x v="1"/>
    <x v="2"/>
    <n v="115.38200000000001"/>
    <n v="113.5"/>
    <n v="1.6581497797356872"/>
    <x v="636"/>
  </r>
  <r>
    <s v="Direct,STnet,60"/>
    <x v="0"/>
    <x v="1"/>
    <x v="2"/>
    <n v="112.163"/>
    <n v="113.5"/>
    <n v="1.1779735682819412"/>
    <x v="637"/>
  </r>
  <r>
    <s v="Direct,STnet,60"/>
    <x v="0"/>
    <x v="1"/>
    <x v="2"/>
    <n v="117.601"/>
    <n v="113.5"/>
    <n v="3.6132158590308361"/>
    <x v="638"/>
  </r>
  <r>
    <s v="Direct,STnet,60"/>
    <x v="0"/>
    <x v="1"/>
    <x v="2"/>
    <n v="122.52800000000001"/>
    <n v="113.5"/>
    <n v="7.9541850220264374"/>
    <x v="639"/>
  </r>
  <r>
    <s v="Direct,STnet,60"/>
    <x v="0"/>
    <x v="1"/>
    <x v="2"/>
    <n v="111.017"/>
    <n v="113.5"/>
    <n v="2.1876651982378892"/>
    <x v="640"/>
  </r>
  <r>
    <s v="Direct,STnet,60"/>
    <x v="0"/>
    <x v="1"/>
    <x v="2"/>
    <n v="120.309"/>
    <n v="113.5"/>
    <n v="5.9991189427312754"/>
    <x v="612"/>
  </r>
  <r>
    <s v="Direct,STnet,60"/>
    <x v="0"/>
    <x v="1"/>
    <x v="2"/>
    <n v="118.163"/>
    <n v="113.5"/>
    <n v="4.1083700440528608"/>
    <x v="641"/>
  </r>
  <r>
    <s v="Direct,STnet,60"/>
    <x v="0"/>
    <x v="1"/>
    <x v="2"/>
    <n v="119.67400000000001"/>
    <n v="113.5"/>
    <n v="5.4396475770925168"/>
    <x v="642"/>
  </r>
  <r>
    <s v="Direct,STnet,60"/>
    <x v="0"/>
    <x v="1"/>
    <x v="2"/>
    <n v="118.309"/>
    <n v="113.5"/>
    <n v="4.2370044052863411"/>
    <x v="643"/>
  </r>
  <r>
    <s v="Direct,STnet,60"/>
    <x v="0"/>
    <x v="1"/>
    <x v="2"/>
    <n v="114.09"/>
    <n v="113.5"/>
    <n v="0.51982378854625844"/>
    <x v="644"/>
  </r>
  <r>
    <s v="Direct,STnet,60"/>
    <x v="0"/>
    <x v="1"/>
    <x v="2"/>
    <n v="122.09"/>
    <n v="113.5"/>
    <n v="7.5682819383259936"/>
    <x v="645"/>
  </r>
  <r>
    <s v="Direct,STnet,60"/>
    <x v="0"/>
    <x v="1"/>
    <x v="2"/>
    <n v="115.52800000000001"/>
    <n v="113.5"/>
    <n v="1.7867841409691683"/>
    <x v="646"/>
  </r>
  <r>
    <s v="Direct,STnet,60"/>
    <x v="0"/>
    <x v="1"/>
    <x v="2"/>
    <n v="119.601"/>
    <n v="113.5"/>
    <n v="5.3753303964757704"/>
    <x v="647"/>
  </r>
  <r>
    <s v="Direct,STnet,60"/>
    <x v="0"/>
    <x v="1"/>
    <x v="2"/>
    <n v="110.163"/>
    <n v="113.5"/>
    <n v="2.9400881057268751"/>
    <x v="648"/>
  </r>
  <r>
    <s v="Direct,STnet,60"/>
    <x v="0"/>
    <x v="1"/>
    <x v="2"/>
    <n v="117.52800000000001"/>
    <n v="113.5"/>
    <n v="3.5488986784141021"/>
    <x v="649"/>
  </r>
  <r>
    <s v="Direct,STnet,60"/>
    <x v="0"/>
    <x v="1"/>
    <x v="2"/>
    <n v="116.236"/>
    <n v="113.5"/>
    <n v="2.4105726872246733"/>
    <x v="650"/>
  </r>
  <r>
    <s v="Direct,STnet,60"/>
    <x v="0"/>
    <x v="1"/>
    <x v="2"/>
    <n v="136.185"/>
    <n v="113.5"/>
    <n v="19.986784140969167"/>
    <x v="651"/>
  </r>
  <r>
    <s v="Direct,STnet,60"/>
    <x v="0"/>
    <x v="1"/>
    <x v="2"/>
    <n v="124.893"/>
    <n v="113.5"/>
    <n v="10.037885462555067"/>
    <x v="652"/>
  </r>
  <r>
    <s v="Direct,STnet,60"/>
    <x v="0"/>
    <x v="1"/>
    <x v="2"/>
    <n v="103.36"/>
    <n v="113.5"/>
    <n v="8.933920704845816"/>
    <x v="653"/>
  </r>
  <r>
    <s v="Direct,STnet,60"/>
    <x v="0"/>
    <x v="1"/>
    <x v="2"/>
    <n v="129.03899999999999"/>
    <n v="113.5"/>
    <n v="13.690748898678404"/>
    <x v="654"/>
  </r>
  <r>
    <s v="Direct,STnet,60"/>
    <x v="0"/>
    <x v="1"/>
    <x v="2"/>
    <n v="104.57899999999999"/>
    <n v="113.5"/>
    <n v="7.8599118942731332"/>
    <x v="655"/>
  </r>
  <r>
    <s v="Direct,STnet,60"/>
    <x v="0"/>
    <x v="1"/>
    <x v="2"/>
    <n v="121.455"/>
    <n v="113.5"/>
    <n v="7.0088105726872225"/>
    <x v="656"/>
  </r>
  <r>
    <s v="Direct,STnet,60"/>
    <x v="0"/>
    <x v="1"/>
    <x v="2"/>
    <n v="125.11199999999999"/>
    <n v="113.5"/>
    <n v="10.230837004405281"/>
    <x v="657"/>
  </r>
  <r>
    <s v="Direct,STnet,60"/>
    <x v="0"/>
    <x v="1"/>
    <x v="2"/>
    <n v="109.09"/>
    <n v="113.5"/>
    <n v="3.8854625550660762"/>
    <x v="658"/>
  </r>
  <r>
    <s v="Direct,STnet,60"/>
    <x v="0"/>
    <x v="1"/>
    <x v="2"/>
    <n v="131.452"/>
    <n v="113.5"/>
    <n v="15.816740088105725"/>
    <x v="659"/>
  </r>
  <r>
    <s v="Direct,STnet,60"/>
    <x v="0"/>
    <x v="1"/>
    <x v="2"/>
    <n v="123.601"/>
    <n v="113.5"/>
    <n v="8.8995594713656381"/>
    <x v="620"/>
  </r>
  <r>
    <s v="Direct,STnet,60"/>
    <x v="0"/>
    <x v="1"/>
    <x v="2"/>
    <n v="112.017"/>
    <n v="113.5"/>
    <n v="1.3066079295154223"/>
    <x v="629"/>
  </r>
  <r>
    <s v="Direct,STnet,60"/>
    <x v="0"/>
    <x v="1"/>
    <x v="2"/>
    <n v="123.67400000000001"/>
    <n v="113.5"/>
    <n v="8.9638766519823854"/>
    <x v="660"/>
  </r>
  <r>
    <s v="Direct,STnet,60"/>
    <x v="0"/>
    <x v="1"/>
    <x v="2"/>
    <n v="124.039"/>
    <n v="113.5"/>
    <n v="9.285462555066081"/>
    <x v="661"/>
  </r>
  <r>
    <s v="Direct,STnet,60"/>
    <x v="0"/>
    <x v="1"/>
    <x v="2"/>
    <n v="119.38200000000001"/>
    <n v="113.5"/>
    <n v="5.1823788546255551"/>
    <x v="662"/>
  </r>
  <r>
    <s v="Direct,STnet,60"/>
    <x v="0"/>
    <x v="1"/>
    <x v="2"/>
    <n v="115.09"/>
    <n v="113.5"/>
    <n v="1.4008810572687256"/>
    <x v="663"/>
  </r>
  <r>
    <s v="Direct,STnet,60"/>
    <x v="0"/>
    <x v="1"/>
    <x v="2"/>
    <n v="110.017"/>
    <n v="113.5"/>
    <n v="3.0687224669603559"/>
    <x v="664"/>
  </r>
  <r>
    <s v="Direct,STnet,60"/>
    <x v="0"/>
    <x v="1"/>
    <x v="2"/>
    <n v="115.455"/>
    <n v="113.5"/>
    <n v="1.7224669603524214"/>
    <x v="665"/>
  </r>
  <r>
    <s v="Direct,STnet,60"/>
    <x v="0"/>
    <x v="1"/>
    <x v="2"/>
    <n v="115.017"/>
    <n v="113.5"/>
    <n v="1.3365638766519787"/>
    <x v="666"/>
  </r>
  <r>
    <s v="Direct,STnet,60"/>
    <x v="0"/>
    <x v="1"/>
    <x v="2"/>
    <n v="120.747"/>
    <n v="113.5"/>
    <n v="6.3850220264317175"/>
    <x v="667"/>
  </r>
  <r>
    <s v="Direct,STnet,60"/>
    <x v="0"/>
    <x v="1"/>
    <x v="2"/>
    <n v="145.20699999999999"/>
    <n v="113.5"/>
    <n v="27.935682819383256"/>
    <x v="668"/>
  </r>
  <r>
    <s v="Direct,STnet,60"/>
    <x v="0"/>
    <x v="1"/>
    <x v="2"/>
    <n v="106.28700000000001"/>
    <n v="113.5"/>
    <n v="6.355066079295149"/>
    <x v="622"/>
  </r>
  <r>
    <s v="Direct,STnet,60"/>
    <x v="0"/>
    <x v="1"/>
    <x v="2"/>
    <n v="113.236"/>
    <n v="113.5"/>
    <n v="0.23259911894272758"/>
    <x v="669"/>
  </r>
  <r>
    <s v="Direct,STnet,60"/>
    <x v="0"/>
    <x v="1"/>
    <x v="2"/>
    <n v="116.309"/>
    <n v="113.5"/>
    <n v="2.4748898678414073"/>
    <x v="670"/>
  </r>
  <r>
    <s v="Direct,STnet,60"/>
    <x v="0"/>
    <x v="1"/>
    <x v="2"/>
    <n v="120.67400000000001"/>
    <n v="113.5"/>
    <n v="6.3207048458149835"/>
    <x v="671"/>
  </r>
  <r>
    <s v="Direct,STnet,60"/>
    <x v="0"/>
    <x v="1"/>
    <x v="2"/>
    <n v="133.477"/>
    <n v="113.5"/>
    <n v="17.600881057268726"/>
    <x v="672"/>
  </r>
  <r>
    <s v="Direct,STnet,60"/>
    <x v="0"/>
    <x v="1"/>
    <x v="2"/>
    <n v="119.163"/>
    <n v="113.5"/>
    <n v="4.9894273127753275"/>
    <x v="673"/>
  </r>
  <r>
    <s v="Direct,STnet,60"/>
    <x v="0"/>
    <x v="1"/>
    <x v="2"/>
    <n v="118.52800000000001"/>
    <n v="113.5"/>
    <n v="4.4299559471365688"/>
    <x v="674"/>
  </r>
  <r>
    <s v="Direct,STnet,60"/>
    <x v="0"/>
    <x v="1"/>
    <x v="2"/>
    <n v="133.74700000000001"/>
    <n v="113.5"/>
    <n v="17.8387665198238"/>
    <x v="675"/>
  </r>
  <r>
    <s v="Direct,STnet,60"/>
    <x v="0"/>
    <x v="1"/>
    <x v="2"/>
    <n v="135.404"/>
    <n v="113.5"/>
    <n v="19.298678414096912"/>
    <x v="676"/>
  </r>
  <r>
    <s v="Direct,STnet,60"/>
    <x v="0"/>
    <x v="1"/>
    <x v="2"/>
    <n v="112.236"/>
    <n v="113.5"/>
    <n v="1.1136563876651946"/>
    <x v="614"/>
  </r>
  <r>
    <s v="Direct,STnet,60"/>
    <x v="0"/>
    <x v="1"/>
    <x v="2"/>
    <n v="109.72499999999999"/>
    <n v="113.5"/>
    <n v="3.325991189427318"/>
    <x v="677"/>
  </r>
  <r>
    <s v="Direct,STnet,60"/>
    <x v="0"/>
    <x v="1"/>
    <x v="2"/>
    <n v="110.798"/>
    <n v="113.5"/>
    <n v="2.380616740088104"/>
    <x v="678"/>
  </r>
  <r>
    <s v="Direct,STnet,60"/>
    <x v="0"/>
    <x v="1"/>
    <x v="2"/>
    <n v="105.72499999999999"/>
    <n v="113.5"/>
    <n v="6.8502202643171861"/>
    <x v="679"/>
  </r>
  <r>
    <s v="Direct,STnet,60"/>
    <x v="0"/>
    <x v="1"/>
    <x v="2"/>
    <n v="107.43300000000001"/>
    <n v="113.5"/>
    <n v="5.345374449339201"/>
    <x v="680"/>
  </r>
  <r>
    <s v="Direct,STnet,60"/>
    <x v="0"/>
    <x v="1"/>
    <x v="2"/>
    <n v="102.36"/>
    <n v="113.5"/>
    <n v="9.8149779735682827"/>
    <x v="681"/>
  </r>
  <r>
    <s v="Direct,STnet,60"/>
    <x v="0"/>
    <x v="1"/>
    <x v="2"/>
    <n v="112.163"/>
    <n v="113.5"/>
    <n v="1.1779735682819412"/>
    <x v="637"/>
  </r>
  <r>
    <s v="Direct,STnet,60"/>
    <x v="0"/>
    <x v="1"/>
    <x v="2"/>
    <n v="111.871"/>
    <n v="113.5"/>
    <n v="1.4352422907489031"/>
    <x v="625"/>
  </r>
  <r>
    <s v="Direct,STnet,60"/>
    <x v="0"/>
    <x v="1"/>
    <x v="2"/>
    <n v="111.52800000000001"/>
    <n v="113.5"/>
    <n v="1.7374449339206997"/>
    <x v="682"/>
  </r>
  <r>
    <s v="Direct,STnet,60"/>
    <x v="0"/>
    <x v="1"/>
    <x v="2"/>
    <n v="120.67400000000001"/>
    <n v="113.5"/>
    <n v="6.3207048458149835"/>
    <x v="671"/>
  </r>
  <r>
    <s v="Direct,STnet,60"/>
    <x v="0"/>
    <x v="1"/>
    <x v="2"/>
    <n v="119.944"/>
    <n v="113.5"/>
    <n v="5.6775330396475798"/>
    <x v="683"/>
  </r>
  <r>
    <s v="Direct,STnet,60"/>
    <x v="0"/>
    <x v="1"/>
    <x v="2"/>
    <n v="102.506"/>
    <n v="113.5"/>
    <n v="9.6863436123348006"/>
    <x v="684"/>
  </r>
  <r>
    <s v="Direct,STnet,60"/>
    <x v="0"/>
    <x v="1"/>
    <x v="2"/>
    <n v="103.43300000000001"/>
    <n v="113.5"/>
    <n v="8.8696035242290687"/>
    <x v="685"/>
  </r>
  <r>
    <s v="Direct,STnet,60"/>
    <x v="0"/>
    <x v="1"/>
    <x v="2"/>
    <n v="120.52800000000001"/>
    <n v="113.5"/>
    <n v="6.1920704845815031"/>
    <x v="686"/>
  </r>
  <r>
    <s v="Direct,STnet,60"/>
    <x v="0"/>
    <x v="1"/>
    <x v="2"/>
    <n v="108.944"/>
    <n v="113.5"/>
    <n v="4.0140969162995574"/>
    <x v="687"/>
  </r>
  <r>
    <s v="Direct,STnet,80"/>
    <x v="0"/>
    <x v="1"/>
    <x v="3"/>
    <n v="132.16"/>
    <n v="147"/>
    <n v="10.095238095238097"/>
    <x v="688"/>
  </r>
  <r>
    <s v="Direct,STnet,80"/>
    <x v="0"/>
    <x v="1"/>
    <x v="3"/>
    <n v="156.00800000000001"/>
    <n v="147"/>
    <n v="6.1278911564625913"/>
    <x v="689"/>
  </r>
  <r>
    <s v="Direct,STnet,80"/>
    <x v="0"/>
    <x v="1"/>
    <x v="3"/>
    <n v="144.59800000000001"/>
    <n v="147"/>
    <n v="1.6340136054421681"/>
    <x v="690"/>
  </r>
  <r>
    <s v="Direct,STnet,80"/>
    <x v="0"/>
    <x v="1"/>
    <x v="3"/>
    <n v="134.55000000000001"/>
    <n v="147"/>
    <n v="8.4693877551020336"/>
    <x v="691"/>
  </r>
  <r>
    <s v="Direct,STnet,80"/>
    <x v="0"/>
    <x v="1"/>
    <x v="3"/>
    <n v="136.185"/>
    <n v="147"/>
    <n v="7.357142857142855"/>
    <x v="692"/>
  </r>
  <r>
    <s v="Direct,STnet,80"/>
    <x v="0"/>
    <x v="1"/>
    <x v="3"/>
    <n v="158.40100000000001"/>
    <n v="147"/>
    <n v="7.7557823129251773"/>
    <x v="693"/>
  </r>
  <r>
    <s v="Direct,STnet,80"/>
    <x v="0"/>
    <x v="1"/>
    <x v="3"/>
    <n v="146.84100000000001"/>
    <n v="147"/>
    <n v="0.10816326530611689"/>
    <x v="694"/>
  </r>
  <r>
    <s v="Direct,STnet,80"/>
    <x v="0"/>
    <x v="1"/>
    <x v="3"/>
    <n v="148.54599999999999"/>
    <n v="147"/>
    <n v="1.0517006802721036"/>
    <x v="695"/>
  </r>
  <r>
    <s v="Direct,STnet,80"/>
    <x v="0"/>
    <x v="1"/>
    <x v="3"/>
    <n v="141.62299999999999"/>
    <n v="147"/>
    <n v="3.6578231292517067"/>
    <x v="696"/>
  </r>
  <r>
    <s v="Direct,STnet,80"/>
    <x v="0"/>
    <x v="1"/>
    <x v="3"/>
    <n v="138.03899999999999"/>
    <n v="147"/>
    <n v="6.0959183673469477"/>
    <x v="697"/>
  </r>
  <r>
    <s v="Direct,STnet,80"/>
    <x v="0"/>
    <x v="1"/>
    <x v="3"/>
    <n v="151.42500000000001"/>
    <n v="147"/>
    <n v="3.0102040816326605"/>
    <x v="698"/>
  </r>
  <r>
    <s v="Direct,STnet,80"/>
    <x v="0"/>
    <x v="1"/>
    <x v="3"/>
    <n v="143.67099999999999"/>
    <n v="147"/>
    <n v="2.2646258503401415"/>
    <x v="699"/>
  </r>
  <r>
    <s v="Direct,STnet,80"/>
    <x v="0"/>
    <x v="1"/>
    <x v="3"/>
    <n v="144.47300000000001"/>
    <n v="147"/>
    <n v="1.7190476190476101"/>
    <x v="700"/>
  </r>
  <r>
    <s v="Direct,STnet,80"/>
    <x v="0"/>
    <x v="1"/>
    <x v="3"/>
    <n v="145.37899999999999"/>
    <n v="147"/>
    <n v="1.1027210884353804"/>
    <x v="701"/>
  </r>
  <r>
    <s v="Direct,STnet,80"/>
    <x v="0"/>
    <x v="1"/>
    <x v="3"/>
    <n v="148.84200000000001"/>
    <n v="147"/>
    <n v="1.2530612244898047"/>
    <x v="702"/>
  </r>
  <r>
    <s v="Direct,STnet,80"/>
    <x v="0"/>
    <x v="1"/>
    <x v="3"/>
    <n v="133.84200000000001"/>
    <n v="147"/>
    <n v="8.9510204081632576"/>
    <x v="703"/>
  </r>
  <r>
    <s v="Direct,STnet,80"/>
    <x v="0"/>
    <x v="1"/>
    <x v="3"/>
    <n v="136.16"/>
    <n v="147"/>
    <n v="7.3741496598639475"/>
    <x v="704"/>
  </r>
  <r>
    <s v="Direct,STnet,80"/>
    <x v="0"/>
    <x v="1"/>
    <x v="3"/>
    <n v="127.82"/>
    <n v="147"/>
    <n v="13.047619047619053"/>
    <x v="705"/>
  </r>
  <r>
    <s v="Direct,STnet,80"/>
    <x v="0"/>
    <x v="1"/>
    <x v="3"/>
    <n v="164.00899999999999"/>
    <n v="147"/>
    <n v="11.570748299319717"/>
    <x v="706"/>
  </r>
  <r>
    <s v="Direct,STnet,80"/>
    <x v="0"/>
    <x v="1"/>
    <x v="3"/>
    <n v="157.352"/>
    <n v="147"/>
    <n v="7.0421768707483023"/>
    <x v="707"/>
  </r>
  <r>
    <s v="Direct,STnet,80"/>
    <x v="0"/>
    <x v="1"/>
    <x v="3"/>
    <n v="157.44900000000001"/>
    <n v="147"/>
    <n v="7.1081632653061302"/>
    <x v="708"/>
  </r>
  <r>
    <s v="Direct,STnet,80"/>
    <x v="0"/>
    <x v="1"/>
    <x v="3"/>
    <n v="158.47300000000001"/>
    <n v="147"/>
    <n v="7.8047619047619143"/>
    <x v="709"/>
  </r>
  <r>
    <s v="Direct,STnet,80"/>
    <x v="0"/>
    <x v="1"/>
    <x v="3"/>
    <n v="143.816"/>
    <n v="147"/>
    <n v="2.1659863945578213"/>
    <x v="710"/>
  </r>
  <r>
    <s v="Direct,STnet,80"/>
    <x v="0"/>
    <x v="1"/>
    <x v="3"/>
    <n v="149.327"/>
    <n v="147"/>
    <n v="1.5829931972789104"/>
    <x v="711"/>
  </r>
  <r>
    <s v="Direct,STnet,80"/>
    <x v="0"/>
    <x v="1"/>
    <x v="3"/>
    <n v="160.98400000000001"/>
    <n v="147"/>
    <n v="9.5129251700680335"/>
    <x v="712"/>
  </r>
  <r>
    <s v="Direct,STnet,80"/>
    <x v="0"/>
    <x v="1"/>
    <x v="3"/>
    <n v="142.81700000000001"/>
    <n v="147"/>
    <n v="2.8455782312925124"/>
    <x v="713"/>
  </r>
  <r>
    <s v="Direct,STnet,80"/>
    <x v="0"/>
    <x v="1"/>
    <x v="3"/>
    <n v="153.20599999999999"/>
    <n v="147"/>
    <n v="4.2217687074829851"/>
    <x v="714"/>
  </r>
  <r>
    <s v="Direct,STnet,80"/>
    <x v="0"/>
    <x v="1"/>
    <x v="3"/>
    <n v="145.59800000000001"/>
    <n v="147"/>
    <n v="0.95374149659863039"/>
    <x v="715"/>
  </r>
  <r>
    <s v="Direct,STnet,80"/>
    <x v="0"/>
    <x v="1"/>
    <x v="3"/>
    <n v="137.76900000000001"/>
    <n v="147"/>
    <n v="6.2795918367346895"/>
    <x v="716"/>
  </r>
  <r>
    <s v="Direct,STnet,80"/>
    <x v="0"/>
    <x v="1"/>
    <x v="3"/>
    <n v="143.404"/>
    <n v="147"/>
    <n v="2.4462585034013631"/>
    <x v="717"/>
  </r>
  <r>
    <s v="Direct,STnet,80"/>
    <x v="0"/>
    <x v="1"/>
    <x v="3"/>
    <n v="136.452"/>
    <n v="147"/>
    <n v="7.1755102040816334"/>
    <x v="718"/>
  </r>
  <r>
    <s v="Direct,STnet,80"/>
    <x v="0"/>
    <x v="1"/>
    <x v="3"/>
    <n v="167.08199999999999"/>
    <n v="147"/>
    <n v="13.661224489795915"/>
    <x v="719"/>
  </r>
  <r>
    <s v="Direct,STnet,80"/>
    <x v="0"/>
    <x v="1"/>
    <x v="3"/>
    <n v="161.71700000000001"/>
    <n v="147"/>
    <n v="10.011564625850349"/>
    <x v="720"/>
  </r>
  <r>
    <s v="Direct,STnet,80"/>
    <x v="0"/>
    <x v="1"/>
    <x v="3"/>
    <n v="142.76900000000001"/>
    <n v="147"/>
    <n v="2.878231292517003"/>
    <x v="721"/>
  </r>
  <r>
    <s v="Direct,STnet,80"/>
    <x v="0"/>
    <x v="1"/>
    <x v="3"/>
    <n v="144.59800000000001"/>
    <n v="147"/>
    <n v="1.6340136054421681"/>
    <x v="690"/>
  </r>
  <r>
    <s v="Direct,STnet,80"/>
    <x v="0"/>
    <x v="1"/>
    <x v="3"/>
    <n v="162.46899999999999"/>
    <n v="147"/>
    <n v="10.523129251700675"/>
    <x v="722"/>
  </r>
  <r>
    <s v="Direct,STnet,80"/>
    <x v="0"/>
    <x v="1"/>
    <x v="3"/>
    <n v="155.86199999999999"/>
    <n v="147"/>
    <n v="6.0285714285714249"/>
    <x v="723"/>
  </r>
  <r>
    <s v="Direct,STnet,80"/>
    <x v="0"/>
    <x v="1"/>
    <x v="3"/>
    <n v="153.49799999999999"/>
    <n v="147"/>
    <n v="4.4204081632653001"/>
    <x v="724"/>
  </r>
  <r>
    <s v="Direct,STnet,80"/>
    <x v="0"/>
    <x v="1"/>
    <x v="3"/>
    <n v="139.477"/>
    <n v="147"/>
    <n v="5.1176870748299299"/>
    <x v="725"/>
  </r>
  <r>
    <s v="Direct,STnet,80"/>
    <x v="0"/>
    <x v="1"/>
    <x v="3"/>
    <n v="153.25399999999999"/>
    <n v="147"/>
    <n v="4.254421768707477"/>
    <x v="726"/>
  </r>
  <r>
    <s v="Direct,STnet,80"/>
    <x v="0"/>
    <x v="1"/>
    <x v="3"/>
    <n v="161.571"/>
    <n v="147"/>
    <n v="9.912244897959182"/>
    <x v="727"/>
  </r>
  <r>
    <s v="Direct,STnet,80"/>
    <x v="0"/>
    <x v="1"/>
    <x v="3"/>
    <n v="141.91399999999999"/>
    <n v="147"/>
    <n v="3.4598639455782401"/>
    <x v="728"/>
  </r>
  <r>
    <s v="Direct,STnet,80"/>
    <x v="0"/>
    <x v="1"/>
    <x v="3"/>
    <n v="141.45099999999999"/>
    <n v="147"/>
    <n v="3.7748299319727936"/>
    <x v="729"/>
  </r>
  <r>
    <s v="Direct,STnet,80"/>
    <x v="0"/>
    <x v="1"/>
    <x v="3"/>
    <n v="137.62299999999999"/>
    <n v="147"/>
    <n v="6.3789115646258567"/>
    <x v="730"/>
  </r>
  <r>
    <s v="Direct,STnet,80"/>
    <x v="0"/>
    <x v="1"/>
    <x v="3"/>
    <n v="154.352"/>
    <n v="147"/>
    <n v="5.0013605442176896"/>
    <x v="731"/>
  </r>
  <r>
    <s v="Direct,STnet,80"/>
    <x v="0"/>
    <x v="1"/>
    <x v="3"/>
    <n v="157.13399999999999"/>
    <n v="147"/>
    <n v="6.893877551020398"/>
    <x v="732"/>
  </r>
  <r>
    <s v="Direct,STnet,80"/>
    <x v="0"/>
    <x v="1"/>
    <x v="3"/>
    <n v="138.404"/>
    <n v="147"/>
    <n v="5.8476190476190499"/>
    <x v="733"/>
  </r>
  <r>
    <s v="Direct,STnet,80"/>
    <x v="0"/>
    <x v="1"/>
    <x v="3"/>
    <n v="139.88999999999999"/>
    <n v="147"/>
    <n v="4.8367346938775606"/>
    <x v="734"/>
  </r>
  <r>
    <s v="Direct,STnet,80"/>
    <x v="0"/>
    <x v="1"/>
    <x v="3"/>
    <n v="140.18100000000001"/>
    <n v="147"/>
    <n v="4.6387755102040735"/>
    <x v="735"/>
  </r>
  <r>
    <s v="Direct,STnet,80"/>
    <x v="0"/>
    <x v="1"/>
    <x v="3"/>
    <n v="157.547"/>
    <n v="147"/>
    <n v="7.1748299319727868"/>
    <x v="736"/>
  </r>
  <r>
    <s v="Direct,STnet,80"/>
    <x v="0"/>
    <x v="1"/>
    <x v="3"/>
    <n v="138.33099999999999"/>
    <n v="147"/>
    <n v="5.8972789115646336"/>
    <x v="737"/>
  </r>
  <r>
    <s v="Direct,STnet,80"/>
    <x v="0"/>
    <x v="1"/>
    <x v="3"/>
    <n v="138.816"/>
    <n v="147"/>
    <n v="5.5673469387755086"/>
    <x v="738"/>
  </r>
  <r>
    <s v="Direct,STnet,80"/>
    <x v="0"/>
    <x v="1"/>
    <x v="3"/>
    <n v="134.03899999999999"/>
    <n v="147"/>
    <n v="8.8170068027210977"/>
    <x v="739"/>
  </r>
  <r>
    <s v="Direct,STnet,80"/>
    <x v="0"/>
    <x v="1"/>
    <x v="3"/>
    <n v="141.67099999999999"/>
    <n v="147"/>
    <n v="3.6251700680272161"/>
    <x v="740"/>
  </r>
  <r>
    <s v="Direct,STnet,80"/>
    <x v="0"/>
    <x v="1"/>
    <x v="3"/>
    <n v="135.768"/>
    <n v="147"/>
    <n v="7.6408163265306115"/>
    <x v="741"/>
  </r>
  <r>
    <s v="Direct,STnet,80"/>
    <x v="0"/>
    <x v="1"/>
    <x v="3"/>
    <n v="165.05799999999999"/>
    <n v="147"/>
    <n v="12.284353741496593"/>
    <x v="742"/>
  </r>
  <r>
    <s v="Direct,STnet,80"/>
    <x v="0"/>
    <x v="1"/>
    <x v="3"/>
    <n v="157.47300000000001"/>
    <n v="147"/>
    <n v="7.1244897959183762"/>
    <x v="743"/>
  </r>
  <r>
    <s v="Direct,STnet,80"/>
    <x v="0"/>
    <x v="1"/>
    <x v="3"/>
    <n v="154.13399999999999"/>
    <n v="147"/>
    <n v="4.8530612244897871"/>
    <x v="744"/>
  </r>
  <r>
    <s v="Direct,STnet,80"/>
    <x v="0"/>
    <x v="1"/>
    <x v="3"/>
    <n v="167.27600000000001"/>
    <n v="147"/>
    <n v="13.793197278911574"/>
    <x v="745"/>
  </r>
  <r>
    <s v="Direct,STnet,80"/>
    <x v="0"/>
    <x v="1"/>
    <x v="3"/>
    <n v="121.309"/>
    <n v="147"/>
    <n v="17.476870748299323"/>
    <x v="746"/>
  </r>
  <r>
    <s v="Direct,STnet,80"/>
    <x v="0"/>
    <x v="1"/>
    <x v="3"/>
    <n v="129.601"/>
    <n v="147"/>
    <n v="11.836054421768708"/>
    <x v="747"/>
  </r>
  <r>
    <s v="Direct,STnet,80"/>
    <x v="0"/>
    <x v="1"/>
    <x v="3"/>
    <n v="172.227"/>
    <n v="147"/>
    <n v="17.16122448979592"/>
    <x v="748"/>
  </r>
  <r>
    <s v="Direct,STnet,80"/>
    <x v="0"/>
    <x v="1"/>
    <x v="3"/>
    <n v="125.67400000000001"/>
    <n v="147"/>
    <n v="14.507482993197273"/>
    <x v="749"/>
  </r>
  <r>
    <s v="Direct,STnet,80"/>
    <x v="0"/>
    <x v="1"/>
    <x v="3"/>
    <n v="133.11199999999999"/>
    <n v="147"/>
    <n v="9.4476190476190514"/>
    <x v="750"/>
  </r>
  <r>
    <s v="Direct,STnet,80"/>
    <x v="0"/>
    <x v="1"/>
    <x v="3"/>
    <n v="153.47300000000001"/>
    <n v="147"/>
    <n v="4.403401360544227"/>
    <x v="751"/>
  </r>
  <r>
    <s v="Direct,STnet,80"/>
    <x v="0"/>
    <x v="1"/>
    <x v="3"/>
    <n v="141.477"/>
    <n v="147"/>
    <n v="3.7571428571428549"/>
    <x v="752"/>
  </r>
  <r>
    <s v="Direct,STnet,80"/>
    <x v="0"/>
    <x v="1"/>
    <x v="3"/>
    <n v="136.67099999999999"/>
    <n v="147"/>
    <n v="7.0265306122449038"/>
    <x v="753"/>
  </r>
  <r>
    <s v="Direct,STnet,80"/>
    <x v="0"/>
    <x v="1"/>
    <x v="3"/>
    <n v="163.571"/>
    <n v="147"/>
    <n v="11.272789115646258"/>
    <x v="754"/>
  </r>
  <r>
    <s v="Direct,STnet,80"/>
    <x v="0"/>
    <x v="1"/>
    <x v="3"/>
    <n v="156.571"/>
    <n v="147"/>
    <n v="6.5108843537414947"/>
    <x v="755"/>
  </r>
  <r>
    <s v="Direct,STnet,80"/>
    <x v="0"/>
    <x v="1"/>
    <x v="3"/>
    <n v="155.54599999999999"/>
    <n v="147"/>
    <n v="5.8136054421768657"/>
    <x v="756"/>
  </r>
  <r>
    <s v="Direct,STnet,80"/>
    <x v="0"/>
    <x v="1"/>
    <x v="3"/>
    <n v="171.499"/>
    <n v="147"/>
    <n v="16.665986394557819"/>
    <x v="757"/>
  </r>
  <r>
    <s v="Direct,STnet,80"/>
    <x v="0"/>
    <x v="1"/>
    <x v="3"/>
    <n v="136.208"/>
    <n v="147"/>
    <n v="7.3414965986394565"/>
    <x v="758"/>
  </r>
  <r>
    <s v="Direct,STnet,80"/>
    <x v="0"/>
    <x v="1"/>
    <x v="3"/>
    <n v="156.279"/>
    <n v="147"/>
    <n v="6.3122448979591805"/>
    <x v="759"/>
  </r>
  <r>
    <s v="Direct,STnet,80"/>
    <x v="0"/>
    <x v="1"/>
    <x v="3"/>
    <n v="134.67400000000001"/>
    <n v="147"/>
    <n v="8.3850340136054378"/>
    <x v="760"/>
  </r>
  <r>
    <s v="Direct,STnet,80"/>
    <x v="0"/>
    <x v="1"/>
    <x v="3"/>
    <n v="127.67400000000001"/>
    <n v="147"/>
    <n v="13.146938775510201"/>
    <x v="761"/>
  </r>
  <r>
    <s v="Direct,STnet,80"/>
    <x v="0"/>
    <x v="1"/>
    <x v="3"/>
    <n v="136.185"/>
    <n v="147"/>
    <n v="7.357142857142855"/>
    <x v="692"/>
  </r>
  <r>
    <s v="Direct,STnet,80"/>
    <x v="0"/>
    <x v="1"/>
    <x v="3"/>
    <n v="134.11199999999999"/>
    <n v="147"/>
    <n v="8.7673469387755141"/>
    <x v="762"/>
  </r>
  <r>
    <s v="Direct,STnet,80"/>
    <x v="0"/>
    <x v="1"/>
    <x v="3"/>
    <n v="165.12899999999999"/>
    <n v="147"/>
    <n v="12.332653061224482"/>
    <x v="763"/>
  </r>
  <r>
    <s v="Direct,STnet,80"/>
    <x v="0"/>
    <x v="1"/>
    <x v="3"/>
    <n v="155.18199999999999"/>
    <n v="147"/>
    <n v="5.5659863945578145"/>
    <x v="764"/>
  </r>
  <r>
    <s v="Direct,STnet,80"/>
    <x v="0"/>
    <x v="1"/>
    <x v="3"/>
    <n v="159.44800000000001"/>
    <n v="147"/>
    <n v="8.4680272108843582"/>
    <x v="765"/>
  </r>
  <r>
    <s v="Direct,STnet,80"/>
    <x v="0"/>
    <x v="1"/>
    <x v="3"/>
    <n v="160.71700000000001"/>
    <n v="147"/>
    <n v="9.3312925170068119"/>
    <x v="766"/>
  </r>
  <r>
    <s v="Direct,STnet,80"/>
    <x v="0"/>
    <x v="1"/>
    <x v="3"/>
    <n v="132.404"/>
    <n v="147"/>
    <n v="9.9292517006802754"/>
    <x v="767"/>
  </r>
  <r>
    <s v="Direct,STnet,80"/>
    <x v="0"/>
    <x v="1"/>
    <x v="3"/>
    <n v="164.46899999999999"/>
    <n v="147"/>
    <n v="11.883673469387752"/>
    <x v="768"/>
  </r>
  <r>
    <s v="Direct,STnet,80"/>
    <x v="0"/>
    <x v="1"/>
    <x v="3"/>
    <n v="150.84100000000001"/>
    <n v="147"/>
    <n v="2.6129251700680327"/>
    <x v="769"/>
  </r>
  <r>
    <s v="Direct,STnet,80"/>
    <x v="0"/>
    <x v="1"/>
    <x v="3"/>
    <n v="131.25700000000001"/>
    <n v="147"/>
    <n v="10.709523809523807"/>
    <x v="770"/>
  </r>
  <r>
    <s v="Direct,STnet,80"/>
    <x v="0"/>
    <x v="1"/>
    <x v="3"/>
    <n v="154.20699999999999"/>
    <n v="147"/>
    <n v="4.9027210884353698"/>
    <x v="771"/>
  </r>
  <r>
    <s v="Direct,STnet,80"/>
    <x v="0"/>
    <x v="1"/>
    <x v="3"/>
    <n v="122.455"/>
    <n v="147"/>
    <n v="16.697278911564627"/>
    <x v="772"/>
  </r>
  <r>
    <s v="Direct,STnet,80"/>
    <x v="0"/>
    <x v="1"/>
    <x v="3"/>
    <n v="118.38200000000001"/>
    <n v="147"/>
    <n v="19.468027210884351"/>
    <x v="773"/>
  </r>
  <r>
    <s v="Direct,STnet,80"/>
    <x v="0"/>
    <x v="1"/>
    <x v="3"/>
    <n v="148.011"/>
    <n v="147"/>
    <n v="0.68775510204081336"/>
    <x v="774"/>
  </r>
  <r>
    <s v="Direct,STnet,80"/>
    <x v="0"/>
    <x v="1"/>
    <x v="3"/>
    <n v="164.83799999999999"/>
    <n v="147"/>
    <n v="12.134693877551015"/>
    <x v="775"/>
  </r>
  <r>
    <s v="Direct,STnet,80"/>
    <x v="0"/>
    <x v="1"/>
    <x v="3"/>
    <n v="143.84200000000001"/>
    <n v="147"/>
    <n v="2.1482993197278826"/>
    <x v="776"/>
  </r>
  <r>
    <s v="Direct,STnet,80"/>
    <x v="0"/>
    <x v="1"/>
    <x v="3"/>
    <n v="153.69200000000001"/>
    <n v="147"/>
    <n v="4.5523809523809566"/>
    <x v="777"/>
  </r>
  <r>
    <s v="Direct,STnet,80"/>
    <x v="0"/>
    <x v="1"/>
    <x v="3"/>
    <n v="120.455"/>
    <n v="147"/>
    <n v="18.057823129251702"/>
    <x v="778"/>
  </r>
  <r>
    <s v="Direct,STnet,80"/>
    <x v="0"/>
    <x v="1"/>
    <x v="3"/>
    <n v="152.327"/>
    <n v="147"/>
    <n v="3.6238095238095229"/>
    <x v="779"/>
  </r>
  <r>
    <s v="Direct,STnet,80"/>
    <x v="0"/>
    <x v="1"/>
    <x v="3"/>
    <n v="149.83699999999999"/>
    <n v="147"/>
    <n v="1.9299319727891082"/>
    <x v="780"/>
  </r>
  <r>
    <s v="Direct,STnet,80"/>
    <x v="0"/>
    <x v="1"/>
    <x v="3"/>
    <n v="160.13"/>
    <n v="147"/>
    <n v="8.9319727891156422"/>
    <x v="781"/>
  </r>
  <r>
    <s v="Direct,STnet,80"/>
    <x v="0"/>
    <x v="1"/>
    <x v="3"/>
    <n v="144.54900000000001"/>
    <n v="147"/>
    <n v="1.6673469387755058"/>
    <x v="782"/>
  </r>
  <r>
    <s v="Direct,STnet,80"/>
    <x v="0"/>
    <x v="1"/>
    <x v="3"/>
    <n v="119.38200000000001"/>
    <n v="147"/>
    <n v="18.787755102040812"/>
    <x v="783"/>
  </r>
  <r>
    <s v="Direct,STnet,80"/>
    <x v="0"/>
    <x v="1"/>
    <x v="3"/>
    <n v="144.81700000000001"/>
    <n v="147"/>
    <n v="1.4850340136054372"/>
    <x v="784"/>
  </r>
  <r>
    <s v="Direct,STnet,80"/>
    <x v="0"/>
    <x v="1"/>
    <x v="3"/>
    <n v="162.76499999999999"/>
    <n v="147"/>
    <n v="10.724489795918359"/>
    <x v="785"/>
  </r>
  <r>
    <s v="Direct,STnet,100"/>
    <x v="0"/>
    <x v="1"/>
    <x v="4"/>
    <n v="169.46899999999999"/>
    <n v="180.2"/>
    <n v="5.9550499445061016"/>
    <x v="786"/>
  </r>
  <r>
    <s v="Direct,STnet,100"/>
    <x v="0"/>
    <x v="1"/>
    <x v="4"/>
    <n v="175.34800000000001"/>
    <n v="180.2"/>
    <n v="2.6925638179800084"/>
    <x v="787"/>
  </r>
  <r>
    <s v="Direct,STnet,100"/>
    <x v="0"/>
    <x v="1"/>
    <x v="4"/>
    <n v="188.86"/>
    <n v="180.2"/>
    <n v="4.8057713651498473"/>
    <x v="788"/>
  </r>
  <r>
    <s v="Direct,STnet,100"/>
    <x v="0"/>
    <x v="1"/>
    <x v="4"/>
    <n v="173.053"/>
    <n v="180.2"/>
    <n v="3.9661487236403947"/>
    <x v="789"/>
  </r>
  <r>
    <s v="Direct,STnet,100"/>
    <x v="0"/>
    <x v="1"/>
    <x v="4"/>
    <n v="166.761"/>
    <n v="180.2"/>
    <n v="7.4578246392896741"/>
    <x v="790"/>
  </r>
  <r>
    <s v="Direct,STnet,100"/>
    <x v="0"/>
    <x v="1"/>
    <x v="4"/>
    <n v="183.345"/>
    <n v="180.2"/>
    <n v="1.7452830188679305"/>
    <x v="791"/>
  </r>
  <r>
    <s v="Direct,STnet,100"/>
    <x v="0"/>
    <x v="1"/>
    <x v="4"/>
    <n v="182.84200000000001"/>
    <n v="180.2"/>
    <n v="1.4661487236404132"/>
    <x v="792"/>
  </r>
  <r>
    <s v="Direct,STnet,100"/>
    <x v="0"/>
    <x v="1"/>
    <x v="4"/>
    <n v="163.98400000000001"/>
    <n v="180.2"/>
    <n v="8.9988901220865607"/>
    <x v="793"/>
  </r>
  <r>
    <s v="Direct,STnet,100"/>
    <x v="0"/>
    <x v="1"/>
    <x v="4"/>
    <n v="176.203"/>
    <n v="180.2"/>
    <n v="2.2180910099888935"/>
    <x v="794"/>
  </r>
  <r>
    <s v="Direct,STnet,100"/>
    <x v="0"/>
    <x v="1"/>
    <x v="4"/>
    <n v="169.619"/>
    <n v="180.2"/>
    <n v="5.8718091009988846"/>
    <x v="795"/>
  </r>
  <r>
    <s v="Direct,STnet,100"/>
    <x v="0"/>
    <x v="1"/>
    <x v="4"/>
    <n v="198.56399999999999"/>
    <n v="180.2"/>
    <n v="10.19089900110988"/>
    <x v="796"/>
  </r>
  <r>
    <s v="Direct,STnet,100"/>
    <x v="0"/>
    <x v="1"/>
    <x v="4"/>
    <n v="198.85599999999999"/>
    <n v="180.2"/>
    <n v="10.352941176470592"/>
    <x v="797"/>
  </r>
  <r>
    <s v="Direct,STnet,100"/>
    <x v="0"/>
    <x v="1"/>
    <x v="4"/>
    <n v="165.79"/>
    <n v="180.2"/>
    <n v="7.9966703662597105"/>
    <x v="798"/>
  </r>
  <r>
    <s v="Direct,STnet,100"/>
    <x v="0"/>
    <x v="1"/>
    <x v="4"/>
    <n v="182.273"/>
    <n v="180.2"/>
    <n v="1.1503884572697045"/>
    <x v="799"/>
  </r>
  <r>
    <s v="Direct,STnet,100"/>
    <x v="0"/>
    <x v="1"/>
    <x v="4"/>
    <n v="179.68899999999999"/>
    <n v="180.2"/>
    <n v="0.28357380688124068"/>
    <x v="800"/>
  </r>
  <r>
    <s v="Direct,STnet,100"/>
    <x v="0"/>
    <x v="1"/>
    <x v="4"/>
    <n v="147.91399999999999"/>
    <n v="180.2"/>
    <n v="17.916759156492787"/>
    <x v="801"/>
  </r>
  <r>
    <s v="Direct,STnet,100"/>
    <x v="0"/>
    <x v="1"/>
    <x v="4"/>
    <n v="190.63800000000001"/>
    <n v="180.2"/>
    <n v="5.7924528301886884"/>
    <x v="802"/>
  </r>
  <r>
    <s v="Direct,STnet,100"/>
    <x v="0"/>
    <x v="1"/>
    <x v="4"/>
    <n v="175.98"/>
    <n v="180.2"/>
    <n v="2.3418423973362925"/>
    <x v="803"/>
  </r>
  <r>
    <s v="Direct,STnet,100"/>
    <x v="0"/>
    <x v="1"/>
    <x v="4"/>
    <n v="196.839"/>
    <n v="180.2"/>
    <n v="9.2336293007769203"/>
    <x v="804"/>
  </r>
  <r>
    <s v="Direct,STnet,100"/>
    <x v="0"/>
    <x v="1"/>
    <x v="4"/>
    <n v="205.148"/>
    <n v="180.2"/>
    <n v="13.84461709211987"/>
    <x v="805"/>
  </r>
  <r>
    <s v="Direct,STnet,100"/>
    <x v="0"/>
    <x v="1"/>
    <x v="4"/>
    <n v="184.328"/>
    <n v="180.2"/>
    <n v="2.2907880133185432"/>
    <x v="806"/>
  </r>
  <r>
    <s v="Direct,STnet,100"/>
    <x v="0"/>
    <x v="1"/>
    <x v="4"/>
    <n v="180.34899999999999"/>
    <n v="180.2"/>
    <n v="8.2685904550499956E-2"/>
    <x v="807"/>
  </r>
  <r>
    <s v="Direct,STnet,100"/>
    <x v="0"/>
    <x v="1"/>
    <x v="4"/>
    <n v="163.83799999999999"/>
    <n v="180.2"/>
    <n v="9.079911209766923"/>
    <x v="808"/>
  </r>
  <r>
    <s v="Direct,STnet,100"/>
    <x v="0"/>
    <x v="1"/>
    <x v="4"/>
    <n v="166.81399999999999"/>
    <n v="180.2"/>
    <n v="7.4284128745837936"/>
    <x v="809"/>
  </r>
  <r>
    <s v="Direct,STnet,100"/>
    <x v="0"/>
    <x v="1"/>
    <x v="4"/>
    <n v="168.71700000000001"/>
    <n v="180.2"/>
    <n v="6.3723640399555919"/>
    <x v="810"/>
  </r>
  <r>
    <s v="Direct,STnet,100"/>
    <x v="0"/>
    <x v="1"/>
    <x v="4"/>
    <n v="177.54300000000001"/>
    <n v="180.2"/>
    <n v="1.4744728079911114"/>
    <x v="811"/>
  </r>
  <r>
    <s v="Direct,STnet,100"/>
    <x v="0"/>
    <x v="1"/>
    <x v="4"/>
    <n v="174.054"/>
    <n v="180.2"/>
    <n v="3.4106548279689162"/>
    <x v="812"/>
  </r>
  <r>
    <s v="Direct,STnet,100"/>
    <x v="0"/>
    <x v="1"/>
    <x v="4"/>
    <n v="195.07499999999999"/>
    <n v="180.2"/>
    <n v="8.2547169811320771"/>
    <x v="813"/>
  </r>
  <r>
    <s v="Direct,STnet,100"/>
    <x v="0"/>
    <x v="1"/>
    <x v="4"/>
    <n v="168.83799999999999"/>
    <n v="180.2"/>
    <n v="6.3052164261931161"/>
    <x v="814"/>
  </r>
  <r>
    <s v="Direct,STnet,100"/>
    <x v="0"/>
    <x v="1"/>
    <x v="4"/>
    <n v="142.62299999999999"/>
    <n v="180.2"/>
    <n v="20.852941176470587"/>
    <x v="815"/>
  </r>
  <r>
    <s v="Direct,STnet,100"/>
    <x v="0"/>
    <x v="1"/>
    <x v="4"/>
    <n v="221.12799999999999"/>
    <n v="180.2"/>
    <n v="22.712541620421753"/>
    <x v="816"/>
  </r>
  <r>
    <s v="Direct,STnet,100"/>
    <x v="0"/>
    <x v="1"/>
    <x v="4"/>
    <n v="201.44"/>
    <n v="180.2"/>
    <n v="11.786903440621538"/>
    <x v="817"/>
  </r>
  <r>
    <s v="Direct,STnet,100"/>
    <x v="0"/>
    <x v="1"/>
    <x v="4"/>
    <n v="179.98099999999999"/>
    <n v="180.2"/>
    <n v="0.12153163152052947"/>
    <x v="818"/>
  </r>
  <r>
    <s v="Direct,STnet,100"/>
    <x v="0"/>
    <x v="1"/>
    <x v="4"/>
    <n v="151.667"/>
    <n v="180.2"/>
    <n v="15.834073251942279"/>
    <x v="819"/>
  </r>
  <r>
    <s v="Direct,STnet,100"/>
    <x v="0"/>
    <x v="1"/>
    <x v="4"/>
    <n v="172.08199999999999"/>
    <n v="180.2"/>
    <n v="4.5049944506104307"/>
    <x v="820"/>
  </r>
  <r>
    <s v="Direct,STnet,100"/>
    <x v="0"/>
    <x v="1"/>
    <x v="4"/>
    <n v="174.27600000000001"/>
    <n v="180.2"/>
    <n v="3.2874583795782342"/>
    <x v="821"/>
  </r>
  <r>
    <s v="Direct,STnet,100"/>
    <x v="0"/>
    <x v="1"/>
    <x v="4"/>
    <n v="161.643"/>
    <n v="180.2"/>
    <n v="10.298002219755821"/>
    <x v="822"/>
  </r>
  <r>
    <s v="Direct,STnet,100"/>
    <x v="0"/>
    <x v="1"/>
    <x v="4"/>
    <n v="193.35"/>
    <n v="180.2"/>
    <n v="7.2974472807991155"/>
    <x v="823"/>
  </r>
  <r>
    <s v="Direct,STnet,100"/>
    <x v="0"/>
    <x v="1"/>
    <x v="4"/>
    <n v="169.786"/>
    <n v="180.2"/>
    <n v="5.7791342952275189"/>
    <x v="824"/>
  </r>
  <r>
    <s v="Direct,STnet,100"/>
    <x v="0"/>
    <x v="1"/>
    <x v="4"/>
    <n v="167.10499999999999"/>
    <n v="180.2"/>
    <n v="7.2669256381797993"/>
    <x v="825"/>
  </r>
  <r>
    <s v="Direct,STnet,100"/>
    <x v="0"/>
    <x v="1"/>
    <x v="4"/>
    <n v="173.911"/>
    <n v="180.2"/>
    <n v="3.490011098779128"/>
    <x v="826"/>
  </r>
  <r>
    <s v="Direct,STnet,100"/>
    <x v="0"/>
    <x v="1"/>
    <x v="4"/>
    <n v="183.126"/>
    <n v="180.2"/>
    <n v="1.6237513873474008"/>
    <x v="827"/>
  </r>
  <r>
    <s v="Direct,STnet,100"/>
    <x v="0"/>
    <x v="1"/>
    <x v="4"/>
    <n v="191.00200000000001"/>
    <n v="180.2"/>
    <n v="5.9944506104328648"/>
    <x v="828"/>
  </r>
  <r>
    <s v="Direct,STnet,100"/>
    <x v="0"/>
    <x v="1"/>
    <x v="4"/>
    <n v="188.126"/>
    <n v="180.2"/>
    <n v="4.3984461709212077"/>
    <x v="829"/>
  </r>
  <r>
    <s v="Direct,STnet,100"/>
    <x v="0"/>
    <x v="1"/>
    <x v="4"/>
    <n v="184.345"/>
    <n v="180.2"/>
    <n v="2.3002219755826916"/>
    <x v="830"/>
  </r>
  <r>
    <s v="Direct,STnet,100"/>
    <x v="0"/>
    <x v="1"/>
    <x v="4"/>
    <n v="182.78299999999999"/>
    <n v="180.2"/>
    <n v="1.4334073251942279"/>
    <x v="831"/>
  </r>
  <r>
    <s v="Direct,STnet,100"/>
    <x v="0"/>
    <x v="1"/>
    <x v="4"/>
    <n v="164.18199999999999"/>
    <n v="180.2"/>
    <n v="8.8890122086570482"/>
    <x v="832"/>
  </r>
  <r>
    <s v="Direct,STnet,100"/>
    <x v="0"/>
    <x v="1"/>
    <x v="4"/>
    <n v="193.20400000000001"/>
    <n v="180.2"/>
    <n v="7.2164261931187674"/>
    <x v="833"/>
  </r>
  <r>
    <s v="Direct,STnet,100"/>
    <x v="0"/>
    <x v="1"/>
    <x v="4"/>
    <n v="150.036"/>
    <n v="180.2"/>
    <n v="16.739178690344055"/>
    <x v="834"/>
  </r>
  <r>
    <s v="Direct,STnet,100"/>
    <x v="0"/>
    <x v="1"/>
    <x v="4"/>
    <n v="189.37"/>
    <n v="180.2"/>
    <n v="5.0887902330743708"/>
    <x v="835"/>
  </r>
  <r>
    <s v="Direct,STnet,100"/>
    <x v="0"/>
    <x v="1"/>
    <x v="4"/>
    <n v="162.34800000000001"/>
    <n v="180.2"/>
    <n v="9.9067702552719066"/>
    <x v="836"/>
  </r>
  <r>
    <s v="Direct,STnet,100"/>
    <x v="0"/>
    <x v="1"/>
    <x v="4"/>
    <n v="186.71"/>
    <n v="180.2"/>
    <n v="3.6126526082131072"/>
    <x v="837"/>
  </r>
  <r>
    <s v="Direct,STnet,100"/>
    <x v="0"/>
    <x v="1"/>
    <x v="4"/>
    <n v="180.71299999999999"/>
    <n v="180.2"/>
    <n v="0.28468368479467548"/>
    <x v="838"/>
  </r>
  <r>
    <s v="Direct,STnet,100"/>
    <x v="0"/>
    <x v="1"/>
    <x v="4"/>
    <n v="176.06100000000001"/>
    <n v="180.2"/>
    <n v="2.2968923418423874"/>
    <x v="839"/>
  </r>
  <r>
    <s v="Direct,STnet,100"/>
    <x v="0"/>
    <x v="1"/>
    <x v="4"/>
    <n v="171.178"/>
    <n v="180.2"/>
    <n v="5.0066592674805728"/>
    <x v="840"/>
  </r>
  <r>
    <s v="Direct,STnet,100"/>
    <x v="0"/>
    <x v="1"/>
    <x v="4"/>
    <n v="166.12899999999999"/>
    <n v="180.2"/>
    <n v="7.8085460599334064"/>
    <x v="841"/>
  </r>
  <r>
    <s v="Direct,STnet,100"/>
    <x v="0"/>
    <x v="1"/>
    <x v="4"/>
    <n v="183.053"/>
    <n v="180.2"/>
    <n v="1.5832408435072189"/>
    <x v="842"/>
  </r>
  <r>
    <s v="Direct,STnet,100"/>
    <x v="0"/>
    <x v="1"/>
    <x v="4"/>
    <n v="195.19900000000001"/>
    <n v="180.2"/>
    <n v="8.3235294117647207"/>
    <x v="843"/>
  </r>
  <r>
    <s v="Direct,STnet,100"/>
    <x v="0"/>
    <x v="1"/>
    <x v="4"/>
    <n v="178.30099999999999"/>
    <n v="180.2"/>
    <n v="1.0538290788013323"/>
    <x v="844"/>
  </r>
  <r>
    <s v="Direct,STnet,100"/>
    <x v="0"/>
    <x v="1"/>
    <x v="4"/>
    <n v="163.46899999999999"/>
    <n v="180.2"/>
    <n v="9.2846836847946701"/>
    <x v="845"/>
  </r>
  <r>
    <s v="Direct,STnet,100"/>
    <x v="0"/>
    <x v="1"/>
    <x v="4"/>
    <n v="179.12700000000001"/>
    <n v="180.2"/>
    <n v="0.5954495005549274"/>
    <x v="846"/>
  </r>
  <r>
    <s v="Direct,STnet,100"/>
    <x v="0"/>
    <x v="1"/>
    <x v="4"/>
    <n v="192.85599999999999"/>
    <n v="180.2"/>
    <n v="7.0233074361820229"/>
    <x v="847"/>
  </r>
  <r>
    <s v="Direct,STnet,100"/>
    <x v="0"/>
    <x v="1"/>
    <x v="4"/>
    <n v="177.08199999999999"/>
    <n v="180.2"/>
    <n v="1.7302996670366233"/>
    <x v="848"/>
  </r>
  <r>
    <s v="Direct,STnet,100"/>
    <x v="0"/>
    <x v="1"/>
    <x v="4"/>
    <n v="171.32400000000001"/>
    <n v="180.2"/>
    <n v="4.9256381798002087"/>
    <x v="849"/>
  </r>
  <r>
    <s v="Direct,STnet,100"/>
    <x v="0"/>
    <x v="1"/>
    <x v="4"/>
    <n v="173.68899999999999"/>
    <n v="180.2"/>
    <n v="3.6132075471698091"/>
    <x v="850"/>
  </r>
  <r>
    <s v="Direct,STnet,100"/>
    <x v="0"/>
    <x v="1"/>
    <x v="4"/>
    <n v="172.61600000000001"/>
    <n v="180.2"/>
    <n v="4.2086570477247367"/>
    <x v="851"/>
  </r>
  <r>
    <s v="Direct,STnet,100"/>
    <x v="0"/>
    <x v="1"/>
    <x v="4"/>
    <n v="183.91499999999999"/>
    <n v="180.2"/>
    <n v="2.0615982241953406"/>
    <x v="852"/>
  </r>
  <r>
    <s v="Direct,STnet,100"/>
    <x v="0"/>
    <x v="1"/>
    <x v="4"/>
    <n v="188.15199999999999"/>
    <n v="180.2"/>
    <n v="4.4128745837957819"/>
    <x v="853"/>
  </r>
  <r>
    <s v="Direct,STnet,100"/>
    <x v="0"/>
    <x v="1"/>
    <x v="4"/>
    <n v="186.053"/>
    <n v="180.2"/>
    <n v="3.2480577136515034"/>
    <x v="854"/>
  </r>
  <r>
    <s v="Direct,STnet,100"/>
    <x v="0"/>
    <x v="1"/>
    <x v="4"/>
    <n v="191.78299999999999"/>
    <n v="180.2"/>
    <n v="6.4278579356270811"/>
    <x v="855"/>
  </r>
  <r>
    <s v="Direct,STnet,100"/>
    <x v="0"/>
    <x v="1"/>
    <x v="4"/>
    <n v="196.904"/>
    <n v="180.2"/>
    <n v="9.2697003329633798"/>
    <x v="856"/>
  </r>
  <r>
    <s v="Direct,STnet,100"/>
    <x v="0"/>
    <x v="1"/>
    <x v="4"/>
    <n v="187.27199999999999"/>
    <n v="180.2"/>
    <n v="3.9245283018867942"/>
    <x v="857"/>
  </r>
  <r>
    <s v="Direct,STnet,100"/>
    <x v="0"/>
    <x v="1"/>
    <x v="4"/>
    <n v="184.90700000000001"/>
    <n v="180.2"/>
    <n v="2.6120976692563942"/>
    <x v="858"/>
  </r>
  <r>
    <s v="Direct,STnet,100"/>
    <x v="0"/>
    <x v="1"/>
    <x v="4"/>
    <n v="175.98"/>
    <n v="180.2"/>
    <n v="2.3418423973362925"/>
    <x v="803"/>
  </r>
  <r>
    <s v="Direct,STnet,100"/>
    <x v="0"/>
    <x v="1"/>
    <x v="4"/>
    <n v="183.44300000000001"/>
    <n v="180.2"/>
    <n v="1.7996670366259842"/>
    <x v="859"/>
  </r>
  <r>
    <s v="Direct,STnet,100"/>
    <x v="0"/>
    <x v="1"/>
    <x v="4"/>
    <n v="195.19900000000001"/>
    <n v="180.2"/>
    <n v="8.3235294117647207"/>
    <x v="843"/>
  </r>
  <r>
    <s v="Direct,STnet,100"/>
    <x v="0"/>
    <x v="1"/>
    <x v="4"/>
    <n v="178.39599999999999"/>
    <n v="180.2"/>
    <n v="1.0011098779134306"/>
    <x v="860"/>
  </r>
  <r>
    <s v="Direct,STnet,100"/>
    <x v="0"/>
    <x v="1"/>
    <x v="4"/>
    <n v="183.98"/>
    <n v="180.2"/>
    <n v="2.0976692563817987"/>
    <x v="861"/>
  </r>
  <r>
    <s v="Direct,STnet,100"/>
    <x v="0"/>
    <x v="1"/>
    <x v="4"/>
    <n v="202.20500000000001"/>
    <n v="180.2"/>
    <n v="12.211431742508339"/>
    <x v="862"/>
  </r>
  <r>
    <s v="Direct,STnet,100"/>
    <x v="0"/>
    <x v="1"/>
    <x v="4"/>
    <n v="159.69200000000001"/>
    <n v="180.2"/>
    <n v="11.380688124306317"/>
    <x v="863"/>
  </r>
  <r>
    <s v="Direct,STnet,100"/>
    <x v="0"/>
    <x v="1"/>
    <x v="4"/>
    <n v="175.834"/>
    <n v="180.2"/>
    <n v="2.4228634850166402"/>
    <x v="864"/>
  </r>
  <r>
    <s v="Direct,STnet,100"/>
    <x v="0"/>
    <x v="1"/>
    <x v="4"/>
    <n v="176.83500000000001"/>
    <n v="180.2"/>
    <n v="1.8673695893451616"/>
    <x v="865"/>
  </r>
  <r>
    <s v="Direct,STnet,100"/>
    <x v="0"/>
    <x v="1"/>
    <x v="4"/>
    <n v="181.346"/>
    <n v="180.2"/>
    <n v="0.63596004439512488"/>
    <x v="866"/>
  </r>
  <r>
    <s v="Direct,STnet,100"/>
    <x v="0"/>
    <x v="1"/>
    <x v="4"/>
    <n v="145.25800000000001"/>
    <n v="180.2"/>
    <n v="19.390677025527182"/>
    <x v="867"/>
  </r>
  <r>
    <s v="Direct,STnet,100"/>
    <x v="0"/>
    <x v="1"/>
    <x v="4"/>
    <n v="150.06"/>
    <n v="180.2"/>
    <n v="16.7258601553829"/>
    <x v="868"/>
  </r>
  <r>
    <s v="Direct,STnet,100"/>
    <x v="0"/>
    <x v="1"/>
    <x v="4"/>
    <n v="169.05699999999999"/>
    <n v="180.2"/>
    <n v="6.1836847946725868"/>
    <x v="869"/>
  </r>
  <r>
    <s v="Direct,STnet,100"/>
    <x v="0"/>
    <x v="1"/>
    <x v="4"/>
    <n v="167.64"/>
    <n v="180.2"/>
    <n v="6.9700332963374052"/>
    <x v="870"/>
  </r>
  <r>
    <s v="Direct,STnet,100"/>
    <x v="0"/>
    <x v="1"/>
    <x v="4"/>
    <n v="155.44800000000001"/>
    <n v="180.2"/>
    <n v="13.735849056603763"/>
    <x v="871"/>
  </r>
  <r>
    <s v="Direct,STnet,100"/>
    <x v="0"/>
    <x v="1"/>
    <x v="4"/>
    <n v="203.613"/>
    <n v="180.2"/>
    <n v="12.992785793562714"/>
    <x v="872"/>
  </r>
  <r>
    <s v="Direct,STnet,100"/>
    <x v="0"/>
    <x v="1"/>
    <x v="4"/>
    <n v="190.27199999999999"/>
    <n v="180.2"/>
    <n v="5.5893451720310789"/>
    <x v="873"/>
  </r>
  <r>
    <s v="Direct,STnet,100"/>
    <x v="0"/>
    <x v="1"/>
    <x v="4"/>
    <n v="181.053"/>
    <n v="180.2"/>
    <n v="0.47336293007769631"/>
    <x v="874"/>
  </r>
  <r>
    <s v="Direct,STnet,100"/>
    <x v="0"/>
    <x v="1"/>
    <x v="4"/>
    <n v="183.56399999999999"/>
    <n v="180.2"/>
    <n v="1.8668146503884597"/>
    <x v="875"/>
  </r>
  <r>
    <s v="Direct,STnet,100"/>
    <x v="0"/>
    <x v="1"/>
    <x v="4"/>
    <n v="204.732"/>
    <n v="180.2"/>
    <n v="13.613762486126532"/>
    <x v="876"/>
  </r>
  <r>
    <s v="Direct,STnet,100"/>
    <x v="0"/>
    <x v="1"/>
    <x v="4"/>
    <n v="171.47"/>
    <n v="180.2"/>
    <n v="4.8446170921198615"/>
    <x v="877"/>
  </r>
  <r>
    <s v="Direct,STnet,100"/>
    <x v="0"/>
    <x v="1"/>
    <x v="4"/>
    <n v="182.27600000000001"/>
    <n v="180.2"/>
    <n v="1.1520532741398568"/>
    <x v="878"/>
  </r>
  <r>
    <s v="Direct,STnet,100"/>
    <x v="0"/>
    <x v="1"/>
    <x v="4"/>
    <n v="191.78299999999999"/>
    <n v="180.2"/>
    <n v="6.4278579356270811"/>
    <x v="855"/>
  </r>
  <r>
    <s v="Direct,STnet,100"/>
    <x v="0"/>
    <x v="1"/>
    <x v="4"/>
    <n v="174.42099999999999"/>
    <n v="180.2"/>
    <n v="3.2069922308546044"/>
    <x v="879"/>
  </r>
  <r>
    <s v="Direct,STnet,100"/>
    <x v="0"/>
    <x v="1"/>
    <x v="4"/>
    <n v="162.376"/>
    <n v="180.2"/>
    <n v="9.8912319644838984"/>
    <x v="880"/>
  </r>
  <r>
    <s v="Direct,STnet,100"/>
    <x v="0"/>
    <x v="1"/>
    <x v="4"/>
    <n v="163.69200000000001"/>
    <n v="180.2"/>
    <n v="9.1609322974472711"/>
    <x v="881"/>
  </r>
  <r>
    <s v="Direct,STnet,100"/>
    <x v="0"/>
    <x v="1"/>
    <x v="4"/>
    <n v="156.084"/>
    <n v="180.2"/>
    <n v="13.382907880133176"/>
    <x v="882"/>
  </r>
  <r>
    <s v="Direct,STnet,120"/>
    <x v="0"/>
    <x v="1"/>
    <x v="5"/>
    <n v="193.16"/>
    <e v="#N/A"/>
    <e v="#N/A"/>
    <x v="883"/>
  </r>
  <r>
    <s v="Direct,STnet,120"/>
    <x v="0"/>
    <x v="1"/>
    <x v="5"/>
    <n v="248.61199999999999"/>
    <e v="#N/A"/>
    <e v="#N/A"/>
    <x v="883"/>
  </r>
  <r>
    <s v="Direct,STnet,120"/>
    <x v="0"/>
    <x v="1"/>
    <x v="5"/>
    <n v="213.34200000000001"/>
    <e v="#N/A"/>
    <e v="#N/A"/>
    <x v="883"/>
  </r>
  <r>
    <s v="Direct,STnet,120"/>
    <x v="0"/>
    <x v="1"/>
    <x v="5"/>
    <n v="230.49199999999999"/>
    <e v="#N/A"/>
    <e v="#N/A"/>
    <x v="883"/>
  </r>
  <r>
    <s v="Direct,STnet,120"/>
    <x v="0"/>
    <x v="1"/>
    <x v="5"/>
    <n v="209.15299999999999"/>
    <e v="#N/A"/>
    <e v="#N/A"/>
    <x v="883"/>
  </r>
  <r>
    <s v="Direct,STnet,120"/>
    <x v="0"/>
    <x v="1"/>
    <x v="5"/>
    <n v="189.71799999999999"/>
    <e v="#N/A"/>
    <e v="#N/A"/>
    <x v="883"/>
  </r>
  <r>
    <s v="Direct,STnet,120"/>
    <x v="0"/>
    <x v="1"/>
    <x v="5"/>
    <n v="190.345"/>
    <e v="#N/A"/>
    <e v="#N/A"/>
    <x v="883"/>
  </r>
  <r>
    <s v="Direct,STnet,120"/>
    <x v="0"/>
    <x v="1"/>
    <x v="5"/>
    <n v="199.977"/>
    <e v="#N/A"/>
    <e v="#N/A"/>
    <x v="883"/>
  </r>
  <r>
    <s v="Direct,STnet,120"/>
    <x v="0"/>
    <x v="1"/>
    <x v="5"/>
    <n v="232.19300000000001"/>
    <e v="#N/A"/>
    <e v="#N/A"/>
    <x v="883"/>
  </r>
  <r>
    <s v="Direct,STnet,120"/>
    <x v="0"/>
    <x v="1"/>
    <x v="5"/>
    <n v="197.27199999999999"/>
    <e v="#N/A"/>
    <e v="#N/A"/>
    <x v="883"/>
  </r>
  <r>
    <s v="Direct,STnet,120"/>
    <x v="0"/>
    <x v="1"/>
    <x v="5"/>
    <n v="188.053"/>
    <e v="#N/A"/>
    <e v="#N/A"/>
    <x v="883"/>
  </r>
  <r>
    <s v="Direct,STnet,120"/>
    <x v="0"/>
    <x v="1"/>
    <x v="5"/>
    <n v="214.44"/>
    <e v="#N/A"/>
    <e v="#N/A"/>
    <x v="883"/>
  </r>
  <r>
    <s v="Direct,STnet,120"/>
    <x v="0"/>
    <x v="1"/>
    <x v="5"/>
    <n v="193.565"/>
    <e v="#N/A"/>
    <e v="#N/A"/>
    <x v="883"/>
  </r>
  <r>
    <s v="Direct,STnet,120"/>
    <x v="0"/>
    <x v="1"/>
    <x v="5"/>
    <n v="189.637"/>
    <e v="#N/A"/>
    <e v="#N/A"/>
    <x v="883"/>
  </r>
  <r>
    <s v="Direct,STnet,120"/>
    <x v="0"/>
    <x v="1"/>
    <x v="5"/>
    <n v="239.541"/>
    <e v="#N/A"/>
    <e v="#N/A"/>
    <x v="883"/>
  </r>
  <r>
    <s v="Direct,STnet,120"/>
    <x v="0"/>
    <x v="1"/>
    <x v="5"/>
    <n v="203.58600000000001"/>
    <e v="#N/A"/>
    <e v="#N/A"/>
    <x v="883"/>
  </r>
  <r>
    <s v="Direct,STnet,120"/>
    <x v="0"/>
    <x v="1"/>
    <x v="5"/>
    <n v="203.85599999999999"/>
    <e v="#N/A"/>
    <e v="#N/A"/>
    <x v="883"/>
  </r>
  <r>
    <s v="Direct,STnet,120"/>
    <x v="0"/>
    <x v="1"/>
    <x v="5"/>
    <n v="206.82900000000001"/>
    <e v="#N/A"/>
    <e v="#N/A"/>
    <x v="883"/>
  </r>
  <r>
    <s v="Direct,STnet,120"/>
    <x v="0"/>
    <x v="1"/>
    <x v="5"/>
    <n v="210.54400000000001"/>
    <e v="#N/A"/>
    <e v="#N/A"/>
    <x v="883"/>
  </r>
  <r>
    <s v="Direct,STnet,120"/>
    <x v="0"/>
    <x v="1"/>
    <x v="5"/>
    <n v="205.66"/>
    <e v="#N/A"/>
    <e v="#N/A"/>
    <x v="883"/>
  </r>
  <r>
    <s v="Direct,STnet,120"/>
    <x v="0"/>
    <x v="1"/>
    <x v="5"/>
    <n v="207.72300000000001"/>
    <e v="#N/A"/>
    <e v="#N/A"/>
    <x v="883"/>
  </r>
  <r>
    <s v="Direct,STnet,120"/>
    <x v="0"/>
    <x v="1"/>
    <x v="5"/>
    <n v="188.989"/>
    <e v="#N/A"/>
    <e v="#N/A"/>
    <x v="883"/>
  </r>
  <r>
    <s v="Direct,STnet,120"/>
    <x v="0"/>
    <x v="1"/>
    <x v="5"/>
    <n v="215.291"/>
    <e v="#N/A"/>
    <e v="#N/A"/>
    <x v="883"/>
  </r>
  <r>
    <s v="Direct,STnet,120"/>
    <x v="0"/>
    <x v="1"/>
    <x v="5"/>
    <n v="220.024"/>
    <e v="#N/A"/>
    <e v="#N/A"/>
    <x v="883"/>
  </r>
  <r>
    <s v="Direct,STnet,120"/>
    <x v="0"/>
    <x v="1"/>
    <x v="5"/>
    <n v="221.28200000000001"/>
    <e v="#N/A"/>
    <e v="#N/A"/>
    <x v="883"/>
  </r>
  <r>
    <s v="Direct,STnet,120"/>
    <x v="0"/>
    <x v="1"/>
    <x v="5"/>
    <n v="187.56399999999999"/>
    <e v="#N/A"/>
    <e v="#N/A"/>
    <x v="883"/>
  </r>
  <r>
    <s v="Direct,STnet,120"/>
    <x v="0"/>
    <x v="1"/>
    <x v="5"/>
    <n v="186.054"/>
    <e v="#N/A"/>
    <e v="#N/A"/>
    <x v="883"/>
  </r>
  <r>
    <s v="Direct,STnet,120"/>
    <x v="0"/>
    <x v="1"/>
    <x v="5"/>
    <n v="211.148"/>
    <e v="#N/A"/>
    <e v="#N/A"/>
    <x v="883"/>
  </r>
  <r>
    <s v="Direct,STnet,120"/>
    <x v="0"/>
    <x v="1"/>
    <x v="5"/>
    <n v="205.63399999999999"/>
    <e v="#N/A"/>
    <e v="#N/A"/>
    <x v="883"/>
  </r>
  <r>
    <s v="Direct,STnet,120"/>
    <x v="0"/>
    <x v="1"/>
    <x v="5"/>
    <n v="204.69"/>
    <e v="#N/A"/>
    <e v="#N/A"/>
    <x v="883"/>
  </r>
  <r>
    <s v="Direct,STnet,120"/>
    <x v="0"/>
    <x v="1"/>
    <x v="5"/>
    <n v="233.80199999999999"/>
    <e v="#N/A"/>
    <e v="#N/A"/>
    <x v="883"/>
  </r>
  <r>
    <s v="Direct,STnet,120"/>
    <x v="0"/>
    <x v="1"/>
    <x v="5"/>
    <n v="217.99799999999999"/>
    <e v="#N/A"/>
    <e v="#N/A"/>
    <x v="883"/>
  </r>
  <r>
    <s v="Direct,STnet,120"/>
    <x v="0"/>
    <x v="1"/>
    <x v="5"/>
    <n v="238.66"/>
    <e v="#N/A"/>
    <e v="#N/A"/>
    <x v="883"/>
  </r>
  <r>
    <s v="Direct,STnet,120"/>
    <x v="0"/>
    <x v="1"/>
    <x v="5"/>
    <n v="232.95500000000001"/>
    <e v="#N/A"/>
    <e v="#N/A"/>
    <x v="883"/>
  </r>
  <r>
    <s v="Direct,STnet,120"/>
    <x v="0"/>
    <x v="1"/>
    <x v="5"/>
    <n v="240.65600000000001"/>
    <e v="#N/A"/>
    <e v="#N/A"/>
    <x v="883"/>
  </r>
  <r>
    <s v="Direct,STnet,120"/>
    <x v="0"/>
    <x v="1"/>
    <x v="5"/>
    <n v="189.126"/>
    <e v="#N/A"/>
    <e v="#N/A"/>
    <x v="883"/>
  </r>
  <r>
    <s v="Direct,STnet,120"/>
    <x v="0"/>
    <x v="1"/>
    <x v="5"/>
    <n v="239.077"/>
    <e v="#N/A"/>
    <e v="#N/A"/>
    <x v="883"/>
  </r>
  <r>
    <s v="Direct,STnet,120"/>
    <x v="0"/>
    <x v="1"/>
    <x v="5"/>
    <n v="197.37100000000001"/>
    <e v="#N/A"/>
    <e v="#N/A"/>
    <x v="883"/>
  </r>
  <r>
    <s v="Direct,STnet,120"/>
    <x v="0"/>
    <x v="1"/>
    <x v="5"/>
    <n v="174.93299999999999"/>
    <e v="#N/A"/>
    <e v="#N/A"/>
    <x v="883"/>
  </r>
  <r>
    <s v="Direct,STnet,120"/>
    <x v="0"/>
    <x v="1"/>
    <x v="5"/>
    <n v="212.59299999999999"/>
    <e v="#N/A"/>
    <e v="#N/A"/>
    <x v="883"/>
  </r>
  <r>
    <s v="Direct,STnet,120"/>
    <x v="0"/>
    <x v="1"/>
    <x v="5"/>
    <n v="211.392"/>
    <e v="#N/A"/>
    <e v="#N/A"/>
    <x v="883"/>
  </r>
  <r>
    <s v="Direct,STnet,120"/>
    <x v="0"/>
    <x v="1"/>
    <x v="5"/>
    <n v="163.42500000000001"/>
    <e v="#N/A"/>
    <e v="#N/A"/>
    <x v="883"/>
  </r>
  <r>
    <s v="Direct,STnet,120"/>
    <x v="0"/>
    <x v="1"/>
    <x v="5"/>
    <n v="213.81299999999999"/>
    <e v="#N/A"/>
    <e v="#N/A"/>
    <x v="883"/>
  </r>
  <r>
    <s v="Direct,STnet,120"/>
    <x v="0"/>
    <x v="1"/>
    <x v="5"/>
    <n v="225.566"/>
    <e v="#N/A"/>
    <e v="#N/A"/>
    <x v="883"/>
  </r>
  <r>
    <s v="Direct,STnet,120"/>
    <x v="0"/>
    <x v="1"/>
    <x v="5"/>
    <n v="223.09700000000001"/>
    <e v="#N/A"/>
    <e v="#N/A"/>
    <x v="883"/>
  </r>
  <r>
    <s v="Direct,STnet,120"/>
    <x v="0"/>
    <x v="1"/>
    <x v="5"/>
    <n v="176.34899999999999"/>
    <e v="#N/A"/>
    <e v="#N/A"/>
    <x v="883"/>
  </r>
  <r>
    <s v="Direct,STnet,120"/>
    <x v="0"/>
    <x v="1"/>
    <x v="5"/>
    <n v="200.328"/>
    <e v="#N/A"/>
    <e v="#N/A"/>
    <x v="883"/>
  </r>
  <r>
    <s v="Direct,STnet,120"/>
    <x v="0"/>
    <x v="1"/>
    <x v="5"/>
    <n v="161.39699999999999"/>
    <e v="#N/A"/>
    <e v="#N/A"/>
    <x v="883"/>
  </r>
  <r>
    <s v="Direct,STnet,120"/>
    <x v="0"/>
    <x v="1"/>
    <x v="5"/>
    <n v="244.22"/>
    <e v="#N/A"/>
    <e v="#N/A"/>
    <x v="883"/>
  </r>
  <r>
    <s v="Direct,STnet,120"/>
    <x v="0"/>
    <x v="1"/>
    <x v="5"/>
    <n v="199.328"/>
    <e v="#N/A"/>
    <e v="#N/A"/>
    <x v="883"/>
  </r>
  <r>
    <s v="Direct,STnet,120"/>
    <x v="0"/>
    <x v="1"/>
    <x v="5"/>
    <n v="184.41900000000001"/>
    <e v="#N/A"/>
    <e v="#N/A"/>
    <x v="883"/>
  </r>
  <r>
    <s v="Direct,STnet,120"/>
    <x v="0"/>
    <x v="1"/>
    <x v="5"/>
    <n v="244.935"/>
    <e v="#N/A"/>
    <e v="#N/A"/>
    <x v="883"/>
  </r>
  <r>
    <s v="Direct,STnet,120"/>
    <x v="0"/>
    <x v="1"/>
    <x v="5"/>
    <n v="204.40600000000001"/>
    <e v="#N/A"/>
    <e v="#N/A"/>
    <x v="883"/>
  </r>
  <r>
    <s v="Direct,STnet,120"/>
    <x v="0"/>
    <x v="1"/>
    <x v="5"/>
    <n v="234.69499999999999"/>
    <e v="#N/A"/>
    <e v="#N/A"/>
    <x v="883"/>
  </r>
  <r>
    <s v="Direct,STnet,120"/>
    <x v="0"/>
    <x v="1"/>
    <x v="5"/>
    <n v="217.93799999999999"/>
    <e v="#N/A"/>
    <e v="#N/A"/>
    <x v="883"/>
  </r>
  <r>
    <s v="Direct,STnet,120"/>
    <x v="0"/>
    <x v="1"/>
    <x v="5"/>
    <n v="234.583"/>
    <e v="#N/A"/>
    <e v="#N/A"/>
    <x v="883"/>
  </r>
  <r>
    <s v="Direct,STnet,120"/>
    <x v="0"/>
    <x v="1"/>
    <x v="5"/>
    <n v="217.642"/>
    <e v="#N/A"/>
    <e v="#N/A"/>
    <x v="883"/>
  </r>
  <r>
    <s v="Direct,STnet,120"/>
    <x v="0"/>
    <x v="1"/>
    <x v="5"/>
    <n v="233.94800000000001"/>
    <e v="#N/A"/>
    <e v="#N/A"/>
    <x v="883"/>
  </r>
  <r>
    <s v="Direct,STnet,120"/>
    <x v="0"/>
    <x v="1"/>
    <x v="5"/>
    <n v="208.51300000000001"/>
    <e v="#N/A"/>
    <e v="#N/A"/>
    <x v="883"/>
  </r>
  <r>
    <s v="Direct,STnet,120"/>
    <x v="0"/>
    <x v="1"/>
    <x v="5"/>
    <n v="220.53399999999999"/>
    <e v="#N/A"/>
    <e v="#N/A"/>
    <x v="883"/>
  </r>
  <r>
    <s v="Direct,STnet,120"/>
    <x v="0"/>
    <x v="1"/>
    <x v="5"/>
    <n v="211.977"/>
    <e v="#N/A"/>
    <e v="#N/A"/>
    <x v="883"/>
  </r>
  <r>
    <s v="Direct,STnet,120"/>
    <x v="0"/>
    <x v="1"/>
    <x v="5"/>
    <n v="216.642"/>
    <e v="#N/A"/>
    <e v="#N/A"/>
    <x v="883"/>
  </r>
  <r>
    <s v="Direct,STnet,120"/>
    <x v="0"/>
    <x v="1"/>
    <x v="5"/>
    <n v="204.44"/>
    <e v="#N/A"/>
    <e v="#N/A"/>
    <x v="883"/>
  </r>
  <r>
    <s v="Direct,STnet,120"/>
    <x v="0"/>
    <x v="1"/>
    <x v="5"/>
    <n v="201.57300000000001"/>
    <e v="#N/A"/>
    <e v="#N/A"/>
    <x v="883"/>
  </r>
  <r>
    <s v="Direct,STnet,120"/>
    <x v="0"/>
    <x v="1"/>
    <x v="5"/>
    <n v="208.56100000000001"/>
    <e v="#N/A"/>
    <e v="#N/A"/>
    <x v="883"/>
  </r>
  <r>
    <s v="Direct,STnet,120"/>
    <x v="0"/>
    <x v="1"/>
    <x v="5"/>
    <n v="202.78299999999999"/>
    <e v="#N/A"/>
    <e v="#N/A"/>
    <x v="883"/>
  </r>
  <r>
    <s v="Direct,STnet,120"/>
    <x v="0"/>
    <x v="1"/>
    <x v="5"/>
    <n v="221.10499999999999"/>
    <e v="#N/A"/>
    <e v="#N/A"/>
    <x v="883"/>
  </r>
  <r>
    <s v="Direct,STnet,120"/>
    <x v="0"/>
    <x v="1"/>
    <x v="5"/>
    <n v="207.47499999999999"/>
    <e v="#N/A"/>
    <e v="#N/A"/>
    <x v="883"/>
  </r>
  <r>
    <s v="Direct,STnet,120"/>
    <x v="0"/>
    <x v="1"/>
    <x v="5"/>
    <n v="233.11799999999999"/>
    <e v="#N/A"/>
    <e v="#N/A"/>
    <x v="883"/>
  </r>
  <r>
    <s v="Direct,STnet,120"/>
    <x v="0"/>
    <x v="1"/>
    <x v="5"/>
    <n v="181.84200000000001"/>
    <e v="#N/A"/>
    <e v="#N/A"/>
    <x v="883"/>
  </r>
  <r>
    <s v="Direct,STnet,120"/>
    <x v="0"/>
    <x v="1"/>
    <x v="5"/>
    <n v="218.92599999999999"/>
    <e v="#N/A"/>
    <e v="#N/A"/>
    <x v="883"/>
  </r>
  <r>
    <s v="Direct,STnet,120"/>
    <x v="0"/>
    <x v="1"/>
    <x v="5"/>
    <n v="211.041"/>
    <e v="#N/A"/>
    <e v="#N/A"/>
    <x v="883"/>
  </r>
  <r>
    <s v="Direct,STnet,120"/>
    <x v="0"/>
    <x v="1"/>
    <x v="5"/>
    <n v="195.98099999999999"/>
    <e v="#N/A"/>
    <e v="#N/A"/>
    <x v="883"/>
  </r>
  <r>
    <s v="Direct,STnet,120"/>
    <x v="0"/>
    <x v="1"/>
    <x v="5"/>
    <n v="240.71899999999999"/>
    <e v="#N/A"/>
    <e v="#N/A"/>
    <x v="883"/>
  </r>
  <r>
    <s v="Direct,STnet,120"/>
    <x v="0"/>
    <x v="1"/>
    <x v="5"/>
    <n v="174.666"/>
    <e v="#N/A"/>
    <e v="#N/A"/>
    <x v="883"/>
  </r>
  <r>
    <s v="Direct,STnet,120"/>
    <x v="0"/>
    <x v="1"/>
    <x v="5"/>
    <n v="198.27799999999999"/>
    <e v="#N/A"/>
    <e v="#N/A"/>
    <x v="883"/>
  </r>
  <r>
    <s v="Direct,STnet,120"/>
    <x v="0"/>
    <x v="1"/>
    <x v="5"/>
    <n v="218.316"/>
    <e v="#N/A"/>
    <e v="#N/A"/>
    <x v="883"/>
  </r>
  <r>
    <s v="Direct,STnet,120"/>
    <x v="0"/>
    <x v="1"/>
    <x v="5"/>
    <n v="170.499"/>
    <e v="#N/A"/>
    <e v="#N/A"/>
    <x v="883"/>
  </r>
  <r>
    <s v="Direct,STnet,120"/>
    <x v="0"/>
    <x v="1"/>
    <x v="5"/>
    <n v="222.87799999999999"/>
    <e v="#N/A"/>
    <e v="#N/A"/>
    <x v="883"/>
  </r>
  <r>
    <s v="Direct,STnet,120"/>
    <x v="0"/>
    <x v="1"/>
    <x v="5"/>
    <n v="208.27699999999999"/>
    <e v="#N/A"/>
    <e v="#N/A"/>
    <x v="883"/>
  </r>
  <r>
    <s v="Direct,STnet,120"/>
    <x v="0"/>
    <x v="1"/>
    <x v="5"/>
    <n v="189.16"/>
    <e v="#N/A"/>
    <e v="#N/A"/>
    <x v="883"/>
  </r>
  <r>
    <s v="Direct,STnet,120"/>
    <x v="0"/>
    <x v="1"/>
    <x v="5"/>
    <n v="240.07599999999999"/>
    <e v="#N/A"/>
    <e v="#N/A"/>
    <x v="883"/>
  </r>
  <r>
    <s v="Direct,STnet,120"/>
    <x v="0"/>
    <x v="1"/>
    <x v="5"/>
    <n v="196.22900000000001"/>
    <e v="#N/A"/>
    <e v="#N/A"/>
    <x v="883"/>
  </r>
  <r>
    <s v="Direct,STnet,120"/>
    <x v="0"/>
    <x v="1"/>
    <x v="5"/>
    <n v="219.732"/>
    <e v="#N/A"/>
    <e v="#N/A"/>
    <x v="883"/>
  </r>
  <r>
    <s v="Direct,STnet,120"/>
    <x v="0"/>
    <x v="1"/>
    <x v="5"/>
    <n v="258.34199999999998"/>
    <e v="#N/A"/>
    <e v="#N/A"/>
    <x v="883"/>
  </r>
  <r>
    <s v="Direct,STnet,120"/>
    <x v="0"/>
    <x v="1"/>
    <x v="5"/>
    <n v="208.26900000000001"/>
    <e v="#N/A"/>
    <e v="#N/A"/>
    <x v="883"/>
  </r>
  <r>
    <s v="Direct,STnet,120"/>
    <x v="0"/>
    <x v="1"/>
    <x v="5"/>
    <n v="203.13200000000001"/>
    <e v="#N/A"/>
    <e v="#N/A"/>
    <x v="883"/>
  </r>
  <r>
    <s v="Direct,STnet,120"/>
    <x v="0"/>
    <x v="1"/>
    <x v="5"/>
    <n v="202.929"/>
    <e v="#N/A"/>
    <e v="#N/A"/>
    <x v="883"/>
  </r>
  <r>
    <s v="Direct,STnet,120"/>
    <x v="0"/>
    <x v="1"/>
    <x v="5"/>
    <n v="213.20099999999999"/>
    <e v="#N/A"/>
    <e v="#N/A"/>
    <x v="883"/>
  </r>
  <r>
    <s v="Direct,STnet,120"/>
    <x v="0"/>
    <x v="1"/>
    <x v="5"/>
    <n v="210.72"/>
    <e v="#N/A"/>
    <e v="#N/A"/>
    <x v="883"/>
  </r>
  <r>
    <s v="Direct,STnet,120"/>
    <x v="0"/>
    <x v="1"/>
    <x v="5"/>
    <n v="199.92599999999999"/>
    <e v="#N/A"/>
    <e v="#N/A"/>
    <x v="883"/>
  </r>
  <r>
    <s v="Direct,STnet,120"/>
    <x v="0"/>
    <x v="1"/>
    <x v="5"/>
    <n v="206.90899999999999"/>
    <e v="#N/A"/>
    <e v="#N/A"/>
    <x v="883"/>
  </r>
  <r>
    <s v="Direct,STnet,120"/>
    <x v="0"/>
    <x v="1"/>
    <x v="5"/>
    <n v="200.32900000000001"/>
    <e v="#N/A"/>
    <e v="#N/A"/>
    <x v="883"/>
  </r>
  <r>
    <s v="Direct,STnet,120"/>
    <x v="0"/>
    <x v="1"/>
    <x v="5"/>
    <n v="184.98099999999999"/>
    <e v="#N/A"/>
    <e v="#N/A"/>
    <x v="883"/>
  </r>
  <r>
    <s v="Direct,STnet,120"/>
    <x v="0"/>
    <x v="1"/>
    <x v="5"/>
    <n v="243.00399999999999"/>
    <e v="#N/A"/>
    <e v="#N/A"/>
    <x v="883"/>
  </r>
  <r>
    <s v="Direct,STnet,120"/>
    <x v="0"/>
    <x v="1"/>
    <x v="5"/>
    <n v="225.715"/>
    <e v="#N/A"/>
    <e v="#N/A"/>
    <x v="883"/>
  </r>
  <r>
    <s v="Direct,STnet,120"/>
    <x v="0"/>
    <x v="1"/>
    <x v="5"/>
    <n v="215.56100000000001"/>
    <e v="#N/A"/>
    <e v="#N/A"/>
    <x v="883"/>
  </r>
  <r>
    <s v="Direct,STnet,120"/>
    <x v="0"/>
    <x v="1"/>
    <x v="5"/>
    <n v="206.22200000000001"/>
    <e v="#N/A"/>
    <e v="#N/A"/>
    <x v="883"/>
  </r>
  <r>
    <s v="Direct,STnet,120"/>
    <x v="0"/>
    <x v="1"/>
    <x v="5"/>
    <n v="195.34200000000001"/>
    <e v="#N/A"/>
    <e v="#N/A"/>
    <x v="883"/>
  </r>
  <r>
    <s v="Direct,STnet,120"/>
    <x v="0"/>
    <x v="1"/>
    <x v="5"/>
    <n v="240.72900000000001"/>
    <e v="#N/A"/>
    <e v="#N/A"/>
    <x v="883"/>
  </r>
  <r>
    <s v="Direct,USnet,20"/>
    <x v="0"/>
    <x v="2"/>
    <x v="0"/>
    <n v="971.82799999999997"/>
    <n v="920"/>
    <n v="5.6334782608695626"/>
    <x v="884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75.82799999999997"/>
    <n v="920"/>
    <n v="6.0682608695652149"/>
    <x v="886"/>
  </r>
  <r>
    <s v="Direct,USnet,20"/>
    <x v="0"/>
    <x v="2"/>
    <x v="0"/>
    <n v="972.82799999999997"/>
    <n v="920"/>
    <n v="5.7421739130434757"/>
    <x v="887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6.82799999999997"/>
    <n v="920"/>
    <n v="5.0899999999999972"/>
    <x v="891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65.82799999999997"/>
    <n v="920"/>
    <n v="4.9813043478260841"/>
    <x v="892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71.82799999999997"/>
    <n v="920"/>
    <n v="5.6334782608695626"/>
    <x v="884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5.82799999999997"/>
    <n v="920"/>
    <n v="4.9813043478260841"/>
    <x v="892"/>
  </r>
  <r>
    <s v="Direct,USnet,20"/>
    <x v="0"/>
    <x v="2"/>
    <x v="0"/>
    <n v="964.82799999999997"/>
    <n v="920"/>
    <n v="4.872608695652171"/>
    <x v="893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6.82799999999997"/>
    <n v="920"/>
    <n v="5.0899999999999972"/>
    <x v="891"/>
  </r>
  <r>
    <s v="Direct,USnet,20"/>
    <x v="0"/>
    <x v="2"/>
    <x v="0"/>
    <n v="963.82799999999997"/>
    <n v="920"/>
    <n v="4.7639130434782579"/>
    <x v="894"/>
  </r>
  <r>
    <s v="Direct,USnet,20"/>
    <x v="0"/>
    <x v="2"/>
    <x v="0"/>
    <n v="965.82799999999997"/>
    <n v="920"/>
    <n v="4.9813043478260841"/>
    <x v="892"/>
  </r>
  <r>
    <s v="Direct,USnet,20"/>
    <x v="0"/>
    <x v="2"/>
    <x v="0"/>
    <n v="964.82799999999997"/>
    <n v="920"/>
    <n v="4.872608695652171"/>
    <x v="893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3.82799999999997"/>
    <n v="920"/>
    <n v="4.7639130434782579"/>
    <x v="894"/>
  </r>
  <r>
    <s v="Direct,USnet,20"/>
    <x v="0"/>
    <x v="2"/>
    <x v="0"/>
    <n v="971.82799999999997"/>
    <n v="920"/>
    <n v="5.6334782608695626"/>
    <x v="884"/>
  </r>
  <r>
    <s v="Direct,USnet,20"/>
    <x v="0"/>
    <x v="2"/>
    <x v="0"/>
    <n v="973.82799999999997"/>
    <n v="920"/>
    <n v="5.8508695652173888"/>
    <x v="895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74.82799999999997"/>
    <n v="920"/>
    <n v="5.9595652173913019"/>
    <x v="896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72.82799999999997"/>
    <n v="920"/>
    <n v="5.7421739130434757"/>
    <x v="887"/>
  </r>
  <r>
    <s v="Direct,USnet,20"/>
    <x v="0"/>
    <x v="2"/>
    <x v="0"/>
    <n v="976.82799999999997"/>
    <n v="920"/>
    <n v="6.176956521739128"/>
    <x v="897"/>
  </r>
  <r>
    <s v="Direct,USnet,20"/>
    <x v="0"/>
    <x v="2"/>
    <x v="0"/>
    <n v="975.82799999999997"/>
    <n v="920"/>
    <n v="6.0682608695652149"/>
    <x v="886"/>
  </r>
  <r>
    <s v="Direct,USnet,20"/>
    <x v="0"/>
    <x v="2"/>
    <x v="0"/>
    <n v="977.82799999999997"/>
    <n v="920"/>
    <n v="6.2856521739130411"/>
    <x v="898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71.82799999999997"/>
    <n v="920"/>
    <n v="5.6334782608695626"/>
    <x v="884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3.82799999999997"/>
    <n v="920"/>
    <n v="4.7639130434782579"/>
    <x v="894"/>
  </r>
  <r>
    <s v="Direct,USnet,20"/>
    <x v="0"/>
    <x v="2"/>
    <x v="0"/>
    <n v="974.82799999999997"/>
    <n v="920"/>
    <n v="5.9595652173913019"/>
    <x v="896"/>
  </r>
  <r>
    <s v="Direct,USnet,20"/>
    <x v="0"/>
    <x v="2"/>
    <x v="0"/>
    <n v="973.82799999999997"/>
    <n v="920"/>
    <n v="5.8508695652173888"/>
    <x v="895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59.82799999999997"/>
    <n v="920"/>
    <n v="4.3291304347826065"/>
    <x v="899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73.82799999999997"/>
    <n v="920"/>
    <n v="5.8508695652173888"/>
    <x v="895"/>
  </r>
  <r>
    <s v="Direct,USnet,20"/>
    <x v="0"/>
    <x v="2"/>
    <x v="0"/>
    <n v="965.82799999999997"/>
    <n v="920"/>
    <n v="4.9813043478260841"/>
    <x v="892"/>
  </r>
  <r>
    <s v="Direct,USnet,20"/>
    <x v="0"/>
    <x v="2"/>
    <x v="0"/>
    <n v="971.82799999999997"/>
    <n v="920"/>
    <n v="5.6334782608695626"/>
    <x v="884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66.82799999999997"/>
    <n v="920"/>
    <n v="5.0899999999999972"/>
    <x v="891"/>
  </r>
  <r>
    <s v="Direct,USnet,20"/>
    <x v="0"/>
    <x v="2"/>
    <x v="0"/>
    <n v="966.82799999999997"/>
    <n v="920"/>
    <n v="5.0899999999999972"/>
    <x v="891"/>
  </r>
  <r>
    <s v="Direct,USnet,20"/>
    <x v="0"/>
    <x v="2"/>
    <x v="0"/>
    <n v="972.82799999999997"/>
    <n v="920"/>
    <n v="5.7421739130434757"/>
    <x v="887"/>
  </r>
  <r>
    <s v="Direct,USnet,20"/>
    <x v="0"/>
    <x v="2"/>
    <x v="0"/>
    <n v="966.82799999999997"/>
    <n v="920"/>
    <n v="5.0899999999999972"/>
    <x v="891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71.82799999999997"/>
    <n v="920"/>
    <n v="5.6334782608695626"/>
    <x v="884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61.82799999999997"/>
    <n v="920"/>
    <n v="4.5465217391304318"/>
    <x v="900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9.82799999999997"/>
    <n v="920"/>
    <n v="5.4160869565217364"/>
    <x v="885"/>
  </r>
  <r>
    <s v="Direct,USnet,20"/>
    <x v="0"/>
    <x v="2"/>
    <x v="0"/>
    <n v="964.82799999999997"/>
    <n v="920"/>
    <n v="4.872608695652171"/>
    <x v="893"/>
  </r>
  <r>
    <s v="Direct,USnet,20"/>
    <x v="0"/>
    <x v="2"/>
    <x v="0"/>
    <n v="974.82799999999997"/>
    <n v="920"/>
    <n v="5.9595652173913019"/>
    <x v="896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72.82799999999997"/>
    <n v="920"/>
    <n v="5.7421739130434757"/>
    <x v="887"/>
  </r>
  <r>
    <s v="Direct,USnet,20"/>
    <x v="0"/>
    <x v="2"/>
    <x v="0"/>
    <n v="972.82799999999997"/>
    <n v="920"/>
    <n v="5.7421739130434757"/>
    <x v="887"/>
  </r>
  <r>
    <s v="Direct,USnet,20"/>
    <x v="0"/>
    <x v="2"/>
    <x v="0"/>
    <n v="966.82799999999997"/>
    <n v="920"/>
    <n v="5.0899999999999972"/>
    <x v="891"/>
  </r>
  <r>
    <s v="Direct,USnet,20"/>
    <x v="0"/>
    <x v="2"/>
    <x v="0"/>
    <n v="974.82799999999997"/>
    <n v="920"/>
    <n v="5.9595652173913019"/>
    <x v="896"/>
  </r>
  <r>
    <s v="Direct,USnet,20"/>
    <x v="0"/>
    <x v="2"/>
    <x v="0"/>
    <n v="962.82799999999997"/>
    <n v="920"/>
    <n v="4.6552173913043449"/>
    <x v="901"/>
  </r>
  <r>
    <s v="Direct,USnet,20"/>
    <x v="0"/>
    <x v="2"/>
    <x v="0"/>
    <n v="967.82799999999997"/>
    <n v="920"/>
    <n v="5.1986956521739103"/>
    <x v="889"/>
  </r>
  <r>
    <s v="Direct,USnet,20"/>
    <x v="0"/>
    <x v="2"/>
    <x v="0"/>
    <n v="964.82799999999997"/>
    <n v="920"/>
    <n v="4.872608695652171"/>
    <x v="893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5.82799999999997"/>
    <n v="920"/>
    <n v="4.9813043478260841"/>
    <x v="892"/>
  </r>
  <r>
    <s v="Direct,USnet,20"/>
    <x v="0"/>
    <x v="2"/>
    <x v="0"/>
    <n v="966.82799999999997"/>
    <n v="920"/>
    <n v="5.0899999999999972"/>
    <x v="891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65.82799999999997"/>
    <n v="920"/>
    <n v="4.9813043478260841"/>
    <x v="892"/>
  </r>
  <r>
    <s v="Direct,USnet,20"/>
    <x v="0"/>
    <x v="2"/>
    <x v="0"/>
    <n v="973.82799999999997"/>
    <n v="920"/>
    <n v="5.8508695652173888"/>
    <x v="895"/>
  </r>
  <r>
    <s v="Direct,USnet,20"/>
    <x v="0"/>
    <x v="2"/>
    <x v="0"/>
    <n v="968.82799999999997"/>
    <n v="920"/>
    <n v="5.3073913043478234"/>
    <x v="888"/>
  </r>
  <r>
    <s v="Direct,USnet,20"/>
    <x v="0"/>
    <x v="2"/>
    <x v="0"/>
    <n v="970.82799999999997"/>
    <n v="920"/>
    <n v="5.5247826086956495"/>
    <x v="890"/>
  </r>
  <r>
    <s v="Direct,USnet,20"/>
    <x v="0"/>
    <x v="2"/>
    <x v="0"/>
    <n v="964.82799999999997"/>
    <n v="920"/>
    <n v="4.872608695652171"/>
    <x v="893"/>
  </r>
  <r>
    <s v="Direct,USnet,20"/>
    <x v="0"/>
    <x v="2"/>
    <x v="0"/>
    <n v="967.82799999999997"/>
    <n v="920"/>
    <n v="5.1986956521739103"/>
    <x v="889"/>
  </r>
  <r>
    <s v="Direct,USnet,40"/>
    <x v="0"/>
    <x v="2"/>
    <x v="1"/>
    <n v="1583.5450000000001"/>
    <n v="1480"/>
    <n v="6.9962837837837881"/>
    <x v="902"/>
  </r>
  <r>
    <s v="Direct,USnet,40"/>
    <x v="0"/>
    <x v="2"/>
    <x v="1"/>
    <n v="1605.586"/>
    <n v="1480"/>
    <n v="8.4855405405405406"/>
    <x v="903"/>
  </r>
  <r>
    <s v="Direct,USnet,40"/>
    <x v="0"/>
    <x v="2"/>
    <x v="1"/>
    <n v="1571.1590000000001"/>
    <n v="1480"/>
    <n v="6.1593918918918984"/>
    <x v="904"/>
  </r>
  <r>
    <s v="Direct,USnet,40"/>
    <x v="0"/>
    <x v="2"/>
    <x v="1"/>
    <n v="1614.2470000000001"/>
    <n v="1480"/>
    <n v="9.070743243243248"/>
    <x v="905"/>
  </r>
  <r>
    <s v="Direct,USnet,40"/>
    <x v="0"/>
    <x v="2"/>
    <x v="1"/>
    <n v="1602.6079999999999"/>
    <n v="1480"/>
    <n v="8.2843243243243219"/>
    <x v="906"/>
  </r>
  <r>
    <s v="Direct,USnet,40"/>
    <x v="0"/>
    <x v="2"/>
    <x v="1"/>
    <n v="1559.0740000000001"/>
    <n v="1480"/>
    <n v="5.3428378378378421"/>
    <x v="907"/>
  </r>
  <r>
    <s v="Direct,USnet,40"/>
    <x v="0"/>
    <x v="2"/>
    <x v="1"/>
    <n v="1582.675"/>
    <n v="1480"/>
    <n v="6.9374999999999964"/>
    <x v="908"/>
  </r>
  <r>
    <s v="Direct,USnet,40"/>
    <x v="0"/>
    <x v="2"/>
    <x v="1"/>
    <n v="1556.954"/>
    <n v="1480"/>
    <n v="5.1995945945945916"/>
    <x v="909"/>
  </r>
  <r>
    <s v="Direct,USnet,40"/>
    <x v="0"/>
    <x v="2"/>
    <x v="1"/>
    <n v="1561.335"/>
    <n v="1480"/>
    <n v="5.4956081081081107"/>
    <x v="910"/>
  </r>
  <r>
    <s v="Direct,USnet,40"/>
    <x v="0"/>
    <x v="2"/>
    <x v="1"/>
    <n v="1603.9870000000001"/>
    <n v="1480"/>
    <n v="8.3775000000000066"/>
    <x v="911"/>
  </r>
  <r>
    <s v="Direct,USnet,40"/>
    <x v="0"/>
    <x v="2"/>
    <x v="1"/>
    <n v="1569.7429999999999"/>
    <n v="1480"/>
    <n v="6.0637162162162115"/>
    <x v="912"/>
  </r>
  <r>
    <s v="Direct,USnet,40"/>
    <x v="0"/>
    <x v="2"/>
    <x v="1"/>
    <n v="1567.5909999999999"/>
    <n v="1480"/>
    <n v="5.9183108108108033"/>
    <x v="913"/>
  </r>
  <r>
    <s v="Direct,USnet,40"/>
    <x v="0"/>
    <x v="2"/>
    <x v="1"/>
    <n v="1572.0640000000001"/>
    <n v="1480"/>
    <n v="6.2205405405405454"/>
    <x v="914"/>
  </r>
  <r>
    <s v="Direct,USnet,40"/>
    <x v="0"/>
    <x v="2"/>
    <x v="1"/>
    <n v="1568.519"/>
    <n v="1480"/>
    <n v="5.9810135135135143"/>
    <x v="915"/>
  </r>
  <r>
    <s v="Direct,USnet,40"/>
    <x v="0"/>
    <x v="2"/>
    <x v="1"/>
    <n v="1576.799"/>
    <n v="1480"/>
    <n v="6.5404729729729718"/>
    <x v="916"/>
  </r>
  <r>
    <s v="Direct,USnet,40"/>
    <x v="0"/>
    <x v="2"/>
    <x v="1"/>
    <n v="1571.5239999999999"/>
    <n v="1480"/>
    <n v="6.1840540540540463"/>
    <x v="917"/>
  </r>
  <r>
    <s v="Direct,USnet,40"/>
    <x v="0"/>
    <x v="2"/>
    <x v="1"/>
    <n v="1600.6759999999999"/>
    <n v="1480"/>
    <n v="8.1537837837837781"/>
    <x v="918"/>
  </r>
  <r>
    <s v="Direct,USnet,40"/>
    <x v="0"/>
    <x v="2"/>
    <x v="1"/>
    <n v="1551.1959999999999"/>
    <n v="1480"/>
    <n v="4.8105405405405346"/>
    <x v="919"/>
  </r>
  <r>
    <s v="Direct,USnet,40"/>
    <x v="0"/>
    <x v="2"/>
    <x v="1"/>
    <n v="1590.192"/>
    <n v="1480"/>
    <n v="7.4454054054054062"/>
    <x v="920"/>
  </r>
  <r>
    <s v="Direct,USnet,40"/>
    <x v="0"/>
    <x v="2"/>
    <x v="1"/>
    <n v="1578.249"/>
    <n v="1480"/>
    <n v="6.6384459459459482"/>
    <x v="921"/>
  </r>
  <r>
    <s v="Direct,USnet,40"/>
    <x v="0"/>
    <x v="2"/>
    <x v="1"/>
    <n v="1539.922"/>
    <n v="1480"/>
    <n v="4.0487837837837857"/>
    <x v="922"/>
  </r>
  <r>
    <s v="Direct,USnet,40"/>
    <x v="0"/>
    <x v="2"/>
    <x v="1"/>
    <n v="1570.0150000000001"/>
    <n v="1480"/>
    <n v="6.0820945945946008"/>
    <x v="923"/>
  </r>
  <r>
    <s v="Direct,USnet,40"/>
    <x v="0"/>
    <x v="2"/>
    <x v="1"/>
    <n v="1616.5319999999999"/>
    <n v="1480"/>
    <n v="9.2251351351351296"/>
    <x v="924"/>
  </r>
  <r>
    <s v="Direct,USnet,40"/>
    <x v="0"/>
    <x v="2"/>
    <x v="1"/>
    <n v="1591.2950000000001"/>
    <n v="1480"/>
    <n v="7.5199324324324373"/>
    <x v="925"/>
  </r>
  <r>
    <s v="Direct,USnet,40"/>
    <x v="0"/>
    <x v="2"/>
    <x v="1"/>
    <n v="1592.9090000000001"/>
    <n v="1480"/>
    <n v="7.628986486486494"/>
    <x v="926"/>
  </r>
  <r>
    <s v="Direct,USnet,40"/>
    <x v="0"/>
    <x v="2"/>
    <x v="1"/>
    <n v="1590.098"/>
    <n v="1480"/>
    <n v="7.4390540540540506"/>
    <x v="927"/>
  </r>
  <r>
    <s v="Direct,USnet,40"/>
    <x v="0"/>
    <x v="2"/>
    <x v="1"/>
    <n v="1544.413"/>
    <n v="1480"/>
    <n v="4.3522297297297303"/>
    <x v="928"/>
  </r>
  <r>
    <s v="Direct,USnet,40"/>
    <x v="0"/>
    <x v="2"/>
    <x v="1"/>
    <n v="1592.336"/>
    <n v="1480"/>
    <n v="7.5902702702702722"/>
    <x v="929"/>
  </r>
  <r>
    <s v="Direct,USnet,40"/>
    <x v="0"/>
    <x v="2"/>
    <x v="1"/>
    <n v="1593.288"/>
    <n v="1480"/>
    <n v="7.6545945945945952"/>
    <x v="930"/>
  </r>
  <r>
    <s v="Direct,USnet,40"/>
    <x v="0"/>
    <x v="2"/>
    <x v="1"/>
    <n v="1591.0630000000001"/>
    <n v="1480"/>
    <n v="7.5042567567567637"/>
    <x v="931"/>
  </r>
  <r>
    <s v="Direct,USnet,40"/>
    <x v="0"/>
    <x v="2"/>
    <x v="1"/>
    <n v="1612.579"/>
    <n v="1480"/>
    <n v="8.9580405405405372"/>
    <x v="932"/>
  </r>
  <r>
    <s v="Direct,USnet,40"/>
    <x v="0"/>
    <x v="2"/>
    <x v="1"/>
    <n v="1593.9680000000001"/>
    <n v="1480"/>
    <n v="7.7005405405405458"/>
    <x v="933"/>
  </r>
  <r>
    <s v="Direct,USnet,40"/>
    <x v="0"/>
    <x v="2"/>
    <x v="1"/>
    <n v="1583.6679999999999"/>
    <n v="1480"/>
    <n v="7.0045945945945878"/>
    <x v="934"/>
  </r>
  <r>
    <s v="Direct,USnet,40"/>
    <x v="0"/>
    <x v="2"/>
    <x v="1"/>
    <n v="1558.001"/>
    <n v="1480"/>
    <n v="5.2703378378378369"/>
    <x v="935"/>
  </r>
  <r>
    <s v="Direct,USnet,40"/>
    <x v="0"/>
    <x v="2"/>
    <x v="1"/>
    <n v="1597.76"/>
    <n v="1480"/>
    <n v="7.9567567567567572"/>
    <x v="936"/>
  </r>
  <r>
    <s v="Direct,USnet,40"/>
    <x v="0"/>
    <x v="2"/>
    <x v="1"/>
    <n v="1592.528"/>
    <n v="1480"/>
    <n v="7.6032432432432451"/>
    <x v="937"/>
  </r>
  <r>
    <s v="Direct,USnet,40"/>
    <x v="0"/>
    <x v="2"/>
    <x v="1"/>
    <n v="1600.2260000000001"/>
    <n v="1480"/>
    <n v="8.1233783783783853"/>
    <x v="938"/>
  </r>
  <r>
    <s v="Direct,USnet,40"/>
    <x v="0"/>
    <x v="2"/>
    <x v="1"/>
    <n v="1553.4880000000001"/>
    <n v="1480"/>
    <n v="4.9654054054054093"/>
    <x v="939"/>
  </r>
  <r>
    <s v="Direct,USnet,40"/>
    <x v="0"/>
    <x v="2"/>
    <x v="1"/>
    <n v="1613.3320000000001"/>
    <n v="1480"/>
    <n v="9.0089189189189263"/>
    <x v="940"/>
  </r>
  <r>
    <s v="Direct,USnet,40"/>
    <x v="0"/>
    <x v="2"/>
    <x v="1"/>
    <n v="1640.9110000000001"/>
    <n v="1480"/>
    <n v="10.872364864864869"/>
    <x v="941"/>
  </r>
  <r>
    <s v="Direct,USnet,40"/>
    <x v="0"/>
    <x v="2"/>
    <x v="1"/>
    <n v="1577.45"/>
    <n v="1480"/>
    <n v="6.5844594594594632"/>
    <x v="942"/>
  </r>
  <r>
    <s v="Direct,USnet,40"/>
    <x v="0"/>
    <x v="2"/>
    <x v="1"/>
    <n v="1571.1890000000001"/>
    <n v="1480"/>
    <n v="6.1614189189189243"/>
    <x v="943"/>
  </r>
  <r>
    <s v="Direct,USnet,40"/>
    <x v="0"/>
    <x v="2"/>
    <x v="1"/>
    <n v="1593.9739999999999"/>
    <n v="1480"/>
    <n v="7.700945945945942"/>
    <x v="944"/>
  </r>
  <r>
    <s v="Direct,USnet,40"/>
    <x v="0"/>
    <x v="2"/>
    <x v="1"/>
    <n v="1619.0719999999999"/>
    <n v="1480"/>
    <n v="9.3967567567567496"/>
    <x v="945"/>
  </r>
  <r>
    <s v="Direct,USnet,40"/>
    <x v="0"/>
    <x v="2"/>
    <x v="1"/>
    <n v="1568.8240000000001"/>
    <n v="1480"/>
    <n v="6.0016216216216263"/>
    <x v="946"/>
  </r>
  <r>
    <s v="Direct,USnet,40"/>
    <x v="0"/>
    <x v="2"/>
    <x v="1"/>
    <n v="1580.2059999999999"/>
    <n v="1480"/>
    <n v="6.770675675675669"/>
    <x v="947"/>
  </r>
  <r>
    <s v="Direct,USnet,40"/>
    <x v="0"/>
    <x v="2"/>
    <x v="1"/>
    <n v="1581.3879999999999"/>
    <n v="1480"/>
    <n v="6.8505405405405355"/>
    <x v="948"/>
  </r>
  <r>
    <s v="Direct,USnet,40"/>
    <x v="0"/>
    <x v="2"/>
    <x v="1"/>
    <n v="1604.0709999999999"/>
    <n v="1480"/>
    <n v="8.3831756756756697"/>
    <x v="949"/>
  </r>
  <r>
    <s v="Direct,USnet,40"/>
    <x v="0"/>
    <x v="2"/>
    <x v="1"/>
    <n v="1552.915"/>
    <n v="1480"/>
    <n v="4.9266891891891866"/>
    <x v="950"/>
  </r>
  <r>
    <s v="Direct,USnet,40"/>
    <x v="0"/>
    <x v="2"/>
    <x v="1"/>
    <n v="1582.8810000000001"/>
    <n v="1480"/>
    <n v="6.9514189189189253"/>
    <x v="951"/>
  </r>
  <r>
    <s v="Direct,USnet,40"/>
    <x v="0"/>
    <x v="2"/>
    <x v="1"/>
    <n v="1546.05"/>
    <n v="1480"/>
    <n v="4.4628378378378342"/>
    <x v="952"/>
  </r>
  <r>
    <s v="Direct,USnet,40"/>
    <x v="0"/>
    <x v="2"/>
    <x v="1"/>
    <n v="1543.7"/>
    <n v="1480"/>
    <n v="4.3040540540540571"/>
    <x v="953"/>
  </r>
  <r>
    <s v="Direct,USnet,40"/>
    <x v="0"/>
    <x v="2"/>
    <x v="1"/>
    <n v="1620.6759999999999"/>
    <n v="1480"/>
    <n v="9.5051351351351308"/>
    <x v="954"/>
  </r>
  <r>
    <s v="Direct,USnet,40"/>
    <x v="0"/>
    <x v="2"/>
    <x v="1"/>
    <n v="1564.5070000000001"/>
    <n v="1480"/>
    <n v="5.7099324324324368"/>
    <x v="955"/>
  </r>
  <r>
    <s v="Direct,USnet,40"/>
    <x v="0"/>
    <x v="2"/>
    <x v="1"/>
    <n v="1582.729"/>
    <n v="1480"/>
    <n v="6.9411486486486513"/>
    <x v="956"/>
  </r>
  <r>
    <s v="Direct,USnet,40"/>
    <x v="0"/>
    <x v="2"/>
    <x v="1"/>
    <n v="1603.09"/>
    <n v="1480"/>
    <n v="8.3168918918918866"/>
    <x v="957"/>
  </r>
  <r>
    <s v="Direct,USnet,40"/>
    <x v="0"/>
    <x v="2"/>
    <x v="1"/>
    <n v="1622.6089999999999"/>
    <n v="1480"/>
    <n v="9.6357432432432368"/>
    <x v="958"/>
  </r>
  <r>
    <s v="Direct,USnet,40"/>
    <x v="0"/>
    <x v="2"/>
    <x v="1"/>
    <n v="1568.8240000000001"/>
    <n v="1480"/>
    <n v="6.0016216216216263"/>
    <x v="946"/>
  </r>
  <r>
    <s v="Direct,USnet,40"/>
    <x v="0"/>
    <x v="2"/>
    <x v="1"/>
    <n v="1594.3320000000001"/>
    <n v="1480"/>
    <n v="7.7251351351351429"/>
    <x v="959"/>
  </r>
  <r>
    <s v="Direct,USnet,40"/>
    <x v="0"/>
    <x v="2"/>
    <x v="1"/>
    <n v="1584.394"/>
    <n v="1480"/>
    <n v="7.0536486486486485"/>
    <x v="960"/>
  </r>
  <r>
    <s v="Direct,USnet,40"/>
    <x v="0"/>
    <x v="2"/>
    <x v="1"/>
    <n v="1574.1410000000001"/>
    <n v="1480"/>
    <n v="6.3608783783783833"/>
    <x v="961"/>
  </r>
  <r>
    <s v="Direct,USnet,40"/>
    <x v="0"/>
    <x v="2"/>
    <x v="1"/>
    <n v="1583.277"/>
    <n v="1480"/>
    <n v="6.9781756756756783"/>
    <x v="962"/>
  </r>
  <r>
    <s v="Direct,USnet,40"/>
    <x v="0"/>
    <x v="2"/>
    <x v="1"/>
    <n v="1570.1079999999999"/>
    <n v="1480"/>
    <n v="6.0883783783783754"/>
    <x v="963"/>
  </r>
  <r>
    <s v="Direct,USnet,40"/>
    <x v="0"/>
    <x v="2"/>
    <x v="1"/>
    <n v="1585.057"/>
    <n v="1480"/>
    <n v="7.0984459459459472"/>
    <x v="964"/>
  </r>
  <r>
    <s v="Direct,USnet,40"/>
    <x v="0"/>
    <x v="2"/>
    <x v="1"/>
    <n v="1595.8019999999999"/>
    <n v="1480"/>
    <n v="7.8244594594594528"/>
    <x v="965"/>
  </r>
  <r>
    <s v="Direct,USnet,40"/>
    <x v="0"/>
    <x v="2"/>
    <x v="1"/>
    <n v="1557.0530000000001"/>
    <n v="1480"/>
    <n v="5.2062837837837908"/>
    <x v="966"/>
  </r>
  <r>
    <s v="Direct,USnet,40"/>
    <x v="0"/>
    <x v="2"/>
    <x v="1"/>
    <n v="1545.2739999999999"/>
    <n v="1480"/>
    <n v="4.410405405405398"/>
    <x v="967"/>
  </r>
  <r>
    <s v="Direct,USnet,40"/>
    <x v="0"/>
    <x v="2"/>
    <x v="1"/>
    <n v="1575.567"/>
    <n v="1480"/>
    <n v="6.4572297297297299"/>
    <x v="968"/>
  </r>
  <r>
    <s v="Direct,USnet,40"/>
    <x v="0"/>
    <x v="2"/>
    <x v="1"/>
    <n v="1570.789"/>
    <n v="1480"/>
    <n v="6.1343918918918909"/>
    <x v="969"/>
  </r>
  <r>
    <s v="Direct,USnet,40"/>
    <x v="0"/>
    <x v="2"/>
    <x v="1"/>
    <n v="1559.3309999999999"/>
    <n v="1480"/>
    <n v="5.3602027027026962"/>
    <x v="970"/>
  </r>
  <r>
    <s v="Direct,USnet,40"/>
    <x v="0"/>
    <x v="2"/>
    <x v="1"/>
    <n v="1552.962"/>
    <n v="1480"/>
    <n v="4.9298648648648644"/>
    <x v="971"/>
  </r>
  <r>
    <s v="Direct,USnet,40"/>
    <x v="0"/>
    <x v="2"/>
    <x v="1"/>
    <n v="1603.335"/>
    <n v="1480"/>
    <n v="8.3334459459459485"/>
    <x v="972"/>
  </r>
  <r>
    <s v="Direct,USnet,40"/>
    <x v="0"/>
    <x v="2"/>
    <x v="1"/>
    <n v="1589.434"/>
    <n v="1480"/>
    <n v="7.3941891891891878"/>
    <x v="973"/>
  </r>
  <r>
    <s v="Direct,USnet,40"/>
    <x v="0"/>
    <x v="2"/>
    <x v="1"/>
    <n v="1550.346"/>
    <n v="1480"/>
    <n v="4.7531081081081084"/>
    <x v="974"/>
  </r>
  <r>
    <s v="Direct,USnet,40"/>
    <x v="0"/>
    <x v="2"/>
    <x v="1"/>
    <n v="1576.4760000000001"/>
    <n v="1480"/>
    <n v="6.5186486486486563"/>
    <x v="975"/>
  </r>
  <r>
    <s v="Direct,USnet,40"/>
    <x v="0"/>
    <x v="2"/>
    <x v="1"/>
    <n v="1596.9949999999999"/>
    <n v="1480"/>
    <n v="7.9050675675675599"/>
    <x v="976"/>
  </r>
  <r>
    <s v="Direct,USnet,40"/>
    <x v="0"/>
    <x v="2"/>
    <x v="1"/>
    <n v="1620.758"/>
    <n v="1480"/>
    <n v="9.5106756756756781"/>
    <x v="977"/>
  </r>
  <r>
    <s v="Direct,USnet,40"/>
    <x v="0"/>
    <x v="2"/>
    <x v="1"/>
    <n v="1574.8019999999999"/>
    <n v="1480"/>
    <n v="6.4055405405405343"/>
    <x v="978"/>
  </r>
  <r>
    <s v="Direct,USnet,40"/>
    <x v="0"/>
    <x v="2"/>
    <x v="1"/>
    <n v="1594.548"/>
    <n v="1480"/>
    <n v="7.7397297297297305"/>
    <x v="979"/>
  </r>
  <r>
    <s v="Direct,USnet,40"/>
    <x v="0"/>
    <x v="2"/>
    <x v="1"/>
    <n v="1560.087"/>
    <n v="1480"/>
    <n v="5.4112837837837828"/>
    <x v="980"/>
  </r>
  <r>
    <s v="Direct,USnet,40"/>
    <x v="0"/>
    <x v="2"/>
    <x v="1"/>
    <n v="1577.4290000000001"/>
    <n v="1480"/>
    <n v="6.583040540540547"/>
    <x v="981"/>
  </r>
  <r>
    <s v="Direct,USnet,40"/>
    <x v="0"/>
    <x v="2"/>
    <x v="1"/>
    <n v="1597.3320000000001"/>
    <n v="1480"/>
    <n v="7.9278378378378447"/>
    <x v="982"/>
  </r>
  <r>
    <s v="Direct,USnet,40"/>
    <x v="0"/>
    <x v="2"/>
    <x v="1"/>
    <n v="1608.769"/>
    <n v="1480"/>
    <n v="8.7006081081081081"/>
    <x v="983"/>
  </r>
  <r>
    <s v="Direct,USnet,40"/>
    <x v="0"/>
    <x v="2"/>
    <x v="1"/>
    <n v="1628.3710000000001"/>
    <n v="1480"/>
    <n v="10.025067567567573"/>
    <x v="984"/>
  </r>
  <r>
    <s v="Direct,USnet,40"/>
    <x v="0"/>
    <x v="2"/>
    <x v="1"/>
    <n v="1579.028"/>
    <n v="1480"/>
    <n v="6.6910810810810819"/>
    <x v="985"/>
  </r>
  <r>
    <s v="Direct,USnet,40"/>
    <x v="0"/>
    <x v="2"/>
    <x v="1"/>
    <n v="1566.837"/>
    <n v="1480"/>
    <n v="5.8673648648648644"/>
    <x v="986"/>
  </r>
  <r>
    <s v="Direct,USnet,40"/>
    <x v="0"/>
    <x v="2"/>
    <x v="1"/>
    <n v="1629.703"/>
    <n v="1480"/>
    <n v="10.115067567567566"/>
    <x v="987"/>
  </r>
  <r>
    <s v="Direct,USnet,40"/>
    <x v="0"/>
    <x v="2"/>
    <x v="1"/>
    <n v="1571.145"/>
    <n v="1480"/>
    <n v="6.1584459459459442"/>
    <x v="988"/>
  </r>
  <r>
    <s v="Direct,USnet,40"/>
    <x v="0"/>
    <x v="2"/>
    <x v="1"/>
    <n v="1590.8130000000001"/>
    <n v="1480"/>
    <n v="7.4873648648648716"/>
    <x v="989"/>
  </r>
  <r>
    <s v="Direct,USnet,40"/>
    <x v="0"/>
    <x v="2"/>
    <x v="1"/>
    <n v="1575.9259999999999"/>
    <n v="1480"/>
    <n v="6.4814864864864816"/>
    <x v="990"/>
  </r>
  <r>
    <s v="Direct,USnet,40"/>
    <x v="0"/>
    <x v="2"/>
    <x v="1"/>
    <n v="1559.6279999999999"/>
    <n v="1480"/>
    <n v="5.3802702702702652"/>
    <x v="991"/>
  </r>
  <r>
    <s v="Direct,USnet,40"/>
    <x v="0"/>
    <x v="2"/>
    <x v="1"/>
    <n v="1573.9090000000001"/>
    <n v="1480"/>
    <n v="6.3452027027027098"/>
    <x v="992"/>
  </r>
  <r>
    <s v="Direct,USnet,40"/>
    <x v="0"/>
    <x v="2"/>
    <x v="1"/>
    <n v="1600.7550000000001"/>
    <n v="1480"/>
    <n v="8.1591216216216296"/>
    <x v="993"/>
  </r>
  <r>
    <s v="Direct,USnet,40"/>
    <x v="0"/>
    <x v="2"/>
    <x v="1"/>
    <n v="1591.84"/>
    <n v="1480"/>
    <n v="7.5567567567567506"/>
    <x v="994"/>
  </r>
  <r>
    <s v="Direct,USnet,40"/>
    <x v="0"/>
    <x v="2"/>
    <x v="1"/>
    <n v="1609.577"/>
    <n v="1480"/>
    <n v="8.755202702702702"/>
    <x v="995"/>
  </r>
  <r>
    <s v="Direct,USnet,40"/>
    <x v="0"/>
    <x v="2"/>
    <x v="1"/>
    <n v="1582.287"/>
    <n v="1480"/>
    <n v="6.9112837837837864"/>
    <x v="996"/>
  </r>
  <r>
    <s v="Direct,USnet,40"/>
    <x v="0"/>
    <x v="2"/>
    <x v="1"/>
    <n v="1588.472"/>
    <n v="1480"/>
    <n v="7.3291891891891874"/>
    <x v="997"/>
  </r>
  <r>
    <s v="Direct,USnet,40"/>
    <x v="0"/>
    <x v="2"/>
    <x v="1"/>
    <n v="1597.374"/>
    <n v="1480"/>
    <n v="7.9306756756756771"/>
    <x v="998"/>
  </r>
  <r>
    <s v="Direct,USnet,40"/>
    <x v="0"/>
    <x v="2"/>
    <x v="1"/>
    <n v="1582.9649999999999"/>
    <n v="1480"/>
    <n v="6.9570945945945883"/>
    <x v="999"/>
  </r>
  <r>
    <s v="Direct,USnet,40"/>
    <x v="0"/>
    <x v="2"/>
    <x v="1"/>
    <n v="1551.7170000000001"/>
    <n v="1480"/>
    <n v="4.8457432432432501"/>
    <x v="1000"/>
  </r>
  <r>
    <s v="Direct,USnet,60"/>
    <x v="0"/>
    <x v="2"/>
    <x v="2"/>
    <n v="2219.34"/>
    <n v="2130"/>
    <n v="4.194366197183105"/>
    <x v="1001"/>
  </r>
  <r>
    <s v="Direct,USnet,60"/>
    <x v="0"/>
    <x v="2"/>
    <x v="2"/>
    <n v="2265.0369999999998"/>
    <n v="2130"/>
    <n v="6.3397652582159525"/>
    <x v="1002"/>
  </r>
  <r>
    <s v="Direct,USnet,60"/>
    <x v="0"/>
    <x v="2"/>
    <x v="2"/>
    <n v="2148.3539999999998"/>
    <n v="2130"/>
    <n v="0.86169014084506168"/>
    <x v="1003"/>
  </r>
  <r>
    <s v="Direct,USnet,60"/>
    <x v="0"/>
    <x v="2"/>
    <x v="2"/>
    <n v="2204.4989999999998"/>
    <n v="2130"/>
    <n v="3.4976056338028076"/>
    <x v="1004"/>
  </r>
  <r>
    <s v="Direct,USnet,60"/>
    <x v="0"/>
    <x v="2"/>
    <x v="2"/>
    <n v="2227.0720000000001"/>
    <n v="2130"/>
    <n v="4.5573708920187848"/>
    <x v="1005"/>
  </r>
  <r>
    <s v="Direct,USnet,60"/>
    <x v="0"/>
    <x v="2"/>
    <x v="2"/>
    <n v="2243.1950000000002"/>
    <n v="2130"/>
    <n v="5.3143192488262985"/>
    <x v="1006"/>
  </r>
  <r>
    <s v="Direct,USnet,60"/>
    <x v="0"/>
    <x v="2"/>
    <x v="2"/>
    <n v="2137.962"/>
    <n v="2130"/>
    <n v="0.37380281690140793"/>
    <x v="1007"/>
  </r>
  <r>
    <s v="Direct,USnet,60"/>
    <x v="0"/>
    <x v="2"/>
    <x v="2"/>
    <n v="2202.4699999999998"/>
    <n v="2130"/>
    <n v="3.4023474178403665"/>
    <x v="1008"/>
  </r>
  <r>
    <s v="Direct,USnet,60"/>
    <x v="0"/>
    <x v="2"/>
    <x v="2"/>
    <n v="2252.9299999999998"/>
    <n v="2130"/>
    <n v="5.7713615023474096"/>
    <x v="1009"/>
  </r>
  <r>
    <s v="Direct,USnet,60"/>
    <x v="0"/>
    <x v="2"/>
    <x v="2"/>
    <n v="2246.6840000000002"/>
    <n v="2130"/>
    <n v="5.4781220657277085"/>
    <x v="1010"/>
  </r>
  <r>
    <s v="Direct,USnet,60"/>
    <x v="0"/>
    <x v="2"/>
    <x v="2"/>
    <n v="2186.13"/>
    <n v="2130"/>
    <n v="2.635211267605639"/>
    <x v="1011"/>
  </r>
  <r>
    <s v="Direct,USnet,60"/>
    <x v="0"/>
    <x v="2"/>
    <x v="2"/>
    <n v="2238.011"/>
    <n v="2130"/>
    <n v="5.0709389671361489"/>
    <x v="1012"/>
  </r>
  <r>
    <s v="Direct,USnet,60"/>
    <x v="0"/>
    <x v="2"/>
    <x v="2"/>
    <n v="2230.518"/>
    <n v="2130"/>
    <n v="4.7191549295774662"/>
    <x v="1013"/>
  </r>
  <r>
    <s v="Direct,USnet,60"/>
    <x v="0"/>
    <x v="2"/>
    <x v="2"/>
    <n v="2240.4259999999999"/>
    <n v="2130"/>
    <n v="5.1843192488262879"/>
    <x v="1014"/>
  </r>
  <r>
    <s v="Direct,USnet,60"/>
    <x v="0"/>
    <x v="2"/>
    <x v="2"/>
    <n v="2212.2730000000001"/>
    <n v="2130"/>
    <n v="3.8625821596244196"/>
    <x v="1015"/>
  </r>
  <r>
    <s v="Direct,USnet,60"/>
    <x v="0"/>
    <x v="2"/>
    <x v="2"/>
    <n v="2221.8319999999999"/>
    <n v="2130"/>
    <n v="4.3113615023474123"/>
    <x v="1016"/>
  </r>
  <r>
    <s v="Direct,USnet,60"/>
    <x v="0"/>
    <x v="2"/>
    <x v="2"/>
    <n v="2264.7950000000001"/>
    <n v="2130"/>
    <n v="6.3284037558685471"/>
    <x v="1017"/>
  </r>
  <r>
    <s v="Direct,USnet,60"/>
    <x v="0"/>
    <x v="2"/>
    <x v="2"/>
    <n v="2207.6930000000002"/>
    <n v="2130"/>
    <n v="3.6475586854460196"/>
    <x v="1018"/>
  </r>
  <r>
    <s v="Direct,USnet,60"/>
    <x v="0"/>
    <x v="2"/>
    <x v="2"/>
    <n v="2148.7020000000002"/>
    <n v="2130"/>
    <n v="0.87802816901409508"/>
    <x v="1019"/>
  </r>
  <r>
    <s v="Direct,USnet,60"/>
    <x v="0"/>
    <x v="2"/>
    <x v="2"/>
    <n v="2196.924"/>
    <n v="2130"/>
    <n v="3.1419718309859146"/>
    <x v="1020"/>
  </r>
  <r>
    <s v="Direct,USnet,60"/>
    <x v="0"/>
    <x v="2"/>
    <x v="2"/>
    <n v="2270.703"/>
    <n v="2130"/>
    <n v="6.6057746478873236"/>
    <x v="1021"/>
  </r>
  <r>
    <s v="Direct,USnet,60"/>
    <x v="0"/>
    <x v="2"/>
    <x v="2"/>
    <n v="2147.4580000000001"/>
    <n v="2130"/>
    <n v="0.81962441314554391"/>
    <x v="1022"/>
  </r>
  <r>
    <s v="Direct,USnet,60"/>
    <x v="0"/>
    <x v="2"/>
    <x v="2"/>
    <n v="2202.8910000000001"/>
    <n v="2130"/>
    <n v="3.4221126760563414"/>
    <x v="1023"/>
  </r>
  <r>
    <s v="Direct,USnet,60"/>
    <x v="0"/>
    <x v="2"/>
    <x v="2"/>
    <n v="2191.8780000000002"/>
    <n v="2130"/>
    <n v="2.9050704225352186"/>
    <x v="1024"/>
  </r>
  <r>
    <s v="Direct,USnet,60"/>
    <x v="0"/>
    <x v="2"/>
    <x v="2"/>
    <n v="2189.8690000000001"/>
    <n v="2130"/>
    <n v="2.810751173708927"/>
    <x v="1025"/>
  </r>
  <r>
    <s v="Direct,USnet,60"/>
    <x v="0"/>
    <x v="2"/>
    <x v="2"/>
    <n v="2159.636"/>
    <n v="2130"/>
    <n v="1.3913615023474162"/>
    <x v="1026"/>
  </r>
  <r>
    <s v="Direct,USnet,60"/>
    <x v="0"/>
    <x v="2"/>
    <x v="2"/>
    <n v="2225.3180000000002"/>
    <n v="2130"/>
    <n v="4.4750234741784132"/>
    <x v="1027"/>
  </r>
  <r>
    <s v="Direct,USnet,60"/>
    <x v="0"/>
    <x v="2"/>
    <x v="2"/>
    <n v="2219.5810000000001"/>
    <n v="2130"/>
    <n v="4.2056807511737144"/>
    <x v="1028"/>
  </r>
  <r>
    <s v="Direct,USnet,60"/>
    <x v="0"/>
    <x v="2"/>
    <x v="2"/>
    <n v="2194.3690000000001"/>
    <n v="2130"/>
    <n v="3.0220187793427296"/>
    <x v="1029"/>
  </r>
  <r>
    <s v="Direct,USnet,60"/>
    <x v="0"/>
    <x v="2"/>
    <x v="2"/>
    <n v="2221.8000000000002"/>
    <n v="2130"/>
    <n v="4.3098591549295859"/>
    <x v="1030"/>
  </r>
  <r>
    <s v="Direct,USnet,60"/>
    <x v="0"/>
    <x v="2"/>
    <x v="2"/>
    <n v="2150.962"/>
    <n v="2130"/>
    <n v="0.98413145539906055"/>
    <x v="1031"/>
  </r>
  <r>
    <s v="Direct,USnet,60"/>
    <x v="0"/>
    <x v="2"/>
    <x v="2"/>
    <n v="2186.096"/>
    <n v="2130"/>
    <n v="2.6336150234741784"/>
    <x v="1032"/>
  </r>
  <r>
    <s v="Direct,USnet,60"/>
    <x v="0"/>
    <x v="2"/>
    <x v="2"/>
    <n v="2168.7350000000001"/>
    <n v="2130"/>
    <n v="1.818544600938973"/>
    <x v="1033"/>
  </r>
  <r>
    <s v="Direct,USnet,60"/>
    <x v="0"/>
    <x v="2"/>
    <x v="2"/>
    <n v="2238.98"/>
    <n v="2130"/>
    <n v="5.1164319248826295"/>
    <x v="1034"/>
  </r>
  <r>
    <s v="Direct,USnet,60"/>
    <x v="0"/>
    <x v="2"/>
    <x v="2"/>
    <n v="2286.1680000000001"/>
    <n v="2130"/>
    <n v="7.3318309859154978"/>
    <x v="1035"/>
  </r>
  <r>
    <s v="Direct,USnet,60"/>
    <x v="0"/>
    <x v="2"/>
    <x v="2"/>
    <n v="2226.3270000000002"/>
    <n v="2130"/>
    <n v="4.5223943661971937"/>
    <x v="1036"/>
  </r>
  <r>
    <s v="Direct,USnet,60"/>
    <x v="0"/>
    <x v="2"/>
    <x v="2"/>
    <n v="2192.7399999999998"/>
    <n v="2130"/>
    <n v="2.9455399061032761"/>
    <x v="1037"/>
  </r>
  <r>
    <s v="Direct,USnet,60"/>
    <x v="0"/>
    <x v="2"/>
    <x v="2"/>
    <n v="2078.0039999999999"/>
    <n v="2130"/>
    <n v="2.4411267605633844"/>
    <x v="1038"/>
  </r>
  <r>
    <s v="Direct,USnet,60"/>
    <x v="0"/>
    <x v="2"/>
    <x v="2"/>
    <n v="2278.1179999999999"/>
    <n v="2130"/>
    <n v="6.9538967136150207"/>
    <x v="1039"/>
  </r>
  <r>
    <s v="Direct,USnet,60"/>
    <x v="0"/>
    <x v="2"/>
    <x v="2"/>
    <n v="2157.567"/>
    <n v="2130"/>
    <n v="1.2942253521126763"/>
    <x v="1040"/>
  </r>
  <r>
    <s v="Direct,USnet,60"/>
    <x v="0"/>
    <x v="2"/>
    <x v="2"/>
    <n v="2124.3429999999998"/>
    <n v="2130"/>
    <n v="0.26558685446010105"/>
    <x v="1041"/>
  </r>
  <r>
    <s v="Direct,USnet,60"/>
    <x v="0"/>
    <x v="2"/>
    <x v="2"/>
    <n v="2139.846"/>
    <n v="2130"/>
    <n v="0.46225352112676071"/>
    <x v="1042"/>
  </r>
  <r>
    <s v="Direct,USnet,60"/>
    <x v="0"/>
    <x v="2"/>
    <x v="2"/>
    <n v="2237.181"/>
    <n v="2130"/>
    <n v="5.0319718309859169"/>
    <x v="1043"/>
  </r>
  <r>
    <s v="Direct,USnet,60"/>
    <x v="0"/>
    <x v="2"/>
    <x v="2"/>
    <n v="2220.3829999999998"/>
    <n v="2130"/>
    <n v="4.2433333333333243"/>
    <x v="1044"/>
  </r>
  <r>
    <s v="Direct,USnet,60"/>
    <x v="0"/>
    <x v="2"/>
    <x v="2"/>
    <n v="2232.3910000000001"/>
    <n v="2130"/>
    <n v="4.8070892018779379"/>
    <x v="1045"/>
  </r>
  <r>
    <s v="Direct,USnet,60"/>
    <x v="0"/>
    <x v="2"/>
    <x v="2"/>
    <n v="2209.4059999999999"/>
    <n v="2130"/>
    <n v="3.7279812206572749"/>
    <x v="1046"/>
  </r>
  <r>
    <s v="Direct,USnet,60"/>
    <x v="0"/>
    <x v="2"/>
    <x v="2"/>
    <n v="2217.9189999999999"/>
    <n v="2130"/>
    <n v="4.1276525821596177"/>
    <x v="1047"/>
  </r>
  <r>
    <s v="Direct,USnet,60"/>
    <x v="0"/>
    <x v="2"/>
    <x v="2"/>
    <n v="2223.433"/>
    <n v="2130"/>
    <n v="4.3865258215962442"/>
    <x v="1048"/>
  </r>
  <r>
    <s v="Direct,USnet,60"/>
    <x v="0"/>
    <x v="2"/>
    <x v="2"/>
    <n v="2237.8649999999998"/>
    <n v="2130"/>
    <n v="5.064084507042244"/>
    <x v="1049"/>
  </r>
  <r>
    <s v="Direct,USnet,60"/>
    <x v="0"/>
    <x v="2"/>
    <x v="2"/>
    <n v="2231.77"/>
    <n v="2130"/>
    <n v="4.7779342723004685"/>
    <x v="1050"/>
  </r>
  <r>
    <s v="Direct,USnet,60"/>
    <x v="0"/>
    <x v="2"/>
    <x v="2"/>
    <n v="2197.5540000000001"/>
    <n v="2130"/>
    <n v="3.1715492957746521"/>
    <x v="1051"/>
  </r>
  <r>
    <s v="Direct,USnet,60"/>
    <x v="0"/>
    <x v="2"/>
    <x v="2"/>
    <n v="2290.9340000000002"/>
    <n v="2130"/>
    <n v="7.5555868544601026"/>
    <x v="1052"/>
  </r>
  <r>
    <s v="Direct,USnet,60"/>
    <x v="0"/>
    <x v="2"/>
    <x v="2"/>
    <n v="2138.4"/>
    <n v="2130"/>
    <n v="0.39436619718310284"/>
    <x v="1053"/>
  </r>
  <r>
    <s v="Direct,USnet,60"/>
    <x v="0"/>
    <x v="2"/>
    <x v="2"/>
    <n v="2247.9459999999999"/>
    <n v="2130"/>
    <n v="5.5373708920187754"/>
    <x v="1054"/>
  </r>
  <r>
    <s v="Direct,USnet,60"/>
    <x v="0"/>
    <x v="2"/>
    <x v="2"/>
    <n v="2226.4009999999998"/>
    <n v="2130"/>
    <n v="4.5258685446009315"/>
    <x v="1055"/>
  </r>
  <r>
    <s v="Direct,USnet,60"/>
    <x v="0"/>
    <x v="2"/>
    <x v="2"/>
    <n v="2221.0990000000002"/>
    <n v="2130"/>
    <n v="4.2769483568075195"/>
    <x v="1056"/>
  </r>
  <r>
    <s v="Direct,USnet,60"/>
    <x v="0"/>
    <x v="2"/>
    <x v="2"/>
    <n v="2120.3020000000001"/>
    <n v="2130"/>
    <n v="0.45530516431924251"/>
    <x v="1057"/>
  </r>
  <r>
    <s v="Direct,USnet,60"/>
    <x v="0"/>
    <x v="2"/>
    <x v="2"/>
    <n v="2238.9140000000002"/>
    <n v="2130"/>
    <n v="5.1133333333333431"/>
    <x v="1058"/>
  </r>
  <r>
    <s v="Direct,USnet,60"/>
    <x v="0"/>
    <x v="2"/>
    <x v="2"/>
    <n v="2234.4050000000002"/>
    <n v="2130"/>
    <n v="4.9016431924882724"/>
    <x v="1059"/>
  </r>
  <r>
    <s v="Direct,USnet,60"/>
    <x v="0"/>
    <x v="2"/>
    <x v="2"/>
    <n v="2233.9899999999998"/>
    <n v="2130"/>
    <n v="4.882159624413136"/>
    <x v="1060"/>
  </r>
  <r>
    <s v="Direct,USnet,60"/>
    <x v="0"/>
    <x v="2"/>
    <x v="2"/>
    <n v="2220.4180000000001"/>
    <n v="2130"/>
    <n v="4.2449765258216017"/>
    <x v="1061"/>
  </r>
  <r>
    <s v="Direct,USnet,60"/>
    <x v="0"/>
    <x v="2"/>
    <x v="2"/>
    <n v="2272.319"/>
    <n v="2130"/>
    <n v="6.6816431924882611"/>
    <x v="1062"/>
  </r>
  <r>
    <s v="Direct,USnet,60"/>
    <x v="0"/>
    <x v="2"/>
    <x v="2"/>
    <n v="2237.578"/>
    <n v="2130"/>
    <n v="5.0506103286384967"/>
    <x v="1063"/>
  </r>
  <r>
    <s v="Direct,USnet,60"/>
    <x v="0"/>
    <x v="2"/>
    <x v="2"/>
    <n v="2219.1309999999999"/>
    <n v="2130"/>
    <n v="4.184553990610322"/>
    <x v="1064"/>
  </r>
  <r>
    <s v="Direct,USnet,60"/>
    <x v="0"/>
    <x v="2"/>
    <x v="2"/>
    <n v="2214.0749999999998"/>
    <n v="2130"/>
    <n v="3.9471830985915406"/>
    <x v="1065"/>
  </r>
  <r>
    <s v="Direct,USnet,60"/>
    <x v="0"/>
    <x v="2"/>
    <x v="2"/>
    <n v="2216.9839999999999"/>
    <n v="2130"/>
    <n v="4.0837558685445972"/>
    <x v="1066"/>
  </r>
  <r>
    <s v="Direct,USnet,60"/>
    <x v="0"/>
    <x v="2"/>
    <x v="2"/>
    <n v="2238.06"/>
    <n v="2130"/>
    <n v="5.0732394366197155"/>
    <x v="1067"/>
  </r>
  <r>
    <s v="Direct,USnet,60"/>
    <x v="0"/>
    <x v="2"/>
    <x v="2"/>
    <n v="2199.2840000000001"/>
    <n v="2130"/>
    <n v="3.2527699530516476"/>
    <x v="1068"/>
  </r>
  <r>
    <s v="Direct,USnet,60"/>
    <x v="0"/>
    <x v="2"/>
    <x v="2"/>
    <n v="2198.7179999999998"/>
    <n v="2130"/>
    <n v="3.2261971830985843"/>
    <x v="1069"/>
  </r>
  <r>
    <s v="Direct,USnet,60"/>
    <x v="0"/>
    <x v="2"/>
    <x v="2"/>
    <n v="2149.41"/>
    <n v="2130"/>
    <n v="0.91126760563379605"/>
    <x v="1070"/>
  </r>
  <r>
    <s v="Direct,USnet,60"/>
    <x v="0"/>
    <x v="2"/>
    <x v="2"/>
    <n v="2158.8130000000001"/>
    <n v="2130"/>
    <n v="1.3527230046948404"/>
    <x v="1071"/>
  </r>
  <r>
    <s v="Direct,USnet,60"/>
    <x v="0"/>
    <x v="2"/>
    <x v="2"/>
    <n v="2167.1770000000001"/>
    <n v="2130"/>
    <n v="1.7453990610328702"/>
    <x v="1072"/>
  </r>
  <r>
    <s v="Direct,USnet,60"/>
    <x v="0"/>
    <x v="2"/>
    <x v="2"/>
    <n v="2136.902"/>
    <n v="2130"/>
    <n v="0.32403755868544803"/>
    <x v="1073"/>
  </r>
  <r>
    <s v="Direct,USnet,60"/>
    <x v="0"/>
    <x v="2"/>
    <x v="2"/>
    <n v="2144.0250000000001"/>
    <n v="2130"/>
    <n v="0.65845070422535645"/>
    <x v="1074"/>
  </r>
  <r>
    <s v="Direct,USnet,60"/>
    <x v="0"/>
    <x v="2"/>
    <x v="2"/>
    <n v="2080.6640000000002"/>
    <n v="2130"/>
    <n v="2.316244131455389"/>
    <x v="1075"/>
  </r>
  <r>
    <s v="Direct,USnet,60"/>
    <x v="0"/>
    <x v="2"/>
    <x v="2"/>
    <n v="2226.8960000000002"/>
    <n v="2130"/>
    <n v="4.5491079812206658"/>
    <x v="1076"/>
  </r>
  <r>
    <s v="Direct,USnet,60"/>
    <x v="0"/>
    <x v="2"/>
    <x v="2"/>
    <n v="2196.5700000000002"/>
    <n v="2130"/>
    <n v="3.1253521126760644"/>
    <x v="1077"/>
  </r>
  <r>
    <s v="Direct,USnet,60"/>
    <x v="0"/>
    <x v="2"/>
    <x v="2"/>
    <n v="2246.652"/>
    <n v="2130"/>
    <n v="5.4766197183098617"/>
    <x v="1078"/>
  </r>
  <r>
    <s v="Direct,USnet,60"/>
    <x v="0"/>
    <x v="2"/>
    <x v="2"/>
    <n v="2137.7510000000002"/>
    <n v="2130"/>
    <n v="0.36389671361503306"/>
    <x v="1079"/>
  </r>
  <r>
    <s v="Direct,USnet,60"/>
    <x v="0"/>
    <x v="2"/>
    <x v="2"/>
    <n v="2148.654"/>
    <n v="2130"/>
    <n v="0.87577464788732384"/>
    <x v="1080"/>
  </r>
  <r>
    <s v="Direct,USnet,60"/>
    <x v="0"/>
    <x v="2"/>
    <x v="2"/>
    <n v="2162.654"/>
    <n v="2130"/>
    <n v="1.5330516431924881"/>
    <x v="1081"/>
  </r>
  <r>
    <s v="Direct,USnet,60"/>
    <x v="0"/>
    <x v="2"/>
    <x v="2"/>
    <n v="2159.9259999999999"/>
    <n v="2130"/>
    <n v="1.4049765258215929"/>
    <x v="1082"/>
  </r>
  <r>
    <s v="Direct,USnet,60"/>
    <x v="0"/>
    <x v="2"/>
    <x v="2"/>
    <n v="2264.3969999999999"/>
    <n v="2130"/>
    <n v="6.3097183098591527"/>
    <x v="1083"/>
  </r>
  <r>
    <s v="Direct,USnet,60"/>
    <x v="0"/>
    <x v="2"/>
    <x v="2"/>
    <n v="2199.5639999999999"/>
    <n v="2130"/>
    <n v="3.2659154929577396"/>
    <x v="1084"/>
  </r>
  <r>
    <s v="Direct,USnet,60"/>
    <x v="0"/>
    <x v="2"/>
    <x v="2"/>
    <n v="2206.9209999999998"/>
    <n v="2130"/>
    <n v="3.611314553990602"/>
    <x v="1085"/>
  </r>
  <r>
    <s v="Direct,USnet,60"/>
    <x v="0"/>
    <x v="2"/>
    <x v="2"/>
    <n v="2173.9050000000002"/>
    <n v="2130"/>
    <n v="2.061267605633812"/>
    <x v="1086"/>
  </r>
  <r>
    <s v="Direct,USnet,60"/>
    <x v="0"/>
    <x v="2"/>
    <x v="2"/>
    <n v="2255.279"/>
    <n v="2130"/>
    <n v="5.8816431924882622"/>
    <x v="1087"/>
  </r>
  <r>
    <s v="Direct,USnet,60"/>
    <x v="0"/>
    <x v="2"/>
    <x v="2"/>
    <n v="2254.0529999999999"/>
    <n v="2130"/>
    <n v="5.8240845070422482"/>
    <x v="1088"/>
  </r>
  <r>
    <s v="Direct,USnet,60"/>
    <x v="0"/>
    <x v="2"/>
    <x v="2"/>
    <n v="2176.3180000000002"/>
    <n v="2130"/>
    <n v="2.1745539906103386"/>
    <x v="1089"/>
  </r>
  <r>
    <s v="Direct,USnet,60"/>
    <x v="0"/>
    <x v="2"/>
    <x v="2"/>
    <n v="2137.6509999999998"/>
    <n v="2130"/>
    <n v="0.35920187793426478"/>
    <x v="1090"/>
  </r>
  <r>
    <s v="Direct,USnet,60"/>
    <x v="0"/>
    <x v="2"/>
    <x v="2"/>
    <n v="2172.8029999999999"/>
    <n v="2130"/>
    <n v="2.0095305164319193"/>
    <x v="1091"/>
  </r>
  <r>
    <s v="Direct,USnet,60"/>
    <x v="0"/>
    <x v="2"/>
    <x v="2"/>
    <n v="2207.5309999999999"/>
    <n v="2130"/>
    <n v="3.6399530516431904"/>
    <x v="1092"/>
  </r>
  <r>
    <s v="Direct,USnet,60"/>
    <x v="0"/>
    <x v="2"/>
    <x v="2"/>
    <n v="2226.5709999999999"/>
    <n v="2130"/>
    <n v="4.5338497652582115"/>
    <x v="1093"/>
  </r>
  <r>
    <s v="Direct,USnet,60"/>
    <x v="0"/>
    <x v="2"/>
    <x v="2"/>
    <n v="2228.326"/>
    <n v="2130"/>
    <n v="4.6162441314554004"/>
    <x v="1094"/>
  </r>
  <r>
    <s v="Direct,USnet,60"/>
    <x v="0"/>
    <x v="2"/>
    <x v="2"/>
    <n v="2134.8620000000001"/>
    <n v="2130"/>
    <n v="0.2282629107981258"/>
    <x v="1095"/>
  </r>
  <r>
    <s v="Direct,USnet,60"/>
    <x v="0"/>
    <x v="2"/>
    <x v="2"/>
    <n v="2221.337"/>
    <n v="2130"/>
    <n v="4.2881220657276984"/>
    <x v="1096"/>
  </r>
  <r>
    <s v="Direct,USnet,60"/>
    <x v="0"/>
    <x v="2"/>
    <x v="2"/>
    <n v="2155.8310000000001"/>
    <n v="2130"/>
    <n v="1.2127230046948418"/>
    <x v="1097"/>
  </r>
  <r>
    <s v="Direct,USnet,60"/>
    <x v="0"/>
    <x v="2"/>
    <x v="2"/>
    <n v="2199.0459999999998"/>
    <n v="2130"/>
    <n v="3.241596244131447"/>
    <x v="1098"/>
  </r>
  <r>
    <s v="Direct,USnet,60"/>
    <x v="0"/>
    <x v="2"/>
    <x v="2"/>
    <n v="2207.9540000000002"/>
    <n v="2130"/>
    <n v="3.6598122065727781"/>
    <x v="1099"/>
  </r>
  <r>
    <s v="Direct,USnet,60"/>
    <x v="0"/>
    <x v="2"/>
    <x v="2"/>
    <n v="2210.7710000000002"/>
    <n v="2130"/>
    <n v="3.7920657276995398"/>
    <x v="1100"/>
  </r>
  <r>
    <s v="Direct,USnet,80"/>
    <x v="0"/>
    <x v="2"/>
    <x v="3"/>
    <n v="2855.42"/>
    <n v="2740"/>
    <n v="4.2124087591240897"/>
    <x v="1101"/>
  </r>
  <r>
    <s v="Direct,USnet,80"/>
    <x v="0"/>
    <x v="2"/>
    <x v="3"/>
    <n v="2871.45"/>
    <n v="2740"/>
    <n v="4.7974452554744458"/>
    <x v="1102"/>
  </r>
  <r>
    <s v="Direct,USnet,80"/>
    <x v="0"/>
    <x v="2"/>
    <x v="3"/>
    <n v="2873.3850000000002"/>
    <n v="2740"/>
    <n v="4.8680656934306645"/>
    <x v="1103"/>
  </r>
  <r>
    <s v="Direct,USnet,80"/>
    <x v="0"/>
    <x v="2"/>
    <x v="3"/>
    <n v="2847.7719999999999"/>
    <n v="2740"/>
    <n v="3.933284671532844"/>
    <x v="1104"/>
  </r>
  <r>
    <s v="Direct,USnet,80"/>
    <x v="0"/>
    <x v="2"/>
    <x v="3"/>
    <n v="2780.8510000000001"/>
    <n v="2740"/>
    <n v="1.4909124087591283"/>
    <x v="1105"/>
  </r>
  <r>
    <s v="Direct,USnet,80"/>
    <x v="0"/>
    <x v="2"/>
    <x v="3"/>
    <n v="2842.25"/>
    <n v="2740"/>
    <n v="3.7317518248175183"/>
    <x v="1106"/>
  </r>
  <r>
    <s v="Direct,USnet,80"/>
    <x v="0"/>
    <x v="2"/>
    <x v="3"/>
    <n v="2849.326"/>
    <n v="2740"/>
    <n v="3.9900000000000007"/>
    <x v="1107"/>
  </r>
  <r>
    <s v="Direct,USnet,80"/>
    <x v="0"/>
    <x v="2"/>
    <x v="3"/>
    <n v="2782.8939999999998"/>
    <n v="2740"/>
    <n v="1.5654744525547364"/>
    <x v="1108"/>
  </r>
  <r>
    <s v="Direct,USnet,80"/>
    <x v="0"/>
    <x v="2"/>
    <x v="3"/>
    <n v="2806.944"/>
    <n v="2740"/>
    <n v="2.4432116788321152"/>
    <x v="1109"/>
  </r>
  <r>
    <s v="Direct,USnet,80"/>
    <x v="0"/>
    <x v="2"/>
    <x v="3"/>
    <n v="2913.797"/>
    <n v="2740"/>
    <n v="6.3429562043795631"/>
    <x v="1110"/>
  </r>
  <r>
    <s v="Direct,USnet,80"/>
    <x v="0"/>
    <x v="2"/>
    <x v="3"/>
    <n v="2830.0920000000001"/>
    <n v="2740"/>
    <n v="3.288029197080296"/>
    <x v="1111"/>
  </r>
  <r>
    <s v="Direct,USnet,80"/>
    <x v="0"/>
    <x v="2"/>
    <x v="3"/>
    <n v="2738.221"/>
    <n v="2740"/>
    <n v="6.4927007299269937E-2"/>
    <x v="1112"/>
  </r>
  <r>
    <s v="Direct,USnet,80"/>
    <x v="0"/>
    <x v="2"/>
    <x v="3"/>
    <n v="2749.1190000000001"/>
    <n v="2740"/>
    <n v="0.33281021897810736"/>
    <x v="1113"/>
  </r>
  <r>
    <s v="Direct,USnet,80"/>
    <x v="0"/>
    <x v="2"/>
    <x v="3"/>
    <n v="2725.0569999999998"/>
    <n v="2740"/>
    <n v="0.54536496350365737"/>
    <x v="1114"/>
  </r>
  <r>
    <s v="Direct,USnet,80"/>
    <x v="0"/>
    <x v="2"/>
    <x v="3"/>
    <n v="2677.5709999999999"/>
    <n v="2740"/>
    <n v="2.2784306569343098"/>
    <x v="1115"/>
  </r>
  <r>
    <s v="Direct,USnet,80"/>
    <x v="0"/>
    <x v="2"/>
    <x v="3"/>
    <n v="2805.6170000000002"/>
    <n v="2740"/>
    <n v="2.3947810218978174"/>
    <x v="1116"/>
  </r>
  <r>
    <s v="Direct,USnet,80"/>
    <x v="0"/>
    <x v="2"/>
    <x v="3"/>
    <n v="2875.6970000000001"/>
    <n v="2740"/>
    <n v="4.9524452554744567"/>
    <x v="1117"/>
  </r>
  <r>
    <s v="Direct,USnet,80"/>
    <x v="0"/>
    <x v="2"/>
    <x v="3"/>
    <n v="2855.0079999999998"/>
    <n v="2740"/>
    <n v="4.1973722627737162"/>
    <x v="1118"/>
  </r>
  <r>
    <s v="Direct,USnet,80"/>
    <x v="0"/>
    <x v="2"/>
    <x v="3"/>
    <n v="2798.08"/>
    <n v="2740"/>
    <n v="2.1197080291970778"/>
    <x v="1119"/>
  </r>
  <r>
    <s v="Direct,USnet,80"/>
    <x v="0"/>
    <x v="2"/>
    <x v="3"/>
    <n v="2840.0529999999999"/>
    <n v="2740"/>
    <n v="3.6515693430656895"/>
    <x v="1120"/>
  </r>
  <r>
    <s v="Direct,USnet,80"/>
    <x v="0"/>
    <x v="2"/>
    <x v="3"/>
    <n v="2793.12"/>
    <n v="2740"/>
    <n v="1.9386861313868571"/>
    <x v="1121"/>
  </r>
  <r>
    <s v="Direct,USnet,80"/>
    <x v="0"/>
    <x v="2"/>
    <x v="3"/>
    <n v="2768.1480000000001"/>
    <n v="2740"/>
    <n v="1.0272992700729977"/>
    <x v="1122"/>
  </r>
  <r>
    <s v="Direct,USnet,80"/>
    <x v="0"/>
    <x v="2"/>
    <x v="3"/>
    <n v="2781.6019999999999"/>
    <n v="2740"/>
    <n v="1.5183211678832065"/>
    <x v="1123"/>
  </r>
  <r>
    <s v="Direct,USnet,80"/>
    <x v="0"/>
    <x v="2"/>
    <x v="3"/>
    <n v="2768.7910000000002"/>
    <n v="2740"/>
    <n v="1.0507664233576703"/>
    <x v="1124"/>
  </r>
  <r>
    <s v="Direct,USnet,80"/>
    <x v="0"/>
    <x v="2"/>
    <x v="3"/>
    <n v="2801.5"/>
    <n v="2740"/>
    <n v="2.2445255474452552"/>
    <x v="1125"/>
  </r>
  <r>
    <s v="Direct,USnet,80"/>
    <x v="0"/>
    <x v="2"/>
    <x v="3"/>
    <n v="2760.598"/>
    <n v="2740"/>
    <n v="0.75175182481751657"/>
    <x v="1126"/>
  </r>
  <r>
    <s v="Direct,USnet,80"/>
    <x v="0"/>
    <x v="2"/>
    <x v="3"/>
    <n v="2881.3670000000002"/>
    <n v="2740"/>
    <n v="5.1593795620438021"/>
    <x v="1127"/>
  </r>
  <r>
    <s v="Direct,USnet,80"/>
    <x v="0"/>
    <x v="2"/>
    <x v="3"/>
    <n v="2787.364"/>
    <n v="2740"/>
    <n v="1.7286131386861328"/>
    <x v="1128"/>
  </r>
  <r>
    <s v="Direct,USnet,80"/>
    <x v="0"/>
    <x v="2"/>
    <x v="3"/>
    <n v="2847.7640000000001"/>
    <n v="2740"/>
    <n v="3.9329927007299315"/>
    <x v="1129"/>
  </r>
  <r>
    <s v="Direct,USnet,80"/>
    <x v="0"/>
    <x v="2"/>
    <x v="3"/>
    <n v="2789.5430000000001"/>
    <n v="2740"/>
    <n v="1.8081386861313913"/>
    <x v="1130"/>
  </r>
  <r>
    <s v="Direct,USnet,80"/>
    <x v="0"/>
    <x v="2"/>
    <x v="3"/>
    <n v="2870.06"/>
    <n v="2740"/>
    <n v="4.7467153284671513"/>
    <x v="1131"/>
  </r>
  <r>
    <s v="Direct,USnet,80"/>
    <x v="0"/>
    <x v="2"/>
    <x v="3"/>
    <n v="2843.2719999999999"/>
    <n v="2740"/>
    <n v="3.7690510948905085"/>
    <x v="1132"/>
  </r>
  <r>
    <s v="Direct,USnet,80"/>
    <x v="0"/>
    <x v="2"/>
    <x v="3"/>
    <n v="2935.404"/>
    <n v="2740"/>
    <n v="7.1315328467153289"/>
    <x v="1133"/>
  </r>
  <r>
    <s v="Direct,USnet,80"/>
    <x v="0"/>
    <x v="2"/>
    <x v="3"/>
    <n v="2799.931"/>
    <n v="2740"/>
    <n v="2.1872627737226291"/>
    <x v="1134"/>
  </r>
  <r>
    <s v="Direct,USnet,80"/>
    <x v="0"/>
    <x v="2"/>
    <x v="3"/>
    <n v="2782.9119999999998"/>
    <n v="2740"/>
    <n v="1.5661313868613069"/>
    <x v="1135"/>
  </r>
  <r>
    <s v="Direct,USnet,80"/>
    <x v="0"/>
    <x v="2"/>
    <x v="3"/>
    <n v="2841.0149999999999"/>
    <n v="2740"/>
    <n v="3.686678832116784"/>
    <x v="1136"/>
  </r>
  <r>
    <s v="Direct,USnet,80"/>
    <x v="0"/>
    <x v="2"/>
    <x v="3"/>
    <n v="2759.41"/>
    <n v="2740"/>
    <n v="0.70839416058393634"/>
    <x v="1137"/>
  </r>
  <r>
    <s v="Direct,USnet,80"/>
    <x v="0"/>
    <x v="2"/>
    <x v="3"/>
    <n v="2886.6280000000002"/>
    <n v="2740"/>
    <n v="5.3513868613138742"/>
    <x v="1138"/>
  </r>
  <r>
    <s v="Direct,USnet,80"/>
    <x v="0"/>
    <x v="2"/>
    <x v="3"/>
    <n v="2753.855"/>
    <n v="2740"/>
    <n v="0.50565693430656999"/>
    <x v="1139"/>
  </r>
  <r>
    <s v="Direct,USnet,80"/>
    <x v="0"/>
    <x v="2"/>
    <x v="3"/>
    <n v="2862.7339999999999"/>
    <n v="2740"/>
    <n v="4.4793430656934277"/>
    <x v="1140"/>
  </r>
  <r>
    <s v="Direct,USnet,80"/>
    <x v="0"/>
    <x v="2"/>
    <x v="3"/>
    <n v="2937.59"/>
    <n v="2740"/>
    <n v="7.2113138686131437"/>
    <x v="1141"/>
  </r>
  <r>
    <s v="Direct,USnet,80"/>
    <x v="0"/>
    <x v="2"/>
    <x v="3"/>
    <n v="2761.0039999999999"/>
    <n v="2740"/>
    <n v="0.76656934306568991"/>
    <x v="1142"/>
  </r>
  <r>
    <s v="Direct,USnet,80"/>
    <x v="0"/>
    <x v="2"/>
    <x v="3"/>
    <n v="2727.1840000000002"/>
    <n v="2740"/>
    <n v="0.46773722627736508"/>
    <x v="1143"/>
  </r>
  <r>
    <s v="Direct,USnet,80"/>
    <x v="0"/>
    <x v="2"/>
    <x v="3"/>
    <n v="2830.2020000000002"/>
    <n v="2740"/>
    <n v="3.292043795620446"/>
    <x v="1144"/>
  </r>
  <r>
    <s v="Direct,USnet,80"/>
    <x v="0"/>
    <x v="2"/>
    <x v="3"/>
    <n v="2813.73"/>
    <n v="2740"/>
    <n v="2.6908759124087598"/>
    <x v="1145"/>
  </r>
  <r>
    <s v="Direct,USnet,80"/>
    <x v="0"/>
    <x v="2"/>
    <x v="3"/>
    <n v="2896.4369999999999"/>
    <n v="2740"/>
    <n v="5.7093795620437922"/>
    <x v="1146"/>
  </r>
  <r>
    <s v="Direct,USnet,80"/>
    <x v="0"/>
    <x v="2"/>
    <x v="3"/>
    <n v="2754.0329999999999"/>
    <n v="2740"/>
    <n v="0.51215328467152921"/>
    <x v="1147"/>
  </r>
  <r>
    <s v="Direct,USnet,80"/>
    <x v="0"/>
    <x v="2"/>
    <x v="3"/>
    <n v="2845.047"/>
    <n v="2740"/>
    <n v="3.8338321167883223"/>
    <x v="1148"/>
  </r>
  <r>
    <s v="Direct,USnet,80"/>
    <x v="0"/>
    <x v="2"/>
    <x v="3"/>
    <n v="2785.1190000000001"/>
    <n v="2740"/>
    <n v="1.6466788321167936"/>
    <x v="1149"/>
  </r>
  <r>
    <s v="Direct,USnet,80"/>
    <x v="0"/>
    <x v="2"/>
    <x v="3"/>
    <n v="2867.029"/>
    <n v="2740"/>
    <n v="4.6360948905109485"/>
    <x v="1150"/>
  </r>
  <r>
    <s v="Direct,USnet,80"/>
    <x v="0"/>
    <x v="2"/>
    <x v="3"/>
    <n v="2823.3939999999998"/>
    <n v="2740"/>
    <n v="3.0435766423357586"/>
    <x v="1151"/>
  </r>
  <r>
    <s v="Direct,USnet,80"/>
    <x v="0"/>
    <x v="2"/>
    <x v="3"/>
    <n v="2913.4839999999999"/>
    <n v="2740"/>
    <n v="6.3315328467153247"/>
    <x v="1152"/>
  </r>
  <r>
    <s v="Direct,USnet,80"/>
    <x v="0"/>
    <x v="2"/>
    <x v="3"/>
    <n v="2861.989"/>
    <n v="2740"/>
    <n v="4.4521532846715335"/>
    <x v="1153"/>
  </r>
  <r>
    <s v="Direct,USnet,80"/>
    <x v="0"/>
    <x v="2"/>
    <x v="3"/>
    <n v="2883.7260000000001"/>
    <n v="2740"/>
    <n v="5.2454744525547481"/>
    <x v="1154"/>
  </r>
  <r>
    <s v="Direct,USnet,80"/>
    <x v="0"/>
    <x v="2"/>
    <x v="3"/>
    <n v="2910.4479999999999"/>
    <n v="2740"/>
    <n v="6.2207299270072944"/>
    <x v="1155"/>
  </r>
  <r>
    <s v="Direct,USnet,80"/>
    <x v="0"/>
    <x v="2"/>
    <x v="3"/>
    <n v="2767.7449999999999"/>
    <n v="2740"/>
    <n v="1.0125912408759086"/>
    <x v="1156"/>
  </r>
  <r>
    <s v="Direct,USnet,80"/>
    <x v="0"/>
    <x v="2"/>
    <x v="3"/>
    <n v="2759.3159999999998"/>
    <n v="2740"/>
    <n v="0.7049635036496279"/>
    <x v="1157"/>
  </r>
  <r>
    <s v="Direct,USnet,80"/>
    <x v="0"/>
    <x v="2"/>
    <x v="3"/>
    <n v="2792.06"/>
    <n v="2740"/>
    <n v="1.8999999999999979"/>
    <x v="1158"/>
  </r>
  <r>
    <s v="Direct,USnet,80"/>
    <x v="0"/>
    <x v="2"/>
    <x v="3"/>
    <n v="2814.0920000000001"/>
    <n v="2740"/>
    <n v="2.7040875912408793"/>
    <x v="1159"/>
  </r>
  <r>
    <s v="Direct,USnet,80"/>
    <x v="0"/>
    <x v="2"/>
    <x v="3"/>
    <n v="2837.174"/>
    <n v="2740"/>
    <n v="3.5464963503649622"/>
    <x v="1160"/>
  </r>
  <r>
    <s v="Direct,USnet,80"/>
    <x v="0"/>
    <x v="2"/>
    <x v="3"/>
    <n v="2891.1149999999998"/>
    <n v="2740"/>
    <n v="5.5151459854014515"/>
    <x v="1161"/>
  </r>
  <r>
    <s v="Direct,USnet,80"/>
    <x v="0"/>
    <x v="2"/>
    <x v="3"/>
    <n v="2833.444"/>
    <n v="2740"/>
    <n v="3.4103649635036479"/>
    <x v="1162"/>
  </r>
  <r>
    <s v="Direct,USnet,80"/>
    <x v="0"/>
    <x v="2"/>
    <x v="3"/>
    <n v="2743.9879999999998"/>
    <n v="2740"/>
    <n v="0.1455474452554682"/>
    <x v="1163"/>
  </r>
  <r>
    <s v="Direct,USnet,80"/>
    <x v="0"/>
    <x v="2"/>
    <x v="3"/>
    <n v="2761.4859999999999"/>
    <n v="2740"/>
    <n v="0.78416058394160137"/>
    <x v="1164"/>
  </r>
  <r>
    <s v="Direct,USnet,80"/>
    <x v="0"/>
    <x v="2"/>
    <x v="3"/>
    <n v="2771.489"/>
    <n v="2740"/>
    <n v="1.1492335766423369"/>
    <x v="1165"/>
  </r>
  <r>
    <s v="Direct,USnet,80"/>
    <x v="0"/>
    <x v="2"/>
    <x v="3"/>
    <n v="2812.4659999999999"/>
    <n v="2740"/>
    <n v="2.6447445255474413"/>
    <x v="1166"/>
  </r>
  <r>
    <s v="Direct,USnet,80"/>
    <x v="0"/>
    <x v="2"/>
    <x v="3"/>
    <n v="2828.4169999999999"/>
    <n v="2740"/>
    <n v="3.2268978102189751"/>
    <x v="1167"/>
  </r>
  <r>
    <s v="Direct,USnet,80"/>
    <x v="0"/>
    <x v="2"/>
    <x v="3"/>
    <n v="2911.2159999999999"/>
    <n v="2740"/>
    <n v="6.2487591240875879"/>
    <x v="1168"/>
  </r>
  <r>
    <s v="Direct,USnet,80"/>
    <x v="0"/>
    <x v="2"/>
    <x v="3"/>
    <n v="2741.4470000000001"/>
    <n v="2740"/>
    <n v="5.2810218978106435E-2"/>
    <x v="1169"/>
  </r>
  <r>
    <s v="Direct,USnet,80"/>
    <x v="0"/>
    <x v="2"/>
    <x v="3"/>
    <n v="2755.9960000000001"/>
    <n v="2740"/>
    <n v="0.58379562043795963"/>
    <x v="1170"/>
  </r>
  <r>
    <s v="Direct,USnet,80"/>
    <x v="0"/>
    <x v="2"/>
    <x v="3"/>
    <n v="2874.02"/>
    <n v="2740"/>
    <n v="4.8912408759124082"/>
    <x v="1171"/>
  </r>
  <r>
    <s v="Direct,USnet,80"/>
    <x v="0"/>
    <x v="2"/>
    <x v="3"/>
    <n v="2885.1089999999999"/>
    <n v="2740"/>
    <n v="5.2959489051094861"/>
    <x v="1172"/>
  </r>
  <r>
    <s v="Direct,USnet,80"/>
    <x v="0"/>
    <x v="2"/>
    <x v="3"/>
    <n v="2898.114"/>
    <n v="2740"/>
    <n v="5.7705839416058406"/>
    <x v="1173"/>
  </r>
  <r>
    <s v="Direct,USnet,80"/>
    <x v="0"/>
    <x v="2"/>
    <x v="3"/>
    <n v="2829.5259999999998"/>
    <n v="2740"/>
    <n v="3.267372262773717"/>
    <x v="1174"/>
  </r>
  <r>
    <s v="Direct,USnet,80"/>
    <x v="0"/>
    <x v="2"/>
    <x v="3"/>
    <n v="2749.0540000000001"/>
    <n v="2740"/>
    <n v="0.33043795620438271"/>
    <x v="1175"/>
  </r>
  <r>
    <s v="Direct,USnet,80"/>
    <x v="0"/>
    <x v="2"/>
    <x v="3"/>
    <n v="2815.819"/>
    <n v="2740"/>
    <n v="2.7671167883211663"/>
    <x v="1176"/>
  </r>
  <r>
    <s v="Direct,USnet,80"/>
    <x v="0"/>
    <x v="2"/>
    <x v="3"/>
    <n v="2879.4830000000002"/>
    <n v="2740"/>
    <n v="5.0906204379562103"/>
    <x v="1177"/>
  </r>
  <r>
    <s v="Direct,USnet,80"/>
    <x v="0"/>
    <x v="2"/>
    <x v="3"/>
    <n v="2869.0230000000001"/>
    <n v="2740"/>
    <n v="4.7088686131386917"/>
    <x v="1178"/>
  </r>
  <r>
    <s v="Direct,USnet,80"/>
    <x v="0"/>
    <x v="2"/>
    <x v="3"/>
    <n v="2772.95"/>
    <n v="2740"/>
    <n v="1.2025547445255409"/>
    <x v="1179"/>
  </r>
  <r>
    <s v="Direct,USnet,80"/>
    <x v="0"/>
    <x v="2"/>
    <x v="3"/>
    <n v="2857.5549999999998"/>
    <n v="2740"/>
    <n v="4.2903284671532784"/>
    <x v="1180"/>
  </r>
  <r>
    <s v="Direct,USnet,80"/>
    <x v="0"/>
    <x v="2"/>
    <x v="3"/>
    <n v="2865.6469999999999"/>
    <n v="2740"/>
    <n v="4.5856569343065674"/>
    <x v="1181"/>
  </r>
  <r>
    <s v="Direct,USnet,80"/>
    <x v="0"/>
    <x v="2"/>
    <x v="3"/>
    <n v="2798.5369999999998"/>
    <n v="2740"/>
    <n v="2.1363868613138619"/>
    <x v="1182"/>
  </r>
  <r>
    <s v="Direct,USnet,80"/>
    <x v="0"/>
    <x v="2"/>
    <x v="3"/>
    <n v="2840.165"/>
    <n v="2740"/>
    <n v="3.6556569343065677"/>
    <x v="1183"/>
  </r>
  <r>
    <s v="Direct,USnet,80"/>
    <x v="0"/>
    <x v="2"/>
    <x v="3"/>
    <n v="2852.3490000000002"/>
    <n v="2740"/>
    <n v="4.1003284671532905"/>
    <x v="1184"/>
  </r>
  <r>
    <s v="Direct,USnet,80"/>
    <x v="0"/>
    <x v="2"/>
    <x v="3"/>
    <n v="2918.6990000000001"/>
    <n v="2740"/>
    <n v="6.5218613138686159"/>
    <x v="1185"/>
  </r>
  <r>
    <s v="Direct,USnet,80"/>
    <x v="0"/>
    <x v="2"/>
    <x v="3"/>
    <n v="2816.058"/>
    <n v="2740"/>
    <n v="2.7758394160583939"/>
    <x v="1186"/>
  </r>
  <r>
    <s v="Direct,USnet,80"/>
    <x v="0"/>
    <x v="2"/>
    <x v="3"/>
    <n v="2817.0929999999998"/>
    <n v="2740"/>
    <n v="2.8136131386861258"/>
    <x v="1187"/>
  </r>
  <r>
    <s v="Direct,USnet,80"/>
    <x v="0"/>
    <x v="2"/>
    <x v="3"/>
    <n v="2794.9360000000001"/>
    <n v="2740"/>
    <n v="2.0049635036496407"/>
    <x v="1188"/>
  </r>
  <r>
    <s v="Direct,USnet,80"/>
    <x v="0"/>
    <x v="2"/>
    <x v="3"/>
    <n v="2784.547"/>
    <n v="2740"/>
    <n v="1.6258029197080299"/>
    <x v="1189"/>
  </r>
  <r>
    <s v="Direct,USnet,80"/>
    <x v="0"/>
    <x v="2"/>
    <x v="3"/>
    <n v="2819.0830000000001"/>
    <n v="2740"/>
    <n v="2.8862408759124119"/>
    <x v="1190"/>
  </r>
  <r>
    <s v="Direct,USnet,80"/>
    <x v="0"/>
    <x v="2"/>
    <x v="3"/>
    <n v="2831.1559999999999"/>
    <n v="2740"/>
    <n v="3.3268613138686112"/>
    <x v="1191"/>
  </r>
  <r>
    <s v="Direct,USnet,80"/>
    <x v="0"/>
    <x v="2"/>
    <x v="3"/>
    <n v="2865.7869999999998"/>
    <n v="2740"/>
    <n v="4.5907664233576568"/>
    <x v="1192"/>
  </r>
  <r>
    <s v="Direct,USnet,80"/>
    <x v="0"/>
    <x v="2"/>
    <x v="3"/>
    <n v="2785.6610000000001"/>
    <n v="2740"/>
    <n v="1.6664598540146007"/>
    <x v="1193"/>
  </r>
  <r>
    <s v="Direct,USnet,80"/>
    <x v="0"/>
    <x v="2"/>
    <x v="3"/>
    <n v="2813.5039999999999"/>
    <n v="2740"/>
    <n v="2.6826277372262739"/>
    <x v="1194"/>
  </r>
  <r>
    <s v="Direct,USnet,80"/>
    <x v="0"/>
    <x v="2"/>
    <x v="3"/>
    <n v="2831.4969999999998"/>
    <n v="2740"/>
    <n v="3.3393065693430599"/>
    <x v="1195"/>
  </r>
  <r>
    <s v="Direct,USnet,80"/>
    <x v="0"/>
    <x v="2"/>
    <x v="3"/>
    <n v="2810.7359999999999"/>
    <n v="2740"/>
    <n v="2.5816058394160541"/>
    <x v="1196"/>
  </r>
  <r>
    <s v="Direct,USnet,80"/>
    <x v="0"/>
    <x v="2"/>
    <x v="3"/>
    <n v="2784.7130000000002"/>
    <n v="2740"/>
    <n v="1.63186131386862"/>
    <x v="1197"/>
  </r>
  <r>
    <s v="Direct,USnet,80"/>
    <x v="0"/>
    <x v="2"/>
    <x v="3"/>
    <n v="2715.982"/>
    <n v="2740"/>
    <n v="0.87656934306569456"/>
    <x v="1198"/>
  </r>
  <r>
    <s v="Direct,USnet,80"/>
    <x v="0"/>
    <x v="2"/>
    <x v="3"/>
    <n v="2810.223"/>
    <n v="2740"/>
    <n v="2.5628832116788307"/>
    <x v="1199"/>
  </r>
  <r>
    <s v="Direct,USnet,80"/>
    <x v="0"/>
    <x v="2"/>
    <x v="3"/>
    <n v="2772.2379999999998"/>
    <n v="2740"/>
    <n v="1.1765693430656872"/>
    <x v="1200"/>
  </r>
  <r>
    <s v="Direct,USnet,100"/>
    <x v="0"/>
    <x v="2"/>
    <x v="4"/>
    <n v="3490.6959999999999"/>
    <n v="3350"/>
    <n v="4.1998805970149222"/>
    <x v="1201"/>
  </r>
  <r>
    <s v="Direct,USnet,100"/>
    <x v="0"/>
    <x v="2"/>
    <x v="4"/>
    <n v="3457.8620000000001"/>
    <n v="3350"/>
    <n v="3.2197611940298536"/>
    <x v="1202"/>
  </r>
  <r>
    <s v="Direct,USnet,100"/>
    <x v="0"/>
    <x v="2"/>
    <x v="4"/>
    <n v="3432.0970000000002"/>
    <n v="3350"/>
    <n v="2.4506567164179165"/>
    <x v="1203"/>
  </r>
  <r>
    <s v="Direct,USnet,100"/>
    <x v="0"/>
    <x v="2"/>
    <x v="4"/>
    <n v="3483.3119999999999"/>
    <n v="3350"/>
    <n v="3.9794626865671612"/>
    <x v="1204"/>
  </r>
  <r>
    <s v="Direct,USnet,100"/>
    <x v="0"/>
    <x v="2"/>
    <x v="4"/>
    <n v="3396.3470000000002"/>
    <n v="3350"/>
    <n v="1.383492537313439"/>
    <x v="1205"/>
  </r>
  <r>
    <s v="Direct,USnet,100"/>
    <x v="0"/>
    <x v="2"/>
    <x v="4"/>
    <n v="3263.3"/>
    <n v="3350"/>
    <n v="2.5880597014925319"/>
    <x v="1206"/>
  </r>
  <r>
    <s v="Direct,USnet,100"/>
    <x v="0"/>
    <x v="2"/>
    <x v="4"/>
    <n v="3436.9609999999998"/>
    <n v="3350"/>
    <n v="2.5958507462686504"/>
    <x v="1207"/>
  </r>
  <r>
    <s v="Direct,USnet,100"/>
    <x v="0"/>
    <x v="2"/>
    <x v="4"/>
    <n v="3431.4769999999999"/>
    <n v="3350"/>
    <n v="2.4321492537313394"/>
    <x v="1208"/>
  </r>
  <r>
    <s v="Direct,USnet,100"/>
    <x v="0"/>
    <x v="2"/>
    <x v="4"/>
    <n v="3430.32"/>
    <n v="3350"/>
    <n v="2.3976119402985123"/>
    <x v="1209"/>
  </r>
  <r>
    <s v="Direct,USnet,100"/>
    <x v="0"/>
    <x v="2"/>
    <x v="4"/>
    <n v="3362.0720000000001"/>
    <n v="3350"/>
    <n v="0.36035820895522735"/>
    <x v="1210"/>
  </r>
  <r>
    <s v="Direct,USnet,100"/>
    <x v="0"/>
    <x v="2"/>
    <x v="4"/>
    <n v="3394.712"/>
    <n v="3350"/>
    <n v="1.3346865671641788"/>
    <x v="1211"/>
  </r>
  <r>
    <s v="Direct,USnet,100"/>
    <x v="0"/>
    <x v="2"/>
    <x v="4"/>
    <n v="3549.7840000000001"/>
    <n v="3350"/>
    <n v="5.9637014925373171"/>
    <x v="1212"/>
  </r>
  <r>
    <s v="Direct,USnet,100"/>
    <x v="0"/>
    <x v="2"/>
    <x v="4"/>
    <n v="3462.8820000000001"/>
    <n v="3350"/>
    <n v="3.3696119402985092"/>
    <x v="1213"/>
  </r>
  <r>
    <s v="Direct,USnet,100"/>
    <x v="0"/>
    <x v="2"/>
    <x v="4"/>
    <n v="3368.9870000000001"/>
    <n v="3350"/>
    <n v="0.56677611940298744"/>
    <x v="1214"/>
  </r>
  <r>
    <s v="Direct,USnet,100"/>
    <x v="0"/>
    <x v="2"/>
    <x v="4"/>
    <n v="3533.4969999999998"/>
    <n v="3350"/>
    <n v="5.4775223880596968"/>
    <x v="1215"/>
  </r>
  <r>
    <s v="Direct,USnet,100"/>
    <x v="0"/>
    <x v="2"/>
    <x v="4"/>
    <n v="3380.393"/>
    <n v="3350"/>
    <n v="0.90725373134328446"/>
    <x v="1216"/>
  </r>
  <r>
    <s v="Direct,USnet,100"/>
    <x v="0"/>
    <x v="2"/>
    <x v="4"/>
    <n v="3373.3409999999999"/>
    <n v="3350"/>
    <n v="0.6967462686567133"/>
    <x v="1217"/>
  </r>
  <r>
    <s v="Direct,USnet,100"/>
    <x v="0"/>
    <x v="2"/>
    <x v="4"/>
    <n v="3460.5410000000002"/>
    <n v="3350"/>
    <n v="3.2997313432835873"/>
    <x v="1218"/>
  </r>
  <r>
    <s v="Direct,USnet,100"/>
    <x v="0"/>
    <x v="2"/>
    <x v="4"/>
    <n v="3455.7069999999999"/>
    <n v="3350"/>
    <n v="3.1554328358208918"/>
    <x v="1219"/>
  </r>
  <r>
    <s v="Direct,USnet,100"/>
    <x v="0"/>
    <x v="2"/>
    <x v="4"/>
    <n v="3492.0390000000002"/>
    <n v="3350"/>
    <n v="4.2399701492537378"/>
    <x v="1220"/>
  </r>
  <r>
    <s v="Direct,USnet,100"/>
    <x v="0"/>
    <x v="2"/>
    <x v="4"/>
    <n v="3381.2649999999999"/>
    <n v="3350"/>
    <n v="0.93328358208954842"/>
    <x v="1221"/>
  </r>
  <r>
    <s v="Direct,USnet,100"/>
    <x v="0"/>
    <x v="2"/>
    <x v="4"/>
    <n v="3544.3519999999999"/>
    <n v="3350"/>
    <n v="5.8015522388059662"/>
    <x v="1222"/>
  </r>
  <r>
    <s v="Direct,USnet,100"/>
    <x v="0"/>
    <x v="2"/>
    <x v="4"/>
    <n v="3545.3969999999999"/>
    <n v="3350"/>
    <n v="5.8327462686567149"/>
    <x v="1223"/>
  </r>
  <r>
    <s v="Direct,USnet,100"/>
    <x v="0"/>
    <x v="2"/>
    <x v="4"/>
    <n v="3490.7710000000002"/>
    <n v="3350"/>
    <n v="4.2021194029850797"/>
    <x v="1224"/>
  </r>
  <r>
    <s v="Direct,USnet,100"/>
    <x v="0"/>
    <x v="2"/>
    <x v="4"/>
    <n v="3555.6010000000001"/>
    <n v="3350"/>
    <n v="6.1373432835820934"/>
    <x v="1225"/>
  </r>
  <r>
    <s v="Direct,USnet,100"/>
    <x v="0"/>
    <x v="2"/>
    <x v="4"/>
    <n v="3462.1410000000001"/>
    <n v="3350"/>
    <n v="3.3474925373134354"/>
    <x v="1226"/>
  </r>
  <r>
    <s v="Direct,USnet,100"/>
    <x v="0"/>
    <x v="2"/>
    <x v="4"/>
    <n v="3351.9850000000001"/>
    <n v="3350"/>
    <n v="5.9253731343287382E-2"/>
    <x v="1227"/>
  </r>
  <r>
    <s v="Direct,USnet,100"/>
    <x v="0"/>
    <x v="2"/>
    <x v="4"/>
    <n v="3356.058"/>
    <n v="3350"/>
    <n v="0.18083582089552216"/>
    <x v="1228"/>
  </r>
  <r>
    <s v="Direct,USnet,100"/>
    <x v="0"/>
    <x v="2"/>
    <x v="4"/>
    <n v="3358.1030000000001"/>
    <n v="3350"/>
    <n v="0.24188059701492734"/>
    <x v="1229"/>
  </r>
  <r>
    <s v="Direct,USnet,100"/>
    <x v="0"/>
    <x v="2"/>
    <x v="4"/>
    <n v="3369.8519999999999"/>
    <n v="3350"/>
    <n v="0.59259701492536898"/>
    <x v="1230"/>
  </r>
  <r>
    <s v="Direct,USnet,100"/>
    <x v="0"/>
    <x v="2"/>
    <x v="4"/>
    <n v="3272.5369999999998"/>
    <n v="3350"/>
    <n v="2.3123283582089611"/>
    <x v="1231"/>
  </r>
  <r>
    <s v="Direct,USnet,100"/>
    <x v="0"/>
    <x v="2"/>
    <x v="4"/>
    <n v="3483.7350000000001"/>
    <n v="3350"/>
    <n v="3.9920895522388098"/>
    <x v="1232"/>
  </r>
  <r>
    <s v="Direct,USnet,100"/>
    <x v="0"/>
    <x v="2"/>
    <x v="4"/>
    <n v="3520.8150000000001"/>
    <n v="3350"/>
    <n v="5.0989552238805986"/>
    <x v="1233"/>
  </r>
  <r>
    <s v="Direct,USnet,100"/>
    <x v="0"/>
    <x v="2"/>
    <x v="4"/>
    <n v="3425.335"/>
    <n v="3350"/>
    <n v="2.2488059701492551"/>
    <x v="1234"/>
  </r>
  <r>
    <s v="Direct,USnet,100"/>
    <x v="0"/>
    <x v="2"/>
    <x v="4"/>
    <n v="3300.873"/>
    <n v="3350"/>
    <n v="1.4664776119402971"/>
    <x v="1235"/>
  </r>
  <r>
    <s v="Direct,USnet,100"/>
    <x v="0"/>
    <x v="2"/>
    <x v="4"/>
    <n v="3489.96"/>
    <n v="3350"/>
    <n v="4.177910447761195"/>
    <x v="1236"/>
  </r>
  <r>
    <s v="Direct,USnet,100"/>
    <x v="0"/>
    <x v="2"/>
    <x v="4"/>
    <n v="3311.9659999999999"/>
    <n v="3350"/>
    <n v="1.1353432835820927"/>
    <x v="1237"/>
  </r>
  <r>
    <s v="Direct,USnet,100"/>
    <x v="0"/>
    <x v="2"/>
    <x v="4"/>
    <n v="3500.5360000000001"/>
    <n v="3350"/>
    <n v="4.4936119402985097"/>
    <x v="1238"/>
  </r>
  <r>
    <s v="Direct,USnet,100"/>
    <x v="0"/>
    <x v="2"/>
    <x v="4"/>
    <n v="3218.5749999999998"/>
    <n v="3350"/>
    <n v="3.9231343283582145"/>
    <x v="1239"/>
  </r>
  <r>
    <s v="Direct,USnet,100"/>
    <x v="0"/>
    <x v="2"/>
    <x v="4"/>
    <n v="3562.808"/>
    <n v="3350"/>
    <n v="6.3524776119402979"/>
    <x v="1240"/>
  </r>
  <r>
    <s v="Direct,USnet,100"/>
    <x v="0"/>
    <x v="2"/>
    <x v="4"/>
    <n v="3377.4630000000002"/>
    <n v="3350"/>
    <n v="0.81979104477612508"/>
    <x v="1241"/>
  </r>
  <r>
    <s v="Direct,USnet,100"/>
    <x v="0"/>
    <x v="2"/>
    <x v="4"/>
    <n v="3400.6930000000002"/>
    <n v="3350"/>
    <n v="1.5132238805970211"/>
    <x v="1242"/>
  </r>
  <r>
    <s v="Direct,USnet,100"/>
    <x v="0"/>
    <x v="2"/>
    <x v="4"/>
    <n v="3455.8139999999999"/>
    <n v="3350"/>
    <n v="3.1586268656716374"/>
    <x v="1243"/>
  </r>
  <r>
    <s v="Direct,USnet,100"/>
    <x v="0"/>
    <x v="2"/>
    <x v="4"/>
    <n v="3493.663"/>
    <n v="3350"/>
    <n v="4.2884477611940302"/>
    <x v="1244"/>
  </r>
  <r>
    <s v="Direct,USnet,100"/>
    <x v="0"/>
    <x v="2"/>
    <x v="4"/>
    <n v="3392.7750000000001"/>
    <n v="3350"/>
    <n v="1.2768656716417937"/>
    <x v="1245"/>
  </r>
  <r>
    <s v="Direct,USnet,100"/>
    <x v="0"/>
    <x v="2"/>
    <x v="4"/>
    <n v="3544.2710000000002"/>
    <n v="3350"/>
    <n v="5.7991343283582149"/>
    <x v="1246"/>
  </r>
  <r>
    <s v="Direct,USnet,100"/>
    <x v="0"/>
    <x v="2"/>
    <x v="4"/>
    <n v="3532.489"/>
    <n v="3350"/>
    <n v="5.4474328358208961"/>
    <x v="1247"/>
  </r>
  <r>
    <s v="Direct,USnet,100"/>
    <x v="0"/>
    <x v="2"/>
    <x v="4"/>
    <n v="3458.8389999999999"/>
    <n v="3350"/>
    <n v="3.2489253731343268"/>
    <x v="1248"/>
  </r>
  <r>
    <s v="Direct,USnet,100"/>
    <x v="0"/>
    <x v="2"/>
    <x v="4"/>
    <n v="3329.4780000000001"/>
    <n v="3350"/>
    <n v="0.61259701492537111"/>
    <x v="1249"/>
  </r>
  <r>
    <s v="Direct,USnet,100"/>
    <x v="0"/>
    <x v="2"/>
    <x v="4"/>
    <n v="3398.5639999999999"/>
    <n v="3350"/>
    <n v="1.4496716417910405"/>
    <x v="1250"/>
  </r>
  <r>
    <s v="Direct,USnet,100"/>
    <x v="0"/>
    <x v="2"/>
    <x v="4"/>
    <n v="3506.6590000000001"/>
    <n v="3350"/>
    <n v="4.6763880597014955"/>
    <x v="1251"/>
  </r>
  <r>
    <s v="Direct,USnet,100"/>
    <x v="0"/>
    <x v="2"/>
    <x v="4"/>
    <n v="3300.8710000000001"/>
    <n v="3350"/>
    <n v="1.466537313432833"/>
    <x v="1252"/>
  </r>
  <r>
    <s v="Direct,USnet,100"/>
    <x v="0"/>
    <x v="2"/>
    <x v="4"/>
    <n v="3464.875"/>
    <n v="3350"/>
    <n v="3.4291044776119404"/>
    <x v="1253"/>
  </r>
  <r>
    <s v="Direct,USnet,100"/>
    <x v="0"/>
    <x v="2"/>
    <x v="4"/>
    <n v="3517.5929999999998"/>
    <n v="3350"/>
    <n v="5.0027761194029807"/>
    <x v="1254"/>
  </r>
  <r>
    <s v="Direct,USnet,100"/>
    <x v="0"/>
    <x v="2"/>
    <x v="4"/>
    <n v="3342.6909999999998"/>
    <n v="3350"/>
    <n v="0.21817910447761782"/>
    <x v="1255"/>
  </r>
  <r>
    <s v="Direct,USnet,100"/>
    <x v="0"/>
    <x v="2"/>
    <x v="4"/>
    <n v="3461.2530000000002"/>
    <n v="3350"/>
    <n v="3.3209850746268708"/>
    <x v="1256"/>
  </r>
  <r>
    <s v="Direct,USnet,100"/>
    <x v="0"/>
    <x v="2"/>
    <x v="4"/>
    <n v="3441.4079999999999"/>
    <n v="3350"/>
    <n v="2.7285970149253704"/>
    <x v="1257"/>
  </r>
  <r>
    <s v="Direct,USnet,100"/>
    <x v="0"/>
    <x v="2"/>
    <x v="4"/>
    <n v="3398.7020000000002"/>
    <n v="3350"/>
    <n v="1.4537910447761262"/>
    <x v="1258"/>
  </r>
  <r>
    <s v="Direct,USnet,100"/>
    <x v="0"/>
    <x v="2"/>
    <x v="4"/>
    <n v="3410.2869999999998"/>
    <n v="3350"/>
    <n v="1.7996119402985018"/>
    <x v="1259"/>
  </r>
  <r>
    <s v="Direct,USnet,100"/>
    <x v="0"/>
    <x v="2"/>
    <x v="4"/>
    <n v="3446.4479999999999"/>
    <n v="3350"/>
    <n v="2.8790447761193989"/>
    <x v="1260"/>
  </r>
  <r>
    <s v="Direct,USnet,100"/>
    <x v="0"/>
    <x v="2"/>
    <x v="4"/>
    <n v="3472.3890000000001"/>
    <n v="3350"/>
    <n v="3.6534029850746301"/>
    <x v="1261"/>
  </r>
  <r>
    <s v="Direct,USnet,100"/>
    <x v="0"/>
    <x v="2"/>
    <x v="4"/>
    <n v="3387.1819999999998"/>
    <n v="3350"/>
    <n v="1.1099104477611876"/>
    <x v="1262"/>
  </r>
  <r>
    <s v="Direct,USnet,100"/>
    <x v="0"/>
    <x v="2"/>
    <x v="4"/>
    <n v="3471.1750000000002"/>
    <n v="3350"/>
    <n v="3.6171641791044831"/>
    <x v="1263"/>
  </r>
  <r>
    <s v="Direct,USnet,100"/>
    <x v="0"/>
    <x v="2"/>
    <x v="4"/>
    <n v="3427.9830000000002"/>
    <n v="3350"/>
    <n v="2.3278507462686617"/>
    <x v="1264"/>
  </r>
  <r>
    <s v="Direct,USnet,100"/>
    <x v="0"/>
    <x v="2"/>
    <x v="4"/>
    <n v="3472.6179999999999"/>
    <n v="3350"/>
    <n v="3.6602388059701472"/>
    <x v="1265"/>
  </r>
  <r>
    <s v="Direct,USnet,100"/>
    <x v="0"/>
    <x v="2"/>
    <x v="4"/>
    <n v="3388.7190000000001"/>
    <n v="3350"/>
    <n v="1.155791044776121"/>
    <x v="1266"/>
  </r>
  <r>
    <s v="Direct,USnet,100"/>
    <x v="0"/>
    <x v="2"/>
    <x v="4"/>
    <n v="3517.4409999999998"/>
    <n v="3350"/>
    <n v="4.9982388059701437"/>
    <x v="1267"/>
  </r>
  <r>
    <s v="Direct,USnet,100"/>
    <x v="0"/>
    <x v="2"/>
    <x v="4"/>
    <n v="3500.1550000000002"/>
    <n v="3350"/>
    <n v="4.4822388059701552"/>
    <x v="1268"/>
  </r>
  <r>
    <s v="Direct,USnet,100"/>
    <x v="0"/>
    <x v="2"/>
    <x v="4"/>
    <n v="3347.9630000000002"/>
    <n v="3350"/>
    <n v="6.0805970149247976E-2"/>
    <x v="1269"/>
  </r>
  <r>
    <s v="Direct,USnet,100"/>
    <x v="0"/>
    <x v="2"/>
    <x v="4"/>
    <n v="3422.404"/>
    <n v="3350"/>
    <n v="2.1613134328358208"/>
    <x v="1270"/>
  </r>
  <r>
    <s v="Direct,USnet,100"/>
    <x v="0"/>
    <x v="2"/>
    <x v="4"/>
    <n v="3382.1570000000002"/>
    <n v="3350"/>
    <n v="0.95991044776119849"/>
    <x v="1271"/>
  </r>
  <r>
    <s v="Direct,USnet,100"/>
    <x v="0"/>
    <x v="2"/>
    <x v="4"/>
    <n v="3429.9229999999998"/>
    <n v="3350"/>
    <n v="2.3857611940298442"/>
    <x v="1272"/>
  </r>
  <r>
    <s v="Direct,USnet,100"/>
    <x v="0"/>
    <x v="2"/>
    <x v="4"/>
    <n v="3412.3560000000002"/>
    <n v="3350"/>
    <n v="1.861373134328365"/>
    <x v="1273"/>
  </r>
  <r>
    <s v="Direct,USnet,100"/>
    <x v="0"/>
    <x v="2"/>
    <x v="4"/>
    <n v="3463.8760000000002"/>
    <n v="3350"/>
    <n v="3.3992835820895588"/>
    <x v="1274"/>
  </r>
  <r>
    <s v="Direct,USnet,100"/>
    <x v="0"/>
    <x v="2"/>
    <x v="4"/>
    <n v="3458.4839999999999"/>
    <n v="3350"/>
    <n v="3.2383283582089528"/>
    <x v="1275"/>
  </r>
  <r>
    <s v="Direct,USnet,100"/>
    <x v="0"/>
    <x v="2"/>
    <x v="4"/>
    <n v="3456.8389999999999"/>
    <n v="3350"/>
    <n v="3.1892238805970132"/>
    <x v="1276"/>
  </r>
  <r>
    <s v="Direct,USnet,100"/>
    <x v="0"/>
    <x v="2"/>
    <x v="4"/>
    <n v="3413.84"/>
    <n v="3350"/>
    <n v="1.9056716417910493"/>
    <x v="1277"/>
  </r>
  <r>
    <s v="Direct,USnet,100"/>
    <x v="0"/>
    <x v="2"/>
    <x v="4"/>
    <n v="3405.83"/>
    <n v="3350"/>
    <n v="1.6665671641791022"/>
    <x v="1278"/>
  </r>
  <r>
    <s v="Direct,USnet,100"/>
    <x v="0"/>
    <x v="2"/>
    <x v="4"/>
    <n v="3508.6030000000001"/>
    <n v="3350"/>
    <n v="4.7344179104477631"/>
    <x v="1279"/>
  </r>
  <r>
    <s v="Direct,USnet,100"/>
    <x v="0"/>
    <x v="2"/>
    <x v="4"/>
    <n v="3514.3969999999999"/>
    <n v="3350"/>
    <n v="4.9073731343283562"/>
    <x v="1280"/>
  </r>
  <r>
    <s v="Direct,USnet,100"/>
    <x v="0"/>
    <x v="2"/>
    <x v="4"/>
    <n v="3420.7159999999999"/>
    <n v="3350"/>
    <n v="2.1109253731343252"/>
    <x v="1281"/>
  </r>
  <r>
    <s v="Direct,USnet,100"/>
    <x v="0"/>
    <x v="2"/>
    <x v="4"/>
    <n v="3518.5259999999998"/>
    <n v="3350"/>
    <n v="5.0306268656716373"/>
    <x v="1282"/>
  </r>
  <r>
    <s v="Direct,USnet,100"/>
    <x v="0"/>
    <x v="2"/>
    <x v="4"/>
    <n v="3466.6660000000002"/>
    <n v="3350"/>
    <n v="3.4825671641791094"/>
    <x v="1283"/>
  </r>
  <r>
    <s v="Direct,USnet,100"/>
    <x v="0"/>
    <x v="2"/>
    <x v="4"/>
    <n v="3476.0360000000001"/>
    <n v="3350"/>
    <n v="3.7622686567164192"/>
    <x v="1284"/>
  </r>
  <r>
    <s v="Direct,USnet,100"/>
    <x v="0"/>
    <x v="2"/>
    <x v="4"/>
    <n v="3507.2779999999998"/>
    <n v="3350"/>
    <n v="4.6948656716417849"/>
    <x v="1285"/>
  </r>
  <r>
    <s v="Direct,USnet,100"/>
    <x v="0"/>
    <x v="2"/>
    <x v="4"/>
    <n v="3401.8290000000002"/>
    <n v="3350"/>
    <n v="1.5471343283582142"/>
    <x v="1286"/>
  </r>
  <r>
    <s v="Direct,USnet,100"/>
    <x v="0"/>
    <x v="2"/>
    <x v="4"/>
    <n v="3433.8029999999999"/>
    <n v="3350"/>
    <n v="2.5015820895522354"/>
    <x v="1287"/>
  </r>
  <r>
    <s v="Direct,USnet,100"/>
    <x v="0"/>
    <x v="2"/>
    <x v="4"/>
    <n v="3335.3589999999999"/>
    <n v="3350"/>
    <n v="0.43704477611940529"/>
    <x v="1288"/>
  </r>
  <r>
    <s v="Direct,USnet,100"/>
    <x v="0"/>
    <x v="2"/>
    <x v="4"/>
    <n v="3411.0450000000001"/>
    <n v="3350"/>
    <n v="1.8222388059701513"/>
    <x v="1289"/>
  </r>
  <r>
    <s v="Direct,USnet,100"/>
    <x v="0"/>
    <x v="2"/>
    <x v="4"/>
    <n v="3499.7710000000002"/>
    <n v="3350"/>
    <n v="4.4707761194029905"/>
    <x v="1290"/>
  </r>
  <r>
    <s v="Direct,USnet,100"/>
    <x v="0"/>
    <x v="2"/>
    <x v="4"/>
    <n v="3435.4639999999999"/>
    <n v="3350"/>
    <n v="2.5511641791044761"/>
    <x v="1291"/>
  </r>
  <r>
    <s v="Direct,USnet,100"/>
    <x v="0"/>
    <x v="2"/>
    <x v="4"/>
    <n v="3403.3989999999999"/>
    <n v="3350"/>
    <n v="1.5939999999999965"/>
    <x v="1292"/>
  </r>
  <r>
    <s v="Direct,USnet,100"/>
    <x v="0"/>
    <x v="2"/>
    <x v="4"/>
    <n v="3499.2060000000001"/>
    <n v="3350"/>
    <n v="4.4539104477611984"/>
    <x v="1293"/>
  </r>
  <r>
    <s v="Direct,USnet,100"/>
    <x v="0"/>
    <x v="2"/>
    <x v="4"/>
    <n v="3523.8029999999999"/>
    <n v="3350"/>
    <n v="5.1881492537313401"/>
    <x v="1294"/>
  </r>
  <r>
    <s v="Direct,USnet,100"/>
    <x v="0"/>
    <x v="2"/>
    <x v="4"/>
    <n v="3478.2449999999999"/>
    <n v="3350"/>
    <n v="3.8282089552238774"/>
    <x v="1295"/>
  </r>
  <r>
    <s v="Direct,USnet,100"/>
    <x v="0"/>
    <x v="2"/>
    <x v="4"/>
    <n v="3461.7069999999999"/>
    <n v="3350"/>
    <n v="3.3345373134328322"/>
    <x v="1296"/>
  </r>
  <r>
    <s v="Direct,USnet,100"/>
    <x v="0"/>
    <x v="2"/>
    <x v="4"/>
    <n v="3526.64"/>
    <n v="3350"/>
    <n v="5.2728358208955184"/>
    <x v="1297"/>
  </r>
  <r>
    <s v="Direct,USnet,100"/>
    <x v="0"/>
    <x v="2"/>
    <x v="4"/>
    <n v="3517.308"/>
    <n v="3350"/>
    <n v="4.9942686567164181"/>
    <x v="1298"/>
  </r>
  <r>
    <s v="Direct,USnet,100"/>
    <x v="0"/>
    <x v="2"/>
    <x v="4"/>
    <n v="3476.5239999999999"/>
    <n v="3350"/>
    <n v="3.7768358208955188"/>
    <x v="1299"/>
  </r>
  <r>
    <s v="Direct,USnet,100"/>
    <x v="0"/>
    <x v="2"/>
    <x v="4"/>
    <n v="3419.2919999999999"/>
    <n v="3350"/>
    <n v="2.0684179104477587"/>
    <x v="1300"/>
  </r>
  <r>
    <s v="Direct,USnet,120"/>
    <x v="0"/>
    <x v="2"/>
    <x v="5"/>
    <n v="4096.0929999999998"/>
    <n v="4010"/>
    <n v="2.1469576059850337"/>
    <x v="1301"/>
  </r>
  <r>
    <s v="Direct,USnet,120"/>
    <x v="0"/>
    <x v="2"/>
    <x v="5"/>
    <n v="3984.415"/>
    <n v="4010"/>
    <n v="0.63802992518703339"/>
    <x v="1302"/>
  </r>
  <r>
    <s v="Direct,USnet,120"/>
    <x v="0"/>
    <x v="2"/>
    <x v="5"/>
    <n v="4040.0949999999998"/>
    <n v="4010"/>
    <n v="0.75049875311720193"/>
    <x v="1303"/>
  </r>
  <r>
    <s v="Direct,USnet,120"/>
    <x v="0"/>
    <x v="2"/>
    <x v="5"/>
    <n v="4080.1410000000001"/>
    <n v="4010"/>
    <n v="1.74915211970075"/>
    <x v="1304"/>
  </r>
  <r>
    <s v="Direct,USnet,120"/>
    <x v="0"/>
    <x v="2"/>
    <x v="5"/>
    <n v="3941.93"/>
    <n v="4010"/>
    <n v="1.6975062344139691"/>
    <x v="1305"/>
  </r>
  <r>
    <s v="Direct,USnet,120"/>
    <x v="0"/>
    <x v="2"/>
    <x v="5"/>
    <n v="4124.3969999999999"/>
    <n v="4010"/>
    <n v="2.8527930174563574"/>
    <x v="1306"/>
  </r>
  <r>
    <s v="Direct,USnet,120"/>
    <x v="0"/>
    <x v="2"/>
    <x v="5"/>
    <n v="3993.1909999999998"/>
    <n v="4010"/>
    <n v="0.41917705735661337"/>
    <x v="1307"/>
  </r>
  <r>
    <s v="Direct,USnet,120"/>
    <x v="0"/>
    <x v="2"/>
    <x v="5"/>
    <n v="4080.4650000000001"/>
    <n v="4010"/>
    <n v="1.7572319201995048"/>
    <x v="1308"/>
  </r>
  <r>
    <s v="Direct,USnet,120"/>
    <x v="0"/>
    <x v="2"/>
    <x v="5"/>
    <n v="4149.3549999999996"/>
    <n v="4010"/>
    <n v="3.4751870324189413"/>
    <x v="1309"/>
  </r>
  <r>
    <s v="Direct,USnet,120"/>
    <x v="0"/>
    <x v="2"/>
    <x v="5"/>
    <n v="4098.9679999999998"/>
    <n v="4010"/>
    <n v="2.2186533665835375"/>
    <x v="1310"/>
  </r>
  <r>
    <s v="Direct,USnet,120"/>
    <x v="0"/>
    <x v="2"/>
    <x v="5"/>
    <n v="3992.5369999999998"/>
    <n v="4010"/>
    <n v="0.43548628428928166"/>
    <x v="1311"/>
  </r>
  <r>
    <s v="Direct,USnet,120"/>
    <x v="0"/>
    <x v="2"/>
    <x v="5"/>
    <n v="3973.6509999999998"/>
    <n v="4010"/>
    <n v="0.90645885286783445"/>
    <x v="1312"/>
  </r>
  <r>
    <s v="Direct,USnet,120"/>
    <x v="0"/>
    <x v="2"/>
    <x v="5"/>
    <n v="3940.6680000000001"/>
    <n v="4010"/>
    <n v="1.7289775561097227"/>
    <x v="1313"/>
  </r>
  <r>
    <s v="Direct,USnet,120"/>
    <x v="0"/>
    <x v="2"/>
    <x v="5"/>
    <n v="4148.5789999999997"/>
    <n v="4010"/>
    <n v="3.4558354114713148"/>
    <x v="1314"/>
  </r>
  <r>
    <s v="Direct,USnet,120"/>
    <x v="0"/>
    <x v="2"/>
    <x v="5"/>
    <n v="4110.1540000000005"/>
    <n v="4010"/>
    <n v="2.4976059850374175"/>
    <x v="1315"/>
  </r>
  <r>
    <s v="Direct,USnet,120"/>
    <x v="0"/>
    <x v="2"/>
    <x v="5"/>
    <n v="4003.6819999999998"/>
    <n v="4010"/>
    <n v="0.15755610972569106"/>
    <x v="1316"/>
  </r>
  <r>
    <s v="Direct,USnet,120"/>
    <x v="0"/>
    <x v="2"/>
    <x v="5"/>
    <n v="4141.942"/>
    <n v="4010"/>
    <n v="3.290324189526185"/>
    <x v="1317"/>
  </r>
  <r>
    <s v="Direct,USnet,120"/>
    <x v="0"/>
    <x v="2"/>
    <x v="5"/>
    <n v="4052.7429999999999"/>
    <n v="4010"/>
    <n v="1.0659102244389014"/>
    <x v="1318"/>
  </r>
  <r>
    <s v="Direct,USnet,120"/>
    <x v="0"/>
    <x v="2"/>
    <x v="5"/>
    <n v="4122.268"/>
    <n v="4010"/>
    <n v="2.7997007481296765"/>
    <x v="1319"/>
  </r>
  <r>
    <s v="Direct,USnet,120"/>
    <x v="0"/>
    <x v="2"/>
    <x v="5"/>
    <n v="3958.8209999999999"/>
    <n v="4010"/>
    <n v="1.2762842892768103"/>
    <x v="1320"/>
  </r>
  <r>
    <s v="Direct,USnet,120"/>
    <x v="0"/>
    <x v="2"/>
    <x v="5"/>
    <n v="3996.576"/>
    <n v="4010"/>
    <n v="0.33476309226932616"/>
    <x v="1321"/>
  </r>
  <r>
    <s v="Direct,USnet,120"/>
    <x v="0"/>
    <x v="2"/>
    <x v="5"/>
    <n v="4073.2130000000002"/>
    <n v="4010"/>
    <n v="1.576384039900254"/>
    <x v="1322"/>
  </r>
  <r>
    <s v="Direct,USnet,120"/>
    <x v="0"/>
    <x v="2"/>
    <x v="5"/>
    <n v="4088.828"/>
    <n v="4010"/>
    <n v="1.9657855361596006"/>
    <x v="1323"/>
  </r>
  <r>
    <s v="Direct,USnet,120"/>
    <x v="0"/>
    <x v="2"/>
    <x v="5"/>
    <n v="4010.9409999999998"/>
    <n v="4010"/>
    <n v="2.346633416458363E-2"/>
    <x v="1324"/>
  </r>
  <r>
    <s v="Direct,USnet,120"/>
    <x v="0"/>
    <x v="2"/>
    <x v="5"/>
    <n v="4007.9380000000001"/>
    <n v="4010"/>
    <n v="5.142144638403736E-2"/>
    <x v="1325"/>
  </r>
  <r>
    <s v="Direct,USnet,120"/>
    <x v="0"/>
    <x v="2"/>
    <x v="5"/>
    <n v="4113.442"/>
    <n v="4010"/>
    <n v="2.5796009975062346"/>
    <x v="1326"/>
  </r>
  <r>
    <s v="Direct,USnet,120"/>
    <x v="0"/>
    <x v="2"/>
    <x v="5"/>
    <n v="4050.5990000000002"/>
    <n v="4010"/>
    <n v="1.0124438902743182"/>
    <x v="1327"/>
  </r>
  <r>
    <s v="Direct,USnet,120"/>
    <x v="0"/>
    <x v="2"/>
    <x v="5"/>
    <n v="4211.6210000000001"/>
    <n v="4010"/>
    <n v="5.0279551122194537"/>
    <x v="1328"/>
  </r>
  <r>
    <s v="Direct,USnet,120"/>
    <x v="0"/>
    <x v="2"/>
    <x v="5"/>
    <n v="3982.9879999999998"/>
    <n v="4010"/>
    <n v="0.67361596009975488"/>
    <x v="1329"/>
  </r>
  <r>
    <s v="Direct,USnet,120"/>
    <x v="0"/>
    <x v="2"/>
    <x v="5"/>
    <n v="3906.5590000000002"/>
    <n v="4010"/>
    <n v="2.5795760598503694"/>
    <x v="1330"/>
  </r>
  <r>
    <s v="Direct,USnet,120"/>
    <x v="0"/>
    <x v="2"/>
    <x v="5"/>
    <n v="4223.28"/>
    <n v="4010"/>
    <n v="5.3187032418952551"/>
    <x v="1331"/>
  </r>
  <r>
    <s v="Direct,USnet,120"/>
    <x v="0"/>
    <x v="2"/>
    <x v="5"/>
    <n v="4010.3850000000002"/>
    <n v="4010"/>
    <n v="9.6009975062398573E-3"/>
    <x v="1332"/>
  </r>
  <r>
    <s v="Direct,USnet,120"/>
    <x v="0"/>
    <x v="2"/>
    <x v="5"/>
    <n v="4024.52"/>
    <n v="4010"/>
    <n v="0.3620947630922689"/>
    <x v="1333"/>
  </r>
  <r>
    <s v="Direct,USnet,120"/>
    <x v="0"/>
    <x v="2"/>
    <x v="5"/>
    <n v="4051.33"/>
    <n v="4010"/>
    <n v="1.0306733167082276"/>
    <x v="1334"/>
  </r>
  <r>
    <s v="Direct,USnet,120"/>
    <x v="0"/>
    <x v="2"/>
    <x v="5"/>
    <n v="4134.8490000000002"/>
    <n v="4010"/>
    <n v="3.1134413965087324"/>
    <x v="1335"/>
  </r>
  <r>
    <s v="Direct,USnet,120"/>
    <x v="0"/>
    <x v="2"/>
    <x v="5"/>
    <n v="4108.4889999999996"/>
    <n v="4010"/>
    <n v="2.4560847880299148"/>
    <x v="1336"/>
  </r>
  <r>
    <s v="Direct,USnet,120"/>
    <x v="0"/>
    <x v="2"/>
    <x v="5"/>
    <n v="3945.1860000000001"/>
    <n v="4010"/>
    <n v="1.6163092269326644"/>
    <x v="1337"/>
  </r>
  <r>
    <s v="Direct,USnet,120"/>
    <x v="0"/>
    <x v="2"/>
    <x v="5"/>
    <n v="4068.1880000000001"/>
    <n v="4010"/>
    <n v="1.4510723192019976"/>
    <x v="1338"/>
  </r>
  <r>
    <s v="Direct,USnet,120"/>
    <x v="0"/>
    <x v="2"/>
    <x v="5"/>
    <n v="4001.703"/>
    <n v="4010"/>
    <n v="0.20690773067331736"/>
    <x v="1339"/>
  </r>
  <r>
    <s v="Direct,USnet,120"/>
    <x v="0"/>
    <x v="2"/>
    <x v="5"/>
    <n v="4312.8999999999996"/>
    <n v="4010"/>
    <n v="7.5536159600997408"/>
    <x v="1340"/>
  </r>
  <r>
    <s v="Direct,USnet,120"/>
    <x v="0"/>
    <x v="2"/>
    <x v="5"/>
    <n v="3930.4409999999998"/>
    <n v="4010"/>
    <n v="1.9840149625935211"/>
    <x v="1341"/>
  </r>
  <r>
    <s v="Direct,USnet,120"/>
    <x v="0"/>
    <x v="2"/>
    <x v="5"/>
    <n v="4008.8290000000002"/>
    <n v="4010"/>
    <n v="2.9201995012464382E-2"/>
    <x v="1342"/>
  </r>
  <r>
    <s v="Direct,USnet,120"/>
    <x v="0"/>
    <x v="2"/>
    <x v="5"/>
    <n v="4045.52"/>
    <n v="4010"/>
    <n v="0.88578553615960065"/>
    <x v="1343"/>
  </r>
  <r>
    <s v="Direct,USnet,120"/>
    <x v="0"/>
    <x v="2"/>
    <x v="5"/>
    <n v="4065.3159999999998"/>
    <n v="4010"/>
    <n v="1.3794513715710675"/>
    <x v="1344"/>
  </r>
  <r>
    <s v="Direct,USnet,120"/>
    <x v="0"/>
    <x v="2"/>
    <x v="5"/>
    <n v="3908.5509999999999"/>
    <n v="4010"/>
    <n v="2.5299002493765603"/>
    <x v="1345"/>
  </r>
  <r>
    <s v="Direct,USnet,120"/>
    <x v="0"/>
    <x v="2"/>
    <x v="5"/>
    <n v="4105.8410000000003"/>
    <n v="4010"/>
    <n v="2.3900498753117292"/>
    <x v="1346"/>
  </r>
  <r>
    <s v="Direct,USnet,120"/>
    <x v="0"/>
    <x v="2"/>
    <x v="5"/>
    <n v="4081.7829999999999"/>
    <n v="4010"/>
    <n v="1.7900997506234391"/>
    <x v="1347"/>
  </r>
  <r>
    <s v="Direct,USnet,120"/>
    <x v="0"/>
    <x v="2"/>
    <x v="5"/>
    <n v="4014.3710000000001"/>
    <n v="4010"/>
    <n v="0.10900249376558839"/>
    <x v="1348"/>
  </r>
  <r>
    <s v="Direct,USnet,120"/>
    <x v="0"/>
    <x v="2"/>
    <x v="5"/>
    <n v="4111.9780000000001"/>
    <n v="4010"/>
    <n v="2.5430922693266846"/>
    <x v="1349"/>
  </r>
  <r>
    <s v="Direct,USnet,120"/>
    <x v="0"/>
    <x v="2"/>
    <x v="5"/>
    <n v="4144.5540000000001"/>
    <n v="4010"/>
    <n v="3.3554613466334184"/>
    <x v="1350"/>
  </r>
  <r>
    <s v="Direct,USnet,120"/>
    <x v="0"/>
    <x v="2"/>
    <x v="5"/>
    <n v="4168.9380000000001"/>
    <n v="4010"/>
    <n v="3.963541147132172"/>
    <x v="1351"/>
  </r>
  <r>
    <s v="Direct,USnet,120"/>
    <x v="0"/>
    <x v="2"/>
    <x v="5"/>
    <n v="4219.1819999999998"/>
    <n v="4010"/>
    <n v="5.2165087281795461"/>
    <x v="1352"/>
  </r>
  <r>
    <s v="Direct,USnet,120"/>
    <x v="0"/>
    <x v="2"/>
    <x v="5"/>
    <n v="3942.596"/>
    <n v="4010"/>
    <n v="1.6808977556109723"/>
    <x v="1353"/>
  </r>
  <r>
    <s v="Direct,USnet,120"/>
    <x v="0"/>
    <x v="2"/>
    <x v="5"/>
    <n v="4130.9480000000003"/>
    <n v="4010"/>
    <n v="3.016159600997514"/>
    <x v="1354"/>
  </r>
  <r>
    <s v="Direct,USnet,120"/>
    <x v="0"/>
    <x v="2"/>
    <x v="5"/>
    <n v="4089.7069999999999"/>
    <n v="4010"/>
    <n v="1.9877057356608447"/>
    <x v="1355"/>
  </r>
  <r>
    <s v="Direct,USnet,120"/>
    <x v="0"/>
    <x v="2"/>
    <x v="5"/>
    <n v="4118.5360000000001"/>
    <n v="4010"/>
    <n v="2.7066334164588541"/>
    <x v="1356"/>
  </r>
  <r>
    <s v="Direct,USnet,120"/>
    <x v="0"/>
    <x v="2"/>
    <x v="5"/>
    <n v="4016.1170000000002"/>
    <n v="4010"/>
    <n v="0.15254364089776035"/>
    <x v="1357"/>
  </r>
  <r>
    <s v="Direct,USnet,120"/>
    <x v="0"/>
    <x v="2"/>
    <x v="5"/>
    <n v="4018.0079999999998"/>
    <n v="4010"/>
    <n v="0.19970074812967112"/>
    <x v="1358"/>
  </r>
  <r>
    <s v="Direct,USnet,120"/>
    <x v="0"/>
    <x v="2"/>
    <x v="5"/>
    <n v="3992.3780000000002"/>
    <n v="4010"/>
    <n v="0.43945137157106845"/>
    <x v="1359"/>
  </r>
  <r>
    <s v="Direct,USnet,120"/>
    <x v="0"/>
    <x v="2"/>
    <x v="5"/>
    <n v="4142.5569999999998"/>
    <n v="4010"/>
    <n v="3.3056608478802945"/>
    <x v="1360"/>
  </r>
  <r>
    <s v="Direct,USnet,120"/>
    <x v="0"/>
    <x v="2"/>
    <x v="5"/>
    <n v="3858.7959999999998"/>
    <n v="4010"/>
    <n v="3.7706733167082342"/>
    <x v="1361"/>
  </r>
  <r>
    <s v="Direct,USnet,120"/>
    <x v="0"/>
    <x v="2"/>
    <x v="5"/>
    <n v="4090.3"/>
    <n v="4010"/>
    <n v="2.0024937655860393"/>
    <x v="1362"/>
  </r>
  <r>
    <s v="Direct,USnet,120"/>
    <x v="0"/>
    <x v="2"/>
    <x v="5"/>
    <n v="4029.759"/>
    <n v="4010"/>
    <n v="0.49274314214463877"/>
    <x v="1363"/>
  </r>
  <r>
    <s v="Direct,USnet,120"/>
    <x v="0"/>
    <x v="2"/>
    <x v="5"/>
    <n v="4001.221"/>
    <n v="4010"/>
    <n v="0.21892768079800493"/>
    <x v="1364"/>
  </r>
  <r>
    <s v="Direct,USnet,120"/>
    <x v="0"/>
    <x v="2"/>
    <x v="5"/>
    <n v="4012.7559999999999"/>
    <n v="4010"/>
    <n v="6.8728179551118651E-2"/>
    <x v="1365"/>
  </r>
  <r>
    <s v="Direct,USnet,120"/>
    <x v="0"/>
    <x v="2"/>
    <x v="5"/>
    <n v="3915.8130000000001"/>
    <n v="4010"/>
    <n v="2.3488029925187006"/>
    <x v="1366"/>
  </r>
  <r>
    <s v="Direct,USnet,120"/>
    <x v="0"/>
    <x v="2"/>
    <x v="5"/>
    <n v="4088.922"/>
    <n v="4010"/>
    <n v="1.9681296758104743"/>
    <x v="1367"/>
  </r>
  <r>
    <s v="Direct,USnet,120"/>
    <x v="0"/>
    <x v="2"/>
    <x v="5"/>
    <n v="3927.66"/>
    <n v="4010"/>
    <n v="2.0533665835411505"/>
    <x v="1368"/>
  </r>
  <r>
    <s v="Direct,USnet,120"/>
    <x v="0"/>
    <x v="2"/>
    <x v="5"/>
    <n v="3983.3820000000001"/>
    <n v="4010"/>
    <n v="0.66379052369077152"/>
    <x v="1369"/>
  </r>
  <r>
    <s v="Direct,USnet,120"/>
    <x v="0"/>
    <x v="2"/>
    <x v="5"/>
    <n v="3999.0250000000001"/>
    <n v="4010"/>
    <n v="0.27369077306732942"/>
    <x v="1370"/>
  </r>
  <r>
    <s v="Direct,USnet,120"/>
    <x v="0"/>
    <x v="2"/>
    <x v="5"/>
    <n v="4043.9279999999999"/>
    <n v="4010"/>
    <n v="0.84608478802992226"/>
    <x v="1371"/>
  </r>
  <r>
    <s v="Direct,USnet,120"/>
    <x v="0"/>
    <x v="2"/>
    <x v="5"/>
    <n v="4005.6239999999998"/>
    <n v="4010"/>
    <n v="0.10912718204489286"/>
    <x v="1372"/>
  </r>
  <r>
    <s v="Direct,USnet,120"/>
    <x v="0"/>
    <x v="2"/>
    <x v="5"/>
    <n v="4073.9960000000001"/>
    <n v="4010"/>
    <n v="1.595910224438905"/>
    <x v="1373"/>
  </r>
  <r>
    <s v="Direct,USnet,120"/>
    <x v="0"/>
    <x v="2"/>
    <x v="5"/>
    <n v="4121.1120000000001"/>
    <n v="4010"/>
    <n v="2.7708728179551145"/>
    <x v="1374"/>
  </r>
  <r>
    <s v="Direct,USnet,120"/>
    <x v="0"/>
    <x v="2"/>
    <x v="5"/>
    <n v="4052.9290000000001"/>
    <n v="4010"/>
    <n v="1.0705486284289298"/>
    <x v="1375"/>
  </r>
  <r>
    <s v="Direct,USnet,120"/>
    <x v="0"/>
    <x v="2"/>
    <x v="5"/>
    <n v="4002.373"/>
    <n v="4010"/>
    <n v="0.19019950124688162"/>
    <x v="1376"/>
  </r>
  <r>
    <s v="Direct,USnet,120"/>
    <x v="0"/>
    <x v="2"/>
    <x v="5"/>
    <n v="4071.2579999999998"/>
    <n v="4010"/>
    <n v="1.5276309226932621"/>
    <x v="1377"/>
  </r>
  <r>
    <s v="Direct,USnet,120"/>
    <x v="0"/>
    <x v="2"/>
    <x v="5"/>
    <n v="3968.9969999999998"/>
    <n v="4010"/>
    <n v="1.0225187032418992"/>
    <x v="1378"/>
  </r>
  <r>
    <s v="Direct,USnet,120"/>
    <x v="0"/>
    <x v="2"/>
    <x v="5"/>
    <n v="4059.5720000000001"/>
    <n v="4010"/>
    <n v="1.2362094763092297"/>
    <x v="1379"/>
  </r>
  <r>
    <s v="Direct,USnet,120"/>
    <x v="0"/>
    <x v="2"/>
    <x v="5"/>
    <n v="4029.2820000000002"/>
    <n v="4010"/>
    <n v="0.48084788029925568"/>
    <x v="1380"/>
  </r>
  <r>
    <s v="Direct,USnet,120"/>
    <x v="0"/>
    <x v="2"/>
    <x v="5"/>
    <n v="4096.8990000000003"/>
    <n v="4010"/>
    <n v="2.1670573566084874"/>
    <x v="1381"/>
  </r>
  <r>
    <s v="Direct,USnet,120"/>
    <x v="0"/>
    <x v="2"/>
    <x v="5"/>
    <n v="4151.9530000000004"/>
    <n v="4010"/>
    <n v="3.5399750623441499"/>
    <x v="1382"/>
  </r>
  <r>
    <s v="Direct,USnet,120"/>
    <x v="0"/>
    <x v="2"/>
    <x v="5"/>
    <n v="4167.2430000000004"/>
    <n v="4010"/>
    <n v="3.9212718204488879"/>
    <x v="1383"/>
  </r>
  <r>
    <s v="Direct,USnet,120"/>
    <x v="0"/>
    <x v="2"/>
    <x v="5"/>
    <n v="4163.5820000000003"/>
    <n v="4010"/>
    <n v="3.8299750623441478"/>
    <x v="1384"/>
  </r>
  <r>
    <s v="Direct,USnet,120"/>
    <x v="0"/>
    <x v="2"/>
    <x v="5"/>
    <n v="3994.0790000000002"/>
    <n v="4010"/>
    <n v="0.39703241895261404"/>
    <x v="1385"/>
  </r>
  <r>
    <s v="Direct,USnet,120"/>
    <x v="0"/>
    <x v="2"/>
    <x v="5"/>
    <n v="4028.183"/>
    <n v="4010"/>
    <n v="0.453441396508728"/>
    <x v="1386"/>
  </r>
  <r>
    <s v="Direct,USnet,120"/>
    <x v="0"/>
    <x v="2"/>
    <x v="5"/>
    <n v="4073.297"/>
    <n v="4010"/>
    <n v="1.5784788029925192"/>
    <x v="1387"/>
  </r>
  <r>
    <s v="Direct,USnet,120"/>
    <x v="0"/>
    <x v="2"/>
    <x v="5"/>
    <n v="3886.3090000000002"/>
    <n v="4010"/>
    <n v="3.0845635910224387"/>
    <x v="1388"/>
  </r>
  <r>
    <s v="Direct,USnet,120"/>
    <x v="0"/>
    <x v="2"/>
    <x v="5"/>
    <n v="3946.86"/>
    <n v="4010"/>
    <n v="1.5745635910224407"/>
    <x v="1389"/>
  </r>
  <r>
    <s v="Direct,USnet,120"/>
    <x v="0"/>
    <x v="2"/>
    <x v="5"/>
    <n v="4168.2120000000004"/>
    <n v="4010"/>
    <n v="3.9454364089775673"/>
    <x v="1390"/>
  </r>
  <r>
    <s v="Direct,USnet,120"/>
    <x v="0"/>
    <x v="2"/>
    <x v="5"/>
    <n v="4035.5680000000002"/>
    <n v="4010"/>
    <n v="0.63760598503741173"/>
    <x v="1391"/>
  </r>
  <r>
    <s v="Direct,USnet,120"/>
    <x v="0"/>
    <x v="2"/>
    <x v="5"/>
    <n v="4159.4170000000004"/>
    <n v="4010"/>
    <n v="3.7261097256857942"/>
    <x v="1392"/>
  </r>
  <r>
    <s v="Direct,USnet,120"/>
    <x v="0"/>
    <x v="2"/>
    <x v="5"/>
    <n v="3961.643"/>
    <n v="4010"/>
    <n v="1.2059102244389019"/>
    <x v="1393"/>
  </r>
  <r>
    <s v="Direct,USnet,120"/>
    <x v="0"/>
    <x v="2"/>
    <x v="5"/>
    <n v="4153.8209999999999"/>
    <n v="4010"/>
    <n v="3.5865586034912695"/>
    <x v="1394"/>
  </r>
  <r>
    <s v="Direct,USnet,120"/>
    <x v="0"/>
    <x v="2"/>
    <x v="5"/>
    <n v="4008.4850000000001"/>
    <n v="4010"/>
    <n v="3.7780548628425753E-2"/>
    <x v="1395"/>
  </r>
  <r>
    <s v="Direct,USnet,120"/>
    <x v="0"/>
    <x v="2"/>
    <x v="5"/>
    <n v="4094.2579999999998"/>
    <n v="4010"/>
    <n v="2.101197007481292"/>
    <x v="1396"/>
  </r>
  <r>
    <s v="Direct,USnet,120"/>
    <x v="0"/>
    <x v="2"/>
    <x v="5"/>
    <n v="4223.7820000000002"/>
    <n v="4010"/>
    <n v="5.3312219451371607"/>
    <x v="1397"/>
  </r>
  <r>
    <s v="Direct,USnet,120"/>
    <x v="0"/>
    <x v="2"/>
    <x v="5"/>
    <n v="4070.9580000000001"/>
    <n v="4010"/>
    <n v="1.5201496259351641"/>
    <x v="1398"/>
  </r>
  <r>
    <s v="Direct,USnet,120"/>
    <x v="0"/>
    <x v="2"/>
    <x v="5"/>
    <n v="4123.5950000000003"/>
    <n v="4010"/>
    <n v="2.8327930174563654"/>
    <x v="1399"/>
  </r>
  <r>
    <s v="Direct,USnet,120"/>
    <x v="0"/>
    <x v="2"/>
    <x v="5"/>
    <n v="3979.7420000000002"/>
    <n v="4010"/>
    <n v="0.7545635910224392"/>
    <x v="1400"/>
  </r>
  <r>
    <s v="Multihop,NSFnet,20"/>
    <x v="1"/>
    <x v="0"/>
    <x v="0"/>
    <n v="270.70600000000002"/>
    <n v="260"/>
    <n v="4.1176923076923142"/>
    <x v="1401"/>
  </r>
  <r>
    <s v="Multihop,NSFnet,20"/>
    <x v="1"/>
    <x v="0"/>
    <x v="0"/>
    <n v="270.25599999999997"/>
    <n v="260"/>
    <n v="3.9446153846153735"/>
    <x v="1402"/>
  </r>
  <r>
    <s v="Multihop,NSFnet,20"/>
    <x v="1"/>
    <x v="0"/>
    <x v="0"/>
    <n v="263.11500000000001"/>
    <n v="260"/>
    <n v="1.1980769230769266"/>
    <x v="1403"/>
  </r>
  <r>
    <s v="Multihop,NSFnet,20"/>
    <x v="1"/>
    <x v="0"/>
    <x v="0"/>
    <n v="272.99799999999999"/>
    <n v="260"/>
    <n v="4.9992307692307651"/>
    <x v="1404"/>
  </r>
  <r>
    <s v="Multihop,NSFnet,20"/>
    <x v="1"/>
    <x v="0"/>
    <x v="0"/>
    <n v="265.04899999999998"/>
    <n v="260"/>
    <n v="1.9419230769230684"/>
    <x v="1405"/>
  </r>
  <r>
    <s v="Multihop,NSFnet,20"/>
    <x v="1"/>
    <x v="0"/>
    <x v="0"/>
    <n v="273.50200000000001"/>
    <n v="260"/>
    <n v="5.1930769230769265"/>
    <x v="1406"/>
  </r>
  <r>
    <s v="Multihop,NSFnet,20"/>
    <x v="1"/>
    <x v="0"/>
    <x v="0"/>
    <n v="265.90300000000002"/>
    <n v="260"/>
    <n v="2.2703846153846232"/>
    <x v="1407"/>
  </r>
  <r>
    <s v="Multihop,NSFnet,20"/>
    <x v="1"/>
    <x v="0"/>
    <x v="0"/>
    <n v="273.65499999999997"/>
    <n v="260"/>
    <n v="5.2519230769230667"/>
    <x v="1408"/>
  </r>
  <r>
    <s v="Multihop,NSFnet,20"/>
    <x v="1"/>
    <x v="0"/>
    <x v="0"/>
    <n v="262.30799999999999"/>
    <n v="260"/>
    <n v="0.887692307692305"/>
    <x v="1409"/>
  </r>
  <r>
    <s v="Multihop,NSFnet,20"/>
    <x v="1"/>
    <x v="0"/>
    <x v="0"/>
    <n v="266.34100000000001"/>
    <n v="260"/>
    <n v="2.438846153846157"/>
    <x v="1410"/>
  </r>
  <r>
    <s v="Multihop,NSFnet,20"/>
    <x v="1"/>
    <x v="0"/>
    <x v="0"/>
    <n v="262.41399999999999"/>
    <n v="260"/>
    <n v="0.92846153846153356"/>
    <x v="1411"/>
  </r>
  <r>
    <s v="Multihop,NSFnet,20"/>
    <x v="1"/>
    <x v="0"/>
    <x v="0"/>
    <n v="270.23899999999998"/>
    <n v="260"/>
    <n v="3.9380769230769137"/>
    <x v="1412"/>
  </r>
  <r>
    <s v="Multihop,NSFnet,20"/>
    <x v="1"/>
    <x v="0"/>
    <x v="0"/>
    <n v="264.23899999999998"/>
    <n v="260"/>
    <n v="1.6303846153846062"/>
    <x v="1413"/>
  </r>
  <r>
    <s v="Multihop,NSFnet,20"/>
    <x v="1"/>
    <x v="0"/>
    <x v="0"/>
    <n v="257.61500000000001"/>
    <n v="260"/>
    <n v="0.91730769230768883"/>
    <x v="1414"/>
  </r>
  <r>
    <s v="Multihop,NSFnet,20"/>
    <x v="1"/>
    <x v="0"/>
    <x v="0"/>
    <n v="262.08499999999998"/>
    <n v="260"/>
    <n v="0.80192307692306897"/>
    <x v="1415"/>
  </r>
  <r>
    <s v="Multihop,NSFnet,20"/>
    <x v="1"/>
    <x v="0"/>
    <x v="0"/>
    <n v="262.41800000000001"/>
    <n v="260"/>
    <n v="0.93000000000000249"/>
    <x v="1416"/>
  </r>
  <r>
    <s v="Multihop,NSFnet,20"/>
    <x v="1"/>
    <x v="0"/>
    <x v="0"/>
    <n v="267.41399999999999"/>
    <n v="260"/>
    <n v="2.8515384615384569"/>
    <x v="1417"/>
  </r>
  <r>
    <s v="Multihop,NSFnet,20"/>
    <x v="1"/>
    <x v="0"/>
    <x v="0"/>
    <n v="266.77199999999999"/>
    <n v="260"/>
    <n v="2.6046153846153812"/>
    <x v="1418"/>
  </r>
  <r>
    <s v="Multihop,NSFnet,20"/>
    <x v="1"/>
    <x v="0"/>
    <x v="0"/>
    <n v="260.483"/>
    <n v="260"/>
    <n v="0.18576923076923235"/>
    <x v="1419"/>
  </r>
  <r>
    <s v="Multihop,NSFnet,20"/>
    <x v="1"/>
    <x v="0"/>
    <x v="0"/>
    <n v="267.09300000000002"/>
    <n v="260"/>
    <n v="2.7280769230769297"/>
    <x v="1420"/>
  </r>
  <r>
    <s v="Multihop,NSFnet,20"/>
    <x v="1"/>
    <x v="0"/>
    <x v="0"/>
    <n v="264.56"/>
    <n v="260"/>
    <n v="1.7538461538461547"/>
    <x v="1421"/>
  </r>
  <r>
    <s v="Multihop,NSFnet,20"/>
    <x v="1"/>
    <x v="0"/>
    <x v="0"/>
    <n v="262.68799999999999"/>
    <n v="260"/>
    <n v="1.0338461538461492"/>
    <x v="1422"/>
  </r>
  <r>
    <s v="Multihop,NSFnet,20"/>
    <x v="1"/>
    <x v="0"/>
    <x v="0"/>
    <n v="268.07100000000003"/>
    <n v="260"/>
    <n v="3.1042307692307793"/>
    <x v="1423"/>
  </r>
  <r>
    <s v="Multihop,NSFnet,20"/>
    <x v="1"/>
    <x v="0"/>
    <x v="0"/>
    <n v="263.48700000000002"/>
    <n v="260"/>
    <n v="1.341153846153855"/>
    <x v="1424"/>
  </r>
  <r>
    <s v="Multihop,NSFnet,20"/>
    <x v="1"/>
    <x v="0"/>
    <x v="0"/>
    <n v="265.553"/>
    <n v="260"/>
    <n v="2.1357692307692298"/>
    <x v="1425"/>
  </r>
  <r>
    <s v="Multihop,NSFnet,20"/>
    <x v="1"/>
    <x v="0"/>
    <x v="0"/>
    <n v="264.98700000000002"/>
    <n v="260"/>
    <n v="1.9180769230769321"/>
    <x v="1426"/>
  </r>
  <r>
    <s v="Multihop,NSFnet,20"/>
    <x v="1"/>
    <x v="0"/>
    <x v="0"/>
    <n v="263.35599999999999"/>
    <n v="260"/>
    <n v="1.2907692307692287"/>
    <x v="1427"/>
  </r>
  <r>
    <s v="Multihop,NSFnet,20"/>
    <x v="1"/>
    <x v="0"/>
    <x v="0"/>
    <n v="272.50900000000001"/>
    <n v="260"/>
    <n v="4.8111538461538519"/>
    <x v="1428"/>
  </r>
  <r>
    <s v="Multihop,NSFnet,20"/>
    <x v="1"/>
    <x v="0"/>
    <x v="0"/>
    <n v="261.60399999999998"/>
    <n v="260"/>
    <n v="0.61692307692307113"/>
    <x v="1429"/>
  </r>
  <r>
    <s v="Multihop,NSFnet,20"/>
    <x v="1"/>
    <x v="0"/>
    <x v="0"/>
    <n v="259.15499999999997"/>
    <n v="260"/>
    <n v="0.3250000000000105"/>
    <x v="1430"/>
  </r>
  <r>
    <s v="Multihop,NSFnet,20"/>
    <x v="1"/>
    <x v="0"/>
    <x v="0"/>
    <n v="261.40699999999998"/>
    <n v="260"/>
    <n v="0.54115384615383932"/>
    <x v="1431"/>
  </r>
  <r>
    <s v="Multihop,NSFnet,20"/>
    <x v="1"/>
    <x v="0"/>
    <x v="0"/>
    <n v="263.89100000000002"/>
    <n v="260"/>
    <n v="1.4965384615384691"/>
    <x v="1432"/>
  </r>
  <r>
    <s v="Multihop,NSFnet,20"/>
    <x v="1"/>
    <x v="0"/>
    <x v="0"/>
    <n v="266.70600000000002"/>
    <n v="260"/>
    <n v="2.5792307692307759"/>
    <x v="1433"/>
  </r>
  <r>
    <s v="Multihop,NSFnet,20"/>
    <x v="1"/>
    <x v="0"/>
    <x v="0"/>
    <n v="278.64299999999997"/>
    <n v="260"/>
    <n v="7.1703846153846049"/>
    <x v="1434"/>
  </r>
  <r>
    <s v="Multihop,NSFnet,20"/>
    <x v="1"/>
    <x v="0"/>
    <x v="0"/>
    <n v="269.95"/>
    <n v="260"/>
    <n v="3.8269230769230722"/>
    <x v="1435"/>
  </r>
  <r>
    <s v="Multihop,NSFnet,20"/>
    <x v="1"/>
    <x v="0"/>
    <x v="0"/>
    <n v="263.82299999999998"/>
    <n v="260"/>
    <n v="1.4703846153846072"/>
    <x v="1436"/>
  </r>
  <r>
    <s v="Multihop,NSFnet,20"/>
    <x v="1"/>
    <x v="0"/>
    <x v="0"/>
    <n v="268.25700000000001"/>
    <n v="260"/>
    <n v="3.1757692307692329"/>
    <x v="1437"/>
  </r>
  <r>
    <s v="Multihop,NSFnet,20"/>
    <x v="1"/>
    <x v="0"/>
    <x v="0"/>
    <n v="275.19799999999998"/>
    <n v="260"/>
    <n v="5.8453846153846074"/>
    <x v="1438"/>
  </r>
  <r>
    <s v="Multihop,NSFnet,20"/>
    <x v="1"/>
    <x v="0"/>
    <x v="0"/>
    <n v="268.43599999999998"/>
    <n v="260"/>
    <n v="3.2446153846153765"/>
    <x v="1439"/>
  </r>
  <r>
    <s v="Multihop,NSFnet,20"/>
    <x v="1"/>
    <x v="0"/>
    <x v="0"/>
    <n v="270.06400000000002"/>
    <n v="260"/>
    <n v="3.8707692307692385"/>
    <x v="1440"/>
  </r>
  <r>
    <s v="Multihop,NSFnet,20"/>
    <x v="1"/>
    <x v="0"/>
    <x v="0"/>
    <n v="261.80200000000002"/>
    <n v="260"/>
    <n v="0.69307692307693114"/>
    <x v="1441"/>
  </r>
  <r>
    <s v="Multihop,NSFnet,20"/>
    <x v="1"/>
    <x v="0"/>
    <x v="0"/>
    <n v="266.21699999999998"/>
    <n v="260"/>
    <n v="2.39115384615384"/>
    <x v="1442"/>
  </r>
  <r>
    <s v="Multihop,NSFnet,20"/>
    <x v="1"/>
    <x v="0"/>
    <x v="0"/>
    <n v="261.11500000000001"/>
    <n v="260"/>
    <n v="0.42884615384615732"/>
    <x v="1443"/>
  </r>
  <r>
    <s v="Multihop,NSFnet,20"/>
    <x v="1"/>
    <x v="0"/>
    <x v="0"/>
    <n v="263.35199999999998"/>
    <n v="260"/>
    <n v="1.2892307692307596"/>
    <x v="1444"/>
  </r>
  <r>
    <s v="Multihop,NSFnet,20"/>
    <x v="1"/>
    <x v="0"/>
    <x v="0"/>
    <n v="262.85500000000002"/>
    <n v="260"/>
    <n v="1.0980769230769301"/>
    <x v="1445"/>
  </r>
  <r>
    <s v="Multihop,NSFnet,20"/>
    <x v="1"/>
    <x v="0"/>
    <x v="0"/>
    <n v="266.48700000000002"/>
    <n v="260"/>
    <n v="2.495000000000009"/>
    <x v="1446"/>
  </r>
  <r>
    <s v="Multihop,NSFnet,20"/>
    <x v="1"/>
    <x v="0"/>
    <x v="0"/>
    <n v="271.87400000000002"/>
    <n v="260"/>
    <n v="4.5669230769230857"/>
    <x v="1447"/>
  </r>
  <r>
    <s v="Multihop,NSFnet,20"/>
    <x v="1"/>
    <x v="0"/>
    <x v="0"/>
    <n v="265.40699999999998"/>
    <n v="260"/>
    <n v="2.0796153846153778"/>
    <x v="1448"/>
  </r>
  <r>
    <s v="Multihop,NSFnet,20"/>
    <x v="1"/>
    <x v="0"/>
    <x v="0"/>
    <n v="266.70600000000002"/>
    <n v="260"/>
    <n v="2.5792307692307759"/>
    <x v="1433"/>
  </r>
  <r>
    <s v="Multihop,NSFnet,20"/>
    <x v="1"/>
    <x v="0"/>
    <x v="0"/>
    <n v="261.48700000000002"/>
    <n v="260"/>
    <n v="0.57192307692308586"/>
    <x v="1449"/>
  </r>
  <r>
    <s v="Multihop,NSFnet,20"/>
    <x v="1"/>
    <x v="0"/>
    <x v="0"/>
    <n v="260.56400000000002"/>
    <n v="260"/>
    <n v="0.21692307692308516"/>
    <x v="1450"/>
  </r>
  <r>
    <s v="Multihop,NSFnet,20"/>
    <x v="1"/>
    <x v="0"/>
    <x v="0"/>
    <n v="265.43599999999998"/>
    <n v="260"/>
    <n v="2.0907692307692223"/>
    <x v="1451"/>
  </r>
  <r>
    <s v="Multihop,NSFnet,20"/>
    <x v="1"/>
    <x v="0"/>
    <x v="0"/>
    <n v="264.541"/>
    <n v="260"/>
    <n v="1.7465384615384605"/>
    <x v="1452"/>
  </r>
  <r>
    <s v="Multihop,NSFnet,20"/>
    <x v="1"/>
    <x v="0"/>
    <x v="0"/>
    <n v="263.42500000000001"/>
    <n v="260"/>
    <n v="1.3173076923076965"/>
    <x v="1453"/>
  </r>
  <r>
    <s v="Multihop,NSFnet,20"/>
    <x v="1"/>
    <x v="0"/>
    <x v="0"/>
    <n v="264.19499999999999"/>
    <n v="260"/>
    <n v="1.6134615384615358"/>
    <x v="1454"/>
  </r>
  <r>
    <s v="Multihop,NSFnet,20"/>
    <x v="1"/>
    <x v="0"/>
    <x v="0"/>
    <n v="271.84500000000003"/>
    <n v="260"/>
    <n v="4.5557692307692408"/>
    <x v="1455"/>
  </r>
  <r>
    <s v="Multihop,NSFnet,20"/>
    <x v="1"/>
    <x v="0"/>
    <x v="0"/>
    <n v="260.40699999999998"/>
    <n v="260"/>
    <n v="0.15653846153845472"/>
    <x v="1456"/>
  </r>
  <r>
    <s v="Multihop,NSFnet,20"/>
    <x v="1"/>
    <x v="0"/>
    <x v="0"/>
    <n v="264.99799999999999"/>
    <n v="260"/>
    <n v="1.9223076923076887"/>
    <x v="1457"/>
  </r>
  <r>
    <s v="Multihop,NSFnet,20"/>
    <x v="1"/>
    <x v="0"/>
    <x v="0"/>
    <n v="267.63299999999998"/>
    <n v="260"/>
    <n v="2.9357692307692238"/>
    <x v="1458"/>
  </r>
  <r>
    <s v="Multihop,NSFnet,20"/>
    <x v="1"/>
    <x v="0"/>
    <x v="0"/>
    <n v="264.41000000000003"/>
    <n v="260"/>
    <n v="1.6961538461538559"/>
    <x v="1459"/>
  </r>
  <r>
    <s v="Multihop,NSFnet,20"/>
    <x v="1"/>
    <x v="0"/>
    <x v="0"/>
    <n v="267.80399999999997"/>
    <n v="260"/>
    <n v="3.0015384615384515"/>
    <x v="1460"/>
  </r>
  <r>
    <s v="Multihop,NSFnet,20"/>
    <x v="1"/>
    <x v="0"/>
    <x v="0"/>
    <n v="256.53100000000001"/>
    <n v="260"/>
    <n v="1.3342307692307669"/>
    <x v="1461"/>
  </r>
  <r>
    <s v="Multihop,NSFnet,20"/>
    <x v="1"/>
    <x v="0"/>
    <x v="0"/>
    <n v="265.553"/>
    <n v="260"/>
    <n v="2.1357692307692298"/>
    <x v="1425"/>
  </r>
  <r>
    <s v="Multihop,NSFnet,20"/>
    <x v="1"/>
    <x v="0"/>
    <x v="0"/>
    <n v="256.34100000000001"/>
    <n v="260"/>
    <n v="1.407307692307689"/>
    <x v="1462"/>
  </r>
  <r>
    <s v="Multihop,NSFnet,20"/>
    <x v="1"/>
    <x v="0"/>
    <x v="0"/>
    <n v="266.50900000000001"/>
    <n v="260"/>
    <n v="2.503461538461544"/>
    <x v="1463"/>
  </r>
  <r>
    <s v="Multihop,NSFnet,20"/>
    <x v="1"/>
    <x v="0"/>
    <x v="0"/>
    <n v="271.06400000000002"/>
    <n v="260"/>
    <n v="4.2553846153846235"/>
    <x v="1464"/>
  </r>
  <r>
    <s v="Multihop,NSFnet,20"/>
    <x v="1"/>
    <x v="0"/>
    <x v="0"/>
    <n v="268.85199999999998"/>
    <n v="260"/>
    <n v="3.4046153846153753"/>
    <x v="1465"/>
  </r>
  <r>
    <s v="Multihop,NSFnet,20"/>
    <x v="1"/>
    <x v="0"/>
    <x v="0"/>
    <n v="276.09300000000002"/>
    <n v="260"/>
    <n v="6.189615384615391"/>
    <x v="1466"/>
  </r>
  <r>
    <s v="Multihop,NSFnet,20"/>
    <x v="1"/>
    <x v="0"/>
    <x v="0"/>
    <n v="271.11"/>
    <n v="260"/>
    <n v="4.2730769230769283"/>
    <x v="1467"/>
  </r>
  <r>
    <s v="Multihop,NSFnet,20"/>
    <x v="1"/>
    <x v="0"/>
    <x v="0"/>
    <n v="263.18799999999999"/>
    <n v="260"/>
    <n v="1.2261538461538415"/>
    <x v="1468"/>
  </r>
  <r>
    <s v="Multihop,NSFnet,20"/>
    <x v="1"/>
    <x v="0"/>
    <x v="0"/>
    <n v="261.04899999999998"/>
    <n v="260"/>
    <n v="0.40346153846153004"/>
    <x v="1469"/>
  </r>
  <r>
    <s v="Multihop,NSFnet,20"/>
    <x v="1"/>
    <x v="0"/>
    <x v="0"/>
    <n v="265.70600000000002"/>
    <n v="260"/>
    <n v="2.1946153846153913"/>
    <x v="1470"/>
  </r>
  <r>
    <s v="Multihop,NSFnet,20"/>
    <x v="1"/>
    <x v="0"/>
    <x v="0"/>
    <n v="257.04899999999998"/>
    <n v="260"/>
    <n v="1.1350000000000084"/>
    <x v="1471"/>
  </r>
  <r>
    <s v="Multihop,NSFnet,20"/>
    <x v="1"/>
    <x v="0"/>
    <x v="0"/>
    <n v="262.83"/>
    <n v="260"/>
    <n v="1.0884615384615324"/>
    <x v="1472"/>
  </r>
  <r>
    <s v="Multihop,NSFnet,20"/>
    <x v="1"/>
    <x v="0"/>
    <x v="0"/>
    <n v="270.06400000000002"/>
    <n v="260"/>
    <n v="3.8707692307692385"/>
    <x v="1440"/>
  </r>
  <r>
    <s v="Multihop,NSFnet,20"/>
    <x v="1"/>
    <x v="0"/>
    <x v="0"/>
    <n v="266.69900000000001"/>
    <n v="260"/>
    <n v="2.5765384615384663"/>
    <x v="1473"/>
  </r>
  <r>
    <s v="Multihop,NSFnet,20"/>
    <x v="1"/>
    <x v="0"/>
    <x v="0"/>
    <n v="264.70600000000002"/>
    <n v="260"/>
    <n v="1.8100000000000067"/>
    <x v="1474"/>
  </r>
  <r>
    <s v="Multihop,NSFnet,20"/>
    <x v="1"/>
    <x v="0"/>
    <x v="0"/>
    <n v="277.947"/>
    <n v="260"/>
    <n v="6.9026923076923081"/>
    <x v="1475"/>
  </r>
  <r>
    <s v="Multihop,NSFnet,20"/>
    <x v="1"/>
    <x v="0"/>
    <x v="0"/>
    <n v="267.88400000000001"/>
    <n v="260"/>
    <n v="3.0323076923076981"/>
    <x v="1476"/>
  </r>
  <r>
    <s v="Multihop,NSFnet,20"/>
    <x v="1"/>
    <x v="0"/>
    <x v="0"/>
    <n v="266.58199999999999"/>
    <n v="260"/>
    <n v="2.5315384615384589"/>
    <x v="1477"/>
  </r>
  <r>
    <s v="Multihop,NSFnet,20"/>
    <x v="1"/>
    <x v="0"/>
    <x v="0"/>
    <n v="258.63299999999998"/>
    <n v="260"/>
    <n v="0.52576923076923798"/>
    <x v="1478"/>
  </r>
  <r>
    <s v="Multihop,NSFnet,20"/>
    <x v="1"/>
    <x v="0"/>
    <x v="0"/>
    <n v="262.83"/>
    <n v="260"/>
    <n v="1.0884615384615324"/>
    <x v="1472"/>
  </r>
  <r>
    <s v="Multihop,NSFnet,20"/>
    <x v="1"/>
    <x v="0"/>
    <x v="0"/>
    <n v="265.89600000000002"/>
    <n v="260"/>
    <n v="2.2676923076923137"/>
    <x v="1479"/>
  </r>
  <r>
    <s v="Multihop,NSFnet,20"/>
    <x v="1"/>
    <x v="0"/>
    <x v="0"/>
    <n v="268.92399999999998"/>
    <n v="260"/>
    <n v="3.4323076923076838"/>
    <x v="1480"/>
  </r>
  <r>
    <s v="Multihop,NSFnet,20"/>
    <x v="1"/>
    <x v="0"/>
    <x v="0"/>
    <n v="270.68"/>
    <n v="260"/>
    <n v="4.10769230769231"/>
    <x v="1481"/>
  </r>
  <r>
    <s v="Multihop,NSFnet,20"/>
    <x v="1"/>
    <x v="0"/>
    <x v="0"/>
    <n v="257.96899999999999"/>
    <n v="260"/>
    <n v="0.78115384615384842"/>
    <x v="1482"/>
  </r>
  <r>
    <s v="Multihop,NSFnet,20"/>
    <x v="1"/>
    <x v="0"/>
    <x v="0"/>
    <n v="262.29300000000001"/>
    <n v="260"/>
    <n v="0.88192307692307947"/>
    <x v="1483"/>
  </r>
  <r>
    <s v="Multihop,NSFnet,20"/>
    <x v="1"/>
    <x v="0"/>
    <x v="0"/>
    <n v="265.81200000000001"/>
    <n v="260"/>
    <n v="2.23538461538462"/>
    <x v="1484"/>
  </r>
  <r>
    <s v="Multihop,NSFnet,20"/>
    <x v="1"/>
    <x v="0"/>
    <x v="0"/>
    <n v="273.79399999999998"/>
    <n v="260"/>
    <n v="5.3053846153846091"/>
    <x v="1485"/>
  </r>
  <r>
    <s v="Multihop,NSFnet,20"/>
    <x v="1"/>
    <x v="0"/>
    <x v="0"/>
    <n v="265.48700000000002"/>
    <n v="260"/>
    <n v="2.1103846153846244"/>
    <x v="1486"/>
  </r>
  <r>
    <s v="Multihop,NSFnet,20"/>
    <x v="1"/>
    <x v="0"/>
    <x v="0"/>
    <n v="274.29000000000002"/>
    <n v="260"/>
    <n v="5.4961538461538542"/>
    <x v="1487"/>
  </r>
  <r>
    <s v="Multihop,NSFnet,20"/>
    <x v="1"/>
    <x v="0"/>
    <x v="0"/>
    <n v="262.334"/>
    <n v="260"/>
    <n v="0.8976923076923089"/>
    <x v="1488"/>
  </r>
  <r>
    <s v="Multihop,NSFnet,20"/>
    <x v="1"/>
    <x v="0"/>
    <x v="0"/>
    <n v="262.60399999999998"/>
    <n v="260"/>
    <n v="1.0015384615384557"/>
    <x v="1489"/>
  </r>
  <r>
    <s v="Multihop,NSFnet,20"/>
    <x v="1"/>
    <x v="0"/>
    <x v="0"/>
    <n v="263.56"/>
    <n v="260"/>
    <n v="1.3692307692307701"/>
    <x v="1490"/>
  </r>
  <r>
    <s v="Multihop,NSFnet,20"/>
    <x v="1"/>
    <x v="0"/>
    <x v="0"/>
    <n v="262.18799999999999"/>
    <n v="260"/>
    <n v="0.84153846153845691"/>
    <x v="1491"/>
  </r>
  <r>
    <s v="Multihop,NSFnet,20"/>
    <x v="1"/>
    <x v="0"/>
    <x v="0"/>
    <n v="264.42500000000001"/>
    <n v="260"/>
    <n v="1.7019230769230815"/>
    <x v="1492"/>
  </r>
  <r>
    <s v="Multihop,NSFnet,20"/>
    <x v="1"/>
    <x v="0"/>
    <x v="0"/>
    <n v="264.41399999999999"/>
    <n v="260"/>
    <n v="1.6976923076923027"/>
    <x v="1493"/>
  </r>
  <r>
    <s v="Multihop,NSFnet,20"/>
    <x v="1"/>
    <x v="0"/>
    <x v="0"/>
    <n v="264.62599999999998"/>
    <n v="260"/>
    <n v="1.7792307692307601"/>
    <x v="1494"/>
  </r>
  <r>
    <s v="Multihop,NSFnet,20"/>
    <x v="1"/>
    <x v="0"/>
    <x v="0"/>
    <n v="265.56"/>
    <n v="260"/>
    <n v="2.1384615384615393"/>
    <x v="1495"/>
  </r>
  <r>
    <s v="Multihop,NSFnet,20"/>
    <x v="1"/>
    <x v="0"/>
    <x v="0"/>
    <n v="262.90699999999998"/>
    <n v="260"/>
    <n v="1.1180769230769163"/>
    <x v="1496"/>
  </r>
  <r>
    <s v="Multihop,NSFnet,40"/>
    <x v="1"/>
    <x v="0"/>
    <x v="1"/>
    <n v="458.56799999999998"/>
    <n v="458"/>
    <n v="0.12401746724890472"/>
    <x v="1497"/>
  </r>
  <r>
    <s v="Multihop,NSFnet,40"/>
    <x v="1"/>
    <x v="0"/>
    <x v="1"/>
    <n v="464.88499999999999"/>
    <n v="458"/>
    <n v="1.5032751091703036"/>
    <x v="1498"/>
  </r>
  <r>
    <s v="Multihop,NSFnet,40"/>
    <x v="1"/>
    <x v="0"/>
    <x v="1"/>
    <n v="464.83"/>
    <n v="458"/>
    <n v="1.491266375545848"/>
    <x v="1499"/>
  </r>
  <r>
    <s v="Multihop,NSFnet,40"/>
    <x v="1"/>
    <x v="0"/>
    <x v="1"/>
    <n v="455.85"/>
    <n v="458"/>
    <n v="0.46943231441047534"/>
    <x v="1500"/>
  </r>
  <r>
    <s v="Multihop,NSFnet,40"/>
    <x v="1"/>
    <x v="0"/>
    <x v="1"/>
    <n v="470.86"/>
    <n v="458"/>
    <n v="2.8078602620087363"/>
    <x v="1501"/>
  </r>
  <r>
    <s v="Multihop,NSFnet,40"/>
    <x v="1"/>
    <x v="0"/>
    <x v="1"/>
    <n v="452.93599999999998"/>
    <n v="458"/>
    <n v="1.105676855895201"/>
    <x v="1502"/>
  </r>
  <r>
    <s v="Multihop,NSFnet,40"/>
    <x v="1"/>
    <x v="0"/>
    <x v="1"/>
    <n v="472.00599999999997"/>
    <n v="458"/>
    <n v="3.058078602620081"/>
    <x v="1503"/>
  </r>
  <r>
    <s v="Multihop,NSFnet,40"/>
    <x v="1"/>
    <x v="0"/>
    <x v="1"/>
    <n v="455.38299999999998"/>
    <n v="458"/>
    <n v="0.57139737991266792"/>
    <x v="1504"/>
  </r>
  <r>
    <s v="Multihop,NSFnet,40"/>
    <x v="1"/>
    <x v="0"/>
    <x v="1"/>
    <n v="455.31900000000002"/>
    <n v="458"/>
    <n v="0.58537117903929758"/>
    <x v="1505"/>
  </r>
  <r>
    <s v="Multihop,NSFnet,40"/>
    <x v="1"/>
    <x v="0"/>
    <x v="1"/>
    <n v="433.98"/>
    <n v="458"/>
    <n v="5.2445414847161533"/>
    <x v="1506"/>
  </r>
  <r>
    <s v="Multihop,NSFnet,40"/>
    <x v="1"/>
    <x v="0"/>
    <x v="1"/>
    <n v="469.78699999999998"/>
    <n v="458"/>
    <n v="2.5735807860261963"/>
    <x v="1507"/>
  </r>
  <r>
    <s v="Multihop,NSFnet,40"/>
    <x v="1"/>
    <x v="0"/>
    <x v="1"/>
    <n v="460.08800000000002"/>
    <n v="458"/>
    <n v="0.45589519650655513"/>
    <x v="1508"/>
  </r>
  <r>
    <s v="Multihop,NSFnet,40"/>
    <x v="1"/>
    <x v="0"/>
    <x v="1"/>
    <n v="453.35700000000003"/>
    <n v="458"/>
    <n v="1.0137554585152779"/>
    <x v="1509"/>
  </r>
  <r>
    <s v="Multihop,NSFnet,40"/>
    <x v="1"/>
    <x v="0"/>
    <x v="1"/>
    <n v="494.50599999999997"/>
    <n v="458"/>
    <n v="7.9707423580785957"/>
    <x v="1510"/>
  </r>
  <r>
    <s v="Multihop,NSFnet,40"/>
    <x v="1"/>
    <x v="0"/>
    <x v="1"/>
    <n v="454.67200000000003"/>
    <n v="458"/>
    <n v="0.72663755458514723"/>
    <x v="1511"/>
  </r>
  <r>
    <s v="Multihop,NSFnet,40"/>
    <x v="1"/>
    <x v="0"/>
    <x v="1"/>
    <n v="460.73899999999998"/>
    <n v="458"/>
    <n v="0.59803493449781131"/>
    <x v="1512"/>
  </r>
  <r>
    <s v="Multihop,NSFnet,40"/>
    <x v="1"/>
    <x v="0"/>
    <x v="1"/>
    <n v="452.58699999999999"/>
    <n v="458"/>
    <n v="1.1818777292576443"/>
    <x v="1513"/>
  </r>
  <r>
    <s v="Multihop,NSFnet,40"/>
    <x v="1"/>
    <x v="0"/>
    <x v="1"/>
    <n v="473.87200000000001"/>
    <n v="458"/>
    <n v="3.4655021834061168"/>
    <x v="1514"/>
  </r>
  <r>
    <s v="Multihop,NSFnet,40"/>
    <x v="1"/>
    <x v="0"/>
    <x v="1"/>
    <n v="447.80399999999997"/>
    <n v="458"/>
    <n v="2.2262008733624512"/>
    <x v="1515"/>
  </r>
  <r>
    <s v="Multihop,NSFnet,40"/>
    <x v="1"/>
    <x v="0"/>
    <x v="1"/>
    <n v="468.43"/>
    <n v="458"/>
    <n v="2.2772925764192156"/>
    <x v="1516"/>
  </r>
  <r>
    <s v="Multihop,NSFnet,40"/>
    <x v="1"/>
    <x v="0"/>
    <x v="1"/>
    <n v="471.49200000000002"/>
    <n v="458"/>
    <n v="2.9458515283842837"/>
    <x v="1517"/>
  </r>
  <r>
    <s v="Multihop,NSFnet,40"/>
    <x v="1"/>
    <x v="0"/>
    <x v="1"/>
    <n v="456.29199999999997"/>
    <n v="458"/>
    <n v="0.37292576419214557"/>
    <x v="1518"/>
  </r>
  <r>
    <s v="Multihop,NSFnet,40"/>
    <x v="1"/>
    <x v="0"/>
    <x v="1"/>
    <n v="448.85"/>
    <n v="458"/>
    <n v="1.9978165938864578"/>
    <x v="1519"/>
  </r>
  <r>
    <s v="Multihop,NSFnet,40"/>
    <x v="1"/>
    <x v="0"/>
    <x v="1"/>
    <n v="454.28800000000001"/>
    <n v="458"/>
    <n v="0.8104803493449757"/>
    <x v="1520"/>
  </r>
  <r>
    <s v="Multihop,NSFnet,40"/>
    <x v="1"/>
    <x v="0"/>
    <x v="1"/>
    <n v="476.22899999999998"/>
    <n v="458"/>
    <n v="3.9801310043668088"/>
    <x v="1521"/>
  </r>
  <r>
    <s v="Multihop,NSFnet,40"/>
    <x v="1"/>
    <x v="0"/>
    <x v="1"/>
    <n v="436.791"/>
    <n v="458"/>
    <n v="4.630786026200874"/>
    <x v="1522"/>
  </r>
  <r>
    <s v="Multihop,NSFnet,40"/>
    <x v="1"/>
    <x v="0"/>
    <x v="1"/>
    <n v="478.7"/>
    <n v="458"/>
    <n v="4.5196506550218309"/>
    <x v="1523"/>
  </r>
  <r>
    <s v="Multihop,NSFnet,40"/>
    <x v="1"/>
    <x v="0"/>
    <x v="1"/>
    <n v="457.49299999999999"/>
    <n v="458"/>
    <n v="0.11069868995633297"/>
    <x v="1524"/>
  </r>
  <r>
    <s v="Multihop,NSFnet,40"/>
    <x v="1"/>
    <x v="0"/>
    <x v="1"/>
    <n v="460.88499999999999"/>
    <n v="458"/>
    <n v="0.62991266375545651"/>
    <x v="1525"/>
  </r>
  <r>
    <s v="Multihop,NSFnet,40"/>
    <x v="1"/>
    <x v="0"/>
    <x v="1"/>
    <n v="456.923"/>
    <n v="458"/>
    <n v="0.23515283842794718"/>
    <x v="1526"/>
  </r>
  <r>
    <s v="Multihop,NSFnet,40"/>
    <x v="1"/>
    <x v="0"/>
    <x v="1"/>
    <n v="463.221"/>
    <n v="458"/>
    <n v="1.1399563318777302"/>
    <x v="1527"/>
  </r>
  <r>
    <s v="Multihop,NSFnet,40"/>
    <x v="1"/>
    <x v="0"/>
    <x v="1"/>
    <n v="462.46300000000002"/>
    <n v="458"/>
    <n v="0.97445414847162048"/>
    <x v="1528"/>
  </r>
  <r>
    <s v="Multihop,NSFnet,40"/>
    <x v="1"/>
    <x v="0"/>
    <x v="1"/>
    <n v="457.44"/>
    <n v="458"/>
    <n v="0.12227074235807911"/>
    <x v="1529"/>
  </r>
  <r>
    <s v="Multihop,NSFnet,40"/>
    <x v="1"/>
    <x v="0"/>
    <x v="1"/>
    <n v="468.86"/>
    <n v="458"/>
    <n v="2.371179039301313"/>
    <x v="1530"/>
  </r>
  <r>
    <s v="Multihop,NSFnet,40"/>
    <x v="1"/>
    <x v="0"/>
    <x v="1"/>
    <n v="470.34100000000001"/>
    <n v="458"/>
    <n v="2.6945414847161588"/>
    <x v="1531"/>
  </r>
  <r>
    <s v="Multihop,NSFnet,40"/>
    <x v="1"/>
    <x v="0"/>
    <x v="1"/>
    <n v="463.30099999999999"/>
    <n v="458"/>
    <n v="1.1574235807860236"/>
    <x v="1532"/>
  </r>
  <r>
    <s v="Multihop,NSFnet,40"/>
    <x v="1"/>
    <x v="0"/>
    <x v="1"/>
    <n v="461.28800000000001"/>
    <n v="458"/>
    <n v="0.71790393013100673"/>
    <x v="1533"/>
  </r>
  <r>
    <s v="Multihop,NSFnet,40"/>
    <x v="1"/>
    <x v="0"/>
    <x v="1"/>
    <n v="474.61200000000002"/>
    <n v="458"/>
    <n v="3.6270742358078651"/>
    <x v="1534"/>
  </r>
  <r>
    <s v="Multihop,NSFnet,40"/>
    <x v="1"/>
    <x v="0"/>
    <x v="1"/>
    <n v="476.36700000000002"/>
    <n v="458"/>
    <n v="4.010262008733628"/>
    <x v="1535"/>
  </r>
  <r>
    <s v="Multihop,NSFnet,40"/>
    <x v="1"/>
    <x v="0"/>
    <x v="1"/>
    <n v="436.75"/>
    <n v="458"/>
    <n v="4.639737991266375"/>
    <x v="1536"/>
  </r>
  <r>
    <s v="Multihop,NSFnet,40"/>
    <x v="1"/>
    <x v="0"/>
    <x v="1"/>
    <n v="455.64100000000002"/>
    <n v="458"/>
    <n v="0.51506550218340186"/>
    <x v="1537"/>
  </r>
  <r>
    <s v="Multihop,NSFnet,40"/>
    <x v="1"/>
    <x v="0"/>
    <x v="1"/>
    <n v="465.48500000000001"/>
    <n v="458"/>
    <n v="1.6342794759825356"/>
    <x v="1538"/>
  </r>
  <r>
    <s v="Multihop,NSFnet,40"/>
    <x v="1"/>
    <x v="0"/>
    <x v="1"/>
    <n v="466.113"/>
    <n v="458"/>
    <n v="1.7713973799126637"/>
    <x v="1539"/>
  </r>
  <r>
    <s v="Multihop,NSFnet,40"/>
    <x v="1"/>
    <x v="0"/>
    <x v="1"/>
    <n v="445.32600000000002"/>
    <n v="458"/>
    <n v="2.7672489082969385"/>
    <x v="1540"/>
  </r>
  <r>
    <s v="Multihop,NSFnet,40"/>
    <x v="1"/>
    <x v="0"/>
    <x v="1"/>
    <n v="464.32499999999999"/>
    <n v="458"/>
    <n v="1.3810043668122245"/>
    <x v="1541"/>
  </r>
  <r>
    <s v="Multihop,NSFnet,40"/>
    <x v="1"/>
    <x v="0"/>
    <x v="1"/>
    <n v="485.488"/>
    <n v="458"/>
    <n v="6.0017467248908298"/>
    <x v="1542"/>
  </r>
  <r>
    <s v="Multihop,NSFnet,40"/>
    <x v="1"/>
    <x v="0"/>
    <x v="1"/>
    <n v="463.97300000000001"/>
    <n v="458"/>
    <n v="1.3041484716157232"/>
    <x v="1543"/>
  </r>
  <r>
    <s v="Multihop,NSFnet,40"/>
    <x v="1"/>
    <x v="0"/>
    <x v="1"/>
    <n v="441.92500000000001"/>
    <n v="458"/>
    <n v="3.5098253275109146"/>
    <x v="1544"/>
  </r>
  <r>
    <s v="Multihop,NSFnet,40"/>
    <x v="1"/>
    <x v="0"/>
    <x v="1"/>
    <n v="443.29700000000003"/>
    <n v="458"/>
    <n v="3.2102620087336193"/>
    <x v="1545"/>
  </r>
  <r>
    <s v="Multihop,NSFnet,40"/>
    <x v="1"/>
    <x v="0"/>
    <x v="1"/>
    <n v="457.71899999999999"/>
    <n v="458"/>
    <n v="6.1353711790394304E-2"/>
    <x v="1546"/>
  </r>
  <r>
    <s v="Multihop,NSFnet,40"/>
    <x v="1"/>
    <x v="0"/>
    <x v="1"/>
    <n v="452.22899999999998"/>
    <n v="458"/>
    <n v="1.2600436681222742"/>
    <x v="1547"/>
  </r>
  <r>
    <s v="Multihop,NSFnet,40"/>
    <x v="1"/>
    <x v="0"/>
    <x v="1"/>
    <n v="465.55099999999999"/>
    <n v="458"/>
    <n v="1.6486899563318751"/>
    <x v="1548"/>
  </r>
  <r>
    <s v="Multihop,NSFnet,40"/>
    <x v="1"/>
    <x v="0"/>
    <x v="1"/>
    <n v="463.66"/>
    <n v="458"/>
    <n v="1.2358078602620144"/>
    <x v="1549"/>
  </r>
  <r>
    <s v="Multihop,NSFnet,40"/>
    <x v="1"/>
    <x v="0"/>
    <x v="1"/>
    <n v="463.488"/>
    <n v="458"/>
    <n v="1.1982532751091701"/>
    <x v="1550"/>
  </r>
  <r>
    <s v="Multihop,NSFnet,40"/>
    <x v="1"/>
    <x v="0"/>
    <x v="1"/>
    <n v="466.86"/>
    <n v="458"/>
    <n v="1.9344978165938893"/>
    <x v="1551"/>
  </r>
  <r>
    <s v="Multihop,NSFnet,40"/>
    <x v="1"/>
    <x v="0"/>
    <x v="1"/>
    <n v="457.846"/>
    <n v="458"/>
    <n v="3.3624454148470824E-2"/>
    <x v="1552"/>
  </r>
  <r>
    <s v="Multihop,NSFnet,40"/>
    <x v="1"/>
    <x v="0"/>
    <x v="1"/>
    <n v="468.32"/>
    <n v="458"/>
    <n v="2.2532751091703043"/>
    <x v="1553"/>
  </r>
  <r>
    <s v="Multihop,NSFnet,40"/>
    <x v="1"/>
    <x v="0"/>
    <x v="1"/>
    <n v="487.82400000000001"/>
    <n v="458"/>
    <n v="6.5117903930131034"/>
    <x v="1554"/>
  </r>
  <r>
    <s v="Multihop,NSFnet,40"/>
    <x v="1"/>
    <x v="0"/>
    <x v="1"/>
    <n v="466.19799999999998"/>
    <n v="458"/>
    <n v="1.7899563318777247"/>
    <x v="1555"/>
  </r>
  <r>
    <s v="Multihop,NSFnet,40"/>
    <x v="1"/>
    <x v="0"/>
    <x v="1"/>
    <n v="470.51799999999997"/>
    <n v="458"/>
    <n v="2.7331877729257581"/>
    <x v="1556"/>
  </r>
  <r>
    <s v="Multihop,NSFnet,40"/>
    <x v="1"/>
    <x v="0"/>
    <x v="1"/>
    <n v="459.45499999999998"/>
    <n v="458"/>
    <n v="0.3176855895196472"/>
    <x v="1557"/>
  </r>
  <r>
    <s v="Multihop,NSFnet,40"/>
    <x v="1"/>
    <x v="0"/>
    <x v="1"/>
    <n v="451.44499999999999"/>
    <n v="458"/>
    <n v="1.4312227074235824"/>
    <x v="1558"/>
  </r>
  <r>
    <s v="Multihop,NSFnet,40"/>
    <x v="1"/>
    <x v="0"/>
    <x v="1"/>
    <n v="453.28199999999998"/>
    <n v="458"/>
    <n v="1.0301310043668161"/>
    <x v="1559"/>
  </r>
  <r>
    <s v="Multihop,NSFnet,40"/>
    <x v="1"/>
    <x v="0"/>
    <x v="1"/>
    <n v="468.56"/>
    <n v="458"/>
    <n v="2.305676855895197"/>
    <x v="1560"/>
  </r>
  <r>
    <s v="Multihop,NSFnet,40"/>
    <x v="1"/>
    <x v="0"/>
    <x v="1"/>
    <n v="473.435"/>
    <n v="458"/>
    <n v="3.3700873362445418"/>
    <x v="1561"/>
  </r>
  <r>
    <s v="Multihop,NSFnet,40"/>
    <x v="1"/>
    <x v="0"/>
    <x v="1"/>
    <n v="462.61599999999999"/>
    <n v="458"/>
    <n v="1.0078602620087305"/>
    <x v="1562"/>
  </r>
  <r>
    <s v="Multihop,NSFnet,40"/>
    <x v="1"/>
    <x v="0"/>
    <x v="1"/>
    <n v="457.99200000000002"/>
    <n v="458"/>
    <n v="1.7467248908256234E-3"/>
    <x v="1563"/>
  </r>
  <r>
    <s v="Multihop,NSFnet,40"/>
    <x v="1"/>
    <x v="0"/>
    <x v="1"/>
    <n v="453.01499999999999"/>
    <n v="458"/>
    <n v="1.0884279475982563"/>
    <x v="1564"/>
  </r>
  <r>
    <s v="Multihop,NSFnet,40"/>
    <x v="1"/>
    <x v="0"/>
    <x v="1"/>
    <n v="447.95"/>
    <n v="458"/>
    <n v="2.1943231441048061"/>
    <x v="1565"/>
  </r>
  <r>
    <s v="Multihop,NSFnet,40"/>
    <x v="1"/>
    <x v="0"/>
    <x v="1"/>
    <n v="470.19200000000001"/>
    <n v="458"/>
    <n v="2.6620087336244556"/>
    <x v="1566"/>
  </r>
  <r>
    <s v="Multihop,NSFnet,40"/>
    <x v="1"/>
    <x v="0"/>
    <x v="1"/>
    <n v="469.37799999999999"/>
    <n v="458"/>
    <n v="2.4842794759825297"/>
    <x v="1567"/>
  </r>
  <r>
    <s v="Multihop,NSFnet,40"/>
    <x v="1"/>
    <x v="0"/>
    <x v="1"/>
    <n v="460.56299999999999"/>
    <n v="458"/>
    <n v="0.55960698689956079"/>
    <x v="1568"/>
  </r>
  <r>
    <s v="Multihop,NSFnet,40"/>
    <x v="1"/>
    <x v="0"/>
    <x v="1"/>
    <n v="457.08300000000003"/>
    <n v="458"/>
    <n v="0.20021834061134786"/>
    <x v="1569"/>
  </r>
  <r>
    <s v="Multihop,NSFnet,40"/>
    <x v="1"/>
    <x v="0"/>
    <x v="1"/>
    <n v="465.27600000000001"/>
    <n v="458"/>
    <n v="1.5886462882096091"/>
    <x v="1570"/>
  </r>
  <r>
    <s v="Multihop,NSFnet,40"/>
    <x v="1"/>
    <x v="0"/>
    <x v="1"/>
    <n v="453.08"/>
    <n v="458"/>
    <n v="1.0742358078602654"/>
    <x v="1571"/>
  </r>
  <r>
    <s v="Multihop,NSFnet,40"/>
    <x v="1"/>
    <x v="0"/>
    <x v="1"/>
    <n v="476.45100000000002"/>
    <n v="458"/>
    <n v="4.0286026200873408"/>
    <x v="1572"/>
  </r>
  <r>
    <s v="Multihop,NSFnet,40"/>
    <x v="1"/>
    <x v="0"/>
    <x v="1"/>
    <n v="467.73599999999999"/>
    <n v="458"/>
    <n v="2.1257641921397359"/>
    <x v="1573"/>
  </r>
  <r>
    <s v="Multihop,NSFnet,40"/>
    <x v="1"/>
    <x v="0"/>
    <x v="1"/>
    <n v="463.80200000000002"/>
    <n v="458"/>
    <n v="1.2668122270742406"/>
    <x v="1574"/>
  </r>
  <r>
    <s v="Multihop,NSFnet,40"/>
    <x v="1"/>
    <x v="0"/>
    <x v="1"/>
    <n v="435.50299999999999"/>
    <n v="458"/>
    <n v="4.9120087336244573"/>
    <x v="1575"/>
  </r>
  <r>
    <s v="Multihop,NSFnet,40"/>
    <x v="1"/>
    <x v="0"/>
    <x v="1"/>
    <n v="441.43200000000002"/>
    <n v="458"/>
    <n v="3.6174672489082931"/>
    <x v="1576"/>
  </r>
  <r>
    <s v="Multihop,NSFnet,40"/>
    <x v="1"/>
    <x v="0"/>
    <x v="1"/>
    <n v="447.86900000000003"/>
    <n v="458"/>
    <n v="2.2120087336244478"/>
    <x v="1577"/>
  </r>
  <r>
    <s v="Multihop,NSFnet,40"/>
    <x v="1"/>
    <x v="0"/>
    <x v="1"/>
    <n v="480.11099999999999"/>
    <n v="458"/>
    <n v="4.8277292576419191"/>
    <x v="1578"/>
  </r>
  <r>
    <s v="Multihop,NSFnet,40"/>
    <x v="1"/>
    <x v="0"/>
    <x v="1"/>
    <n v="451.279"/>
    <n v="458"/>
    <n v="1.4674672489082976"/>
    <x v="1579"/>
  </r>
  <r>
    <s v="Multihop,NSFnet,40"/>
    <x v="1"/>
    <x v="0"/>
    <x v="1"/>
    <n v="466.017"/>
    <n v="458"/>
    <n v="1.7504366812227063"/>
    <x v="1580"/>
  </r>
  <r>
    <s v="Multihop,NSFnet,40"/>
    <x v="1"/>
    <x v="0"/>
    <x v="1"/>
    <n v="437.81099999999998"/>
    <n v="458"/>
    <n v="4.4080786026200922"/>
    <x v="1581"/>
  </r>
  <r>
    <s v="Multihop,NSFnet,40"/>
    <x v="1"/>
    <x v="0"/>
    <x v="1"/>
    <n v="458.35199999999998"/>
    <n v="458"/>
    <n v="7.6855895196501184E-2"/>
    <x v="1582"/>
  </r>
  <r>
    <s v="Multihop,NSFnet,40"/>
    <x v="1"/>
    <x v="0"/>
    <x v="1"/>
    <n v="453.72500000000002"/>
    <n v="458"/>
    <n v="0.93340611353711289"/>
    <x v="1583"/>
  </r>
  <r>
    <s v="Multihop,NSFnet,40"/>
    <x v="1"/>
    <x v="0"/>
    <x v="1"/>
    <n v="451.18299999999999"/>
    <n v="458"/>
    <n v="1.4884279475982549"/>
    <x v="1584"/>
  </r>
  <r>
    <s v="Multihop,NSFnet,40"/>
    <x v="1"/>
    <x v="0"/>
    <x v="1"/>
    <n v="469.697"/>
    <n v="458"/>
    <n v="2.5539301310043676"/>
    <x v="1585"/>
  </r>
  <r>
    <s v="Multihop,NSFnet,40"/>
    <x v="1"/>
    <x v="0"/>
    <x v="1"/>
    <n v="436.70299999999997"/>
    <n v="458"/>
    <n v="4.6500000000000057"/>
    <x v="1586"/>
  </r>
  <r>
    <s v="Multihop,NSFnet,40"/>
    <x v="1"/>
    <x v="0"/>
    <x v="1"/>
    <n v="450.601"/>
    <n v="458"/>
    <n v="1.6155021834061138"/>
    <x v="1587"/>
  </r>
  <r>
    <s v="Multihop,NSFnet,40"/>
    <x v="1"/>
    <x v="0"/>
    <x v="1"/>
    <n v="457.79599999999999"/>
    <n v="458"/>
    <n v="4.4541484716158888E-2"/>
    <x v="1588"/>
  </r>
  <r>
    <s v="Multihop,NSFnet,40"/>
    <x v="1"/>
    <x v="0"/>
    <x v="1"/>
    <n v="471.423"/>
    <n v="458"/>
    <n v="2.9307860262008738"/>
    <x v="1589"/>
  </r>
  <r>
    <s v="Multihop,NSFnet,40"/>
    <x v="1"/>
    <x v="0"/>
    <x v="1"/>
    <n v="462.88499999999999"/>
    <n v="458"/>
    <n v="1.0665938864628801"/>
    <x v="1590"/>
  </r>
  <r>
    <s v="Multihop,NSFnet,40"/>
    <x v="1"/>
    <x v="0"/>
    <x v="1"/>
    <n v="471.72899999999998"/>
    <n v="458"/>
    <n v="2.9975982532751062"/>
    <x v="1591"/>
  </r>
  <r>
    <s v="Multihop,NSFnet,40"/>
    <x v="1"/>
    <x v="0"/>
    <x v="1"/>
    <n v="450.02800000000002"/>
    <n v="458"/>
    <n v="1.7406113537117862"/>
    <x v="1592"/>
  </r>
  <r>
    <s v="Multihop,NSFnet,40"/>
    <x v="1"/>
    <x v="0"/>
    <x v="1"/>
    <n v="462.15499999999997"/>
    <n v="458"/>
    <n v="0.90720524017466664"/>
    <x v="1593"/>
  </r>
  <r>
    <s v="Multihop,NSFnet,40"/>
    <x v="1"/>
    <x v="0"/>
    <x v="1"/>
    <n v="445.83699999999999"/>
    <n v="458"/>
    <n v="2.6556768558951989"/>
    <x v="1594"/>
  </r>
  <r>
    <s v="Multihop,NSFnet,40"/>
    <x v="1"/>
    <x v="0"/>
    <x v="1"/>
    <n v="485.96600000000001"/>
    <n v="458"/>
    <n v="6.1061135371179054"/>
    <x v="1595"/>
  </r>
  <r>
    <s v="Multihop,NSFnet,40"/>
    <x v="1"/>
    <x v="0"/>
    <x v="1"/>
    <n v="451.58600000000001"/>
    <n v="458"/>
    <n v="1.4004366812227047"/>
    <x v="1596"/>
  </r>
  <r>
    <s v="Multihop,NSFnet,60"/>
    <x v="1"/>
    <x v="0"/>
    <x v="2"/>
    <n v="669.13"/>
    <n v="670"/>
    <n v="0.12985074626865739"/>
    <x v="1597"/>
  </r>
  <r>
    <s v="Multihop,NSFnet,60"/>
    <x v="1"/>
    <x v="0"/>
    <x v="2"/>
    <n v="647.33399999999995"/>
    <n v="670"/>
    <n v="3.3829850746268737"/>
    <x v="1598"/>
  </r>
  <r>
    <s v="Multihop,NSFnet,60"/>
    <x v="1"/>
    <x v="0"/>
    <x v="2"/>
    <n v="675.827"/>
    <n v="670"/>
    <n v="0.86970149253731321"/>
    <x v="1599"/>
  </r>
  <r>
    <s v="Multihop,NSFnet,60"/>
    <x v="1"/>
    <x v="0"/>
    <x v="2"/>
    <n v="666.62300000000005"/>
    <n v="670"/>
    <n v="0.50402985074626161"/>
    <x v="1600"/>
  </r>
  <r>
    <s v="Multihop,NSFnet,60"/>
    <x v="1"/>
    <x v="0"/>
    <x v="2"/>
    <n v="695.13400000000001"/>
    <n v="670"/>
    <n v="3.7513432835820919"/>
    <x v="1601"/>
  </r>
  <r>
    <s v="Multihop,NSFnet,60"/>
    <x v="1"/>
    <x v="0"/>
    <x v="2"/>
    <n v="658.91099999999994"/>
    <n v="670"/>
    <n v="1.65507462686568"/>
    <x v="1602"/>
  </r>
  <r>
    <s v="Multihop,NSFnet,60"/>
    <x v="1"/>
    <x v="0"/>
    <x v="2"/>
    <n v="674.88699999999994"/>
    <n v="670"/>
    <n v="0.72940298507461854"/>
    <x v="1603"/>
  </r>
  <r>
    <s v="Multihop,NSFnet,60"/>
    <x v="1"/>
    <x v="0"/>
    <x v="2"/>
    <n v="678.95500000000004"/>
    <n v="670"/>
    <n v="1.3365671641791106"/>
    <x v="1604"/>
  </r>
  <r>
    <s v="Multihop,NSFnet,60"/>
    <x v="1"/>
    <x v="0"/>
    <x v="2"/>
    <n v="649.75"/>
    <n v="670"/>
    <n v="3.0223880597014925"/>
    <x v="1605"/>
  </r>
  <r>
    <s v="Multihop,NSFnet,60"/>
    <x v="1"/>
    <x v="0"/>
    <x v="2"/>
    <n v="678.66"/>
    <n v="670"/>
    <n v="1.2925373134328311"/>
    <x v="1606"/>
  </r>
  <r>
    <s v="Multihop,NSFnet,60"/>
    <x v="1"/>
    <x v="0"/>
    <x v="2"/>
    <n v="660.74599999999998"/>
    <n v="670"/>
    <n v="1.3811940298507492"/>
    <x v="1607"/>
  </r>
  <r>
    <s v="Multihop,NSFnet,60"/>
    <x v="1"/>
    <x v="0"/>
    <x v="2"/>
    <n v="663.25"/>
    <n v="670"/>
    <n v="1.0074626865671641"/>
    <x v="1608"/>
  </r>
  <r>
    <s v="Multihop,NSFnet,60"/>
    <x v="1"/>
    <x v="0"/>
    <x v="2"/>
    <n v="627.83199999999999"/>
    <n v="670"/>
    <n v="6.2937313432835831"/>
    <x v="1609"/>
  </r>
  <r>
    <s v="Multihop,NSFnet,60"/>
    <x v="1"/>
    <x v="0"/>
    <x v="2"/>
    <n v="671.39700000000005"/>
    <n v="670"/>
    <n v="0.20850746268657436"/>
    <x v="1610"/>
  </r>
  <r>
    <s v="Multihop,NSFnet,60"/>
    <x v="1"/>
    <x v="0"/>
    <x v="2"/>
    <n v="613.55899999999997"/>
    <n v="670"/>
    <n v="8.4240298507462725"/>
    <x v="1611"/>
  </r>
  <r>
    <s v="Multihop,NSFnet,60"/>
    <x v="1"/>
    <x v="0"/>
    <x v="2"/>
    <n v="670.048"/>
    <n v="670"/>
    <n v="7.1641791044778835E-3"/>
    <x v="1612"/>
  </r>
  <r>
    <s v="Multihop,NSFnet,60"/>
    <x v="1"/>
    <x v="0"/>
    <x v="2"/>
    <n v="656.36699999999996"/>
    <n v="670"/>
    <n v="2.034776119402991"/>
    <x v="1613"/>
  </r>
  <r>
    <s v="Multihop,NSFnet,60"/>
    <x v="1"/>
    <x v="0"/>
    <x v="2"/>
    <n v="667.53800000000001"/>
    <n v="670"/>
    <n v="0.36746268656716252"/>
    <x v="1614"/>
  </r>
  <r>
    <s v="Multihop,NSFnet,60"/>
    <x v="1"/>
    <x v="0"/>
    <x v="2"/>
    <n v="590.84199999999998"/>
    <n v="670"/>
    <n v="11.814626865671645"/>
    <x v="1615"/>
  </r>
  <r>
    <s v="Multihop,NSFnet,60"/>
    <x v="1"/>
    <x v="0"/>
    <x v="2"/>
    <n v="640.947"/>
    <n v="670"/>
    <n v="4.3362686567164177"/>
    <x v="1616"/>
  </r>
  <r>
    <s v="Multihop,NSFnet,60"/>
    <x v="1"/>
    <x v="0"/>
    <x v="2"/>
    <n v="661.57500000000005"/>
    <n v="670"/>
    <n v="1.2574626865671574"/>
    <x v="1617"/>
  </r>
  <r>
    <s v="Multihop,NSFnet,60"/>
    <x v="1"/>
    <x v="0"/>
    <x v="2"/>
    <n v="649.25800000000004"/>
    <n v="670"/>
    <n v="3.0958208955223823"/>
    <x v="1618"/>
  </r>
  <r>
    <s v="Multihop,NSFnet,60"/>
    <x v="1"/>
    <x v="0"/>
    <x v="2"/>
    <n v="646.40800000000002"/>
    <n v="670"/>
    <n v="3.5211940298507436"/>
    <x v="1619"/>
  </r>
  <r>
    <s v="Multihop,NSFnet,60"/>
    <x v="1"/>
    <x v="0"/>
    <x v="2"/>
    <n v="658.97500000000002"/>
    <n v="670"/>
    <n v="1.6455223880596983"/>
    <x v="1620"/>
  </r>
  <r>
    <s v="Multihop,NSFnet,60"/>
    <x v="1"/>
    <x v="0"/>
    <x v="2"/>
    <n v="675.68799999999999"/>
    <n v="670"/>
    <n v="0.8489552238805953"/>
    <x v="1621"/>
  </r>
  <r>
    <s v="Multihop,NSFnet,60"/>
    <x v="1"/>
    <x v="0"/>
    <x v="2"/>
    <n v="676.98699999999997"/>
    <n v="670"/>
    <n v="1.0428358208955173"/>
    <x v="1622"/>
  </r>
  <r>
    <s v="Multihop,NSFnet,60"/>
    <x v="1"/>
    <x v="0"/>
    <x v="2"/>
    <n v="665.83900000000006"/>
    <n v="670"/>
    <n v="0.62104477611939468"/>
    <x v="1623"/>
  </r>
  <r>
    <s v="Multihop,NSFnet,60"/>
    <x v="1"/>
    <x v="0"/>
    <x v="2"/>
    <n v="660.54200000000003"/>
    <n v="670"/>
    <n v="1.4116417910447716"/>
    <x v="1624"/>
  </r>
  <r>
    <s v="Multihop,NSFnet,60"/>
    <x v="1"/>
    <x v="0"/>
    <x v="2"/>
    <n v="634.04300000000001"/>
    <n v="670"/>
    <n v="5.366716417910447"/>
    <x v="1625"/>
  </r>
  <r>
    <s v="Multihop,NSFnet,60"/>
    <x v="1"/>
    <x v="0"/>
    <x v="2"/>
    <n v="667.76900000000001"/>
    <n v="670"/>
    <n v="0.33298507462686483"/>
    <x v="1626"/>
  </r>
  <r>
    <s v="Multihop,NSFnet,60"/>
    <x v="1"/>
    <x v="0"/>
    <x v="2"/>
    <n v="695.41300000000001"/>
    <n v="670"/>
    <n v="3.7929850746268672"/>
    <x v="1627"/>
  </r>
  <r>
    <s v="Multihop,NSFnet,60"/>
    <x v="1"/>
    <x v="0"/>
    <x v="2"/>
    <n v="648.23199999999997"/>
    <n v="670"/>
    <n v="3.2489552238806017"/>
    <x v="1628"/>
  </r>
  <r>
    <s v="Multihop,NSFnet,60"/>
    <x v="1"/>
    <x v="0"/>
    <x v="2"/>
    <n v="645.72199999999998"/>
    <n v="670"/>
    <n v="3.6235820895522415"/>
    <x v="1629"/>
  </r>
  <r>
    <s v="Multihop,NSFnet,60"/>
    <x v="1"/>
    <x v="0"/>
    <x v="2"/>
    <n v="650.93600000000004"/>
    <n v="670"/>
    <n v="2.8453731343283528"/>
    <x v="1630"/>
  </r>
  <r>
    <s v="Multihop,NSFnet,60"/>
    <x v="1"/>
    <x v="0"/>
    <x v="2"/>
    <n v="704.3"/>
    <n v="670"/>
    <n v="5.1194029850746201"/>
    <x v="1631"/>
  </r>
  <r>
    <s v="Multihop,NSFnet,60"/>
    <x v="1"/>
    <x v="0"/>
    <x v="2"/>
    <n v="628.32899999999995"/>
    <n v="670"/>
    <n v="6.2195522388059779"/>
    <x v="1632"/>
  </r>
  <r>
    <s v="Multihop,NSFnet,60"/>
    <x v="1"/>
    <x v="0"/>
    <x v="2"/>
    <n v="625.58699999999999"/>
    <n v="670"/>
    <n v="6.6288059701492559"/>
    <x v="1633"/>
  </r>
  <r>
    <s v="Multihop,NSFnet,60"/>
    <x v="1"/>
    <x v="0"/>
    <x v="2"/>
    <n v="644.51499999999999"/>
    <n v="670"/>
    <n v="3.8037313432835838"/>
    <x v="1634"/>
  </r>
  <r>
    <s v="Multihop,NSFnet,60"/>
    <x v="1"/>
    <x v="0"/>
    <x v="2"/>
    <n v="639.61699999999996"/>
    <n v="670"/>
    <n v="4.5347761194029914"/>
    <x v="1635"/>
  </r>
  <r>
    <s v="Multihop,NSFnet,60"/>
    <x v="1"/>
    <x v="0"/>
    <x v="2"/>
    <n v="633.73500000000001"/>
    <n v="670"/>
    <n v="5.4126865671641777"/>
    <x v="1636"/>
  </r>
  <r>
    <s v="Multihop,NSFnet,60"/>
    <x v="1"/>
    <x v="0"/>
    <x v="2"/>
    <n v="665.93899999999996"/>
    <n v="670"/>
    <n v="0.60611940298507994"/>
    <x v="1637"/>
  </r>
  <r>
    <s v="Multihop,NSFnet,60"/>
    <x v="1"/>
    <x v="0"/>
    <x v="2"/>
    <n v="631.85599999999999"/>
    <n v="670"/>
    <n v="5.6931343283582097"/>
    <x v="1638"/>
  </r>
  <r>
    <s v="Multihop,NSFnet,60"/>
    <x v="1"/>
    <x v="0"/>
    <x v="2"/>
    <n v="653.91899999999998"/>
    <n v="670"/>
    <n v="2.400149253731346"/>
    <x v="1639"/>
  </r>
  <r>
    <s v="Multihop,NSFnet,60"/>
    <x v="1"/>
    <x v="0"/>
    <x v="2"/>
    <n v="660.74400000000003"/>
    <n v="670"/>
    <n v="1.3814925373134286"/>
    <x v="1640"/>
  </r>
  <r>
    <s v="Multihop,NSFnet,60"/>
    <x v="1"/>
    <x v="0"/>
    <x v="2"/>
    <n v="680.99199999999996"/>
    <n v="670"/>
    <n v="1.6405970149253675"/>
    <x v="1641"/>
  </r>
  <r>
    <s v="Multihop,NSFnet,60"/>
    <x v="1"/>
    <x v="0"/>
    <x v="2"/>
    <n v="676.77499999999998"/>
    <n v="670"/>
    <n v="1.0111940298507429"/>
    <x v="1642"/>
  </r>
  <r>
    <s v="Multihop,NSFnet,60"/>
    <x v="1"/>
    <x v="0"/>
    <x v="2"/>
    <n v="659.93700000000001"/>
    <n v="670"/>
    <n v="1.501940298507461"/>
    <x v="1643"/>
  </r>
  <r>
    <s v="Multihop,NSFnet,60"/>
    <x v="1"/>
    <x v="0"/>
    <x v="2"/>
    <n v="642.34"/>
    <n v="670"/>
    <n v="4.1283582089552189"/>
    <x v="1644"/>
  </r>
  <r>
    <s v="Multihop,NSFnet,60"/>
    <x v="1"/>
    <x v="0"/>
    <x v="2"/>
    <n v="659.81500000000005"/>
    <n v="670"/>
    <n v="1.520149253731335"/>
    <x v="1645"/>
  </r>
  <r>
    <s v="Multihop,NSFnet,60"/>
    <x v="1"/>
    <x v="0"/>
    <x v="2"/>
    <n v="653.20899999999995"/>
    <n v="670"/>
    <n v="2.5061194029850826"/>
    <x v="1646"/>
  </r>
  <r>
    <s v="Multihop,NSFnet,60"/>
    <x v="1"/>
    <x v="0"/>
    <x v="2"/>
    <n v="626.59299999999996"/>
    <n v="670"/>
    <n v="6.4786567164179161"/>
    <x v="1647"/>
  </r>
  <r>
    <s v="Multihop,NSFnet,60"/>
    <x v="1"/>
    <x v="0"/>
    <x v="2"/>
    <n v="647.70699999999999"/>
    <n v="670"/>
    <n v="3.327313432835822"/>
    <x v="1648"/>
  </r>
  <r>
    <s v="Multihop,NSFnet,60"/>
    <x v="1"/>
    <x v="0"/>
    <x v="2"/>
    <n v="682.58399999999995"/>
    <n v="670"/>
    <n v="1.8782089552238725"/>
    <x v="1649"/>
  </r>
  <r>
    <s v="Multihop,NSFnet,60"/>
    <x v="1"/>
    <x v="0"/>
    <x v="2"/>
    <n v="673.91200000000003"/>
    <n v="670"/>
    <n v="0.58388059701493056"/>
    <x v="1650"/>
  </r>
  <r>
    <s v="Multihop,NSFnet,60"/>
    <x v="1"/>
    <x v="0"/>
    <x v="2"/>
    <n v="698.46"/>
    <n v="670"/>
    <n v="4.2477611940298559"/>
    <x v="1651"/>
  </r>
  <r>
    <s v="Multihop,NSFnet,60"/>
    <x v="1"/>
    <x v="0"/>
    <x v="2"/>
    <n v="651.76499999999999"/>
    <n v="670"/>
    <n v="2.7216417910447781"/>
    <x v="1652"/>
  </r>
  <r>
    <s v="Multihop,NSFnet,60"/>
    <x v="1"/>
    <x v="0"/>
    <x v="2"/>
    <n v="684.18700000000001"/>
    <n v="670"/>
    <n v="2.117462686567166"/>
    <x v="1653"/>
  </r>
  <r>
    <s v="Multihop,NSFnet,60"/>
    <x v="1"/>
    <x v="0"/>
    <x v="2"/>
    <n v="665.81100000000004"/>
    <n v="670"/>
    <n v="0.62522388059700962"/>
    <x v="1654"/>
  </r>
  <r>
    <s v="Multihop,NSFnet,60"/>
    <x v="1"/>
    <x v="0"/>
    <x v="2"/>
    <n v="675.43299999999999"/>
    <n v="670"/>
    <n v="0.81089552238805873"/>
    <x v="1655"/>
  </r>
  <r>
    <s v="Multihop,NSFnet,60"/>
    <x v="1"/>
    <x v="0"/>
    <x v="2"/>
    <n v="688.56700000000001"/>
    <n v="670"/>
    <n v="2.7711940298507471"/>
    <x v="1656"/>
  </r>
  <r>
    <s v="Multihop,NSFnet,60"/>
    <x v="1"/>
    <x v="0"/>
    <x v="2"/>
    <n v="687.61599999999999"/>
    <n v="670"/>
    <n v="2.6292537313432818"/>
    <x v="1657"/>
  </r>
  <r>
    <s v="Multihop,NSFnet,60"/>
    <x v="1"/>
    <x v="0"/>
    <x v="2"/>
    <n v="677.721"/>
    <n v="670"/>
    <n v="1.1523880597014931"/>
    <x v="1658"/>
  </r>
  <r>
    <s v="Multihop,NSFnet,60"/>
    <x v="1"/>
    <x v="0"/>
    <x v="2"/>
    <n v="642.12300000000005"/>
    <n v="670"/>
    <n v="4.1607462686567089"/>
    <x v="1659"/>
  </r>
  <r>
    <s v="Multihop,NSFnet,60"/>
    <x v="1"/>
    <x v="0"/>
    <x v="2"/>
    <n v="628.79200000000003"/>
    <n v="670"/>
    <n v="6.1504477611940249"/>
    <x v="1660"/>
  </r>
  <r>
    <s v="Multihop,NSFnet,60"/>
    <x v="1"/>
    <x v="0"/>
    <x v="2"/>
    <n v="677.30100000000004"/>
    <n v="670"/>
    <n v="1.0897014925373201"/>
    <x v="1661"/>
  </r>
  <r>
    <s v="Multihop,NSFnet,60"/>
    <x v="1"/>
    <x v="0"/>
    <x v="2"/>
    <n v="674.75800000000004"/>
    <n v="670"/>
    <n v="0.71014925373134896"/>
    <x v="1662"/>
  </r>
  <r>
    <s v="Multihop,NSFnet,60"/>
    <x v="1"/>
    <x v="0"/>
    <x v="2"/>
    <n v="646.61599999999999"/>
    <n v="670"/>
    <n v="3.4901492537313459"/>
    <x v="1663"/>
  </r>
  <r>
    <s v="Multihop,NSFnet,60"/>
    <x v="1"/>
    <x v="0"/>
    <x v="2"/>
    <n v="661.13400000000001"/>
    <n v="670"/>
    <n v="1.3232835820895501"/>
    <x v="1664"/>
  </r>
  <r>
    <s v="Multihop,NSFnet,60"/>
    <x v="1"/>
    <x v="0"/>
    <x v="2"/>
    <n v="678.72900000000004"/>
    <n v="670"/>
    <n v="1.3028358208955286"/>
    <x v="1665"/>
  </r>
  <r>
    <s v="Multihop,NSFnet,60"/>
    <x v="1"/>
    <x v="0"/>
    <x v="2"/>
    <n v="629.28399999999999"/>
    <n v="670"/>
    <n v="6.0770149253731356"/>
    <x v="1666"/>
  </r>
  <r>
    <s v="Multihop,NSFnet,60"/>
    <x v="1"/>
    <x v="0"/>
    <x v="2"/>
    <n v="654.67100000000005"/>
    <n v="670"/>
    <n v="2.2879104477611869"/>
    <x v="1667"/>
  </r>
  <r>
    <s v="Multihop,NSFnet,60"/>
    <x v="1"/>
    <x v="0"/>
    <x v="2"/>
    <n v="642.70899999999995"/>
    <n v="670"/>
    <n v="4.0732835820895605"/>
    <x v="1668"/>
  </r>
  <r>
    <s v="Multihop,NSFnet,60"/>
    <x v="1"/>
    <x v="0"/>
    <x v="2"/>
    <n v="677.43"/>
    <n v="670"/>
    <n v="1.1089552238805895"/>
    <x v="1669"/>
  </r>
  <r>
    <s v="Multihop,NSFnet,60"/>
    <x v="1"/>
    <x v="0"/>
    <x v="2"/>
    <n v="667.7"/>
    <n v="670"/>
    <n v="0.34328358208954546"/>
    <x v="1670"/>
  </r>
  <r>
    <s v="Multihop,NSFnet,60"/>
    <x v="1"/>
    <x v="0"/>
    <x v="2"/>
    <n v="676.83699999999999"/>
    <n v="670"/>
    <n v="1.0204477611940281"/>
    <x v="1671"/>
  </r>
  <r>
    <s v="Multihop,NSFnet,60"/>
    <x v="1"/>
    <x v="0"/>
    <x v="2"/>
    <n v="628.69000000000005"/>
    <n v="670"/>
    <n v="6.1656716417910369"/>
    <x v="1672"/>
  </r>
  <r>
    <s v="Multihop,NSFnet,60"/>
    <x v="1"/>
    <x v="0"/>
    <x v="2"/>
    <n v="653.01300000000003"/>
    <n v="670"/>
    <n v="2.5353731343283532"/>
    <x v="1673"/>
  </r>
  <r>
    <s v="Multihop,NSFnet,60"/>
    <x v="1"/>
    <x v="0"/>
    <x v="2"/>
    <n v="667.72699999999998"/>
    <n v="670"/>
    <n v="0.33925373134328723"/>
    <x v="1674"/>
  </r>
  <r>
    <s v="Multihop,NSFnet,60"/>
    <x v="1"/>
    <x v="0"/>
    <x v="2"/>
    <n v="650.77200000000005"/>
    <n v="670"/>
    <n v="2.8698507462686496"/>
    <x v="1675"/>
  </r>
  <r>
    <s v="Multihop,NSFnet,60"/>
    <x v="1"/>
    <x v="0"/>
    <x v="2"/>
    <n v="665.52700000000004"/>
    <n v="670"/>
    <n v="0.66761194029850091"/>
    <x v="1676"/>
  </r>
  <r>
    <s v="Multihop,NSFnet,60"/>
    <x v="1"/>
    <x v="0"/>
    <x v="2"/>
    <n v="641.57399999999996"/>
    <n v="670"/>
    <n v="4.2426865671641858"/>
    <x v="1677"/>
  </r>
  <r>
    <s v="Multihop,NSFnet,60"/>
    <x v="1"/>
    <x v="0"/>
    <x v="2"/>
    <n v="680.64700000000005"/>
    <n v="670"/>
    <n v="1.5891044776119474"/>
    <x v="1678"/>
  </r>
  <r>
    <s v="Multihop,NSFnet,60"/>
    <x v="1"/>
    <x v="0"/>
    <x v="2"/>
    <n v="662.846"/>
    <n v="670"/>
    <n v="1.0677611940298501"/>
    <x v="1679"/>
  </r>
  <r>
    <s v="Multihop,NSFnet,60"/>
    <x v="1"/>
    <x v="0"/>
    <x v="2"/>
    <n v="654.19299999999998"/>
    <n v="670"/>
    <n v="2.3592537313432862"/>
    <x v="1680"/>
  </r>
  <r>
    <s v="Multihop,NSFnet,60"/>
    <x v="1"/>
    <x v="0"/>
    <x v="2"/>
    <n v="647.83199999999999"/>
    <n v="670"/>
    <n v="3.3086567164179113"/>
    <x v="1681"/>
  </r>
  <r>
    <s v="Multihop,NSFnet,60"/>
    <x v="1"/>
    <x v="0"/>
    <x v="2"/>
    <n v="662.14800000000002"/>
    <n v="670"/>
    <n v="1.171940298507459"/>
    <x v="1682"/>
  </r>
  <r>
    <s v="Multihop,NSFnet,60"/>
    <x v="1"/>
    <x v="0"/>
    <x v="2"/>
    <n v="662.07299999999998"/>
    <n v="670"/>
    <n v="1.1831343283582121"/>
    <x v="1683"/>
  </r>
  <r>
    <s v="Multihop,NSFnet,60"/>
    <x v="1"/>
    <x v="0"/>
    <x v="2"/>
    <n v="684.98900000000003"/>
    <n v="670"/>
    <n v="2.2371641791044823"/>
    <x v="1684"/>
  </r>
  <r>
    <s v="Multihop,NSFnet,60"/>
    <x v="1"/>
    <x v="0"/>
    <x v="2"/>
    <n v="667.64200000000005"/>
    <n v="670"/>
    <n v="0.35194029850745479"/>
    <x v="1685"/>
  </r>
  <r>
    <s v="Multihop,NSFnet,60"/>
    <x v="1"/>
    <x v="0"/>
    <x v="2"/>
    <n v="624.99099999999999"/>
    <n v="670"/>
    <n v="6.7177611940298529"/>
    <x v="1686"/>
  </r>
  <r>
    <s v="Multihop,NSFnet,60"/>
    <x v="1"/>
    <x v="0"/>
    <x v="2"/>
    <n v="635.36300000000006"/>
    <n v="670"/>
    <n v="5.169701492537305"/>
    <x v="1687"/>
  </r>
  <r>
    <s v="Multihop,NSFnet,60"/>
    <x v="1"/>
    <x v="0"/>
    <x v="2"/>
    <n v="644.85299999999995"/>
    <n v="670"/>
    <n v="3.7532835820895594"/>
    <x v="1688"/>
  </r>
  <r>
    <s v="Multihop,NSFnet,60"/>
    <x v="1"/>
    <x v="0"/>
    <x v="2"/>
    <n v="630.9"/>
    <n v="670"/>
    <n v="5.8358208955223914"/>
    <x v="1689"/>
  </r>
  <r>
    <s v="Multihop,NSFnet,60"/>
    <x v="1"/>
    <x v="0"/>
    <x v="2"/>
    <n v="606.36400000000003"/>
    <n v="670"/>
    <n v="9.4979104477611891"/>
    <x v="1690"/>
  </r>
  <r>
    <s v="Multihop,NSFnet,60"/>
    <x v="1"/>
    <x v="0"/>
    <x v="2"/>
    <n v="674.08"/>
    <n v="670"/>
    <n v="0.60895522388060308"/>
    <x v="1691"/>
  </r>
  <r>
    <s v="Multihop,NSFnet,60"/>
    <x v="1"/>
    <x v="0"/>
    <x v="2"/>
    <n v="625.42499999999995"/>
    <n v="670"/>
    <n v="6.6529850746268728"/>
    <x v="1692"/>
  </r>
  <r>
    <s v="Multihop,NSFnet,60"/>
    <x v="1"/>
    <x v="0"/>
    <x v="2"/>
    <n v="650.56200000000001"/>
    <n v="670"/>
    <n v="2.9011940298507444"/>
    <x v="1693"/>
  </r>
  <r>
    <s v="Multihop,NSFnet,60"/>
    <x v="1"/>
    <x v="0"/>
    <x v="2"/>
    <n v="662.125"/>
    <n v="670"/>
    <n v="1.1753731343283582"/>
    <x v="1694"/>
  </r>
  <r>
    <s v="Multihop,NSFnet,60"/>
    <x v="1"/>
    <x v="0"/>
    <x v="2"/>
    <n v="674.16200000000003"/>
    <n v="670"/>
    <n v="0.62119402985075134"/>
    <x v="1695"/>
  </r>
  <r>
    <s v="Multihop,NSFnet,60"/>
    <x v="1"/>
    <x v="0"/>
    <x v="2"/>
    <n v="610.28899999999999"/>
    <n v="670"/>
    <n v="8.9120895522388075"/>
    <x v="1696"/>
  </r>
  <r>
    <s v="Multihop,NSFnet,80"/>
    <x v="1"/>
    <x v="0"/>
    <x v="3"/>
    <n v="875.95899999999995"/>
    <n v="859"/>
    <n v="1.9742724097788062"/>
    <x v="1697"/>
  </r>
  <r>
    <s v="Multihop,NSFnet,80"/>
    <x v="1"/>
    <x v="0"/>
    <x v="3"/>
    <n v="822.42899999999997"/>
    <n v="859"/>
    <n v="4.2573923166472678"/>
    <x v="1698"/>
  </r>
  <r>
    <s v="Multihop,NSFnet,80"/>
    <x v="1"/>
    <x v="0"/>
    <x v="3"/>
    <n v="832.76800000000003"/>
    <n v="859"/>
    <n v="3.0537834691501713"/>
    <x v="1699"/>
  </r>
  <r>
    <s v="Multihop,NSFnet,80"/>
    <x v="1"/>
    <x v="0"/>
    <x v="3"/>
    <n v="809.54899999999998"/>
    <n v="859"/>
    <n v="5.7568102444703166"/>
    <x v="1700"/>
  </r>
  <r>
    <s v="Multihop,NSFnet,80"/>
    <x v="1"/>
    <x v="0"/>
    <x v="3"/>
    <n v="816.46699999999998"/>
    <n v="859"/>
    <n v="4.9514551804423768"/>
    <x v="1701"/>
  </r>
  <r>
    <s v="Multihop,NSFnet,80"/>
    <x v="1"/>
    <x v="0"/>
    <x v="3"/>
    <n v="886.96199999999999"/>
    <n v="859"/>
    <n v="3.2551804423748534"/>
    <x v="1702"/>
  </r>
  <r>
    <s v="Multihop,NSFnet,80"/>
    <x v="1"/>
    <x v="0"/>
    <x v="3"/>
    <n v="859.149"/>
    <n v="859"/>
    <n v="1.7345750873108374E-2"/>
    <x v="1703"/>
  </r>
  <r>
    <s v="Multihop,NSFnet,80"/>
    <x v="1"/>
    <x v="0"/>
    <x v="3"/>
    <n v="811.827"/>
    <n v="859"/>
    <n v="5.491618160651921"/>
    <x v="1704"/>
  </r>
  <r>
    <s v="Multihop,NSFnet,80"/>
    <x v="1"/>
    <x v="0"/>
    <x v="3"/>
    <n v="863.11900000000003"/>
    <n v="859"/>
    <n v="0.47951105937136529"/>
    <x v="1705"/>
  </r>
  <r>
    <s v="Multihop,NSFnet,80"/>
    <x v="1"/>
    <x v="0"/>
    <x v="3"/>
    <n v="901.11800000000005"/>
    <n v="859"/>
    <n v="4.9031431897555358"/>
    <x v="1706"/>
  </r>
  <r>
    <s v="Multihop,NSFnet,80"/>
    <x v="1"/>
    <x v="0"/>
    <x v="3"/>
    <n v="855.84199999999998"/>
    <n v="859"/>
    <n v="0.36763678696158503"/>
    <x v="1707"/>
  </r>
  <r>
    <s v="Multihop,NSFnet,80"/>
    <x v="1"/>
    <x v="0"/>
    <x v="3"/>
    <n v="893.55700000000002"/>
    <n v="859"/>
    <n v="4.0229336437718297"/>
    <x v="1708"/>
  </r>
  <r>
    <s v="Multihop,NSFnet,80"/>
    <x v="1"/>
    <x v="0"/>
    <x v="3"/>
    <n v="865"/>
    <n v="859"/>
    <n v="0.69848661233993015"/>
    <x v="1709"/>
  </r>
  <r>
    <s v="Multihop,NSFnet,80"/>
    <x v="1"/>
    <x v="0"/>
    <x v="3"/>
    <n v="890.80700000000002"/>
    <n v="859"/>
    <n v="3.7027939464493613"/>
    <x v="1710"/>
  </r>
  <r>
    <s v="Multihop,NSFnet,80"/>
    <x v="1"/>
    <x v="0"/>
    <x v="3"/>
    <n v="898.09100000000001"/>
    <n v="859"/>
    <n v="4.5507566938300359"/>
    <x v="1711"/>
  </r>
  <r>
    <s v="Multihop,NSFnet,80"/>
    <x v="1"/>
    <x v="0"/>
    <x v="3"/>
    <n v="891.75900000000001"/>
    <n v="859"/>
    <n v="3.8136204889406304"/>
    <x v="1712"/>
  </r>
  <r>
    <s v="Multihop,NSFnet,80"/>
    <x v="1"/>
    <x v="0"/>
    <x v="3"/>
    <n v="882.75199999999995"/>
    <n v="859"/>
    <n v="2.7650756693829979"/>
    <x v="1713"/>
  </r>
  <r>
    <s v="Multihop,NSFnet,80"/>
    <x v="1"/>
    <x v="0"/>
    <x v="3"/>
    <n v="868.04200000000003"/>
    <n v="859"/>
    <n v="1.0526193247962783"/>
    <x v="1714"/>
  </r>
  <r>
    <s v="Multihop,NSFnet,80"/>
    <x v="1"/>
    <x v="0"/>
    <x v="3"/>
    <n v="862.10299999999995"/>
    <n v="859"/>
    <n v="0.36123399301512826"/>
    <x v="1715"/>
  </r>
  <r>
    <s v="Multihop,NSFnet,80"/>
    <x v="1"/>
    <x v="0"/>
    <x v="3"/>
    <n v="858.45799999999997"/>
    <n v="859"/>
    <n v="6.3096623981377192E-2"/>
    <x v="1716"/>
  </r>
  <r>
    <s v="Multihop,NSFnet,80"/>
    <x v="1"/>
    <x v="0"/>
    <x v="3"/>
    <n v="885.96100000000001"/>
    <n v="859"/>
    <n v="3.138649592549478"/>
    <x v="1717"/>
  </r>
  <r>
    <s v="Multihop,NSFnet,80"/>
    <x v="1"/>
    <x v="0"/>
    <x v="3"/>
    <n v="852.07100000000003"/>
    <n v="859"/>
    <n v="0.80663562281722623"/>
    <x v="1718"/>
  </r>
  <r>
    <s v="Multihop,NSFnet,80"/>
    <x v="1"/>
    <x v="0"/>
    <x v="3"/>
    <n v="792.56600000000003"/>
    <n v="859"/>
    <n v="7.7338766006984834"/>
    <x v="1719"/>
  </r>
  <r>
    <s v="Multihop,NSFnet,80"/>
    <x v="1"/>
    <x v="0"/>
    <x v="3"/>
    <n v="833.79300000000001"/>
    <n v="859"/>
    <n v="2.9344586728754356"/>
    <x v="1720"/>
  </r>
  <r>
    <s v="Multihop,NSFnet,80"/>
    <x v="1"/>
    <x v="0"/>
    <x v="3"/>
    <n v="809.09"/>
    <n v="859"/>
    <n v="5.8102444703143155"/>
    <x v="1721"/>
  </r>
  <r>
    <s v="Multihop,NSFnet,80"/>
    <x v="1"/>
    <x v="0"/>
    <x v="3"/>
    <n v="826.2"/>
    <n v="859"/>
    <n v="3.8183934807916127"/>
    <x v="1722"/>
  </r>
  <r>
    <s v="Multihop,NSFnet,80"/>
    <x v="1"/>
    <x v="0"/>
    <x v="3"/>
    <n v="862.58"/>
    <n v="859"/>
    <n v="0.4167636786961631"/>
    <x v="1723"/>
  </r>
  <r>
    <s v="Multihop,NSFnet,80"/>
    <x v="1"/>
    <x v="0"/>
    <x v="3"/>
    <n v="914.93499999999995"/>
    <n v="859"/>
    <n v="6.5116414435389931"/>
    <x v="1724"/>
  </r>
  <r>
    <s v="Multihop,NSFnet,80"/>
    <x v="1"/>
    <x v="0"/>
    <x v="3"/>
    <n v="861.71900000000005"/>
    <n v="859"/>
    <n v="0.31653084982538426"/>
    <x v="1725"/>
  </r>
  <r>
    <s v="Multihop,NSFnet,80"/>
    <x v="1"/>
    <x v="0"/>
    <x v="3"/>
    <n v="905.697"/>
    <n v="859"/>
    <n v="5.4362048894062864"/>
    <x v="1726"/>
  </r>
  <r>
    <s v="Multihop,NSFnet,80"/>
    <x v="1"/>
    <x v="0"/>
    <x v="3"/>
    <n v="859.89599999999996"/>
    <n v="859"/>
    <n v="0.10430733410942471"/>
    <x v="1727"/>
  </r>
  <r>
    <s v="Multihop,NSFnet,80"/>
    <x v="1"/>
    <x v="0"/>
    <x v="3"/>
    <n v="851.94799999999998"/>
    <n v="859"/>
    <n v="0.82095459837020035"/>
    <x v="1728"/>
  </r>
  <r>
    <s v="Multihop,NSFnet,80"/>
    <x v="1"/>
    <x v="0"/>
    <x v="3"/>
    <n v="884.61500000000001"/>
    <n v="859"/>
    <n v="2.981955762514553"/>
    <x v="1729"/>
  </r>
  <r>
    <s v="Multihop,NSFnet,80"/>
    <x v="1"/>
    <x v="0"/>
    <x v="3"/>
    <n v="837.56100000000004"/>
    <n v="859"/>
    <n v="2.4958090803259561"/>
    <x v="1730"/>
  </r>
  <r>
    <s v="Multihop,NSFnet,80"/>
    <x v="1"/>
    <x v="0"/>
    <x v="3"/>
    <n v="865.73800000000006"/>
    <n v="859"/>
    <n v="0.78440046565774812"/>
    <x v="1731"/>
  </r>
  <r>
    <s v="Multihop,NSFnet,80"/>
    <x v="1"/>
    <x v="0"/>
    <x v="3"/>
    <n v="840.11199999999997"/>
    <n v="859"/>
    <n v="2.1988358556461041"/>
    <x v="1732"/>
  </r>
  <r>
    <s v="Multihop,NSFnet,80"/>
    <x v="1"/>
    <x v="0"/>
    <x v="3"/>
    <n v="838.22500000000002"/>
    <n v="859"/>
    <n v="2.4185098952270057"/>
    <x v="1733"/>
  </r>
  <r>
    <s v="Multihop,NSFnet,80"/>
    <x v="1"/>
    <x v="0"/>
    <x v="3"/>
    <n v="804.53700000000003"/>
    <n v="859"/>
    <n v="6.3402793946449325"/>
    <x v="1734"/>
  </r>
  <r>
    <s v="Multihop,NSFnet,80"/>
    <x v="1"/>
    <x v="0"/>
    <x v="3"/>
    <n v="858.90099999999995"/>
    <n v="859"/>
    <n v="1.1525029103614248E-2"/>
    <x v="1735"/>
  </r>
  <r>
    <s v="Multihop,NSFnet,80"/>
    <x v="1"/>
    <x v="0"/>
    <x v="3"/>
    <n v="851.66099999999994"/>
    <n v="859"/>
    <n v="0.85436554132713105"/>
    <x v="1736"/>
  </r>
  <r>
    <s v="Multihop,NSFnet,80"/>
    <x v="1"/>
    <x v="0"/>
    <x v="3"/>
    <n v="837.52800000000002"/>
    <n v="859"/>
    <n v="2.499650756693828"/>
    <x v="1737"/>
  </r>
  <r>
    <s v="Multihop,NSFnet,80"/>
    <x v="1"/>
    <x v="0"/>
    <x v="3"/>
    <n v="896.07299999999998"/>
    <n v="859"/>
    <n v="4.315832363213036"/>
    <x v="1738"/>
  </r>
  <r>
    <s v="Multihop,NSFnet,80"/>
    <x v="1"/>
    <x v="0"/>
    <x v="3"/>
    <n v="894.33"/>
    <n v="859"/>
    <n v="4.1129220023282933"/>
    <x v="1739"/>
  </r>
  <r>
    <s v="Multihop,NSFnet,80"/>
    <x v="1"/>
    <x v="0"/>
    <x v="3"/>
    <n v="882.06899999999996"/>
    <n v="859"/>
    <n v="2.6855646100116366"/>
    <x v="1740"/>
  </r>
  <r>
    <s v="Multihop,NSFnet,80"/>
    <x v="1"/>
    <x v="0"/>
    <x v="3"/>
    <n v="856.803"/>
    <n v="859"/>
    <n v="0.25576251455180471"/>
    <x v="1741"/>
  </r>
  <r>
    <s v="Multihop,NSFnet,80"/>
    <x v="1"/>
    <x v="0"/>
    <x v="3"/>
    <n v="878.12400000000002"/>
    <n v="859"/>
    <n v="2.22630966239814"/>
    <x v="1742"/>
  </r>
  <r>
    <s v="Multihop,NSFnet,80"/>
    <x v="1"/>
    <x v="0"/>
    <x v="3"/>
    <n v="829.21799999999996"/>
    <n v="859"/>
    <n v="3.4670547147846378"/>
    <x v="1743"/>
  </r>
  <r>
    <s v="Multihop,NSFnet,80"/>
    <x v="1"/>
    <x v="0"/>
    <x v="3"/>
    <n v="899.57600000000002"/>
    <n v="859"/>
    <n v="4.7236321303841695"/>
    <x v="1744"/>
  </r>
  <r>
    <s v="Multihop,NSFnet,80"/>
    <x v="1"/>
    <x v="0"/>
    <x v="3"/>
    <n v="863.74699999999996"/>
    <n v="859"/>
    <n v="0.55261932479626974"/>
    <x v="1745"/>
  </r>
  <r>
    <s v="Multihop,NSFnet,80"/>
    <x v="1"/>
    <x v="0"/>
    <x v="3"/>
    <n v="852.64700000000005"/>
    <n v="859"/>
    <n v="0.73958090803259047"/>
    <x v="1746"/>
  </r>
  <r>
    <s v="Multihop,NSFnet,80"/>
    <x v="1"/>
    <x v="0"/>
    <x v="3"/>
    <n v="837.15300000000002"/>
    <n v="859"/>
    <n v="2.5433061699650734"/>
    <x v="1747"/>
  </r>
  <r>
    <s v="Multihop,NSFnet,80"/>
    <x v="1"/>
    <x v="0"/>
    <x v="3"/>
    <n v="875.42499999999995"/>
    <n v="859"/>
    <n v="1.9121071012805535"/>
    <x v="1748"/>
  </r>
  <r>
    <s v="Multihop,NSFnet,80"/>
    <x v="1"/>
    <x v="0"/>
    <x v="3"/>
    <n v="851.73699999999997"/>
    <n v="859"/>
    <n v="0.84551804423748933"/>
    <x v="1749"/>
  </r>
  <r>
    <s v="Multihop,NSFnet,80"/>
    <x v="1"/>
    <x v="0"/>
    <x v="3"/>
    <n v="902.01499999999999"/>
    <n v="859"/>
    <n v="5.0075669383003483"/>
    <x v="1750"/>
  </r>
  <r>
    <s v="Multihop,NSFnet,80"/>
    <x v="1"/>
    <x v="0"/>
    <x v="3"/>
    <n v="853.18"/>
    <n v="859"/>
    <n v="0.67753201396973806"/>
    <x v="1751"/>
  </r>
  <r>
    <s v="Multihop,NSFnet,80"/>
    <x v="1"/>
    <x v="0"/>
    <x v="3"/>
    <n v="813.74800000000005"/>
    <n v="859"/>
    <n v="5.2679860302677479"/>
    <x v="1752"/>
  </r>
  <r>
    <s v="Multihop,NSFnet,80"/>
    <x v="1"/>
    <x v="0"/>
    <x v="3"/>
    <n v="868.83799999999997"/>
    <n v="859"/>
    <n v="1.1452852153667015"/>
    <x v="1753"/>
  </r>
  <r>
    <s v="Multihop,NSFnet,80"/>
    <x v="1"/>
    <x v="0"/>
    <x v="3"/>
    <n v="912.80399999999997"/>
    <n v="859"/>
    <n v="6.2635622817229297"/>
    <x v="1754"/>
  </r>
  <r>
    <s v="Multihop,NSFnet,80"/>
    <x v="1"/>
    <x v="0"/>
    <x v="3"/>
    <n v="886.923"/>
    <n v="859"/>
    <n v="3.2506402793946454"/>
    <x v="1755"/>
  </r>
  <r>
    <s v="Multihop,NSFnet,80"/>
    <x v="1"/>
    <x v="0"/>
    <x v="3"/>
    <n v="866.452"/>
    <n v="859"/>
    <n v="0.86752037252619296"/>
    <x v="1756"/>
  </r>
  <r>
    <s v="Multihop,NSFnet,80"/>
    <x v="1"/>
    <x v="0"/>
    <x v="3"/>
    <n v="856.54499999999996"/>
    <n v="859"/>
    <n v="0.2857974388824262"/>
    <x v="1757"/>
  </r>
  <r>
    <s v="Multihop,NSFnet,80"/>
    <x v="1"/>
    <x v="0"/>
    <x v="3"/>
    <n v="865.58799999999997"/>
    <n v="859"/>
    <n v="0.76693830034923927"/>
    <x v="1758"/>
  </r>
  <r>
    <s v="Multihop,NSFnet,80"/>
    <x v="1"/>
    <x v="0"/>
    <x v="3"/>
    <n v="871.77599999999995"/>
    <n v="859"/>
    <n v="1.4873108265424859"/>
    <x v="1759"/>
  </r>
  <r>
    <s v="Multihop,NSFnet,80"/>
    <x v="1"/>
    <x v="0"/>
    <x v="3"/>
    <n v="874.404"/>
    <n v="859"/>
    <n v="1.7932479627473803"/>
    <x v="1760"/>
  </r>
  <r>
    <s v="Multihop,NSFnet,80"/>
    <x v="1"/>
    <x v="0"/>
    <x v="3"/>
    <n v="876.05200000000002"/>
    <n v="859"/>
    <n v="1.9850989522700839"/>
    <x v="1761"/>
  </r>
  <r>
    <s v="Multihop,NSFnet,80"/>
    <x v="1"/>
    <x v="0"/>
    <x v="3"/>
    <n v="859.35"/>
    <n v="859"/>
    <n v="4.0745052386498573E-2"/>
    <x v="1762"/>
  </r>
  <r>
    <s v="Multihop,NSFnet,80"/>
    <x v="1"/>
    <x v="0"/>
    <x v="3"/>
    <n v="806.399"/>
    <n v="859"/>
    <n v="6.1235157159487779"/>
    <x v="1763"/>
  </r>
  <r>
    <s v="Multihop,NSFnet,80"/>
    <x v="1"/>
    <x v="0"/>
    <x v="3"/>
    <n v="876.39300000000003"/>
    <n v="859"/>
    <n v="2.0247962747380712"/>
    <x v="1764"/>
  </r>
  <r>
    <s v="Multihop,NSFnet,80"/>
    <x v="1"/>
    <x v="0"/>
    <x v="3"/>
    <n v="856.31399999999996"/>
    <n v="859"/>
    <n v="0.31268917345751285"/>
    <x v="1765"/>
  </r>
  <r>
    <s v="Multihop,NSFnet,80"/>
    <x v="1"/>
    <x v="0"/>
    <x v="3"/>
    <n v="859.154"/>
    <n v="859"/>
    <n v="1.7927823050057783E-2"/>
    <x v="1766"/>
  </r>
  <r>
    <s v="Multihop,NSFnet,80"/>
    <x v="1"/>
    <x v="0"/>
    <x v="3"/>
    <n v="842.14499999999998"/>
    <n v="859"/>
    <n v="1.9621653084982558"/>
    <x v="1767"/>
  </r>
  <r>
    <s v="Multihop,NSFnet,80"/>
    <x v="1"/>
    <x v="0"/>
    <x v="3"/>
    <n v="888.36500000000001"/>
    <n v="859"/>
    <n v="3.4185098952270092"/>
    <x v="1768"/>
  </r>
  <r>
    <s v="Multihop,NSFnet,80"/>
    <x v="1"/>
    <x v="0"/>
    <x v="3"/>
    <n v="831.00199999999995"/>
    <n v="859"/>
    <n v="3.2593713620488995"/>
    <x v="1769"/>
  </r>
  <r>
    <s v="Multihop,NSFnet,80"/>
    <x v="1"/>
    <x v="0"/>
    <x v="3"/>
    <n v="858.96600000000001"/>
    <n v="859"/>
    <n v="3.9580908032586515E-3"/>
    <x v="1770"/>
  </r>
  <r>
    <s v="Multihop,NSFnet,80"/>
    <x v="1"/>
    <x v="0"/>
    <x v="3"/>
    <n v="907.57"/>
    <n v="859"/>
    <n v="5.6542491268917399"/>
    <x v="1771"/>
  </r>
  <r>
    <s v="Multihop,NSFnet,80"/>
    <x v="1"/>
    <x v="0"/>
    <x v="3"/>
    <n v="810.56500000000005"/>
    <n v="859"/>
    <n v="5.6385331781140797"/>
    <x v="1772"/>
  </r>
  <r>
    <s v="Multihop,NSFnet,80"/>
    <x v="1"/>
    <x v="0"/>
    <x v="3"/>
    <n v="827.34299999999996"/>
    <n v="859"/>
    <n v="3.6853317811408659"/>
    <x v="1773"/>
  </r>
  <r>
    <s v="Multihop,NSFnet,80"/>
    <x v="1"/>
    <x v="0"/>
    <x v="3"/>
    <n v="808.72500000000002"/>
    <n v="859"/>
    <n v="5.8527357392316617"/>
    <x v="1774"/>
  </r>
  <r>
    <s v="Multihop,NSFnet,80"/>
    <x v="1"/>
    <x v="0"/>
    <x v="3"/>
    <n v="920.45299999999997"/>
    <n v="859"/>
    <n v="7.1540162980209514"/>
    <x v="1775"/>
  </r>
  <r>
    <s v="Multihop,NSFnet,80"/>
    <x v="1"/>
    <x v="0"/>
    <x v="3"/>
    <n v="837.47"/>
    <n v="859"/>
    <n v="2.5064027939464459"/>
    <x v="1776"/>
  </r>
  <r>
    <s v="Multihop,NSFnet,80"/>
    <x v="1"/>
    <x v="0"/>
    <x v="3"/>
    <n v="867.22400000000005"/>
    <n v="859"/>
    <n v="0.95739231664726965"/>
    <x v="1777"/>
  </r>
  <r>
    <s v="Multihop,NSFnet,80"/>
    <x v="1"/>
    <x v="0"/>
    <x v="3"/>
    <n v="841.01499999999999"/>
    <n v="859"/>
    <n v="2.0937136204889422"/>
    <x v="1778"/>
  </r>
  <r>
    <s v="Multihop,NSFnet,80"/>
    <x v="1"/>
    <x v="0"/>
    <x v="3"/>
    <n v="836.27599999999995"/>
    <n v="859"/>
    <n v="2.6454016298021008"/>
    <x v="1779"/>
  </r>
  <r>
    <s v="Multihop,NSFnet,80"/>
    <x v="1"/>
    <x v="0"/>
    <x v="3"/>
    <n v="807.68499999999995"/>
    <n v="859"/>
    <n v="5.9738067520372589"/>
    <x v="1780"/>
  </r>
  <r>
    <s v="Multihop,NSFnet,80"/>
    <x v="1"/>
    <x v="0"/>
    <x v="3"/>
    <n v="860.28700000000003"/>
    <n v="859"/>
    <n v="0.14982537834691903"/>
    <x v="1781"/>
  </r>
  <r>
    <s v="Multihop,NSFnet,80"/>
    <x v="1"/>
    <x v="0"/>
    <x v="3"/>
    <n v="845.90200000000004"/>
    <n v="859"/>
    <n v="1.5247962747380626"/>
    <x v="1782"/>
  </r>
  <r>
    <s v="Multihop,NSFnet,80"/>
    <x v="1"/>
    <x v="0"/>
    <x v="3"/>
    <n v="809.96100000000001"/>
    <n v="859"/>
    <n v="5.7088474970896375"/>
    <x v="1783"/>
  </r>
  <r>
    <s v="Multihop,NSFnet,80"/>
    <x v="1"/>
    <x v="0"/>
    <x v="3"/>
    <n v="886.69100000000003"/>
    <n v="859"/>
    <n v="3.2236321303841713"/>
    <x v="1784"/>
  </r>
  <r>
    <s v="Multihop,NSFnet,80"/>
    <x v="1"/>
    <x v="0"/>
    <x v="3"/>
    <n v="818.47400000000005"/>
    <n v="859"/>
    <n v="4.7178114086146632"/>
    <x v="1785"/>
  </r>
  <r>
    <s v="Multihop,NSFnet,80"/>
    <x v="1"/>
    <x v="0"/>
    <x v="3"/>
    <n v="844.24099999999999"/>
    <n v="859"/>
    <n v="1.7181606519208397"/>
    <x v="1786"/>
  </r>
  <r>
    <s v="Multihop,NSFnet,80"/>
    <x v="1"/>
    <x v="0"/>
    <x v="3"/>
    <n v="888.33399999999995"/>
    <n v="859"/>
    <n v="3.4149010477299124"/>
    <x v="1787"/>
  </r>
  <r>
    <s v="Multihop,NSFnet,80"/>
    <x v="1"/>
    <x v="0"/>
    <x v="3"/>
    <n v="849.01900000000001"/>
    <n v="859"/>
    <n v="1.1619324796274733"/>
    <x v="1788"/>
  </r>
  <r>
    <s v="Multihop,NSFnet,80"/>
    <x v="1"/>
    <x v="0"/>
    <x v="3"/>
    <n v="868.61800000000005"/>
    <n v="859"/>
    <n v="1.1196740395809142"/>
    <x v="1789"/>
  </r>
  <r>
    <s v="Multihop,NSFnet,80"/>
    <x v="1"/>
    <x v="0"/>
    <x v="3"/>
    <n v="855.55"/>
    <n v="859"/>
    <n v="0.40162980209546512"/>
    <x v="1790"/>
  </r>
  <r>
    <s v="Multihop,NSFnet,80"/>
    <x v="1"/>
    <x v="0"/>
    <x v="3"/>
    <n v="806.65200000000004"/>
    <n v="859"/>
    <n v="6.0940628637951058"/>
    <x v="1791"/>
  </r>
  <r>
    <s v="Multihop,NSFnet,80"/>
    <x v="1"/>
    <x v="0"/>
    <x v="3"/>
    <n v="880.94799999999998"/>
    <n v="859"/>
    <n v="2.5550640279394621"/>
    <x v="1792"/>
  </r>
  <r>
    <s v="Multihop,NSFnet,80"/>
    <x v="1"/>
    <x v="0"/>
    <x v="3"/>
    <n v="889.41099999999994"/>
    <n v="859"/>
    <n v="3.5402793946449296"/>
    <x v="1793"/>
  </r>
  <r>
    <s v="Multihop,NSFnet,80"/>
    <x v="1"/>
    <x v="0"/>
    <x v="3"/>
    <n v="873.23299999999995"/>
    <n v="859"/>
    <n v="1.6569266589056983"/>
    <x v="1794"/>
  </r>
  <r>
    <s v="Multihop,NSFnet,80"/>
    <x v="1"/>
    <x v="0"/>
    <x v="3"/>
    <n v="892.35699999999997"/>
    <n v="859"/>
    <n v="3.8832363213038379"/>
    <x v="1795"/>
  </r>
  <r>
    <s v="Multihop,NSFnet,80"/>
    <x v="1"/>
    <x v="0"/>
    <x v="3"/>
    <n v="831.10199999999998"/>
    <n v="859"/>
    <n v="3.247729918509898"/>
    <x v="1796"/>
  </r>
  <r>
    <s v="Multihop,NSFnet,100"/>
    <x v="1"/>
    <x v="0"/>
    <x v="4"/>
    <n v="1032.71"/>
    <n v="1084"/>
    <n v="4.7315498154981519"/>
    <x v="1797"/>
  </r>
  <r>
    <s v="Multihop,NSFnet,100"/>
    <x v="1"/>
    <x v="0"/>
    <x v="4"/>
    <n v="1018.2380000000001"/>
    <n v="1084"/>
    <n v="6.0666051660516551"/>
    <x v="1798"/>
  </r>
  <r>
    <s v="Multihop,NSFnet,100"/>
    <x v="1"/>
    <x v="0"/>
    <x v="4"/>
    <n v="1087.02"/>
    <n v="1084"/>
    <n v="0.27859778597785811"/>
    <x v="1799"/>
  </r>
  <r>
    <s v="Multihop,NSFnet,100"/>
    <x v="1"/>
    <x v="0"/>
    <x v="4"/>
    <n v="1074.9069999999999"/>
    <n v="1084"/>
    <n v="0.83883763837639069"/>
    <x v="1800"/>
  </r>
  <r>
    <s v="Multihop,NSFnet,100"/>
    <x v="1"/>
    <x v="0"/>
    <x v="4"/>
    <n v="1065.348"/>
    <n v="1084"/>
    <n v="1.7206642066420703"/>
    <x v="1801"/>
  </r>
  <r>
    <s v="Multihop,NSFnet,100"/>
    <x v="1"/>
    <x v="0"/>
    <x v="4"/>
    <n v="1110.135"/>
    <n v="1084"/>
    <n v="2.4109778597785967"/>
    <x v="1802"/>
  </r>
  <r>
    <s v="Multihop,NSFnet,100"/>
    <x v="1"/>
    <x v="0"/>
    <x v="4"/>
    <n v="1030.018"/>
    <n v="1084"/>
    <n v="4.9798892988929859"/>
    <x v="1803"/>
  </r>
  <r>
    <s v="Multihop,NSFnet,100"/>
    <x v="1"/>
    <x v="0"/>
    <x v="4"/>
    <n v="981.37400000000002"/>
    <n v="1084"/>
    <n v="9.4673431734317326"/>
    <x v="1804"/>
  </r>
  <r>
    <s v="Multihop,NSFnet,100"/>
    <x v="1"/>
    <x v="0"/>
    <x v="4"/>
    <n v="1064.385"/>
    <n v="1084"/>
    <n v="1.8095018450184508"/>
    <x v="1805"/>
  </r>
  <r>
    <s v="Multihop,NSFnet,100"/>
    <x v="1"/>
    <x v="0"/>
    <x v="4"/>
    <n v="1055.7470000000001"/>
    <n v="1084"/>
    <n v="2.60636531365313"/>
    <x v="1806"/>
  </r>
  <r>
    <s v="Multihop,NSFnet,100"/>
    <x v="1"/>
    <x v="0"/>
    <x v="4"/>
    <n v="1059.32"/>
    <n v="1084"/>
    <n v="2.2767527675276811"/>
    <x v="1807"/>
  </r>
  <r>
    <s v="Multihop,NSFnet,100"/>
    <x v="1"/>
    <x v="0"/>
    <x v="4"/>
    <n v="1094.7270000000001"/>
    <n v="1084"/>
    <n v="0.98957564575646584"/>
    <x v="1808"/>
  </r>
  <r>
    <s v="Multihop,NSFnet,100"/>
    <x v="1"/>
    <x v="0"/>
    <x v="4"/>
    <n v="1012.46"/>
    <n v="1084"/>
    <n v="6.5996309963099602"/>
    <x v="1809"/>
  </r>
  <r>
    <s v="Multihop,NSFnet,100"/>
    <x v="1"/>
    <x v="0"/>
    <x v="4"/>
    <n v="992.40599999999995"/>
    <n v="1084"/>
    <n v="8.4496309963099669"/>
    <x v="1810"/>
  </r>
  <r>
    <s v="Multihop,NSFnet,100"/>
    <x v="1"/>
    <x v="0"/>
    <x v="4"/>
    <n v="1038.3430000000001"/>
    <n v="1084"/>
    <n v="4.2119003690036827"/>
    <x v="1811"/>
  </r>
  <r>
    <s v="Multihop,NSFnet,100"/>
    <x v="1"/>
    <x v="0"/>
    <x v="4"/>
    <n v="1068.172"/>
    <n v="1084"/>
    <n v="1.4601476014760124"/>
    <x v="1812"/>
  </r>
  <r>
    <s v="Multihop,NSFnet,100"/>
    <x v="1"/>
    <x v="0"/>
    <x v="4"/>
    <n v="1110.2360000000001"/>
    <n v="1084"/>
    <n v="2.420295202952039"/>
    <x v="1813"/>
  </r>
  <r>
    <s v="Multihop,NSFnet,100"/>
    <x v="1"/>
    <x v="0"/>
    <x v="4"/>
    <n v="1109.9939999999999"/>
    <n v="1084"/>
    <n v="2.3979704797047892"/>
    <x v="1814"/>
  </r>
  <r>
    <s v="Multihop,NSFnet,100"/>
    <x v="1"/>
    <x v="0"/>
    <x v="4"/>
    <n v="1093.902"/>
    <n v="1084"/>
    <n v="0.91346863468635098"/>
    <x v="1815"/>
  </r>
  <r>
    <s v="Multihop,NSFnet,100"/>
    <x v="1"/>
    <x v="0"/>
    <x v="4"/>
    <n v="1026.741"/>
    <n v="1084"/>
    <n v="5.2821955719557208"/>
    <x v="1816"/>
  </r>
  <r>
    <s v="Multihop,NSFnet,100"/>
    <x v="1"/>
    <x v="0"/>
    <x v="4"/>
    <n v="1077.499"/>
    <n v="1084"/>
    <n v="0.59972324723247017"/>
    <x v="1817"/>
  </r>
  <r>
    <s v="Multihop,NSFnet,100"/>
    <x v="1"/>
    <x v="0"/>
    <x v="4"/>
    <n v="1033.2260000000001"/>
    <n v="1084"/>
    <n v="4.6839483394833845"/>
    <x v="1818"/>
  </r>
  <r>
    <s v="Multihop,NSFnet,100"/>
    <x v="1"/>
    <x v="0"/>
    <x v="4"/>
    <n v="981.89400000000001"/>
    <n v="1084"/>
    <n v="9.4193726937269364"/>
    <x v="1819"/>
  </r>
  <r>
    <s v="Multihop,NSFnet,100"/>
    <x v="1"/>
    <x v="0"/>
    <x v="4"/>
    <n v="1093.087"/>
    <n v="1084"/>
    <n v="0.83828413284132741"/>
    <x v="1820"/>
  </r>
  <r>
    <s v="Multihop,NSFnet,100"/>
    <x v="1"/>
    <x v="0"/>
    <x v="4"/>
    <n v="1082.251"/>
    <n v="1084"/>
    <n v="0.16134686346863686"/>
    <x v="1821"/>
  </r>
  <r>
    <s v="Multihop,NSFnet,100"/>
    <x v="1"/>
    <x v="0"/>
    <x v="4"/>
    <n v="1071.107"/>
    <n v="1084"/>
    <n v="1.189391143911442"/>
    <x v="1822"/>
  </r>
  <r>
    <s v="Multihop,NSFnet,100"/>
    <x v="1"/>
    <x v="0"/>
    <x v="4"/>
    <n v="1056.76"/>
    <n v="1084"/>
    <n v="2.5129151291512923"/>
    <x v="1823"/>
  </r>
  <r>
    <s v="Multihop,NSFnet,100"/>
    <x v="1"/>
    <x v="0"/>
    <x v="4"/>
    <n v="1056.4090000000001"/>
    <n v="1084"/>
    <n v="2.5452952029520195"/>
    <x v="1824"/>
  </r>
  <r>
    <s v="Multihop,NSFnet,100"/>
    <x v="1"/>
    <x v="0"/>
    <x v="4"/>
    <n v="1105.1120000000001"/>
    <n v="1084"/>
    <n v="1.9476014760147673"/>
    <x v="1825"/>
  </r>
  <r>
    <s v="Multihop,NSFnet,100"/>
    <x v="1"/>
    <x v="0"/>
    <x v="4"/>
    <n v="1064.576"/>
    <n v="1084"/>
    <n v="1.7918819188191861"/>
    <x v="1826"/>
  </r>
  <r>
    <s v="Multihop,NSFnet,100"/>
    <x v="1"/>
    <x v="0"/>
    <x v="4"/>
    <n v="1125.893"/>
    <n v="1084"/>
    <n v="3.8646678966789692"/>
    <x v="1827"/>
  </r>
  <r>
    <s v="Multihop,NSFnet,100"/>
    <x v="1"/>
    <x v="0"/>
    <x v="4"/>
    <n v="1010.329"/>
    <n v="1084"/>
    <n v="6.7962177121771257"/>
    <x v="1828"/>
  </r>
  <r>
    <s v="Multihop,NSFnet,100"/>
    <x v="1"/>
    <x v="0"/>
    <x v="4"/>
    <n v="1042.537"/>
    <n v="1084"/>
    <n v="3.8249999999999971"/>
    <x v="1829"/>
  </r>
  <r>
    <s v="Multihop,NSFnet,100"/>
    <x v="1"/>
    <x v="0"/>
    <x v="4"/>
    <n v="1102.3599999999999"/>
    <n v="1084"/>
    <n v="1.6937269372693635"/>
    <x v="1830"/>
  </r>
  <r>
    <s v="Multihop,NSFnet,100"/>
    <x v="1"/>
    <x v="0"/>
    <x v="4"/>
    <n v="1044.0229999999999"/>
    <n v="1084"/>
    <n v="3.6879151291513002"/>
    <x v="1831"/>
  </r>
  <r>
    <s v="Multihop,NSFnet,100"/>
    <x v="1"/>
    <x v="0"/>
    <x v="4"/>
    <n v="1065.818"/>
    <n v="1084"/>
    <n v="1.6773062730627322"/>
    <x v="1832"/>
  </r>
  <r>
    <s v="Multihop,NSFnet,100"/>
    <x v="1"/>
    <x v="0"/>
    <x v="4"/>
    <n v="1070.9390000000001"/>
    <n v="1084"/>
    <n v="1.2048892988929816"/>
    <x v="1833"/>
  </r>
  <r>
    <s v="Multihop,NSFnet,100"/>
    <x v="1"/>
    <x v="0"/>
    <x v="4"/>
    <n v="1054.4159999999999"/>
    <n v="1084"/>
    <n v="2.7291512915129204"/>
    <x v="1834"/>
  </r>
  <r>
    <s v="Multihop,NSFnet,100"/>
    <x v="1"/>
    <x v="0"/>
    <x v="4"/>
    <n v="981.91800000000001"/>
    <n v="1084"/>
    <n v="9.4171586715867157"/>
    <x v="1835"/>
  </r>
  <r>
    <s v="Multihop,NSFnet,100"/>
    <x v="1"/>
    <x v="0"/>
    <x v="4"/>
    <n v="1098.384"/>
    <n v="1084"/>
    <n v="1.3269372693726951"/>
    <x v="1836"/>
  </r>
  <r>
    <s v="Multihop,NSFnet,100"/>
    <x v="1"/>
    <x v="0"/>
    <x v="4"/>
    <n v="1091.1379999999999"/>
    <n v="1084"/>
    <n v="0.65848708487084129"/>
    <x v="1837"/>
  </r>
  <r>
    <s v="Multihop,NSFnet,100"/>
    <x v="1"/>
    <x v="0"/>
    <x v="4"/>
    <n v="1035.6869999999999"/>
    <n v="1084"/>
    <n v="4.4569188191882017"/>
    <x v="1838"/>
  </r>
  <r>
    <s v="Multihop,NSFnet,100"/>
    <x v="1"/>
    <x v="0"/>
    <x v="4"/>
    <n v="1021.827"/>
    <n v="1084"/>
    <n v="5.7355166051660511"/>
    <x v="1839"/>
  </r>
  <r>
    <s v="Multihop,NSFnet,100"/>
    <x v="1"/>
    <x v="0"/>
    <x v="4"/>
    <n v="1101.0229999999999"/>
    <n v="1084"/>
    <n v="1.5703874538745306"/>
    <x v="1840"/>
  </r>
  <r>
    <s v="Multihop,NSFnet,100"/>
    <x v="1"/>
    <x v="0"/>
    <x v="4"/>
    <n v="1048.499"/>
    <n v="1084"/>
    <n v="3.2749999999999981"/>
    <x v="1841"/>
  </r>
  <r>
    <s v="Multihop,NSFnet,100"/>
    <x v="1"/>
    <x v="0"/>
    <x v="4"/>
    <n v="1051.3710000000001"/>
    <n v="1084"/>
    <n v="3.0100553505534968"/>
    <x v="1842"/>
  </r>
  <r>
    <s v="Multihop,NSFnet,100"/>
    <x v="1"/>
    <x v="0"/>
    <x v="4"/>
    <n v="1106.203"/>
    <n v="1084"/>
    <n v="2.0482472324723222"/>
    <x v="1843"/>
  </r>
  <r>
    <s v="Multihop,NSFnet,100"/>
    <x v="1"/>
    <x v="0"/>
    <x v="4"/>
    <n v="1121.039"/>
    <n v="1084"/>
    <n v="3.416881918819187"/>
    <x v="1844"/>
  </r>
  <r>
    <s v="Multihop,NSFnet,100"/>
    <x v="1"/>
    <x v="0"/>
    <x v="4"/>
    <n v="1059.2070000000001"/>
    <n v="1084"/>
    <n v="2.2871771217712076"/>
    <x v="1845"/>
  </r>
  <r>
    <s v="Multihop,NSFnet,100"/>
    <x v="1"/>
    <x v="0"/>
    <x v="4"/>
    <n v="1079.6769999999999"/>
    <n v="1084"/>
    <n v="0.39880073800738863"/>
    <x v="1846"/>
  </r>
  <r>
    <s v="Multihop,NSFnet,100"/>
    <x v="1"/>
    <x v="0"/>
    <x v="4"/>
    <n v="1022.476"/>
    <n v="1084"/>
    <n v="5.6756457564575644"/>
    <x v="1847"/>
  </r>
  <r>
    <s v="Multihop,NSFnet,100"/>
    <x v="1"/>
    <x v="0"/>
    <x v="4"/>
    <n v="1010.413"/>
    <n v="1084"/>
    <n v="6.7884686346863452"/>
    <x v="1848"/>
  </r>
  <r>
    <s v="Multihop,NSFnet,100"/>
    <x v="1"/>
    <x v="0"/>
    <x v="4"/>
    <n v="1040.6600000000001"/>
    <n v="1084"/>
    <n v="3.9981549815498076"/>
    <x v="1849"/>
  </r>
  <r>
    <s v="Multihop,NSFnet,100"/>
    <x v="1"/>
    <x v="0"/>
    <x v="4"/>
    <n v="1025.4760000000001"/>
    <n v="1084"/>
    <n v="5.3988929889298793"/>
    <x v="1850"/>
  </r>
  <r>
    <s v="Multihop,NSFnet,100"/>
    <x v="1"/>
    <x v="0"/>
    <x v="4"/>
    <n v="1087.9949999999999"/>
    <n v="1084"/>
    <n v="0.36854243542434417"/>
    <x v="1851"/>
  </r>
  <r>
    <s v="Multihop,NSFnet,100"/>
    <x v="1"/>
    <x v="0"/>
    <x v="4"/>
    <n v="1063.0519999999999"/>
    <n v="1084"/>
    <n v="1.932472324723256"/>
    <x v="1852"/>
  </r>
  <r>
    <s v="Multihop,NSFnet,100"/>
    <x v="1"/>
    <x v="0"/>
    <x v="4"/>
    <n v="1111.098"/>
    <n v="1084"/>
    <n v="2.4998154981549772"/>
    <x v="1853"/>
  </r>
  <r>
    <s v="Multihop,NSFnet,100"/>
    <x v="1"/>
    <x v="0"/>
    <x v="4"/>
    <n v="1084.7190000000001"/>
    <n v="1084"/>
    <n v="6.6328413284137536E-2"/>
    <x v="1854"/>
  </r>
  <r>
    <s v="Multihop,NSFnet,100"/>
    <x v="1"/>
    <x v="0"/>
    <x v="4"/>
    <n v="1039.675"/>
    <n v="1084"/>
    <n v="4.0890221402214069"/>
    <x v="1855"/>
  </r>
  <r>
    <s v="Multihop,NSFnet,100"/>
    <x v="1"/>
    <x v="0"/>
    <x v="4"/>
    <n v="1119.0909999999999"/>
    <n v="1084"/>
    <n v="3.2371771217712078"/>
    <x v="1856"/>
  </r>
  <r>
    <s v="Multihop,NSFnet,100"/>
    <x v="1"/>
    <x v="0"/>
    <x v="4"/>
    <n v="1075.925"/>
    <n v="1084"/>
    <n v="0.74492619926199688"/>
    <x v="1857"/>
  </r>
  <r>
    <s v="Multihop,NSFnet,100"/>
    <x v="1"/>
    <x v="0"/>
    <x v="4"/>
    <n v="1060.2560000000001"/>
    <n v="1084"/>
    <n v="2.1904059040590327"/>
    <x v="1858"/>
  </r>
  <r>
    <s v="Multihop,NSFnet,100"/>
    <x v="1"/>
    <x v="0"/>
    <x v="4"/>
    <n v="996.23699999999997"/>
    <n v="1084"/>
    <n v="8.0962177121771237"/>
    <x v="1859"/>
  </r>
  <r>
    <s v="Multihop,NSFnet,100"/>
    <x v="1"/>
    <x v="0"/>
    <x v="4"/>
    <n v="1047.5170000000001"/>
    <n v="1084"/>
    <n v="3.3655904059040544"/>
    <x v="1860"/>
  </r>
  <r>
    <s v="Multihop,NSFnet,100"/>
    <x v="1"/>
    <x v="0"/>
    <x v="4"/>
    <n v="1087.31"/>
    <n v="1084"/>
    <n v="0.30535055350553003"/>
    <x v="1861"/>
  </r>
  <r>
    <s v="Multihop,NSFnet,100"/>
    <x v="1"/>
    <x v="0"/>
    <x v="4"/>
    <n v="1054.4690000000001"/>
    <n v="1084"/>
    <n v="2.7242619926199212"/>
    <x v="1862"/>
  </r>
  <r>
    <s v="Multihop,NSFnet,100"/>
    <x v="1"/>
    <x v="0"/>
    <x v="4"/>
    <n v="1036.5409999999999"/>
    <n v="1084"/>
    <n v="4.3781365313653193"/>
    <x v="1863"/>
  </r>
  <r>
    <s v="Multihop,NSFnet,100"/>
    <x v="1"/>
    <x v="0"/>
    <x v="4"/>
    <n v="1064.355"/>
    <n v="1084"/>
    <n v="1.8122693726937251"/>
    <x v="1864"/>
  </r>
  <r>
    <s v="Multihop,NSFnet,100"/>
    <x v="1"/>
    <x v="0"/>
    <x v="4"/>
    <n v="1005.522"/>
    <n v="1084"/>
    <n v="7.2396678966789629"/>
    <x v="1865"/>
  </r>
  <r>
    <s v="Multihop,NSFnet,100"/>
    <x v="1"/>
    <x v="0"/>
    <x v="4"/>
    <n v="1015.438"/>
    <n v="1084"/>
    <n v="6.3249077490774921"/>
    <x v="1866"/>
  </r>
  <r>
    <s v="Multihop,NSFnet,100"/>
    <x v="1"/>
    <x v="0"/>
    <x v="4"/>
    <n v="1106.3209999999999"/>
    <n v="1084"/>
    <n v="2.0591328413284051"/>
    <x v="1867"/>
  </r>
  <r>
    <s v="Multihop,NSFnet,100"/>
    <x v="1"/>
    <x v="0"/>
    <x v="4"/>
    <n v="1042.3779999999999"/>
    <n v="1084"/>
    <n v="3.8396678966789737"/>
    <x v="1868"/>
  </r>
  <r>
    <s v="Multihop,NSFnet,100"/>
    <x v="1"/>
    <x v="0"/>
    <x v="4"/>
    <n v="1039.51"/>
    <n v="1084"/>
    <n v="4.1042435424354258"/>
    <x v="1869"/>
  </r>
  <r>
    <s v="Multihop,NSFnet,100"/>
    <x v="1"/>
    <x v="0"/>
    <x v="4"/>
    <n v="1073.5640000000001"/>
    <n v="1084"/>
    <n v="0.9627306273062658"/>
    <x v="1870"/>
  </r>
  <r>
    <s v="Multihop,NSFnet,100"/>
    <x v="1"/>
    <x v="0"/>
    <x v="4"/>
    <n v="1038.5519999999999"/>
    <n v="1084"/>
    <n v="4.1926199261992707"/>
    <x v="1871"/>
  </r>
  <r>
    <s v="Multihop,NSFnet,100"/>
    <x v="1"/>
    <x v="0"/>
    <x v="4"/>
    <n v="1076.634"/>
    <n v="1084"/>
    <n v="0.67952029520295065"/>
    <x v="1872"/>
  </r>
  <r>
    <s v="Multihop,NSFnet,100"/>
    <x v="1"/>
    <x v="0"/>
    <x v="4"/>
    <n v="1050.289"/>
    <n v="1084"/>
    <n v="3.1098708487084883"/>
    <x v="1873"/>
  </r>
  <r>
    <s v="Multihop,NSFnet,100"/>
    <x v="1"/>
    <x v="0"/>
    <x v="4"/>
    <n v="1071.5889999999999"/>
    <n v="1084"/>
    <n v="1.1449261992619979"/>
    <x v="1874"/>
  </r>
  <r>
    <s v="Multihop,NSFnet,100"/>
    <x v="1"/>
    <x v="0"/>
    <x v="4"/>
    <n v="1107.19"/>
    <n v="1084"/>
    <n v="2.1392988929889349"/>
    <x v="1875"/>
  </r>
  <r>
    <s v="Multihop,NSFnet,100"/>
    <x v="1"/>
    <x v="0"/>
    <x v="4"/>
    <n v="1110.21"/>
    <n v="1084"/>
    <n v="2.4178966789667933"/>
    <x v="1876"/>
  </r>
  <r>
    <s v="Multihop,NSFnet,100"/>
    <x v="1"/>
    <x v="0"/>
    <x v="4"/>
    <n v="1082.808"/>
    <n v="1084"/>
    <n v="0.10996309963099697"/>
    <x v="1877"/>
  </r>
  <r>
    <s v="Multihop,NSFnet,100"/>
    <x v="1"/>
    <x v="0"/>
    <x v="4"/>
    <n v="999.83100000000002"/>
    <n v="1084"/>
    <n v="7.7646678966789642"/>
    <x v="1878"/>
  </r>
  <r>
    <s v="Multihop,NSFnet,100"/>
    <x v="1"/>
    <x v="0"/>
    <x v="4"/>
    <n v="1022.212"/>
    <n v="1084"/>
    <n v="5.7000000000000011"/>
    <x v="1879"/>
  </r>
  <r>
    <s v="Multihop,NSFnet,100"/>
    <x v="1"/>
    <x v="0"/>
    <x v="4"/>
    <n v="999.7"/>
    <n v="1084"/>
    <n v="7.7767527675276709"/>
    <x v="1880"/>
  </r>
  <r>
    <s v="Multihop,NSFnet,100"/>
    <x v="1"/>
    <x v="0"/>
    <x v="4"/>
    <n v="1053.8240000000001"/>
    <n v="1084"/>
    <n v="2.7837638376383698"/>
    <x v="1881"/>
  </r>
  <r>
    <s v="Multihop,NSFnet,100"/>
    <x v="1"/>
    <x v="0"/>
    <x v="4"/>
    <n v="995.73800000000006"/>
    <n v="1084"/>
    <n v="8.1422509225092199"/>
    <x v="1882"/>
  </r>
  <r>
    <s v="Multihop,NSFnet,100"/>
    <x v="1"/>
    <x v="0"/>
    <x v="4"/>
    <n v="1040.193"/>
    <n v="1084"/>
    <n v="4.0412361623616251"/>
    <x v="1883"/>
  </r>
  <r>
    <s v="Multihop,NSFnet,100"/>
    <x v="1"/>
    <x v="0"/>
    <x v="4"/>
    <n v="1030.9849999999999"/>
    <n v="1084"/>
    <n v="4.8906826568265771"/>
    <x v="1884"/>
  </r>
  <r>
    <s v="Multihop,NSFnet,100"/>
    <x v="1"/>
    <x v="0"/>
    <x v="4"/>
    <n v="1046.115"/>
    <n v="1084"/>
    <n v="3.4949261992619918"/>
    <x v="1885"/>
  </r>
  <r>
    <s v="Multihop,NSFnet,100"/>
    <x v="1"/>
    <x v="0"/>
    <x v="4"/>
    <n v="1162.944"/>
    <n v="1084"/>
    <n v="7.2826568265682621"/>
    <x v="1886"/>
  </r>
  <r>
    <s v="Multihop,NSFnet,100"/>
    <x v="1"/>
    <x v="0"/>
    <x v="4"/>
    <n v="1073.903"/>
    <n v="1084"/>
    <n v="0.93145756457564399"/>
    <x v="1887"/>
  </r>
  <r>
    <s v="Multihop,NSFnet,100"/>
    <x v="1"/>
    <x v="0"/>
    <x v="4"/>
    <n v="1046.222"/>
    <n v="1084"/>
    <n v="3.4850553505535071"/>
    <x v="1888"/>
  </r>
  <r>
    <s v="Multihop,NSFnet,100"/>
    <x v="1"/>
    <x v="0"/>
    <x v="4"/>
    <n v="1067.1379999999999"/>
    <n v="1084"/>
    <n v="1.5555350553505609"/>
    <x v="1889"/>
  </r>
  <r>
    <s v="Multihop,NSFnet,100"/>
    <x v="1"/>
    <x v="0"/>
    <x v="4"/>
    <n v="1105.18"/>
    <n v="1084"/>
    <n v="1.9538745387453933"/>
    <x v="1890"/>
  </r>
  <r>
    <s v="Multihop,NSFnet,100"/>
    <x v="1"/>
    <x v="0"/>
    <x v="4"/>
    <n v="1047.376"/>
    <n v="1084"/>
    <n v="3.378597785977862"/>
    <x v="1891"/>
  </r>
  <r>
    <s v="Multihop,NSFnet,100"/>
    <x v="1"/>
    <x v="0"/>
    <x v="4"/>
    <n v="1019.954"/>
    <n v="1084"/>
    <n v="5.9083025830258347"/>
    <x v="1892"/>
  </r>
  <r>
    <s v="Multihop,NSFnet,100"/>
    <x v="1"/>
    <x v="0"/>
    <x v="4"/>
    <n v="1036.8209999999999"/>
    <n v="1084"/>
    <n v="4.3523062730627382"/>
    <x v="1893"/>
  </r>
  <r>
    <s v="Multihop,NSFnet,100"/>
    <x v="1"/>
    <x v="0"/>
    <x v="4"/>
    <n v="1044.78"/>
    <n v="1084"/>
    <n v="3.618081180811811"/>
    <x v="1894"/>
  </r>
  <r>
    <s v="Multihop,NSFnet,100"/>
    <x v="1"/>
    <x v="0"/>
    <x v="4"/>
    <n v="1041.105"/>
    <n v="1084"/>
    <n v="3.9571033210332085"/>
    <x v="1895"/>
  </r>
  <r>
    <s v="Multihop,NSFnet,100"/>
    <x v="1"/>
    <x v="0"/>
    <x v="4"/>
    <n v="1061.4359999999999"/>
    <n v="1084"/>
    <n v="2.0815498154981622"/>
    <x v="1896"/>
  </r>
  <r>
    <s v="Multihop,NSFnet,120"/>
    <x v="1"/>
    <x v="0"/>
    <x v="5"/>
    <n v="1311.8130000000001"/>
    <n v="1282"/>
    <n v="2.3255070202808192"/>
    <x v="1897"/>
  </r>
  <r>
    <s v="Multihop,NSFnet,120"/>
    <x v="1"/>
    <x v="0"/>
    <x v="5"/>
    <n v="1209.723"/>
    <n v="1282"/>
    <n v="5.6378315132605339"/>
    <x v="1898"/>
  </r>
  <r>
    <s v="Multihop,NSFnet,120"/>
    <x v="1"/>
    <x v="0"/>
    <x v="5"/>
    <n v="1275.4960000000001"/>
    <n v="1282"/>
    <n v="0.50733229329172425"/>
    <x v="1899"/>
  </r>
  <r>
    <s v="Multihop,NSFnet,120"/>
    <x v="1"/>
    <x v="0"/>
    <x v="5"/>
    <n v="1303.0999999999999"/>
    <n v="1282"/>
    <n v="1.6458658346333781"/>
    <x v="1900"/>
  </r>
  <r>
    <s v="Multihop,NSFnet,120"/>
    <x v="1"/>
    <x v="0"/>
    <x v="5"/>
    <n v="1278.847"/>
    <n v="1282"/>
    <n v="0.2459438377535117"/>
    <x v="1901"/>
  </r>
  <r>
    <s v="Multihop,NSFnet,120"/>
    <x v="1"/>
    <x v="0"/>
    <x v="5"/>
    <n v="1193.1759999999999"/>
    <n v="1282"/>
    <n v="6.9285491419656839"/>
    <x v="1902"/>
  </r>
  <r>
    <s v="Multihop,NSFnet,120"/>
    <x v="1"/>
    <x v="0"/>
    <x v="5"/>
    <n v="1267.412"/>
    <n v="1282"/>
    <n v="1.1379095163806525"/>
    <x v="1903"/>
  </r>
  <r>
    <s v="Multihop,NSFnet,120"/>
    <x v="1"/>
    <x v="0"/>
    <x v="5"/>
    <n v="1220.3330000000001"/>
    <n v="1282"/>
    <n v="4.8102184087363424"/>
    <x v="1904"/>
  </r>
  <r>
    <s v="Multihop,NSFnet,120"/>
    <x v="1"/>
    <x v="0"/>
    <x v="5"/>
    <n v="1306.915"/>
    <n v="1282"/>
    <n v="1.9434477379095136"/>
    <x v="1905"/>
  </r>
  <r>
    <s v="Multihop,NSFnet,120"/>
    <x v="1"/>
    <x v="0"/>
    <x v="5"/>
    <n v="1285.9590000000001"/>
    <n v="1282"/>
    <n v="0.30881435257410761"/>
    <x v="1906"/>
  </r>
  <r>
    <s v="Multihop,NSFnet,120"/>
    <x v="1"/>
    <x v="0"/>
    <x v="5"/>
    <n v="1186.123"/>
    <n v="1282"/>
    <n v="7.4787051482059246"/>
    <x v="1907"/>
  </r>
  <r>
    <s v="Multihop,NSFnet,120"/>
    <x v="1"/>
    <x v="0"/>
    <x v="5"/>
    <n v="1300.1679999999999"/>
    <n v="1282"/>
    <n v="1.4171606864274486"/>
    <x v="1908"/>
  </r>
  <r>
    <s v="Multihop,NSFnet,120"/>
    <x v="1"/>
    <x v="0"/>
    <x v="5"/>
    <n v="1346.31"/>
    <n v="1282"/>
    <n v="5.0163806552262047"/>
    <x v="1909"/>
  </r>
  <r>
    <s v="Multihop,NSFnet,120"/>
    <x v="1"/>
    <x v="0"/>
    <x v="5"/>
    <n v="1255.3699999999999"/>
    <n v="1282"/>
    <n v="2.0772230889235654"/>
    <x v="1910"/>
  </r>
  <r>
    <s v="Multihop,NSFnet,120"/>
    <x v="1"/>
    <x v="0"/>
    <x v="5"/>
    <n v="1230.345"/>
    <n v="1282"/>
    <n v="4.0292511700468001"/>
    <x v="1911"/>
  </r>
  <r>
    <s v="Multihop,NSFnet,120"/>
    <x v="1"/>
    <x v="0"/>
    <x v="5"/>
    <n v="1364.365"/>
    <n v="1282"/>
    <n v="6.4247269890795637"/>
    <x v="1912"/>
  </r>
  <r>
    <s v="Multihop,NSFnet,120"/>
    <x v="1"/>
    <x v="0"/>
    <x v="5"/>
    <n v="1288.308"/>
    <n v="1282"/>
    <n v="0.49204368174726931"/>
    <x v="1913"/>
  </r>
  <r>
    <s v="Multihop,NSFnet,120"/>
    <x v="1"/>
    <x v="0"/>
    <x v="5"/>
    <n v="1306.934"/>
    <n v="1282"/>
    <n v="1.9449297971918851"/>
    <x v="1914"/>
  </r>
  <r>
    <s v="Multihop,NSFnet,120"/>
    <x v="1"/>
    <x v="0"/>
    <x v="5"/>
    <n v="1234.8340000000001"/>
    <n v="1282"/>
    <n v="3.6790951638065477"/>
    <x v="1915"/>
  </r>
  <r>
    <s v="Multihop,NSFnet,120"/>
    <x v="1"/>
    <x v="0"/>
    <x v="5"/>
    <n v="1178.366"/>
    <n v="1282"/>
    <n v="8.083775351014042"/>
    <x v="1916"/>
  </r>
  <r>
    <s v="Multihop,NSFnet,120"/>
    <x v="1"/>
    <x v="0"/>
    <x v="5"/>
    <n v="1224.8019999999999"/>
    <n v="1282"/>
    <n v="4.4616224648986034"/>
    <x v="1917"/>
  </r>
  <r>
    <s v="Multihop,NSFnet,120"/>
    <x v="1"/>
    <x v="0"/>
    <x v="5"/>
    <n v="1307.1420000000001"/>
    <n v="1282"/>
    <n v="1.9611544461778512"/>
    <x v="1918"/>
  </r>
  <r>
    <s v="Multihop,NSFnet,120"/>
    <x v="1"/>
    <x v="0"/>
    <x v="5"/>
    <n v="1225.721"/>
    <n v="1282"/>
    <n v="4.3899375975038994"/>
    <x v="1919"/>
  </r>
  <r>
    <s v="Multihop,NSFnet,120"/>
    <x v="1"/>
    <x v="0"/>
    <x v="5"/>
    <n v="1251.146"/>
    <n v="1282"/>
    <n v="2.4067082683307364"/>
    <x v="1920"/>
  </r>
  <r>
    <s v="Multihop,NSFnet,120"/>
    <x v="1"/>
    <x v="0"/>
    <x v="5"/>
    <n v="1330.194"/>
    <n v="1282"/>
    <n v="3.7592823712948489"/>
    <x v="1921"/>
  </r>
  <r>
    <s v="Multihop,NSFnet,120"/>
    <x v="1"/>
    <x v="0"/>
    <x v="5"/>
    <n v="1307.4469999999999"/>
    <n v="1282"/>
    <n v="1.984945397815904"/>
    <x v="1922"/>
  </r>
  <r>
    <s v="Multihop,NSFnet,120"/>
    <x v="1"/>
    <x v="0"/>
    <x v="5"/>
    <n v="1293.3489999999999"/>
    <n v="1282"/>
    <n v="0.88525741029640659"/>
    <x v="1923"/>
  </r>
  <r>
    <s v="Multihop,NSFnet,120"/>
    <x v="1"/>
    <x v="0"/>
    <x v="5"/>
    <n v="1242.145"/>
    <n v="1282"/>
    <n v="3.1088143525741043"/>
    <x v="1924"/>
  </r>
  <r>
    <s v="Multihop,NSFnet,120"/>
    <x v="1"/>
    <x v="0"/>
    <x v="5"/>
    <n v="1173.5409999999999"/>
    <n v="1282"/>
    <n v="8.4601404056162295"/>
    <x v="1925"/>
  </r>
  <r>
    <s v="Multihop,NSFnet,120"/>
    <x v="1"/>
    <x v="0"/>
    <x v="5"/>
    <n v="1161.1400000000001"/>
    <n v="1282"/>
    <n v="9.4274570982839236"/>
    <x v="1926"/>
  </r>
  <r>
    <s v="Multihop,NSFnet,120"/>
    <x v="1"/>
    <x v="0"/>
    <x v="5"/>
    <n v="1231.43"/>
    <n v="1282"/>
    <n v="3.9446177847113835"/>
    <x v="1927"/>
  </r>
  <r>
    <s v="Multihop,NSFnet,120"/>
    <x v="1"/>
    <x v="0"/>
    <x v="5"/>
    <n v="1293.3489999999999"/>
    <n v="1282"/>
    <n v="0.88525741029640659"/>
    <x v="1923"/>
  </r>
  <r>
    <s v="Multihop,NSFnet,120"/>
    <x v="1"/>
    <x v="0"/>
    <x v="5"/>
    <n v="1306.2809999999999"/>
    <n v="1282"/>
    <n v="1.893993759750386"/>
    <x v="1928"/>
  </r>
  <r>
    <s v="Multihop,NSFnet,120"/>
    <x v="1"/>
    <x v="0"/>
    <x v="5"/>
    <n v="1208.0650000000001"/>
    <n v="1282"/>
    <n v="5.7671606864274523"/>
    <x v="1929"/>
  </r>
  <r>
    <s v="Multihop,NSFnet,120"/>
    <x v="1"/>
    <x v="0"/>
    <x v="5"/>
    <n v="1263.886"/>
    <n v="1282"/>
    <n v="1.4129485179407202"/>
    <x v="1930"/>
  </r>
  <r>
    <s v="Multihop,NSFnet,120"/>
    <x v="1"/>
    <x v="0"/>
    <x v="5"/>
    <n v="1308.9929999999999"/>
    <n v="1282"/>
    <n v="2.1055382215288563"/>
    <x v="1931"/>
  </r>
  <r>
    <s v="Multihop,NSFnet,120"/>
    <x v="1"/>
    <x v="0"/>
    <x v="5"/>
    <n v="1264.7329999999999"/>
    <n v="1282"/>
    <n v="1.346879875195012"/>
    <x v="1932"/>
  </r>
  <r>
    <s v="Multihop,NSFnet,120"/>
    <x v="1"/>
    <x v="0"/>
    <x v="5"/>
    <n v="1279.56"/>
    <n v="1282"/>
    <n v="0.19032761310452845"/>
    <x v="1933"/>
  </r>
  <r>
    <s v="Multihop,NSFnet,120"/>
    <x v="1"/>
    <x v="0"/>
    <x v="5"/>
    <n v="1315.942"/>
    <n v="1282"/>
    <n v="2.6475819032761314"/>
    <x v="1934"/>
  </r>
  <r>
    <s v="Multihop,NSFnet,120"/>
    <x v="1"/>
    <x v="0"/>
    <x v="5"/>
    <n v="1280.7950000000001"/>
    <n v="1282"/>
    <n v="9.3993759750384348E-2"/>
    <x v="1935"/>
  </r>
  <r>
    <s v="Multihop,NSFnet,120"/>
    <x v="1"/>
    <x v="0"/>
    <x v="5"/>
    <n v="1292.691"/>
    <n v="1282"/>
    <n v="0.83393135725429257"/>
    <x v="1936"/>
  </r>
  <r>
    <s v="Multihop,NSFnet,120"/>
    <x v="1"/>
    <x v="0"/>
    <x v="5"/>
    <n v="1171.1110000000001"/>
    <n v="1282"/>
    <n v="8.6496879875194921"/>
    <x v="1937"/>
  </r>
  <r>
    <s v="Multihop,NSFnet,120"/>
    <x v="1"/>
    <x v="0"/>
    <x v="5"/>
    <n v="1230.8720000000001"/>
    <n v="1282"/>
    <n v="3.988143525741024"/>
    <x v="1938"/>
  </r>
  <r>
    <s v="Multihop,NSFnet,120"/>
    <x v="1"/>
    <x v="0"/>
    <x v="5"/>
    <n v="1235.501"/>
    <n v="1282"/>
    <n v="3.6270670826833094"/>
    <x v="1939"/>
  </r>
  <r>
    <s v="Multihop,NSFnet,120"/>
    <x v="1"/>
    <x v="0"/>
    <x v="5"/>
    <n v="1239.6669999999999"/>
    <n v="1282"/>
    <n v="3.302106084243376"/>
    <x v="1940"/>
  </r>
  <r>
    <s v="Multihop,NSFnet,120"/>
    <x v="1"/>
    <x v="0"/>
    <x v="5"/>
    <n v="1305.075"/>
    <n v="1282"/>
    <n v="1.7999219968798787"/>
    <x v="1941"/>
  </r>
  <r>
    <s v="Multihop,NSFnet,120"/>
    <x v="1"/>
    <x v="0"/>
    <x v="5"/>
    <n v="1282.6510000000001"/>
    <n v="1282"/>
    <n v="5.0780031201253295E-2"/>
    <x v="1942"/>
  </r>
  <r>
    <s v="Multihop,NSFnet,120"/>
    <x v="1"/>
    <x v="0"/>
    <x v="5"/>
    <n v="1256.068"/>
    <n v="1282"/>
    <n v="2.0227769110764444"/>
    <x v="1943"/>
  </r>
  <r>
    <s v="Multihop,NSFnet,120"/>
    <x v="1"/>
    <x v="0"/>
    <x v="5"/>
    <n v="1194.4459999999999"/>
    <n v="1282"/>
    <n v="6.8294851794071825"/>
    <x v="1944"/>
  </r>
  <r>
    <s v="Multihop,NSFnet,120"/>
    <x v="1"/>
    <x v="0"/>
    <x v="5"/>
    <n v="1255.23"/>
    <n v="1282"/>
    <n v="2.0881435257410281"/>
    <x v="1945"/>
  </r>
  <r>
    <s v="Multihop,NSFnet,120"/>
    <x v="1"/>
    <x v="0"/>
    <x v="5"/>
    <n v="1262.5160000000001"/>
    <n v="1282"/>
    <n v="1.5198127925116944"/>
    <x v="1946"/>
  </r>
  <r>
    <s v="Multihop,NSFnet,120"/>
    <x v="1"/>
    <x v="0"/>
    <x v="5"/>
    <n v="1305.0899999999999"/>
    <n v="1282"/>
    <n v="1.8010920436817408"/>
    <x v="1947"/>
  </r>
  <r>
    <s v="Multihop,NSFnet,120"/>
    <x v="1"/>
    <x v="0"/>
    <x v="5"/>
    <n v="1329.2860000000001"/>
    <n v="1282"/>
    <n v="3.6884555382215334"/>
    <x v="1948"/>
  </r>
  <r>
    <s v="Multihop,NSFnet,120"/>
    <x v="1"/>
    <x v="0"/>
    <x v="5"/>
    <n v="1323.845"/>
    <n v="1282"/>
    <n v="3.2640405616224673"/>
    <x v="1949"/>
  </r>
  <r>
    <s v="Multihop,NSFnet,120"/>
    <x v="1"/>
    <x v="0"/>
    <x v="5"/>
    <n v="1274.9580000000001"/>
    <n v="1282"/>
    <n v="0.5492979719188702"/>
    <x v="1950"/>
  </r>
  <r>
    <s v="Multihop,NSFnet,120"/>
    <x v="1"/>
    <x v="0"/>
    <x v="5"/>
    <n v="1213.356"/>
    <n v="1282"/>
    <n v="5.3544461778471142"/>
    <x v="1951"/>
  </r>
  <r>
    <s v="Multihop,NSFnet,120"/>
    <x v="1"/>
    <x v="0"/>
    <x v="5"/>
    <n v="1280.787"/>
    <n v="1282"/>
    <n v="9.4617784711385752E-2"/>
    <x v="1952"/>
  </r>
  <r>
    <s v="Multihop,NSFnet,120"/>
    <x v="1"/>
    <x v="0"/>
    <x v="5"/>
    <n v="1247.8579999999999"/>
    <n v="1282"/>
    <n v="2.6631825273010961"/>
    <x v="1953"/>
  </r>
  <r>
    <s v="Multihop,NSFnet,120"/>
    <x v="1"/>
    <x v="0"/>
    <x v="5"/>
    <n v="1321.7840000000001"/>
    <n v="1282"/>
    <n v="3.1032761310452499"/>
    <x v="1954"/>
  </r>
  <r>
    <s v="Multihop,NSFnet,120"/>
    <x v="1"/>
    <x v="0"/>
    <x v="5"/>
    <n v="1281.009"/>
    <n v="1282"/>
    <n v="7.7301092043680616E-2"/>
    <x v="1955"/>
  </r>
  <r>
    <s v="Multihop,NSFnet,120"/>
    <x v="1"/>
    <x v="0"/>
    <x v="5"/>
    <n v="1261.1010000000001"/>
    <n v="1282"/>
    <n v="1.6301872074882908"/>
    <x v="1956"/>
  </r>
  <r>
    <s v="Multihop,NSFnet,120"/>
    <x v="1"/>
    <x v="0"/>
    <x v="5"/>
    <n v="1300.5709999999999"/>
    <n v="1282"/>
    <n v="1.4485959438377467"/>
    <x v="1957"/>
  </r>
  <r>
    <s v="Multihop,NSFnet,120"/>
    <x v="1"/>
    <x v="0"/>
    <x v="5"/>
    <n v="1274.768"/>
    <n v="1282"/>
    <n v="0.56411856474258737"/>
    <x v="1958"/>
  </r>
  <r>
    <s v="Multihop,NSFnet,120"/>
    <x v="1"/>
    <x v="0"/>
    <x v="5"/>
    <n v="1210.2470000000001"/>
    <n v="1282"/>
    <n v="5.596957878315127"/>
    <x v="1959"/>
  </r>
  <r>
    <s v="Multihop,NSFnet,120"/>
    <x v="1"/>
    <x v="0"/>
    <x v="5"/>
    <n v="1285.9760000000001"/>
    <n v="1282"/>
    <n v="0.31014040561623346"/>
    <x v="1960"/>
  </r>
  <r>
    <s v="Multihop,NSFnet,120"/>
    <x v="1"/>
    <x v="0"/>
    <x v="5"/>
    <n v="1272.165"/>
    <n v="1282"/>
    <n v="0.76716068642745994"/>
    <x v="1961"/>
  </r>
  <r>
    <s v="Multihop,NSFnet,120"/>
    <x v="1"/>
    <x v="0"/>
    <x v="5"/>
    <n v="1219.24"/>
    <n v="1282"/>
    <n v="4.895475819032761"/>
    <x v="1962"/>
  </r>
  <r>
    <s v="Multihop,NSFnet,120"/>
    <x v="1"/>
    <x v="0"/>
    <x v="5"/>
    <n v="1242.643"/>
    <n v="1282"/>
    <n v="3.0699687987519479"/>
    <x v="1963"/>
  </r>
  <r>
    <s v="Multihop,NSFnet,120"/>
    <x v="1"/>
    <x v="0"/>
    <x v="5"/>
    <n v="1233.874"/>
    <n v="1282"/>
    <n v="3.7539781591263628"/>
    <x v="1964"/>
  </r>
  <r>
    <s v="Multihop,NSFnet,120"/>
    <x v="1"/>
    <x v="0"/>
    <x v="5"/>
    <n v="1298.9749999999999"/>
    <n v="1282"/>
    <n v="1.3241029641185575"/>
    <x v="1965"/>
  </r>
  <r>
    <s v="Multihop,NSFnet,120"/>
    <x v="1"/>
    <x v="0"/>
    <x v="5"/>
    <n v="1289.606"/>
    <n v="1282"/>
    <n v="0.59329173166926641"/>
    <x v="1966"/>
  </r>
  <r>
    <s v="Multihop,NSFnet,120"/>
    <x v="1"/>
    <x v="0"/>
    <x v="5"/>
    <n v="1246.8920000000001"/>
    <n v="1282"/>
    <n v="2.7385335413416496"/>
    <x v="1967"/>
  </r>
  <r>
    <s v="Multihop,NSFnet,120"/>
    <x v="1"/>
    <x v="0"/>
    <x v="5"/>
    <n v="1309.319"/>
    <n v="1282"/>
    <n v="2.1309672386895446"/>
    <x v="1968"/>
  </r>
  <r>
    <s v="Multihop,NSFnet,120"/>
    <x v="1"/>
    <x v="0"/>
    <x v="5"/>
    <n v="1230.9000000000001"/>
    <n v="1282"/>
    <n v="3.9859594383775279"/>
    <x v="1969"/>
  </r>
  <r>
    <s v="Multihop,NSFnet,120"/>
    <x v="1"/>
    <x v="0"/>
    <x v="5"/>
    <n v="1265.1569999999999"/>
    <n v="1282"/>
    <n v="1.3138065522620963"/>
    <x v="1970"/>
  </r>
  <r>
    <s v="Multihop,NSFnet,120"/>
    <x v="1"/>
    <x v="0"/>
    <x v="5"/>
    <n v="1212.9770000000001"/>
    <n v="1282"/>
    <n v="5.3840093603744084"/>
    <x v="1971"/>
  </r>
  <r>
    <s v="Multihop,NSFnet,120"/>
    <x v="1"/>
    <x v="0"/>
    <x v="5"/>
    <n v="1252.4780000000001"/>
    <n v="1282"/>
    <n v="2.3028081123244877"/>
    <x v="1972"/>
  </r>
  <r>
    <s v="Multihop,NSFnet,120"/>
    <x v="1"/>
    <x v="0"/>
    <x v="5"/>
    <n v="1170.355"/>
    <n v="1282"/>
    <n v="8.7086583463338521"/>
    <x v="1973"/>
  </r>
  <r>
    <s v="Multihop,NSFnet,120"/>
    <x v="1"/>
    <x v="0"/>
    <x v="5"/>
    <n v="1306.297"/>
    <n v="1282"/>
    <n v="1.8952418096723889"/>
    <x v="1974"/>
  </r>
  <r>
    <s v="Multihop,NSFnet,120"/>
    <x v="1"/>
    <x v="0"/>
    <x v="5"/>
    <n v="1245.3610000000001"/>
    <n v="1282"/>
    <n v="2.8579563182527221"/>
    <x v="1975"/>
  </r>
  <r>
    <s v="Multihop,NSFnet,120"/>
    <x v="1"/>
    <x v="0"/>
    <x v="5"/>
    <n v="1243.482"/>
    <n v="1282"/>
    <n v="3.0045241809672407"/>
    <x v="1976"/>
  </r>
  <r>
    <s v="Multihop,NSFnet,120"/>
    <x v="1"/>
    <x v="0"/>
    <x v="5"/>
    <n v="1189.527"/>
    <n v="1282"/>
    <n v="7.2131825273010888"/>
    <x v="1977"/>
  </r>
  <r>
    <s v="Multihop,NSFnet,120"/>
    <x v="1"/>
    <x v="0"/>
    <x v="5"/>
    <n v="1226.778"/>
    <n v="1282"/>
    <n v="4.3074882995319799"/>
    <x v="1978"/>
  </r>
  <r>
    <s v="Multihop,NSFnet,120"/>
    <x v="1"/>
    <x v="0"/>
    <x v="5"/>
    <n v="1307.002"/>
    <n v="1282"/>
    <n v="1.9502340093603707"/>
    <x v="1979"/>
  </r>
  <r>
    <s v="Multihop,NSFnet,120"/>
    <x v="1"/>
    <x v="0"/>
    <x v="5"/>
    <n v="1289.0619999999999"/>
    <n v="1282"/>
    <n v="0.55085803432136493"/>
    <x v="1980"/>
  </r>
  <r>
    <s v="Multihop,NSFnet,120"/>
    <x v="1"/>
    <x v="0"/>
    <x v="5"/>
    <n v="1289.2190000000001"/>
    <n v="1282"/>
    <n v="0.56310452418097123"/>
    <x v="1981"/>
  </r>
  <r>
    <s v="Multihop,NSFnet,120"/>
    <x v="1"/>
    <x v="0"/>
    <x v="5"/>
    <n v="1224.23"/>
    <n v="1282"/>
    <n v="4.5062402496099825"/>
    <x v="1982"/>
  </r>
  <r>
    <s v="Multihop,NSFnet,120"/>
    <x v="1"/>
    <x v="0"/>
    <x v="5"/>
    <n v="1250.7380000000001"/>
    <n v="1282"/>
    <n v="2.4385335413416493"/>
    <x v="1983"/>
  </r>
  <r>
    <s v="Multihop,NSFnet,120"/>
    <x v="1"/>
    <x v="0"/>
    <x v="5"/>
    <n v="1263.7829999999999"/>
    <n v="1282"/>
    <n v="1.4209828393135802"/>
    <x v="1984"/>
  </r>
  <r>
    <s v="Multihop,NSFnet,120"/>
    <x v="1"/>
    <x v="0"/>
    <x v="5"/>
    <n v="1198.4090000000001"/>
    <n v="1282"/>
    <n v="6.5203588143525657"/>
    <x v="1985"/>
  </r>
  <r>
    <s v="Multihop,NSFnet,120"/>
    <x v="1"/>
    <x v="0"/>
    <x v="5"/>
    <n v="1250.1790000000001"/>
    <n v="1282"/>
    <n v="2.4821372854914125"/>
    <x v="1986"/>
  </r>
  <r>
    <s v="Multihop,NSFnet,120"/>
    <x v="1"/>
    <x v="0"/>
    <x v="5"/>
    <n v="1226.203"/>
    <n v="1282"/>
    <n v="4.352340093603746"/>
    <x v="1987"/>
  </r>
  <r>
    <s v="Multihop,NSFnet,120"/>
    <x v="1"/>
    <x v="0"/>
    <x v="5"/>
    <n v="1210.3900000000001"/>
    <n v="1282"/>
    <n v="5.5858034321372774"/>
    <x v="1988"/>
  </r>
  <r>
    <s v="Multihop,NSFnet,120"/>
    <x v="1"/>
    <x v="0"/>
    <x v="5"/>
    <n v="1342.579"/>
    <n v="1282"/>
    <n v="4.725351014040557"/>
    <x v="1989"/>
  </r>
  <r>
    <s v="Multihop,NSFnet,120"/>
    <x v="1"/>
    <x v="0"/>
    <x v="5"/>
    <n v="1288.175"/>
    <n v="1282"/>
    <n v="0.48166926677066729"/>
    <x v="1990"/>
  </r>
  <r>
    <s v="Multihop,NSFnet,120"/>
    <x v="1"/>
    <x v="0"/>
    <x v="5"/>
    <n v="1233.8979999999999"/>
    <n v="1282"/>
    <n v="3.7521060842433762"/>
    <x v="1991"/>
  </r>
  <r>
    <s v="Multihop,NSFnet,120"/>
    <x v="1"/>
    <x v="0"/>
    <x v="5"/>
    <n v="1255.8409999999999"/>
    <n v="1282"/>
    <n v="2.0404836193447817"/>
    <x v="1992"/>
  </r>
  <r>
    <s v="Multihop,NSFnet,120"/>
    <x v="1"/>
    <x v="0"/>
    <x v="5"/>
    <n v="1295.318"/>
    <n v="1282"/>
    <n v="1.0388455538221515"/>
    <x v="1993"/>
  </r>
  <r>
    <s v="Multihop,NSFnet,120"/>
    <x v="1"/>
    <x v="0"/>
    <x v="5"/>
    <n v="1246.56"/>
    <n v="1282"/>
    <n v="2.7644305772230933"/>
    <x v="1994"/>
  </r>
  <r>
    <s v="Multihop,NSFnet,120"/>
    <x v="1"/>
    <x v="0"/>
    <x v="5"/>
    <n v="1204.2070000000001"/>
    <n v="1282"/>
    <n v="6.0680967238689467"/>
    <x v="1995"/>
  </r>
  <r>
    <s v="Multihop,STnet,20"/>
    <x v="1"/>
    <x v="1"/>
    <x v="0"/>
    <n v="44.222000000000001"/>
    <n v="46"/>
    <n v="3.8652173913043453"/>
    <x v="1996"/>
  </r>
  <r>
    <s v="Multihop,STnet,20"/>
    <x v="1"/>
    <x v="1"/>
    <x v="0"/>
    <n v="43.003"/>
    <n v="46"/>
    <n v="6.5152173913043478"/>
    <x v="1997"/>
  </r>
  <r>
    <s v="Multihop,STnet,20"/>
    <x v="1"/>
    <x v="1"/>
    <x v="0"/>
    <n v="48.295000000000002"/>
    <n v="46"/>
    <n v="4.9891304347826129"/>
    <x v="1998"/>
  </r>
  <r>
    <s v="Multihop,STnet,20"/>
    <x v="1"/>
    <x v="1"/>
    <x v="0"/>
    <n v="43.003"/>
    <n v="46"/>
    <n v="6.5152173913043478"/>
    <x v="1997"/>
  </r>
  <r>
    <s v="Multihop,STnet,20"/>
    <x v="1"/>
    <x v="1"/>
    <x v="0"/>
    <n v="45.295000000000002"/>
    <n v="46"/>
    <n v="1.5326086956521701"/>
    <x v="1999"/>
  </r>
  <r>
    <s v="Multihop,STnet,20"/>
    <x v="1"/>
    <x v="1"/>
    <x v="0"/>
    <n v="42.003"/>
    <n v="46"/>
    <n v="8.6891304347826086"/>
    <x v="2000"/>
  </r>
  <r>
    <s v="Multihop,STnet,20"/>
    <x v="1"/>
    <x v="1"/>
    <x v="0"/>
    <n v="45.003"/>
    <n v="46"/>
    <n v="2.1673913043478259"/>
    <x v="2001"/>
  </r>
  <r>
    <s v="Multihop,STnet,20"/>
    <x v="1"/>
    <x v="1"/>
    <x v="0"/>
    <n v="45.003"/>
    <n v="46"/>
    <n v="2.1673913043478259"/>
    <x v="2001"/>
  </r>
  <r>
    <s v="Multihop,STnet,20"/>
    <x v="1"/>
    <x v="1"/>
    <x v="0"/>
    <n v="46.295000000000002"/>
    <n v="46"/>
    <n v="0.64130434782609069"/>
    <x v="2002"/>
  </r>
  <r>
    <s v="Multihop,STnet,20"/>
    <x v="1"/>
    <x v="1"/>
    <x v="0"/>
    <n v="44.076000000000001"/>
    <n v="46"/>
    <n v="4.1826086956521724"/>
    <x v="2003"/>
  </r>
  <r>
    <s v="Multihop,STnet,20"/>
    <x v="1"/>
    <x v="1"/>
    <x v="0"/>
    <n v="43.93"/>
    <n v="46"/>
    <n v="4.5000000000000009"/>
    <x v="2004"/>
  </r>
  <r>
    <s v="Multihop,STnet,20"/>
    <x v="1"/>
    <x v="1"/>
    <x v="0"/>
    <n v="44.076000000000001"/>
    <n v="46"/>
    <n v="4.1826086956521724"/>
    <x v="2003"/>
  </r>
  <r>
    <s v="Multihop,STnet,20"/>
    <x v="1"/>
    <x v="1"/>
    <x v="0"/>
    <n v="44.93"/>
    <n v="46"/>
    <n v="2.3260869565217397"/>
    <x v="2005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5.222000000000001"/>
    <n v="46"/>
    <n v="1.6913043478260841"/>
    <x v="2007"/>
  </r>
  <r>
    <s v="Multihop,STnet,20"/>
    <x v="1"/>
    <x v="1"/>
    <x v="0"/>
    <n v="44.003"/>
    <n v="46"/>
    <n v="4.3413043478260871"/>
    <x v="2008"/>
  </r>
  <r>
    <s v="Multihop,STnet,20"/>
    <x v="1"/>
    <x v="1"/>
    <x v="0"/>
    <n v="43.149000000000001"/>
    <n v="46"/>
    <n v="6.1978260869565194"/>
    <x v="2009"/>
  </r>
  <r>
    <s v="Multihop,STnet,20"/>
    <x v="1"/>
    <x v="1"/>
    <x v="0"/>
    <n v="47.295000000000002"/>
    <n v="46"/>
    <n v="2.8152173913043517"/>
    <x v="2010"/>
  </r>
  <r>
    <s v="Multihop,STnet,20"/>
    <x v="1"/>
    <x v="1"/>
    <x v="0"/>
    <n v="46.222000000000001"/>
    <n v="46"/>
    <n v="0.48260869565217673"/>
    <x v="2011"/>
  </r>
  <r>
    <s v="Multihop,STnet,20"/>
    <x v="1"/>
    <x v="1"/>
    <x v="0"/>
    <n v="46.368000000000002"/>
    <n v="46"/>
    <n v="0.80000000000000449"/>
    <x v="2012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3.93"/>
    <n v="46"/>
    <n v="4.5000000000000009"/>
    <x v="2004"/>
  </r>
  <r>
    <s v="Multihop,STnet,20"/>
    <x v="1"/>
    <x v="1"/>
    <x v="0"/>
    <n v="46.368000000000002"/>
    <n v="46"/>
    <n v="0.80000000000000449"/>
    <x v="2012"/>
  </r>
  <r>
    <s v="Multihop,STnet,20"/>
    <x v="1"/>
    <x v="1"/>
    <x v="0"/>
    <n v="43.003"/>
    <n v="46"/>
    <n v="6.5152173913043478"/>
    <x v="1997"/>
  </r>
  <r>
    <s v="Multihop,STnet,20"/>
    <x v="1"/>
    <x v="1"/>
    <x v="0"/>
    <n v="43.003"/>
    <n v="46"/>
    <n v="6.5152173913043478"/>
    <x v="1997"/>
  </r>
  <r>
    <s v="Multihop,STnet,20"/>
    <x v="1"/>
    <x v="1"/>
    <x v="0"/>
    <n v="42.93"/>
    <n v="46"/>
    <n v="6.6739130434782616"/>
    <x v="2013"/>
  </r>
  <r>
    <s v="Multihop,STnet,20"/>
    <x v="1"/>
    <x v="1"/>
    <x v="0"/>
    <n v="44.003"/>
    <n v="46"/>
    <n v="4.3413043478260871"/>
    <x v="2008"/>
  </r>
  <r>
    <s v="Multihop,STnet,20"/>
    <x v="1"/>
    <x v="1"/>
    <x v="0"/>
    <n v="43.149000000000001"/>
    <n v="46"/>
    <n v="6.1978260869565194"/>
    <x v="2009"/>
  </r>
  <r>
    <s v="Multihop,STnet,20"/>
    <x v="1"/>
    <x v="1"/>
    <x v="0"/>
    <n v="45.222000000000001"/>
    <n v="46"/>
    <n v="1.6913043478260841"/>
    <x v="2007"/>
  </r>
  <r>
    <s v="Multihop,STnet,20"/>
    <x v="1"/>
    <x v="1"/>
    <x v="0"/>
    <n v="47.222000000000001"/>
    <n v="46"/>
    <n v="2.6565217391304374"/>
    <x v="2014"/>
  </r>
  <r>
    <s v="Multihop,STnet,20"/>
    <x v="1"/>
    <x v="1"/>
    <x v="0"/>
    <n v="43.076000000000001"/>
    <n v="46"/>
    <n v="6.3565217391304341"/>
    <x v="2015"/>
  </r>
  <r>
    <s v="Multihop,STnet,20"/>
    <x v="1"/>
    <x v="1"/>
    <x v="0"/>
    <n v="47.368000000000002"/>
    <n v="46"/>
    <n v="2.9739130434782655"/>
    <x v="2016"/>
  </r>
  <r>
    <s v="Multihop,STnet,20"/>
    <x v="1"/>
    <x v="1"/>
    <x v="0"/>
    <n v="47.368000000000002"/>
    <n v="46"/>
    <n v="2.9739130434782655"/>
    <x v="2016"/>
  </r>
  <r>
    <s v="Multihop,STnet,20"/>
    <x v="1"/>
    <x v="1"/>
    <x v="0"/>
    <n v="41.783999999999999"/>
    <n v="46"/>
    <n v="9.1652173913043509"/>
    <x v="2017"/>
  </r>
  <r>
    <s v="Multihop,STnet,20"/>
    <x v="1"/>
    <x v="1"/>
    <x v="0"/>
    <n v="46.368000000000002"/>
    <n v="46"/>
    <n v="0.80000000000000449"/>
    <x v="2012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7.368000000000002"/>
    <n v="46"/>
    <n v="2.9739130434782655"/>
    <x v="2016"/>
  </r>
  <r>
    <s v="Multihop,STnet,20"/>
    <x v="1"/>
    <x v="1"/>
    <x v="0"/>
    <n v="47.368000000000002"/>
    <n v="46"/>
    <n v="2.9739130434782655"/>
    <x v="2016"/>
  </r>
  <r>
    <s v="Multihop,STnet,20"/>
    <x v="1"/>
    <x v="1"/>
    <x v="0"/>
    <n v="44.149000000000001"/>
    <n v="46"/>
    <n v="4.0239130434782586"/>
    <x v="2018"/>
  </r>
  <r>
    <s v="Multihop,STnet,20"/>
    <x v="1"/>
    <x v="1"/>
    <x v="0"/>
    <n v="45.222000000000001"/>
    <n v="46"/>
    <n v="1.6913043478260841"/>
    <x v="2007"/>
  </r>
  <r>
    <s v="Multihop,STnet,20"/>
    <x v="1"/>
    <x v="1"/>
    <x v="0"/>
    <n v="41.856999999999999"/>
    <n v="46"/>
    <n v="9.0065217391304362"/>
    <x v="2019"/>
  </r>
  <r>
    <s v="Multihop,STnet,20"/>
    <x v="1"/>
    <x v="1"/>
    <x v="0"/>
    <n v="42.783999999999999"/>
    <n v="46"/>
    <n v="6.9913043478260901"/>
    <x v="2020"/>
  </r>
  <r>
    <s v="Multihop,STnet,20"/>
    <x v="1"/>
    <x v="1"/>
    <x v="0"/>
    <n v="44.222000000000001"/>
    <n v="46"/>
    <n v="3.8652173913043453"/>
    <x v="1996"/>
  </r>
  <r>
    <s v="Multihop,STnet,20"/>
    <x v="1"/>
    <x v="1"/>
    <x v="0"/>
    <n v="47.441000000000003"/>
    <n v="46"/>
    <n v="3.1326086956521797"/>
    <x v="2021"/>
  </r>
  <r>
    <s v="Multihop,STnet,20"/>
    <x v="1"/>
    <x v="1"/>
    <x v="0"/>
    <n v="46.003"/>
    <n v="46"/>
    <n v="6.5217391304350303E-3"/>
    <x v="2022"/>
  </r>
  <r>
    <s v="Multihop,STnet,20"/>
    <x v="1"/>
    <x v="1"/>
    <x v="0"/>
    <n v="46.295000000000002"/>
    <n v="46"/>
    <n v="0.64130434782609069"/>
    <x v="2002"/>
  </r>
  <r>
    <s v="Multihop,STnet,20"/>
    <x v="1"/>
    <x v="1"/>
    <x v="0"/>
    <n v="45.222000000000001"/>
    <n v="46"/>
    <n v="1.6913043478260841"/>
    <x v="2007"/>
  </r>
  <r>
    <s v="Multihop,STnet,20"/>
    <x v="1"/>
    <x v="1"/>
    <x v="0"/>
    <n v="45.856999999999999"/>
    <n v="46"/>
    <n v="0.31086956521739278"/>
    <x v="2023"/>
  </r>
  <r>
    <s v="Multihop,STnet,20"/>
    <x v="1"/>
    <x v="1"/>
    <x v="0"/>
    <n v="45.149000000000001"/>
    <n v="46"/>
    <n v="1.8499999999999981"/>
    <x v="2024"/>
  </r>
  <r>
    <s v="Multihop,STnet,20"/>
    <x v="1"/>
    <x v="1"/>
    <x v="0"/>
    <n v="47.295000000000002"/>
    <n v="46"/>
    <n v="2.8152173913043517"/>
    <x v="2010"/>
  </r>
  <r>
    <s v="Multihop,STnet,20"/>
    <x v="1"/>
    <x v="1"/>
    <x v="0"/>
    <n v="47.441000000000003"/>
    <n v="46"/>
    <n v="3.1326086956521797"/>
    <x v="2021"/>
  </r>
  <r>
    <s v="Multihop,STnet,20"/>
    <x v="1"/>
    <x v="1"/>
    <x v="0"/>
    <n v="44.222000000000001"/>
    <n v="46"/>
    <n v="3.8652173913043453"/>
    <x v="1996"/>
  </r>
  <r>
    <s v="Multihop,STnet,20"/>
    <x v="1"/>
    <x v="1"/>
    <x v="0"/>
    <n v="42.222000000000001"/>
    <n v="46"/>
    <n v="8.2130434782608663"/>
    <x v="2025"/>
  </r>
  <r>
    <s v="Multihop,STnet,20"/>
    <x v="1"/>
    <x v="1"/>
    <x v="0"/>
    <n v="43.93"/>
    <n v="46"/>
    <n v="4.5000000000000009"/>
    <x v="2004"/>
  </r>
  <r>
    <s v="Multihop,STnet,20"/>
    <x v="1"/>
    <x v="1"/>
    <x v="0"/>
    <n v="47.295000000000002"/>
    <n v="46"/>
    <n v="2.8152173913043517"/>
    <x v="2010"/>
  </r>
  <r>
    <s v="Multihop,STnet,20"/>
    <x v="1"/>
    <x v="1"/>
    <x v="0"/>
    <n v="46.149000000000001"/>
    <n v="46"/>
    <n v="0.32391304347826283"/>
    <x v="2026"/>
  </r>
  <r>
    <s v="Multihop,STnet,20"/>
    <x v="1"/>
    <x v="1"/>
    <x v="0"/>
    <n v="45.003"/>
    <n v="46"/>
    <n v="2.1673913043478259"/>
    <x v="2001"/>
  </r>
  <r>
    <s v="Multihop,STnet,20"/>
    <x v="1"/>
    <x v="1"/>
    <x v="0"/>
    <n v="45.368000000000002"/>
    <n v="46"/>
    <n v="1.3739130434782563"/>
    <x v="2027"/>
  </r>
  <r>
    <s v="Multihop,STnet,20"/>
    <x v="1"/>
    <x v="1"/>
    <x v="0"/>
    <n v="46.076000000000001"/>
    <n v="46"/>
    <n v="0.16521739130434893"/>
    <x v="2028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6.295000000000002"/>
    <n v="46"/>
    <n v="0.64130434782609069"/>
    <x v="2002"/>
  </r>
  <r>
    <s v="Multihop,STnet,20"/>
    <x v="1"/>
    <x v="1"/>
    <x v="0"/>
    <n v="46.368000000000002"/>
    <n v="46"/>
    <n v="0.80000000000000449"/>
    <x v="2012"/>
  </r>
  <r>
    <s v="Multihop,STnet,20"/>
    <x v="1"/>
    <x v="1"/>
    <x v="0"/>
    <n v="43.93"/>
    <n v="46"/>
    <n v="4.5000000000000009"/>
    <x v="2004"/>
  </r>
  <r>
    <s v="Multihop,STnet,20"/>
    <x v="1"/>
    <x v="1"/>
    <x v="0"/>
    <n v="46.149000000000001"/>
    <n v="46"/>
    <n v="0.32391304347826283"/>
    <x v="2026"/>
  </r>
  <r>
    <s v="Multihop,STnet,20"/>
    <x v="1"/>
    <x v="1"/>
    <x v="0"/>
    <n v="44.149000000000001"/>
    <n v="46"/>
    <n v="4.0239130434782586"/>
    <x v="2018"/>
  </r>
  <r>
    <s v="Multihop,STnet,20"/>
    <x v="1"/>
    <x v="1"/>
    <x v="0"/>
    <n v="45.149000000000001"/>
    <n v="46"/>
    <n v="1.8499999999999981"/>
    <x v="2024"/>
  </r>
  <r>
    <s v="Multihop,STnet,20"/>
    <x v="1"/>
    <x v="1"/>
    <x v="0"/>
    <n v="48.441000000000003"/>
    <n v="46"/>
    <n v="5.3065217391304405"/>
    <x v="2029"/>
  </r>
  <r>
    <s v="Multihop,STnet,20"/>
    <x v="1"/>
    <x v="1"/>
    <x v="0"/>
    <n v="46.441000000000003"/>
    <n v="46"/>
    <n v="0.9586956521739185"/>
    <x v="2030"/>
  </r>
  <r>
    <s v="Multihop,STnet,20"/>
    <x v="1"/>
    <x v="1"/>
    <x v="0"/>
    <n v="44.076000000000001"/>
    <n v="46"/>
    <n v="4.1826086956521724"/>
    <x v="2003"/>
  </r>
  <r>
    <s v="Multihop,STnet,20"/>
    <x v="1"/>
    <x v="1"/>
    <x v="0"/>
    <n v="45.222000000000001"/>
    <n v="46"/>
    <n v="1.6913043478260841"/>
    <x v="2007"/>
  </r>
  <r>
    <s v="Multihop,STnet,20"/>
    <x v="1"/>
    <x v="1"/>
    <x v="0"/>
    <n v="46.368000000000002"/>
    <n v="46"/>
    <n v="0.80000000000000449"/>
    <x v="2012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2.564999999999998"/>
    <n v="46"/>
    <n v="7.4673913043478315"/>
    <x v="2031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3.856999999999999"/>
    <n v="46"/>
    <n v="4.6586956521739147"/>
    <x v="2032"/>
  </r>
  <r>
    <s v="Multihop,STnet,20"/>
    <x v="1"/>
    <x v="1"/>
    <x v="0"/>
    <n v="43.93"/>
    <n v="46"/>
    <n v="4.5000000000000009"/>
    <x v="2004"/>
  </r>
  <r>
    <s v="Multihop,STnet,20"/>
    <x v="1"/>
    <x v="1"/>
    <x v="0"/>
    <n v="49.222000000000001"/>
    <n v="46"/>
    <n v="7.0043478260869598"/>
    <x v="2033"/>
  </r>
  <r>
    <s v="Multihop,STnet,20"/>
    <x v="1"/>
    <x v="1"/>
    <x v="0"/>
    <n v="43.93"/>
    <n v="46"/>
    <n v="4.5000000000000009"/>
    <x v="2004"/>
  </r>
  <r>
    <s v="Multihop,STnet,20"/>
    <x v="1"/>
    <x v="1"/>
    <x v="0"/>
    <n v="46.222000000000001"/>
    <n v="46"/>
    <n v="0.48260869565217673"/>
    <x v="2011"/>
  </r>
  <r>
    <s v="Multihop,STnet,20"/>
    <x v="1"/>
    <x v="1"/>
    <x v="0"/>
    <n v="43.93"/>
    <n v="46"/>
    <n v="4.5000000000000009"/>
    <x v="2004"/>
  </r>
  <r>
    <s v="Multihop,STnet,20"/>
    <x v="1"/>
    <x v="1"/>
    <x v="0"/>
    <n v="46.368000000000002"/>
    <n v="46"/>
    <n v="0.80000000000000449"/>
    <x v="2012"/>
  </r>
  <r>
    <s v="Multihop,STnet,20"/>
    <x v="1"/>
    <x v="1"/>
    <x v="0"/>
    <n v="44.856999999999999"/>
    <n v="46"/>
    <n v="2.4847826086956535"/>
    <x v="2034"/>
  </r>
  <r>
    <s v="Multihop,STnet,20"/>
    <x v="1"/>
    <x v="1"/>
    <x v="0"/>
    <n v="45.295000000000002"/>
    <n v="46"/>
    <n v="1.5326086956521701"/>
    <x v="1999"/>
  </r>
  <r>
    <s v="Multihop,STnet,20"/>
    <x v="1"/>
    <x v="1"/>
    <x v="0"/>
    <n v="45.222000000000001"/>
    <n v="46"/>
    <n v="1.6913043478260841"/>
    <x v="2007"/>
  </r>
  <r>
    <s v="Multihop,STnet,20"/>
    <x v="1"/>
    <x v="1"/>
    <x v="0"/>
    <n v="44.076000000000001"/>
    <n v="46"/>
    <n v="4.1826086956521724"/>
    <x v="2003"/>
  </r>
  <r>
    <s v="Multihop,STnet,20"/>
    <x v="1"/>
    <x v="1"/>
    <x v="0"/>
    <n v="46.149000000000001"/>
    <n v="46"/>
    <n v="0.32391304347826283"/>
    <x v="2026"/>
  </r>
  <r>
    <s v="Multihop,STnet,20"/>
    <x v="1"/>
    <x v="1"/>
    <x v="0"/>
    <n v="44.149000000000001"/>
    <n v="46"/>
    <n v="4.0239130434782586"/>
    <x v="2018"/>
  </r>
  <r>
    <s v="Multihop,STnet,20"/>
    <x v="1"/>
    <x v="1"/>
    <x v="0"/>
    <n v="43.076000000000001"/>
    <n v="46"/>
    <n v="6.3565217391304341"/>
    <x v="2015"/>
  </r>
  <r>
    <s v="Multihop,STnet,20"/>
    <x v="1"/>
    <x v="1"/>
    <x v="0"/>
    <n v="47.295000000000002"/>
    <n v="46"/>
    <n v="2.8152173913043517"/>
    <x v="2010"/>
  </r>
  <r>
    <s v="Multihop,STnet,20"/>
    <x v="1"/>
    <x v="1"/>
    <x v="0"/>
    <n v="46.295000000000002"/>
    <n v="46"/>
    <n v="0.64130434782609069"/>
    <x v="2002"/>
  </r>
  <r>
    <s v="Multihop,STnet,20"/>
    <x v="1"/>
    <x v="1"/>
    <x v="0"/>
    <n v="45.076000000000001"/>
    <n v="46"/>
    <n v="2.0086956521739121"/>
    <x v="2006"/>
  </r>
  <r>
    <s v="Multihop,STnet,20"/>
    <x v="1"/>
    <x v="1"/>
    <x v="0"/>
    <n v="46.295000000000002"/>
    <n v="46"/>
    <n v="0.64130434782609069"/>
    <x v="2002"/>
  </r>
  <r>
    <s v="Multihop,STnet,20"/>
    <x v="1"/>
    <x v="1"/>
    <x v="0"/>
    <n v="46.295000000000002"/>
    <n v="46"/>
    <n v="0.64130434782609069"/>
    <x v="2002"/>
  </r>
  <r>
    <s v="Multihop,STnet,20"/>
    <x v="1"/>
    <x v="1"/>
    <x v="0"/>
    <n v="45.149000000000001"/>
    <n v="46"/>
    <n v="1.8499999999999981"/>
    <x v="2024"/>
  </r>
  <r>
    <s v="Multihop,STnet,20"/>
    <x v="1"/>
    <x v="1"/>
    <x v="0"/>
    <n v="44.149000000000001"/>
    <n v="46"/>
    <n v="4.0239130434782586"/>
    <x v="2018"/>
  </r>
  <r>
    <s v="Multihop,STnet,20"/>
    <x v="1"/>
    <x v="1"/>
    <x v="0"/>
    <n v="46.149000000000001"/>
    <n v="46"/>
    <n v="0.32391304347826283"/>
    <x v="2026"/>
  </r>
  <r>
    <s v="Multihop,STnet,20"/>
    <x v="1"/>
    <x v="1"/>
    <x v="0"/>
    <n v="46.295000000000002"/>
    <n v="46"/>
    <n v="0.64130434782609069"/>
    <x v="2002"/>
  </r>
  <r>
    <s v="Multihop,STnet,20"/>
    <x v="1"/>
    <x v="1"/>
    <x v="0"/>
    <n v="46.149000000000001"/>
    <n v="46"/>
    <n v="0.32391304347826283"/>
    <x v="2026"/>
  </r>
  <r>
    <s v="Multihop,STnet,20"/>
    <x v="1"/>
    <x v="1"/>
    <x v="0"/>
    <n v="46.003"/>
    <n v="46"/>
    <n v="6.5217391304350303E-3"/>
    <x v="2022"/>
  </r>
  <r>
    <s v="Multihop,STnet,40"/>
    <x v="1"/>
    <x v="1"/>
    <x v="1"/>
    <n v="82.266000000000005"/>
    <n v="79.7"/>
    <n v="3.219573400250944"/>
    <x v="2035"/>
  </r>
  <r>
    <s v="Multihop,STnet,40"/>
    <x v="1"/>
    <x v="1"/>
    <x v="1"/>
    <n v="71.316999999999993"/>
    <n v="79.7"/>
    <n v="10.518193224592233"/>
    <x v="2036"/>
  </r>
  <r>
    <s v="Multihop,STnet,40"/>
    <x v="1"/>
    <x v="1"/>
    <x v="1"/>
    <n v="66.462999999999994"/>
    <n v="79.7"/>
    <n v="16.608531994981192"/>
    <x v="2037"/>
  </r>
  <r>
    <s v="Multihop,STnet,40"/>
    <x v="1"/>
    <x v="1"/>
    <x v="1"/>
    <n v="76.608999999999995"/>
    <n v="79.7"/>
    <n v="3.8782936010037745"/>
    <x v="2038"/>
  </r>
  <r>
    <s v="Multihop,STnet,40"/>
    <x v="1"/>
    <x v="1"/>
    <x v="1"/>
    <n v="69.097999999999999"/>
    <n v="79.7"/>
    <n v="13.302383939774156"/>
    <x v="2039"/>
  </r>
  <r>
    <s v="Multihop,STnet,40"/>
    <x v="1"/>
    <x v="1"/>
    <x v="1"/>
    <n v="84.191999999999993"/>
    <n v="79.7"/>
    <n v="5.6361355081555704"/>
    <x v="2040"/>
  </r>
  <r>
    <s v="Multihop,STnet,40"/>
    <x v="1"/>
    <x v="1"/>
    <x v="1"/>
    <n v="77.900999999999996"/>
    <n v="79.7"/>
    <n v="2.257214554579682"/>
    <x v="2041"/>
  </r>
  <r>
    <s v="Multihop,STnet,40"/>
    <x v="1"/>
    <x v="1"/>
    <x v="1"/>
    <n v="75.828000000000003"/>
    <n v="79.7"/>
    <n v="4.8582183186951067"/>
    <x v="2042"/>
  </r>
  <r>
    <s v="Multihop,STnet,40"/>
    <x v="1"/>
    <x v="1"/>
    <x v="1"/>
    <n v="84.12"/>
    <n v="79.7"/>
    <n v="5.5457967377666266"/>
    <x v="2043"/>
  </r>
  <r>
    <s v="Multihop,STnet,40"/>
    <x v="1"/>
    <x v="1"/>
    <x v="1"/>
    <n v="78.046000000000006"/>
    <n v="79.7"/>
    <n v="2.075282308657461"/>
    <x v="2044"/>
  </r>
  <r>
    <s v="Multihop,STnet,40"/>
    <x v="1"/>
    <x v="1"/>
    <x v="1"/>
    <n v="87.266000000000005"/>
    <n v="79.7"/>
    <n v="9.4930991217064005"/>
    <x v="2045"/>
  </r>
  <r>
    <s v="Multihop,STnet,40"/>
    <x v="1"/>
    <x v="1"/>
    <x v="1"/>
    <n v="70.462999999999994"/>
    <n v="79.7"/>
    <n v="11.589711417816824"/>
    <x v="2046"/>
  </r>
  <r>
    <s v="Multihop,STnet,40"/>
    <x v="1"/>
    <x v="1"/>
    <x v="1"/>
    <n v="67.754000000000005"/>
    <n v="79.7"/>
    <n v="14.988707653701377"/>
    <x v="2047"/>
  </r>
  <r>
    <s v="Multihop,STnet,40"/>
    <x v="1"/>
    <x v="1"/>
    <x v="1"/>
    <n v="79.900000000000006"/>
    <n v="79.7"/>
    <n v="0.25094102885822184"/>
    <x v="2048"/>
  </r>
  <r>
    <s v="Multihop,STnet,40"/>
    <x v="1"/>
    <x v="1"/>
    <x v="1"/>
    <n v="87.483999999999995"/>
    <n v="79.7"/>
    <n v="9.7666248431618463"/>
    <x v="2049"/>
  </r>
  <r>
    <s v="Multihop,STnet,40"/>
    <x v="1"/>
    <x v="1"/>
    <x v="1"/>
    <n v="76.608999999999995"/>
    <n v="79.7"/>
    <n v="3.8782936010037745"/>
    <x v="2038"/>
  </r>
  <r>
    <s v="Multihop,STnet,40"/>
    <x v="1"/>
    <x v="1"/>
    <x v="1"/>
    <n v="82.900999999999996"/>
    <n v="79.7"/>
    <n v="4.0163111668757763"/>
    <x v="2050"/>
  </r>
  <r>
    <s v="Multihop,STnet,40"/>
    <x v="1"/>
    <x v="1"/>
    <x v="1"/>
    <n v="74.826999999999998"/>
    <n v="79.7"/>
    <n v="6.1141781681304952"/>
    <x v="2051"/>
  </r>
  <r>
    <s v="Multihop,STnet,40"/>
    <x v="1"/>
    <x v="1"/>
    <x v="1"/>
    <n v="75.119"/>
    <n v="79.7"/>
    <n v="5.7478042659974946"/>
    <x v="2052"/>
  </r>
  <r>
    <s v="Multihop,STnet,40"/>
    <x v="1"/>
    <x v="1"/>
    <x v="1"/>
    <n v="70.39"/>
    <n v="79.7"/>
    <n v="11.681304893350065"/>
    <x v="2053"/>
  </r>
  <r>
    <s v="Multihop,STnet,40"/>
    <x v="1"/>
    <x v="1"/>
    <x v="1"/>
    <n v="68.680999999999997"/>
    <n v="79.7"/>
    <n v="13.825595984943545"/>
    <x v="2054"/>
  </r>
  <r>
    <s v="Multihop,STnet,40"/>
    <x v="1"/>
    <x v="1"/>
    <x v="1"/>
    <n v="70.316999999999993"/>
    <n v="79.7"/>
    <n v="11.772898368883324"/>
    <x v="2055"/>
  </r>
  <r>
    <s v="Multihop,STnet,40"/>
    <x v="1"/>
    <x v="1"/>
    <x v="1"/>
    <n v="83.411000000000001"/>
    <n v="79.7"/>
    <n v="4.6562107904642387"/>
    <x v="2056"/>
  </r>
  <r>
    <s v="Multihop,STnet,40"/>
    <x v="1"/>
    <x v="1"/>
    <x v="1"/>
    <n v="72.536000000000001"/>
    <n v="79.7"/>
    <n v="8.9887076537013826"/>
    <x v="2057"/>
  </r>
  <r>
    <s v="Multihop,STnet,40"/>
    <x v="1"/>
    <x v="1"/>
    <x v="1"/>
    <n v="74.680999999999997"/>
    <n v="79.7"/>
    <n v="6.2973651191969964"/>
    <x v="2058"/>
  </r>
  <r>
    <s v="Multihop,STnet,40"/>
    <x v="1"/>
    <x v="1"/>
    <x v="1"/>
    <n v="75.900999999999996"/>
    <n v="79.7"/>
    <n v="4.766624843161865"/>
    <x v="2059"/>
  </r>
  <r>
    <s v="Multihop,STnet,40"/>
    <x v="1"/>
    <x v="1"/>
    <x v="1"/>
    <n v="74.682000000000002"/>
    <n v="79.7"/>
    <n v="6.2961104140526984"/>
    <x v="2060"/>
  </r>
  <r>
    <s v="Multihop,STnet,40"/>
    <x v="1"/>
    <x v="1"/>
    <x v="1"/>
    <n v="67.171000000000006"/>
    <n v="79.7"/>
    <n v="15.720200752823082"/>
    <x v="2061"/>
  </r>
  <r>
    <s v="Multihop,STnet,40"/>
    <x v="1"/>
    <x v="1"/>
    <x v="1"/>
    <n v="82.900999999999996"/>
    <n v="79.7"/>
    <n v="4.0163111668757763"/>
    <x v="2050"/>
  </r>
  <r>
    <s v="Multihop,STnet,40"/>
    <x v="1"/>
    <x v="1"/>
    <x v="1"/>
    <n v="71.608999999999995"/>
    <n v="79.7"/>
    <n v="10.151819322459232"/>
    <x v="2062"/>
  </r>
  <r>
    <s v="Multihop,STnet,40"/>
    <x v="1"/>
    <x v="1"/>
    <x v="1"/>
    <n v="68.171000000000006"/>
    <n v="79.7"/>
    <n v="14.46549560853199"/>
    <x v="2063"/>
  </r>
  <r>
    <s v="Multihop,STnet,40"/>
    <x v="1"/>
    <x v="1"/>
    <x v="1"/>
    <n v="81.265000000000001"/>
    <n v="79.7"/>
    <n v="1.9636135508155554"/>
    <x v="2064"/>
  </r>
  <r>
    <s v="Multihop,STnet,40"/>
    <x v="1"/>
    <x v="1"/>
    <x v="1"/>
    <n v="73.536000000000001"/>
    <n v="79.7"/>
    <n v="7.7340025094102902"/>
    <x v="2065"/>
  </r>
  <r>
    <s v="Multihop,STnet,40"/>
    <x v="1"/>
    <x v="1"/>
    <x v="1"/>
    <n v="69.316999999999993"/>
    <n v="79.7"/>
    <n v="13.027603513174416"/>
    <x v="2066"/>
  </r>
  <r>
    <s v="Multihop,STnet,40"/>
    <x v="1"/>
    <x v="1"/>
    <x v="1"/>
    <n v="78.046000000000006"/>
    <n v="79.7"/>
    <n v="2.075282308657461"/>
    <x v="2044"/>
  </r>
  <r>
    <s v="Multihop,STnet,40"/>
    <x v="1"/>
    <x v="1"/>
    <x v="1"/>
    <n v="70.536000000000001"/>
    <n v="79.7"/>
    <n v="11.498117942283564"/>
    <x v="2067"/>
  </r>
  <r>
    <s v="Multihop,STnet,40"/>
    <x v="1"/>
    <x v="1"/>
    <x v="1"/>
    <n v="77.046000000000006"/>
    <n v="79.7"/>
    <n v="3.3299874529485525"/>
    <x v="2068"/>
  </r>
  <r>
    <s v="Multihop,STnet,40"/>
    <x v="1"/>
    <x v="1"/>
    <x v="1"/>
    <n v="87.483999999999995"/>
    <n v="79.7"/>
    <n v="9.7666248431618463"/>
    <x v="2049"/>
  </r>
  <r>
    <s v="Multihop,STnet,40"/>
    <x v="1"/>
    <x v="1"/>
    <x v="1"/>
    <n v="77.900999999999996"/>
    <n v="79.7"/>
    <n v="2.257214554579682"/>
    <x v="2041"/>
  </r>
  <r>
    <s v="Multihop,STnet,40"/>
    <x v="1"/>
    <x v="1"/>
    <x v="1"/>
    <n v="80.12"/>
    <n v="79.7"/>
    <n v="0.5269761606022606"/>
    <x v="2069"/>
  </r>
  <r>
    <s v="Multihop,STnet,40"/>
    <x v="1"/>
    <x v="1"/>
    <x v="1"/>
    <n v="75.828000000000003"/>
    <n v="79.7"/>
    <n v="4.8582183186951067"/>
    <x v="2042"/>
  </r>
  <r>
    <s v="Multihop,STnet,40"/>
    <x v="1"/>
    <x v="1"/>
    <x v="1"/>
    <n v="78.119"/>
    <n v="79.7"/>
    <n v="1.9836888331242197"/>
    <x v="2070"/>
  </r>
  <r>
    <s v="Multihop,STnet,40"/>
    <x v="1"/>
    <x v="1"/>
    <x v="1"/>
    <n v="72.900000000000006"/>
    <n v="79.7"/>
    <n v="8.5319949811794196"/>
    <x v="2071"/>
  </r>
  <r>
    <s v="Multihop,STnet,40"/>
    <x v="1"/>
    <x v="1"/>
    <x v="1"/>
    <n v="75.828000000000003"/>
    <n v="79.7"/>
    <n v="4.8582183186951067"/>
    <x v="2042"/>
  </r>
  <r>
    <s v="Multihop,STnet,40"/>
    <x v="1"/>
    <x v="1"/>
    <x v="1"/>
    <n v="84.411000000000001"/>
    <n v="79.7"/>
    <n v="5.9109159347553311"/>
    <x v="2072"/>
  </r>
  <r>
    <s v="Multihop,STnet,40"/>
    <x v="1"/>
    <x v="1"/>
    <x v="1"/>
    <n v="70.244"/>
    <n v="79.7"/>
    <n v="11.864491844416564"/>
    <x v="2073"/>
  </r>
  <r>
    <s v="Multihop,STnet,40"/>
    <x v="1"/>
    <x v="1"/>
    <x v="1"/>
    <n v="75.682000000000002"/>
    <n v="79.7"/>
    <n v="5.041405269761607"/>
    <x v="2074"/>
  </r>
  <r>
    <s v="Multihop,STnet,40"/>
    <x v="1"/>
    <x v="1"/>
    <x v="1"/>
    <n v="75.900999999999996"/>
    <n v="79.7"/>
    <n v="4.766624843161865"/>
    <x v="2059"/>
  </r>
  <r>
    <s v="Multihop,STnet,40"/>
    <x v="1"/>
    <x v="1"/>
    <x v="1"/>
    <n v="75.608999999999995"/>
    <n v="79.7"/>
    <n v="5.1329987452948656"/>
    <x v="2075"/>
  </r>
  <r>
    <s v="Multihop,STnet,40"/>
    <x v="1"/>
    <x v="1"/>
    <x v="1"/>
    <n v="78.974000000000004"/>
    <n v="79.7"/>
    <n v="0.91091593475533128"/>
    <x v="2076"/>
  </r>
  <r>
    <s v="Multihop,STnet,40"/>
    <x v="1"/>
    <x v="1"/>
    <x v="1"/>
    <n v="80.265000000000001"/>
    <n v="79.7"/>
    <n v="0.70890840652446385"/>
    <x v="2077"/>
  </r>
  <r>
    <s v="Multihop,STnet,40"/>
    <x v="1"/>
    <x v="1"/>
    <x v="1"/>
    <n v="70.316999999999993"/>
    <n v="79.7"/>
    <n v="11.772898368883324"/>
    <x v="2055"/>
  </r>
  <r>
    <s v="Multihop,STnet,40"/>
    <x v="1"/>
    <x v="1"/>
    <x v="1"/>
    <n v="86.483999999999995"/>
    <n v="79.7"/>
    <n v="8.5119196988707557"/>
    <x v="2078"/>
  </r>
  <r>
    <s v="Multihop,STnet,40"/>
    <x v="1"/>
    <x v="1"/>
    <x v="1"/>
    <n v="86.900999999999996"/>
    <n v="79.7"/>
    <n v="9.0351317440401431"/>
    <x v="2079"/>
  </r>
  <r>
    <s v="Multihop,STnet,40"/>
    <x v="1"/>
    <x v="1"/>
    <x v="1"/>
    <n v="82.411000000000001"/>
    <n v="79.7"/>
    <n v="3.4015056461731472"/>
    <x v="2080"/>
  </r>
  <r>
    <s v="Multihop,STnet,40"/>
    <x v="1"/>
    <x v="1"/>
    <x v="1"/>
    <n v="79.119"/>
    <n v="79.7"/>
    <n v="0.72898368883312803"/>
    <x v="2081"/>
  </r>
  <r>
    <s v="Multihop,STnet,40"/>
    <x v="1"/>
    <x v="1"/>
    <x v="1"/>
    <n v="74.462999999999994"/>
    <n v="79.7"/>
    <n v="6.5708908406524573"/>
    <x v="2082"/>
  </r>
  <r>
    <s v="Multihop,STnet,40"/>
    <x v="1"/>
    <x v="1"/>
    <x v="1"/>
    <n v="74.754999999999995"/>
    <n v="79.7"/>
    <n v="6.2045169385194567"/>
    <x v="2083"/>
  </r>
  <r>
    <s v="Multihop,STnet,40"/>
    <x v="1"/>
    <x v="1"/>
    <x v="1"/>
    <n v="76.608999999999995"/>
    <n v="79.7"/>
    <n v="3.8782936010037745"/>
    <x v="2038"/>
  </r>
  <r>
    <s v="Multihop,STnet,40"/>
    <x v="1"/>
    <x v="1"/>
    <x v="1"/>
    <n v="73.682000000000002"/>
    <n v="79.7"/>
    <n v="7.5508155583437899"/>
    <x v="2084"/>
  </r>
  <r>
    <s v="Multihop,STnet,40"/>
    <x v="1"/>
    <x v="1"/>
    <x v="1"/>
    <n v="79.900999999999996"/>
    <n v="79.7"/>
    <n v="0.25219573400250112"/>
    <x v="2085"/>
  </r>
  <r>
    <s v="Multihop,STnet,40"/>
    <x v="1"/>
    <x v="1"/>
    <x v="1"/>
    <n v="78.191999999999993"/>
    <n v="79.7"/>
    <n v="1.8920953575909782"/>
    <x v="2086"/>
  </r>
  <r>
    <s v="Multihop,STnet,40"/>
    <x v="1"/>
    <x v="1"/>
    <x v="1"/>
    <n v="74.536000000000001"/>
    <n v="79.7"/>
    <n v="6.4792973651191996"/>
    <x v="2087"/>
  </r>
  <r>
    <s v="Multihop,STnet,40"/>
    <x v="1"/>
    <x v="1"/>
    <x v="1"/>
    <n v="87.483999999999995"/>
    <n v="79.7"/>
    <n v="9.7666248431618463"/>
    <x v="2049"/>
  </r>
  <r>
    <s v="Multihop,STnet,40"/>
    <x v="1"/>
    <x v="1"/>
    <x v="1"/>
    <n v="68.462999999999994"/>
    <n v="79.7"/>
    <n v="14.099121706399007"/>
    <x v="2088"/>
  </r>
  <r>
    <s v="Multihop,STnet,40"/>
    <x v="1"/>
    <x v="1"/>
    <x v="1"/>
    <n v="85.265000000000001"/>
    <n v="79.7"/>
    <n v="6.9824341279799214"/>
    <x v="2089"/>
  </r>
  <r>
    <s v="Multihop,STnet,40"/>
    <x v="1"/>
    <x v="1"/>
    <x v="1"/>
    <n v="73.536000000000001"/>
    <n v="79.7"/>
    <n v="7.7340025094102902"/>
    <x v="2065"/>
  </r>
  <r>
    <s v="Multihop,STnet,40"/>
    <x v="1"/>
    <x v="1"/>
    <x v="1"/>
    <n v="73.682000000000002"/>
    <n v="79.7"/>
    <n v="7.5508155583437899"/>
    <x v="2084"/>
  </r>
  <r>
    <s v="Multihop,STnet,40"/>
    <x v="1"/>
    <x v="1"/>
    <x v="1"/>
    <n v="77.828000000000003"/>
    <n v="79.7"/>
    <n v="2.3488080301129233"/>
    <x v="2090"/>
  </r>
  <r>
    <s v="Multihop,STnet,40"/>
    <x v="1"/>
    <x v="1"/>
    <x v="1"/>
    <n v="82.119"/>
    <n v="79.7"/>
    <n v="3.0351317440401466"/>
    <x v="2091"/>
  </r>
  <r>
    <s v="Multihop,STnet,40"/>
    <x v="1"/>
    <x v="1"/>
    <x v="1"/>
    <n v="75.462999999999994"/>
    <n v="79.7"/>
    <n v="5.3161856963613658"/>
    <x v="2092"/>
  </r>
  <r>
    <s v="Multihop,STnet,40"/>
    <x v="1"/>
    <x v="1"/>
    <x v="1"/>
    <n v="77.680999999999997"/>
    <n v="79.7"/>
    <n v="2.5332496863237206"/>
    <x v="2093"/>
  </r>
  <r>
    <s v="Multihop,STnet,40"/>
    <x v="1"/>
    <x v="1"/>
    <x v="1"/>
    <n v="85.557000000000002"/>
    <n v="79.7"/>
    <n v="7.3488080301129228"/>
    <x v="2094"/>
  </r>
  <r>
    <s v="Multihop,STnet,40"/>
    <x v="1"/>
    <x v="1"/>
    <x v="1"/>
    <n v="77.828000000000003"/>
    <n v="79.7"/>
    <n v="2.3488080301129233"/>
    <x v="2090"/>
  </r>
  <r>
    <s v="Multihop,STnet,40"/>
    <x v="1"/>
    <x v="1"/>
    <x v="1"/>
    <n v="86.12"/>
    <n v="79.7"/>
    <n v="8.0552070263488105"/>
    <x v="2095"/>
  </r>
  <r>
    <s v="Multihop,STnet,40"/>
    <x v="1"/>
    <x v="1"/>
    <x v="1"/>
    <n v="79.828000000000003"/>
    <n v="79.7"/>
    <n v="0.16060225846925985"/>
    <x v="2096"/>
  </r>
  <r>
    <s v="Multihop,STnet,40"/>
    <x v="1"/>
    <x v="1"/>
    <x v="1"/>
    <n v="73.608999999999995"/>
    <n v="79.7"/>
    <n v="7.6424090338770485"/>
    <x v="2097"/>
  </r>
  <r>
    <s v="Multihop,STnet,40"/>
    <x v="1"/>
    <x v="1"/>
    <x v="1"/>
    <n v="81.337999999999994"/>
    <n v="79.7"/>
    <n v="2.0552070263487967"/>
    <x v="2098"/>
  </r>
  <r>
    <s v="Multihop,STnet,40"/>
    <x v="1"/>
    <x v="1"/>
    <x v="1"/>
    <n v="77.754999999999995"/>
    <n v="79.7"/>
    <n v="2.4404015056461823"/>
    <x v="2099"/>
  </r>
  <r>
    <s v="Multihop,STnet,40"/>
    <x v="1"/>
    <x v="1"/>
    <x v="1"/>
    <n v="76.900000000000006"/>
    <n v="79.7"/>
    <n v="3.5131744040150528"/>
    <x v="2100"/>
  </r>
  <r>
    <s v="Multihop,STnet,40"/>
    <x v="1"/>
    <x v="1"/>
    <x v="1"/>
    <n v="78.462999999999994"/>
    <n v="79.7"/>
    <n v="1.5520702634880916"/>
    <x v="2101"/>
  </r>
  <r>
    <s v="Multihop,STnet,40"/>
    <x v="1"/>
    <x v="1"/>
    <x v="1"/>
    <n v="71.39"/>
    <n v="79.7"/>
    <n v="10.426599749058973"/>
    <x v="2102"/>
  </r>
  <r>
    <s v="Multihop,STnet,40"/>
    <x v="1"/>
    <x v="1"/>
    <x v="1"/>
    <n v="82.191999999999993"/>
    <n v="79.7"/>
    <n v="3.1267252195733874"/>
    <x v="2103"/>
  </r>
  <r>
    <s v="Multihop,STnet,40"/>
    <x v="1"/>
    <x v="1"/>
    <x v="1"/>
    <n v="73.608999999999995"/>
    <n v="79.7"/>
    <n v="7.6424090338770485"/>
    <x v="2097"/>
  </r>
  <r>
    <s v="Multihop,STnet,40"/>
    <x v="1"/>
    <x v="1"/>
    <x v="1"/>
    <n v="69.39"/>
    <n v="79.7"/>
    <n v="12.936010037641157"/>
    <x v="2104"/>
  </r>
  <r>
    <s v="Multihop,STnet,40"/>
    <x v="1"/>
    <x v="1"/>
    <x v="1"/>
    <n v="82.191999999999993"/>
    <n v="79.7"/>
    <n v="3.1267252195733874"/>
    <x v="2103"/>
  </r>
  <r>
    <s v="Multihop,STnet,40"/>
    <x v="1"/>
    <x v="1"/>
    <x v="1"/>
    <n v="73.536000000000001"/>
    <n v="79.7"/>
    <n v="7.7340025094102902"/>
    <x v="2065"/>
  </r>
  <r>
    <s v="Multihop,STnet,40"/>
    <x v="1"/>
    <x v="1"/>
    <x v="1"/>
    <n v="81.337999999999994"/>
    <n v="79.7"/>
    <n v="2.0552070263487967"/>
    <x v="2098"/>
  </r>
  <r>
    <s v="Multihop,STnet,40"/>
    <x v="1"/>
    <x v="1"/>
    <x v="1"/>
    <n v="83.046999999999997"/>
    <n v="79.7"/>
    <n v="4.1994981179422766"/>
    <x v="2105"/>
  </r>
  <r>
    <s v="Multihop,STnet,40"/>
    <x v="1"/>
    <x v="1"/>
    <x v="1"/>
    <n v="71.536000000000001"/>
    <n v="79.7"/>
    <n v="10.243412797992473"/>
    <x v="2106"/>
  </r>
  <r>
    <s v="Multihop,STnet,40"/>
    <x v="1"/>
    <x v="1"/>
    <x v="1"/>
    <n v="79.191999999999993"/>
    <n v="79.7"/>
    <n v="0.63739021329988677"/>
    <x v="2107"/>
  </r>
  <r>
    <s v="Multihop,STnet,40"/>
    <x v="1"/>
    <x v="1"/>
    <x v="1"/>
    <n v="81.046999999999997"/>
    <n v="79.7"/>
    <n v="1.6900878293600929"/>
    <x v="2108"/>
  </r>
  <r>
    <s v="Multihop,STnet,40"/>
    <x v="1"/>
    <x v="1"/>
    <x v="1"/>
    <n v="74.608999999999995"/>
    <n v="79.7"/>
    <n v="6.3877038895859579"/>
    <x v="2109"/>
  </r>
  <r>
    <s v="Multihop,STnet,40"/>
    <x v="1"/>
    <x v="1"/>
    <x v="1"/>
    <n v="73.39"/>
    <n v="79.7"/>
    <n v="7.9171894604767905"/>
    <x v="2110"/>
  </r>
  <r>
    <s v="Multihop,STnet,40"/>
    <x v="1"/>
    <x v="1"/>
    <x v="1"/>
    <n v="75.119"/>
    <n v="79.7"/>
    <n v="5.7478042659974946"/>
    <x v="2052"/>
  </r>
  <r>
    <s v="Multihop,STnet,40"/>
    <x v="1"/>
    <x v="1"/>
    <x v="1"/>
    <n v="77.754999999999995"/>
    <n v="79.7"/>
    <n v="2.4404015056461823"/>
    <x v="2099"/>
  </r>
  <r>
    <s v="Multihop,STnet,40"/>
    <x v="1"/>
    <x v="1"/>
    <x v="1"/>
    <n v="71.316999999999993"/>
    <n v="79.7"/>
    <n v="10.518193224592233"/>
    <x v="2036"/>
  </r>
  <r>
    <s v="Multihop,STnet,40"/>
    <x v="1"/>
    <x v="1"/>
    <x v="1"/>
    <n v="69.462999999999994"/>
    <n v="79.7"/>
    <n v="12.844416562107916"/>
    <x v="2111"/>
  </r>
  <r>
    <s v="Multihop,STnet,40"/>
    <x v="1"/>
    <x v="1"/>
    <x v="1"/>
    <n v="83.191999999999993"/>
    <n v="79.7"/>
    <n v="4.3814303638644798"/>
    <x v="2112"/>
  </r>
  <r>
    <s v="Multihop,STnet,40"/>
    <x v="1"/>
    <x v="1"/>
    <x v="1"/>
    <n v="77.900999999999996"/>
    <n v="79.7"/>
    <n v="2.257214554579682"/>
    <x v="2041"/>
  </r>
  <r>
    <s v="Multihop,STnet,60"/>
    <x v="1"/>
    <x v="1"/>
    <x v="2"/>
    <n v="116.09"/>
    <n v="110.5"/>
    <n v="5.058823529411768"/>
    <x v="2113"/>
  </r>
  <r>
    <s v="Multihop,STnet,60"/>
    <x v="1"/>
    <x v="1"/>
    <x v="2"/>
    <n v="103.57899999999999"/>
    <n v="110.5"/>
    <n v="6.2633484162895989"/>
    <x v="2114"/>
  </r>
  <r>
    <s v="Multihop,STnet,60"/>
    <x v="1"/>
    <x v="1"/>
    <x v="2"/>
    <n v="104.652"/>
    <n v="110.5"/>
    <n v="5.2923076923076913"/>
    <x v="2115"/>
  </r>
  <r>
    <s v="Multihop,STnet,60"/>
    <x v="1"/>
    <x v="1"/>
    <x v="2"/>
    <n v="120.871"/>
    <n v="110.5"/>
    <n v="9.3855203619909453"/>
    <x v="2116"/>
  </r>
  <r>
    <s v="Multihop,STnet,60"/>
    <x v="1"/>
    <x v="1"/>
    <x v="2"/>
    <n v="121.798"/>
    <n v="110.5"/>
    <n v="10.224434389140272"/>
    <x v="2117"/>
  </r>
  <r>
    <s v="Multihop,STnet,60"/>
    <x v="1"/>
    <x v="1"/>
    <x v="2"/>
    <n v="102.995"/>
    <n v="110.5"/>
    <n v="6.7918552036199049"/>
    <x v="2118"/>
  </r>
  <r>
    <s v="Multihop,STnet,60"/>
    <x v="1"/>
    <x v="1"/>
    <x v="2"/>
    <n v="101.214"/>
    <n v="110.5"/>
    <n v="8.4036199095022628"/>
    <x v="2119"/>
  </r>
  <r>
    <s v="Multihop,STnet,60"/>
    <x v="1"/>
    <x v="1"/>
    <x v="2"/>
    <n v="109.28700000000001"/>
    <n v="110.5"/>
    <n v="1.0977375565610803"/>
    <x v="2120"/>
  </r>
  <r>
    <s v="Multihop,STnet,60"/>
    <x v="1"/>
    <x v="1"/>
    <x v="2"/>
    <n v="121.455"/>
    <n v="110.5"/>
    <n v="9.9140271493212655"/>
    <x v="2121"/>
  </r>
  <r>
    <s v="Multihop,STnet,60"/>
    <x v="1"/>
    <x v="1"/>
    <x v="2"/>
    <n v="105.652"/>
    <n v="110.5"/>
    <n v="4.3873303167420801"/>
    <x v="2122"/>
  </r>
  <r>
    <s v="Multihop,STnet,60"/>
    <x v="1"/>
    <x v="1"/>
    <x v="2"/>
    <n v="107.944"/>
    <n v="110.5"/>
    <n v="2.3131221719456989"/>
    <x v="2123"/>
  </r>
  <r>
    <s v="Multihop,STnet,60"/>
    <x v="1"/>
    <x v="1"/>
    <x v="2"/>
    <n v="93.775999999999996"/>
    <n v="110.5"/>
    <n v="15.134841628959281"/>
    <x v="2124"/>
  </r>
  <r>
    <s v="Multihop,STnet,60"/>
    <x v="1"/>
    <x v="1"/>
    <x v="2"/>
    <n v="102.36"/>
    <n v="110.5"/>
    <n v="7.3665158371040738"/>
    <x v="2125"/>
  </r>
  <r>
    <s v="Multihop,STnet,60"/>
    <x v="1"/>
    <x v="1"/>
    <x v="2"/>
    <n v="113.506"/>
    <n v="110.5"/>
    <n v="2.7203619909502263"/>
    <x v="2126"/>
  </r>
  <r>
    <s v="Multihop,STnet,60"/>
    <x v="1"/>
    <x v="1"/>
    <x v="2"/>
    <n v="106.28700000000001"/>
    <n v="110.5"/>
    <n v="3.812669683257913"/>
    <x v="2127"/>
  </r>
  <r>
    <s v="Multihop,STnet,60"/>
    <x v="1"/>
    <x v="1"/>
    <x v="2"/>
    <n v="106.798"/>
    <n v="110.5"/>
    <n v="3.3502262443438893"/>
    <x v="2128"/>
  </r>
  <r>
    <s v="Multihop,STnet,60"/>
    <x v="1"/>
    <x v="1"/>
    <x v="2"/>
    <n v="100.14100000000001"/>
    <n v="110.5"/>
    <n v="9.374660633484158"/>
    <x v="2129"/>
  </r>
  <r>
    <s v="Multihop,STnet,60"/>
    <x v="1"/>
    <x v="1"/>
    <x v="2"/>
    <n v="111.871"/>
    <n v="110.5"/>
    <n v="1.2407239819004481"/>
    <x v="2130"/>
  </r>
  <r>
    <s v="Multihop,STnet,60"/>
    <x v="1"/>
    <x v="1"/>
    <x v="2"/>
    <n v="96.921999999999997"/>
    <n v="110.5"/>
    <n v="12.287782805429867"/>
    <x v="2131"/>
  </r>
  <r>
    <s v="Multihop,STnet,60"/>
    <x v="1"/>
    <x v="1"/>
    <x v="2"/>
    <n v="107.43300000000001"/>
    <n v="110.5"/>
    <n v="2.7755656108597222"/>
    <x v="2132"/>
  </r>
  <r>
    <s v="Multihop,STnet,60"/>
    <x v="1"/>
    <x v="1"/>
    <x v="2"/>
    <n v="115.09"/>
    <n v="110.5"/>
    <n v="4.1538461538461569"/>
    <x v="2133"/>
  </r>
  <r>
    <s v="Multihop,STnet,60"/>
    <x v="1"/>
    <x v="1"/>
    <x v="2"/>
    <n v="114.09"/>
    <n v="110.5"/>
    <n v="3.2488687782805461"/>
    <x v="2134"/>
  </r>
  <r>
    <s v="Multihop,STnet,60"/>
    <x v="1"/>
    <x v="1"/>
    <x v="2"/>
    <n v="105.43300000000001"/>
    <n v="110.5"/>
    <n v="4.5855203619909437"/>
    <x v="2135"/>
  </r>
  <r>
    <s v="Multihop,STnet,60"/>
    <x v="1"/>
    <x v="1"/>
    <x v="2"/>
    <n v="117.017"/>
    <n v="110.5"/>
    <n v="5.8977375565610819"/>
    <x v="2136"/>
  </r>
  <r>
    <s v="Multihop,STnet,60"/>
    <x v="1"/>
    <x v="1"/>
    <x v="2"/>
    <n v="119.09"/>
    <n v="110.5"/>
    <n v="7.7737556561086008"/>
    <x v="2137"/>
  </r>
  <r>
    <s v="Multihop,STnet,60"/>
    <x v="1"/>
    <x v="1"/>
    <x v="2"/>
    <n v="103.43300000000001"/>
    <n v="110.5"/>
    <n v="6.3954751131221661"/>
    <x v="2138"/>
  </r>
  <r>
    <s v="Multihop,STnet,60"/>
    <x v="1"/>
    <x v="1"/>
    <x v="2"/>
    <n v="107.43300000000001"/>
    <n v="110.5"/>
    <n v="2.7755656108597222"/>
    <x v="2132"/>
  </r>
  <r>
    <s v="Multihop,STnet,60"/>
    <x v="1"/>
    <x v="1"/>
    <x v="2"/>
    <n v="104.36"/>
    <n v="110.5"/>
    <n v="5.5565610859728514"/>
    <x v="2139"/>
  </r>
  <r>
    <s v="Multihop,STnet,60"/>
    <x v="1"/>
    <x v="1"/>
    <x v="2"/>
    <n v="110.652"/>
    <n v="110.5"/>
    <n v="0.13755656108597378"/>
    <x v="2140"/>
  </r>
  <r>
    <s v="Multihop,STnet,60"/>
    <x v="1"/>
    <x v="1"/>
    <x v="2"/>
    <n v="92.995000000000005"/>
    <n v="110.5"/>
    <n v="15.841628959276013"/>
    <x v="2141"/>
  </r>
  <r>
    <s v="Multihop,STnet,60"/>
    <x v="1"/>
    <x v="1"/>
    <x v="2"/>
    <n v="108.14100000000001"/>
    <n v="110.5"/>
    <n v="2.1348416289592711"/>
    <x v="2142"/>
  </r>
  <r>
    <s v="Multihop,STnet,60"/>
    <x v="1"/>
    <x v="1"/>
    <x v="2"/>
    <n v="106.506"/>
    <n v="110.5"/>
    <n v="3.6144796380090494"/>
    <x v="2143"/>
  </r>
  <r>
    <s v="Multihop,STnet,60"/>
    <x v="1"/>
    <x v="1"/>
    <x v="2"/>
    <n v="107.43300000000001"/>
    <n v="110.5"/>
    <n v="2.7755656108597222"/>
    <x v="2132"/>
  </r>
  <r>
    <s v="Multihop,STnet,60"/>
    <x v="1"/>
    <x v="1"/>
    <x v="2"/>
    <n v="110.14100000000001"/>
    <n v="110.5"/>
    <n v="0.32488687782804948"/>
    <x v="2144"/>
  </r>
  <r>
    <s v="Multihop,STnet,60"/>
    <x v="1"/>
    <x v="1"/>
    <x v="2"/>
    <n v="103.849"/>
    <n v="110.5"/>
    <n v="6.0190045248868742"/>
    <x v="2145"/>
  </r>
  <r>
    <s v="Multihop,STnet,60"/>
    <x v="1"/>
    <x v="1"/>
    <x v="2"/>
    <n v="98.067999999999998"/>
    <n v="110.5"/>
    <n v="11.250678733031675"/>
    <x v="2146"/>
  </r>
  <r>
    <s v="Multihop,STnet,60"/>
    <x v="1"/>
    <x v="1"/>
    <x v="2"/>
    <n v="115.506"/>
    <n v="110.5"/>
    <n v="4.5303167420814479"/>
    <x v="2147"/>
  </r>
  <r>
    <s v="Multihop,STnet,60"/>
    <x v="1"/>
    <x v="1"/>
    <x v="2"/>
    <n v="126.38200000000001"/>
    <n v="110.5"/>
    <n v="14.372850678733037"/>
    <x v="2148"/>
  </r>
  <r>
    <s v="Multihop,STnet,60"/>
    <x v="1"/>
    <x v="1"/>
    <x v="2"/>
    <n v="108.36"/>
    <n v="110.5"/>
    <n v="1.9366515837104077"/>
    <x v="2149"/>
  </r>
  <r>
    <s v="Multihop,STnet,60"/>
    <x v="1"/>
    <x v="1"/>
    <x v="2"/>
    <n v="106.944"/>
    <n v="110.5"/>
    <n v="3.2180995475113097"/>
    <x v="2150"/>
  </r>
  <r>
    <s v="Multihop,STnet,60"/>
    <x v="1"/>
    <x v="1"/>
    <x v="2"/>
    <n v="105.43300000000001"/>
    <n v="110.5"/>
    <n v="4.5855203619909437"/>
    <x v="2135"/>
  </r>
  <r>
    <s v="Multihop,STnet,60"/>
    <x v="1"/>
    <x v="1"/>
    <x v="2"/>
    <n v="118.798"/>
    <n v="110.5"/>
    <n v="7.5095022624434407"/>
    <x v="2151"/>
  </r>
  <r>
    <s v="Multihop,STnet,60"/>
    <x v="1"/>
    <x v="1"/>
    <x v="2"/>
    <n v="119.652"/>
    <n v="110.5"/>
    <n v="8.2823529411764714"/>
    <x v="2152"/>
  </r>
  <r>
    <s v="Multihop,STnet,60"/>
    <x v="1"/>
    <x v="1"/>
    <x v="2"/>
    <n v="108.506"/>
    <n v="110.5"/>
    <n v="1.8045248868778279"/>
    <x v="2153"/>
  </r>
  <r>
    <s v="Multihop,STnet,60"/>
    <x v="1"/>
    <x v="1"/>
    <x v="2"/>
    <n v="103.923"/>
    <n v="110.5"/>
    <n v="5.952036199095021"/>
    <x v="2154"/>
  </r>
  <r>
    <s v="Multihop,STnet,60"/>
    <x v="1"/>
    <x v="1"/>
    <x v="2"/>
    <n v="118.944"/>
    <n v="110.5"/>
    <n v="7.6416289592760203"/>
    <x v="2155"/>
  </r>
  <r>
    <s v="Multihop,STnet,60"/>
    <x v="1"/>
    <x v="1"/>
    <x v="2"/>
    <n v="101.36"/>
    <n v="110.5"/>
    <n v="8.2714932126696841"/>
    <x v="2156"/>
  </r>
  <r>
    <s v="Multihop,STnet,60"/>
    <x v="1"/>
    <x v="1"/>
    <x v="2"/>
    <n v="120.309"/>
    <n v="110.5"/>
    <n v="8.8769230769230756"/>
    <x v="2157"/>
  </r>
  <r>
    <s v="Multihop,STnet,60"/>
    <x v="1"/>
    <x v="1"/>
    <x v="2"/>
    <n v="97.067999999999998"/>
    <n v="110.5"/>
    <n v="12.155656108597288"/>
    <x v="2158"/>
  </r>
  <r>
    <s v="Multihop,STnet,60"/>
    <x v="1"/>
    <x v="1"/>
    <x v="2"/>
    <n v="102.142"/>
    <n v="110.5"/>
    <n v="7.5638009049773789"/>
    <x v="2159"/>
  </r>
  <r>
    <s v="Multihop,STnet,60"/>
    <x v="1"/>
    <x v="1"/>
    <x v="2"/>
    <n v="100.36"/>
    <n v="110.5"/>
    <n v="9.1764705882352935"/>
    <x v="2160"/>
  </r>
  <r>
    <s v="Multihop,STnet,60"/>
    <x v="1"/>
    <x v="1"/>
    <x v="2"/>
    <n v="105.72499999999999"/>
    <n v="110.5"/>
    <n v="4.3212669683257969"/>
    <x v="2161"/>
  </r>
  <r>
    <s v="Multihop,STnet,60"/>
    <x v="1"/>
    <x v="1"/>
    <x v="2"/>
    <n v="105.57899999999999"/>
    <n v="110.5"/>
    <n v="4.4533936651583765"/>
    <x v="2162"/>
  </r>
  <r>
    <s v="Multihop,STnet,60"/>
    <x v="1"/>
    <x v="1"/>
    <x v="2"/>
    <n v="101.14100000000001"/>
    <n v="110.5"/>
    <n v="8.4696832579185468"/>
    <x v="2163"/>
  </r>
  <r>
    <s v="Multihop,STnet,60"/>
    <x v="1"/>
    <x v="1"/>
    <x v="2"/>
    <n v="109.944"/>
    <n v="110.5"/>
    <n v="0.5031674208144773"/>
    <x v="2164"/>
  </r>
  <r>
    <s v="Multihop,STnet,60"/>
    <x v="1"/>
    <x v="1"/>
    <x v="2"/>
    <n v="121.09"/>
    <n v="110.5"/>
    <n v="9.5837104072398223"/>
    <x v="2165"/>
  </r>
  <r>
    <s v="Multihop,STnet,60"/>
    <x v="1"/>
    <x v="1"/>
    <x v="2"/>
    <n v="102.506"/>
    <n v="110.5"/>
    <n v="7.2343891402714924"/>
    <x v="2166"/>
  </r>
  <r>
    <s v="Multihop,STnet,60"/>
    <x v="1"/>
    <x v="1"/>
    <x v="2"/>
    <n v="108.923"/>
    <n v="110.5"/>
    <n v="1.4271493212669666"/>
    <x v="2167"/>
  </r>
  <r>
    <s v="Multihop,STnet,60"/>
    <x v="1"/>
    <x v="1"/>
    <x v="2"/>
    <n v="104.871"/>
    <n v="110.5"/>
    <n v="5.0941176470588285"/>
    <x v="2168"/>
  </r>
  <r>
    <s v="Multihop,STnet,60"/>
    <x v="1"/>
    <x v="1"/>
    <x v="2"/>
    <n v="111.43300000000001"/>
    <n v="110.5"/>
    <n v="0.84434389140272126"/>
    <x v="2169"/>
  </r>
  <r>
    <s v="Multihop,STnet,60"/>
    <x v="1"/>
    <x v="1"/>
    <x v="2"/>
    <n v="102.798"/>
    <n v="110.5"/>
    <n v="6.9701357466063332"/>
    <x v="2170"/>
  </r>
  <r>
    <s v="Multihop,STnet,60"/>
    <x v="1"/>
    <x v="1"/>
    <x v="2"/>
    <n v="89.63"/>
    <n v="110.5"/>
    <n v="18.886877828054303"/>
    <x v="2171"/>
  </r>
  <r>
    <s v="Multihop,STnet,60"/>
    <x v="1"/>
    <x v="1"/>
    <x v="2"/>
    <n v="120.163"/>
    <n v="110.5"/>
    <n v="8.7447963800904951"/>
    <x v="2172"/>
  </r>
  <r>
    <s v="Multihop,STnet,60"/>
    <x v="1"/>
    <x v="1"/>
    <x v="2"/>
    <n v="108.798"/>
    <n v="110.5"/>
    <n v="1.5402714932126682"/>
    <x v="2173"/>
  </r>
  <r>
    <s v="Multihop,STnet,60"/>
    <x v="1"/>
    <x v="1"/>
    <x v="2"/>
    <n v="108.506"/>
    <n v="110.5"/>
    <n v="1.8045248868778279"/>
    <x v="2153"/>
  </r>
  <r>
    <s v="Multihop,STnet,60"/>
    <x v="1"/>
    <x v="1"/>
    <x v="2"/>
    <n v="99.36"/>
    <n v="110.5"/>
    <n v="10.081447963800906"/>
    <x v="2174"/>
  </r>
  <r>
    <s v="Multihop,STnet,60"/>
    <x v="1"/>
    <x v="1"/>
    <x v="2"/>
    <n v="124.601"/>
    <n v="110.5"/>
    <n v="12.761085972850678"/>
    <x v="2175"/>
  </r>
  <r>
    <s v="Multihop,STnet,60"/>
    <x v="1"/>
    <x v="1"/>
    <x v="2"/>
    <n v="101.43300000000001"/>
    <n v="110.5"/>
    <n v="8.2054298642533876"/>
    <x v="2176"/>
  </r>
  <r>
    <s v="Multihop,STnet,60"/>
    <x v="1"/>
    <x v="1"/>
    <x v="2"/>
    <n v="104.068"/>
    <n v="110.5"/>
    <n v="5.8208144796380115"/>
    <x v="2177"/>
  </r>
  <r>
    <s v="Multihop,STnet,60"/>
    <x v="1"/>
    <x v="1"/>
    <x v="2"/>
    <n v="105.995"/>
    <n v="110.5"/>
    <n v="4.0769230769230731"/>
    <x v="2178"/>
  </r>
  <r>
    <s v="Multihop,STnet,60"/>
    <x v="1"/>
    <x v="1"/>
    <x v="2"/>
    <n v="96.557000000000002"/>
    <n v="110.5"/>
    <n v="12.61809954751131"/>
    <x v="2179"/>
  </r>
  <r>
    <s v="Multihop,STnet,60"/>
    <x v="1"/>
    <x v="1"/>
    <x v="2"/>
    <n v="111.72499999999999"/>
    <n v="110.5"/>
    <n v="1.1085972850678683"/>
    <x v="2180"/>
  </r>
  <r>
    <s v="Multihop,STnet,60"/>
    <x v="1"/>
    <x v="1"/>
    <x v="2"/>
    <n v="90.557000000000002"/>
    <n v="110.5"/>
    <n v="18.047963800904977"/>
    <x v="2181"/>
  </r>
  <r>
    <s v="Multihop,STnet,60"/>
    <x v="1"/>
    <x v="1"/>
    <x v="2"/>
    <n v="96.483999999999995"/>
    <n v="110.5"/>
    <n v="12.684162895927606"/>
    <x v="2182"/>
  </r>
  <r>
    <s v="Multihop,STnet,60"/>
    <x v="1"/>
    <x v="1"/>
    <x v="2"/>
    <n v="105.57899999999999"/>
    <n v="110.5"/>
    <n v="4.4533936651583765"/>
    <x v="2162"/>
  </r>
  <r>
    <s v="Multihop,STnet,60"/>
    <x v="1"/>
    <x v="1"/>
    <x v="2"/>
    <n v="117.871"/>
    <n v="110.5"/>
    <n v="6.6705882352941126"/>
    <x v="2183"/>
  </r>
  <r>
    <s v="Multihop,STnet,60"/>
    <x v="1"/>
    <x v="1"/>
    <x v="2"/>
    <n v="116.309"/>
    <n v="110.5"/>
    <n v="5.2570135746606317"/>
    <x v="2184"/>
  </r>
  <r>
    <s v="Multihop,STnet,60"/>
    <x v="1"/>
    <x v="1"/>
    <x v="2"/>
    <n v="106.43300000000001"/>
    <n v="110.5"/>
    <n v="3.680542986425333"/>
    <x v="2185"/>
  </r>
  <r>
    <s v="Multihop,STnet,60"/>
    <x v="1"/>
    <x v="1"/>
    <x v="2"/>
    <n v="97.213999999999999"/>
    <n v="110.5"/>
    <n v="12.023529411764706"/>
    <x v="2186"/>
  </r>
  <r>
    <s v="Multihop,STnet,60"/>
    <x v="1"/>
    <x v="1"/>
    <x v="2"/>
    <n v="104.068"/>
    <n v="110.5"/>
    <n v="5.8208144796380115"/>
    <x v="2177"/>
  </r>
  <r>
    <s v="Multihop,STnet,60"/>
    <x v="1"/>
    <x v="1"/>
    <x v="2"/>
    <n v="107.57899999999999"/>
    <n v="110.5"/>
    <n v="2.643438914027155"/>
    <x v="2187"/>
  </r>
  <r>
    <s v="Multihop,STnet,60"/>
    <x v="1"/>
    <x v="1"/>
    <x v="2"/>
    <n v="105.28700000000001"/>
    <n v="110.5"/>
    <n v="4.7176470588235233"/>
    <x v="2188"/>
  </r>
  <r>
    <s v="Multihop,STnet,60"/>
    <x v="1"/>
    <x v="1"/>
    <x v="2"/>
    <n v="111.652"/>
    <n v="110.5"/>
    <n v="1.0425339366515847"/>
    <x v="2189"/>
  </r>
  <r>
    <s v="Multihop,STnet,60"/>
    <x v="1"/>
    <x v="1"/>
    <x v="2"/>
    <n v="96.067999999999998"/>
    <n v="110.5"/>
    <n v="13.060633484162897"/>
    <x v="2190"/>
  </r>
  <r>
    <s v="Multihop,STnet,60"/>
    <x v="1"/>
    <x v="1"/>
    <x v="2"/>
    <n v="111.871"/>
    <n v="110.5"/>
    <n v="1.2407239819004481"/>
    <x v="2130"/>
  </r>
  <r>
    <s v="Multihop,STnet,60"/>
    <x v="1"/>
    <x v="1"/>
    <x v="2"/>
    <n v="121.309"/>
    <n v="110.5"/>
    <n v="9.781900452488685"/>
    <x v="2191"/>
  </r>
  <r>
    <s v="Multihop,STnet,60"/>
    <x v="1"/>
    <x v="1"/>
    <x v="2"/>
    <n v="117.236"/>
    <n v="110.5"/>
    <n v="6.095927601809958"/>
    <x v="2192"/>
  </r>
  <r>
    <s v="Multihop,STnet,60"/>
    <x v="1"/>
    <x v="1"/>
    <x v="2"/>
    <n v="119.163"/>
    <n v="110.5"/>
    <n v="7.8398190045248839"/>
    <x v="2193"/>
  </r>
  <r>
    <s v="Multihop,STnet,60"/>
    <x v="1"/>
    <x v="1"/>
    <x v="2"/>
    <n v="115.163"/>
    <n v="110.5"/>
    <n v="4.21990950226244"/>
    <x v="2194"/>
  </r>
  <r>
    <s v="Multihop,STnet,60"/>
    <x v="1"/>
    <x v="1"/>
    <x v="2"/>
    <n v="122.38200000000001"/>
    <n v="110.5"/>
    <n v="10.752941176470593"/>
    <x v="2195"/>
  </r>
  <r>
    <s v="Multihop,STnet,60"/>
    <x v="1"/>
    <x v="1"/>
    <x v="2"/>
    <n v="98.631"/>
    <n v="110.5"/>
    <n v="10.741176470588234"/>
    <x v="2196"/>
  </r>
  <r>
    <s v="Multihop,STnet,60"/>
    <x v="1"/>
    <x v="1"/>
    <x v="2"/>
    <n v="106.43300000000001"/>
    <n v="110.5"/>
    <n v="3.680542986425333"/>
    <x v="2185"/>
  </r>
  <r>
    <s v="Multihop,STnet,60"/>
    <x v="1"/>
    <x v="1"/>
    <x v="2"/>
    <n v="99.213999999999999"/>
    <n v="110.5"/>
    <n v="10.213574660633485"/>
    <x v="2197"/>
  </r>
  <r>
    <s v="Multihop,STnet,60"/>
    <x v="1"/>
    <x v="1"/>
    <x v="2"/>
    <n v="122.309"/>
    <n v="110.5"/>
    <n v="10.686877828054296"/>
    <x v="2198"/>
  </r>
  <r>
    <s v="Multihop,STnet,60"/>
    <x v="1"/>
    <x v="1"/>
    <x v="2"/>
    <n v="112.871"/>
    <n v="110.5"/>
    <n v="2.1457013574660588"/>
    <x v="2199"/>
  </r>
  <r>
    <s v="Multihop,STnet,60"/>
    <x v="1"/>
    <x v="1"/>
    <x v="2"/>
    <n v="105.14100000000001"/>
    <n v="110.5"/>
    <n v="4.8497737556561038"/>
    <x v="2200"/>
  </r>
  <r>
    <s v="Multihop,STnet,60"/>
    <x v="1"/>
    <x v="1"/>
    <x v="2"/>
    <n v="105.43300000000001"/>
    <n v="110.5"/>
    <n v="4.5855203619909437"/>
    <x v="2135"/>
  </r>
  <r>
    <s v="Multihop,STnet,60"/>
    <x v="1"/>
    <x v="1"/>
    <x v="2"/>
    <n v="95.775999999999996"/>
    <n v="110.5"/>
    <n v="13.324886877828057"/>
    <x v="2201"/>
  </r>
  <r>
    <s v="Multihop,STnet,60"/>
    <x v="1"/>
    <x v="1"/>
    <x v="2"/>
    <n v="108.506"/>
    <n v="110.5"/>
    <n v="1.8045248868778279"/>
    <x v="2153"/>
  </r>
  <r>
    <s v="Multihop,STnet,60"/>
    <x v="1"/>
    <x v="1"/>
    <x v="2"/>
    <n v="97.921999999999997"/>
    <n v="110.5"/>
    <n v="11.382805429864257"/>
    <x v="2202"/>
  </r>
  <r>
    <s v="Multihop,STnet,80"/>
    <x v="1"/>
    <x v="1"/>
    <x v="3"/>
    <n v="161.62"/>
    <n v="144.5"/>
    <n v="11.847750865051907"/>
    <x v="2203"/>
  </r>
  <r>
    <s v="Multihop,STnet,80"/>
    <x v="1"/>
    <x v="1"/>
    <x v="3"/>
    <n v="145.33099999999999"/>
    <n v="144.5"/>
    <n v="0.57508650519030369"/>
    <x v="2204"/>
  </r>
  <r>
    <s v="Multihop,STnet,80"/>
    <x v="1"/>
    <x v="1"/>
    <x v="3"/>
    <n v="131.52799999999999"/>
    <n v="144.5"/>
    <n v="8.9771626297577907"/>
    <x v="2205"/>
  </r>
  <r>
    <s v="Multihop,STnet,80"/>
    <x v="1"/>
    <x v="1"/>
    <x v="3"/>
    <n v="124.163"/>
    <n v="144.5"/>
    <n v="14.074048442906575"/>
    <x v="2206"/>
  </r>
  <r>
    <s v="Multihop,STnet,80"/>
    <x v="1"/>
    <x v="1"/>
    <x v="3"/>
    <n v="124.163"/>
    <n v="144.5"/>
    <n v="14.074048442906575"/>
    <x v="2206"/>
  </r>
  <r>
    <s v="Multihop,STnet,80"/>
    <x v="1"/>
    <x v="1"/>
    <x v="3"/>
    <n v="134.08699999999999"/>
    <n v="144.5"/>
    <n v="7.2062283737024293"/>
    <x v="2207"/>
  </r>
  <r>
    <s v="Multihop,STnet,80"/>
    <x v="1"/>
    <x v="1"/>
    <x v="3"/>
    <n v="156.035"/>
    <n v="144.5"/>
    <n v="7.9826989619377136"/>
    <x v="2208"/>
  </r>
  <r>
    <s v="Multihop,STnet,80"/>
    <x v="1"/>
    <x v="1"/>
    <x v="3"/>
    <n v="128.601"/>
    <n v="144.5"/>
    <n v="11.002768166089966"/>
    <x v="2209"/>
  </r>
  <r>
    <s v="Multihop,STnet,80"/>
    <x v="1"/>
    <x v="1"/>
    <x v="3"/>
    <n v="144.67099999999999"/>
    <n v="144.5"/>
    <n v="0.1183391003460154"/>
    <x v="2210"/>
  </r>
  <r>
    <s v="Multihop,STnet,80"/>
    <x v="1"/>
    <x v="1"/>
    <x v="3"/>
    <n v="142.33099999999999"/>
    <n v="144.5"/>
    <n v="1.5010380622837447"/>
    <x v="2211"/>
  </r>
  <r>
    <s v="Multihop,STnet,80"/>
    <x v="1"/>
    <x v="1"/>
    <x v="3"/>
    <n v="139.30600000000001"/>
    <n v="144.5"/>
    <n v="3.5944636678200608"/>
    <x v="2212"/>
  </r>
  <r>
    <s v="Multihop,STnet,80"/>
    <x v="1"/>
    <x v="1"/>
    <x v="3"/>
    <n v="137.601"/>
    <n v="144.5"/>
    <n v="4.7743944636678206"/>
    <x v="2213"/>
  </r>
  <r>
    <s v="Multihop,STnet,80"/>
    <x v="1"/>
    <x v="1"/>
    <x v="3"/>
    <n v="121.017"/>
    <n v="144.5"/>
    <n v="16.251211072664361"/>
    <x v="2214"/>
  </r>
  <r>
    <s v="Multihop,STnet,80"/>
    <x v="1"/>
    <x v="1"/>
    <x v="3"/>
    <n v="115.36"/>
    <n v="144.5"/>
    <n v="20.166089965397923"/>
    <x v="2215"/>
  </r>
  <r>
    <s v="Multihop,STnet,80"/>
    <x v="1"/>
    <x v="1"/>
    <x v="3"/>
    <n v="128.601"/>
    <n v="144.5"/>
    <n v="11.002768166089966"/>
    <x v="2209"/>
  </r>
  <r>
    <s v="Multihop,STnet,80"/>
    <x v="1"/>
    <x v="1"/>
    <x v="3"/>
    <n v="140.08699999999999"/>
    <n v="144.5"/>
    <n v="3.0539792387543327"/>
    <x v="2216"/>
  </r>
  <r>
    <s v="Multihop,STnet,80"/>
    <x v="1"/>
    <x v="1"/>
    <x v="3"/>
    <n v="122.38200000000001"/>
    <n v="144.5"/>
    <n v="15.306574394463665"/>
    <x v="2217"/>
  </r>
  <r>
    <s v="Multihop,STnet,80"/>
    <x v="1"/>
    <x v="1"/>
    <x v="3"/>
    <n v="150.327"/>
    <n v="144.5"/>
    <n v="4.0325259515570924"/>
    <x v="2218"/>
  </r>
  <r>
    <s v="Multihop,STnet,80"/>
    <x v="1"/>
    <x v="1"/>
    <x v="3"/>
    <n v="135.67400000000001"/>
    <n v="144.5"/>
    <n v="6.107958477508646"/>
    <x v="2219"/>
  </r>
  <r>
    <s v="Multihop,STnet,80"/>
    <x v="1"/>
    <x v="1"/>
    <x v="3"/>
    <n v="142.37899999999999"/>
    <n v="144.5"/>
    <n v="1.4678200692041588"/>
    <x v="2220"/>
  </r>
  <r>
    <s v="Multihop,STnet,80"/>
    <x v="1"/>
    <x v="1"/>
    <x v="3"/>
    <n v="136.45500000000001"/>
    <n v="144.5"/>
    <n v="5.5674740484428975"/>
    <x v="2221"/>
  </r>
  <r>
    <s v="Multihop,STnet,80"/>
    <x v="1"/>
    <x v="1"/>
    <x v="3"/>
    <n v="139.30600000000001"/>
    <n v="144.5"/>
    <n v="3.5944636678200608"/>
    <x v="2212"/>
  </r>
  <r>
    <s v="Multihop,STnet,80"/>
    <x v="1"/>
    <x v="1"/>
    <x v="3"/>
    <n v="145.55000000000001"/>
    <n v="144.5"/>
    <n v="0.72664359861592476"/>
    <x v="2222"/>
  </r>
  <r>
    <s v="Multihop,STnet,80"/>
    <x v="1"/>
    <x v="1"/>
    <x v="3"/>
    <n v="124.944"/>
    <n v="144.5"/>
    <n v="13.533564013840829"/>
    <x v="2223"/>
  </r>
  <r>
    <s v="Multihop,STnet,80"/>
    <x v="1"/>
    <x v="1"/>
    <x v="3"/>
    <n v="143.768"/>
    <n v="144.5"/>
    <n v="0.50657439446366737"/>
    <x v="2224"/>
  </r>
  <r>
    <s v="Multihop,STnet,80"/>
    <x v="1"/>
    <x v="1"/>
    <x v="3"/>
    <n v="125.455"/>
    <n v="144.5"/>
    <n v="13.179930795847753"/>
    <x v="2225"/>
  </r>
  <r>
    <s v="Multihop,STnet,80"/>
    <x v="1"/>
    <x v="1"/>
    <x v="3"/>
    <n v="140.03899999999999"/>
    <n v="144.5"/>
    <n v="3.0871972318339189"/>
    <x v="2226"/>
  </r>
  <r>
    <s v="Multihop,STnet,80"/>
    <x v="1"/>
    <x v="1"/>
    <x v="3"/>
    <n v="125.236"/>
    <n v="144.5"/>
    <n v="13.331487889273353"/>
    <x v="2227"/>
  </r>
  <r>
    <s v="Multihop,STnet,80"/>
    <x v="1"/>
    <x v="1"/>
    <x v="3"/>
    <n v="124.52800000000001"/>
    <n v="144.5"/>
    <n v="13.821453287197228"/>
    <x v="2228"/>
  </r>
  <r>
    <s v="Multihop,STnet,80"/>
    <x v="1"/>
    <x v="1"/>
    <x v="3"/>
    <n v="142.11199999999999"/>
    <n v="144.5"/>
    <n v="1.6525951557093461"/>
    <x v="2229"/>
  </r>
  <r>
    <s v="Multihop,STnet,80"/>
    <x v="1"/>
    <x v="1"/>
    <x v="3"/>
    <n v="132.23599999999999"/>
    <n v="144.5"/>
    <n v="8.4871972318339157"/>
    <x v="2230"/>
  </r>
  <r>
    <s v="Multihop,STnet,80"/>
    <x v="1"/>
    <x v="1"/>
    <x v="3"/>
    <n v="142.696"/>
    <n v="144.5"/>
    <n v="1.2484429065743958"/>
    <x v="2231"/>
  </r>
  <r>
    <s v="Multihop,STnet,80"/>
    <x v="1"/>
    <x v="1"/>
    <x v="3"/>
    <n v="148.54900000000001"/>
    <n v="144.5"/>
    <n v="2.8020761245674786"/>
    <x v="2232"/>
  </r>
  <r>
    <s v="Multihop,STnet,80"/>
    <x v="1"/>
    <x v="1"/>
    <x v="3"/>
    <n v="138.30600000000001"/>
    <n v="144.5"/>
    <n v="4.2865051903114102"/>
    <x v="2233"/>
  </r>
  <r>
    <s v="Multihop,STnet,80"/>
    <x v="1"/>
    <x v="1"/>
    <x v="3"/>
    <n v="156.44800000000001"/>
    <n v="144.5"/>
    <n v="8.2685121107266486"/>
    <x v="2234"/>
  </r>
  <r>
    <s v="Multihop,STnet,80"/>
    <x v="1"/>
    <x v="1"/>
    <x v="3"/>
    <n v="131.37899999999999"/>
    <n v="144.5"/>
    <n v="9.080276816609004"/>
    <x v="2235"/>
  </r>
  <r>
    <s v="Multihop,STnet,80"/>
    <x v="1"/>
    <x v="1"/>
    <x v="3"/>
    <n v="157.18199999999999"/>
    <n v="144.5"/>
    <n v="8.776470588235286"/>
    <x v="2236"/>
  </r>
  <r>
    <s v="Multihop,STnet,80"/>
    <x v="1"/>
    <x v="1"/>
    <x v="3"/>
    <n v="129.45500000000001"/>
    <n v="144.5"/>
    <n v="10.411764705882344"/>
    <x v="2237"/>
  </r>
  <r>
    <s v="Multihop,STnet,80"/>
    <x v="1"/>
    <x v="1"/>
    <x v="3"/>
    <n v="131.185"/>
    <n v="144.5"/>
    <n v="9.2145328719723167"/>
    <x v="2238"/>
  </r>
  <r>
    <s v="Multihop,STnet,80"/>
    <x v="1"/>
    <x v="1"/>
    <x v="3"/>
    <n v="132.45500000000001"/>
    <n v="144.5"/>
    <n v="8.3356401384082961"/>
    <x v="2239"/>
  </r>
  <r>
    <s v="Multihop,STnet,80"/>
    <x v="1"/>
    <x v="1"/>
    <x v="3"/>
    <n v="128.309"/>
    <n v="144.5"/>
    <n v="11.204844290657441"/>
    <x v="2240"/>
  </r>
  <r>
    <s v="Multihop,STnet,80"/>
    <x v="1"/>
    <x v="1"/>
    <x v="3"/>
    <n v="135.893"/>
    <n v="144.5"/>
    <n v="5.956401384083045"/>
    <x v="2241"/>
  </r>
  <r>
    <s v="Multihop,STnet,80"/>
    <x v="1"/>
    <x v="1"/>
    <x v="3"/>
    <n v="146.33099999999999"/>
    <n v="144.5"/>
    <n v="1.2671280276816532"/>
    <x v="2242"/>
  </r>
  <r>
    <s v="Multihop,STnet,80"/>
    <x v="1"/>
    <x v="1"/>
    <x v="3"/>
    <n v="137.74700000000001"/>
    <n v="144.5"/>
    <n v="4.6733564013840736"/>
    <x v="2243"/>
  </r>
  <r>
    <s v="Multihop,STnet,80"/>
    <x v="1"/>
    <x v="1"/>
    <x v="3"/>
    <n v="162.42500000000001"/>
    <n v="144.5"/>
    <n v="12.404844290657447"/>
    <x v="2244"/>
  </r>
  <r>
    <s v="Multihop,STnet,80"/>
    <x v="1"/>
    <x v="1"/>
    <x v="3"/>
    <n v="142.11199999999999"/>
    <n v="144.5"/>
    <n v="1.6525951557093461"/>
    <x v="2229"/>
  </r>
  <r>
    <s v="Multihop,STnet,80"/>
    <x v="1"/>
    <x v="1"/>
    <x v="3"/>
    <n v="142.30600000000001"/>
    <n v="144.5"/>
    <n v="1.5183391003460127"/>
    <x v="2245"/>
  </r>
  <r>
    <s v="Multihop,STnet,80"/>
    <x v="1"/>
    <x v="1"/>
    <x v="3"/>
    <n v="133.74700000000001"/>
    <n v="144.5"/>
    <n v="7.4415224913494713"/>
    <x v="2246"/>
  </r>
  <r>
    <s v="Multihop,STnet,80"/>
    <x v="1"/>
    <x v="1"/>
    <x v="3"/>
    <n v="144.81700000000001"/>
    <n v="144.5"/>
    <n v="0.21937716262976281"/>
    <x v="2247"/>
  </r>
  <r>
    <s v="Multihop,STnet,80"/>
    <x v="1"/>
    <x v="1"/>
    <x v="3"/>
    <n v="149.62299999999999"/>
    <n v="144.5"/>
    <n v="3.5453287197231766"/>
    <x v="2248"/>
  </r>
  <r>
    <s v="Multihop,STnet,80"/>
    <x v="1"/>
    <x v="1"/>
    <x v="3"/>
    <n v="138.696"/>
    <n v="144.5"/>
    <n v="4.0166089965397935"/>
    <x v="2249"/>
  </r>
  <r>
    <s v="Multihop,STnet,80"/>
    <x v="1"/>
    <x v="1"/>
    <x v="3"/>
    <n v="129.74700000000001"/>
    <n v="144.5"/>
    <n v="10.209688581314868"/>
    <x v="2250"/>
  </r>
  <r>
    <s v="Multihop,STnet,80"/>
    <x v="1"/>
    <x v="1"/>
    <x v="3"/>
    <n v="126.014"/>
    <n v="144.5"/>
    <n v="12.793079584775088"/>
    <x v="2251"/>
  </r>
  <r>
    <s v="Multihop,STnet,80"/>
    <x v="1"/>
    <x v="1"/>
    <x v="3"/>
    <n v="134.74700000000001"/>
    <n v="144.5"/>
    <n v="6.7494809688581219"/>
    <x v="2252"/>
  </r>
  <r>
    <s v="Multihop,STnet,80"/>
    <x v="1"/>
    <x v="1"/>
    <x v="3"/>
    <n v="132.82"/>
    <n v="144.5"/>
    <n v="8.0830449826989668"/>
    <x v="2253"/>
  </r>
  <r>
    <s v="Multihop,STnet,80"/>
    <x v="1"/>
    <x v="1"/>
    <x v="3"/>
    <n v="122.017"/>
    <n v="144.5"/>
    <n v="15.559169550173014"/>
    <x v="2254"/>
  </r>
  <r>
    <s v="Multihop,STnet,80"/>
    <x v="1"/>
    <x v="1"/>
    <x v="3"/>
    <n v="131.59800000000001"/>
    <n v="144.5"/>
    <n v="8.9287197231833808"/>
    <x v="2255"/>
  </r>
  <r>
    <s v="Multihop,STnet,80"/>
    <x v="1"/>
    <x v="1"/>
    <x v="3"/>
    <n v="118.747"/>
    <n v="144.5"/>
    <n v="17.822145328719724"/>
    <x v="2256"/>
  </r>
  <r>
    <s v="Multihop,STnet,80"/>
    <x v="1"/>
    <x v="1"/>
    <x v="3"/>
    <n v="146.55000000000001"/>
    <n v="144.5"/>
    <n v="1.4186851211072744"/>
    <x v="2257"/>
  </r>
  <r>
    <s v="Multihop,STnet,80"/>
    <x v="1"/>
    <x v="1"/>
    <x v="3"/>
    <n v="136.185"/>
    <n v="144.5"/>
    <n v="5.7543252595155696"/>
    <x v="2258"/>
  </r>
  <r>
    <s v="Multihop,STnet,80"/>
    <x v="1"/>
    <x v="1"/>
    <x v="3"/>
    <n v="135.67400000000001"/>
    <n v="144.5"/>
    <n v="6.107958477508646"/>
    <x v="2219"/>
  </r>
  <r>
    <s v="Multihop,STnet,80"/>
    <x v="1"/>
    <x v="1"/>
    <x v="3"/>
    <n v="138.03899999999999"/>
    <n v="144.5"/>
    <n v="4.4712802768166178"/>
    <x v="2259"/>
  </r>
  <r>
    <s v="Multihop,STnet,80"/>
    <x v="1"/>
    <x v="1"/>
    <x v="3"/>
    <n v="134.03899999999999"/>
    <n v="144.5"/>
    <n v="7.2394463667820155"/>
    <x v="2260"/>
  </r>
  <r>
    <s v="Multihop,STnet,80"/>
    <x v="1"/>
    <x v="1"/>
    <x v="3"/>
    <n v="136.233"/>
    <n v="144.5"/>
    <n v="5.7211072664359834"/>
    <x v="2261"/>
  </r>
  <r>
    <s v="Multihop,STnet,80"/>
    <x v="1"/>
    <x v="1"/>
    <x v="3"/>
    <n v="142.54900000000001"/>
    <n v="144.5"/>
    <n v="1.3501730103806182"/>
    <x v="2262"/>
  </r>
  <r>
    <s v="Multihop,STnet,80"/>
    <x v="1"/>
    <x v="1"/>
    <x v="3"/>
    <n v="141.52500000000001"/>
    <n v="144.5"/>
    <n v="2.0588235294117609"/>
    <x v="2263"/>
  </r>
  <r>
    <s v="Multihop,STnet,80"/>
    <x v="1"/>
    <x v="1"/>
    <x v="3"/>
    <n v="144.93799999999999"/>
    <n v="144.5"/>
    <n v="0.30311418685120289"/>
    <x v="2264"/>
  </r>
  <r>
    <s v="Multihop,STnet,80"/>
    <x v="1"/>
    <x v="1"/>
    <x v="3"/>
    <n v="145.01400000000001"/>
    <n v="144.5"/>
    <n v="0.35570934256056058"/>
    <x v="2265"/>
  </r>
  <r>
    <s v="Multihop,STnet,80"/>
    <x v="1"/>
    <x v="1"/>
    <x v="3"/>
    <n v="169.595"/>
    <n v="144.5"/>
    <n v="17.366782006920413"/>
    <x v="2266"/>
  </r>
  <r>
    <s v="Multihop,STnet,80"/>
    <x v="1"/>
    <x v="1"/>
    <x v="3"/>
    <n v="143.25800000000001"/>
    <n v="144.5"/>
    <n v="0.85951557093424924"/>
    <x v="2267"/>
  </r>
  <r>
    <s v="Multihop,STnet,80"/>
    <x v="1"/>
    <x v="1"/>
    <x v="3"/>
    <n v="152.81700000000001"/>
    <n v="144.5"/>
    <n v="5.755709342560559"/>
    <x v="2268"/>
  </r>
  <r>
    <s v="Multihop,STnet,80"/>
    <x v="1"/>
    <x v="1"/>
    <x v="3"/>
    <n v="134.893"/>
    <n v="144.5"/>
    <n v="6.6484429065743935"/>
    <x v="2269"/>
  </r>
  <r>
    <s v="Multihop,STnet,80"/>
    <x v="1"/>
    <x v="1"/>
    <x v="3"/>
    <n v="142.33099999999999"/>
    <n v="144.5"/>
    <n v="1.5010380622837447"/>
    <x v="2211"/>
  </r>
  <r>
    <s v="Multihop,STnet,80"/>
    <x v="1"/>
    <x v="1"/>
    <x v="3"/>
    <n v="146.696"/>
    <n v="144.5"/>
    <n v="1.5197231833910021"/>
    <x v="2270"/>
  </r>
  <r>
    <s v="Multihop,STnet,80"/>
    <x v="1"/>
    <x v="1"/>
    <x v="3"/>
    <n v="142.452"/>
    <n v="144.5"/>
    <n v="1.417301038062285"/>
    <x v="2271"/>
  </r>
  <r>
    <s v="Multihop,STnet,80"/>
    <x v="1"/>
    <x v="1"/>
    <x v="3"/>
    <n v="146.91399999999999"/>
    <n v="144.5"/>
    <n v="1.6705882352941088"/>
    <x v="2272"/>
  </r>
  <r>
    <s v="Multihop,STnet,80"/>
    <x v="1"/>
    <x v="1"/>
    <x v="3"/>
    <n v="135.893"/>
    <n v="144.5"/>
    <n v="5.956401384083045"/>
    <x v="2241"/>
  </r>
  <r>
    <s v="Multihop,STnet,80"/>
    <x v="1"/>
    <x v="1"/>
    <x v="3"/>
    <n v="118.944"/>
    <n v="144.5"/>
    <n v="17.685813148788927"/>
    <x v="2273"/>
  </r>
  <r>
    <s v="Multihop,STnet,80"/>
    <x v="1"/>
    <x v="1"/>
    <x v="3"/>
    <n v="133.40299999999999"/>
    <n v="144.5"/>
    <n v="7.6795847750865107"/>
    <x v="2274"/>
  </r>
  <r>
    <s v="Multihop,STnet,80"/>
    <x v="1"/>
    <x v="1"/>
    <x v="3"/>
    <n v="137.67400000000001"/>
    <n v="144.5"/>
    <n v="4.7238754325259471"/>
    <x v="2275"/>
  </r>
  <r>
    <s v="Multihop,STnet,80"/>
    <x v="1"/>
    <x v="1"/>
    <x v="3"/>
    <n v="152.98699999999999"/>
    <n v="144.5"/>
    <n v="5.8733564013840791"/>
    <x v="2276"/>
  </r>
  <r>
    <s v="Multihop,STnet,80"/>
    <x v="1"/>
    <x v="1"/>
    <x v="3"/>
    <n v="137.71899999999999"/>
    <n v="144.5"/>
    <n v="4.692733564013845"/>
    <x v="2277"/>
  </r>
  <r>
    <s v="Multihop,STnet,80"/>
    <x v="1"/>
    <x v="1"/>
    <x v="3"/>
    <n v="136.25800000000001"/>
    <n v="144.5"/>
    <n v="5.7038062283736961"/>
    <x v="2278"/>
  </r>
  <r>
    <s v="Multihop,STnet,80"/>
    <x v="1"/>
    <x v="1"/>
    <x v="3"/>
    <n v="128.03800000000001"/>
    <n v="144.5"/>
    <n v="11.392387543252587"/>
    <x v="2279"/>
  </r>
  <r>
    <s v="Multihop,STnet,80"/>
    <x v="1"/>
    <x v="1"/>
    <x v="3"/>
    <n v="128.893"/>
    <n v="144.5"/>
    <n v="10.80069204152249"/>
    <x v="2280"/>
  </r>
  <r>
    <s v="Multihop,STnet,80"/>
    <x v="1"/>
    <x v="1"/>
    <x v="3"/>
    <n v="130.893"/>
    <n v="144.5"/>
    <n v="9.416608996539793"/>
    <x v="2281"/>
  </r>
  <r>
    <s v="Multihop,STnet,80"/>
    <x v="1"/>
    <x v="1"/>
    <x v="3"/>
    <n v="155.10900000000001"/>
    <n v="144.5"/>
    <n v="7.3418685121107332"/>
    <x v="2282"/>
  </r>
  <r>
    <s v="Multihop,STnet,80"/>
    <x v="1"/>
    <x v="1"/>
    <x v="3"/>
    <n v="134.11099999999999"/>
    <n v="144.5"/>
    <n v="7.1896193771626375"/>
    <x v="2283"/>
  </r>
  <r>
    <s v="Multihop,STnet,80"/>
    <x v="1"/>
    <x v="1"/>
    <x v="3"/>
    <n v="136.82"/>
    <n v="144.5"/>
    <n v="5.3148788927335691"/>
    <x v="2284"/>
  </r>
  <r>
    <s v="Multihop,STnet,80"/>
    <x v="1"/>
    <x v="1"/>
    <x v="3"/>
    <n v="141.69399999999999"/>
    <n v="144.5"/>
    <n v="1.9418685121107349"/>
    <x v="2285"/>
  </r>
  <r>
    <s v="Multihop,STnet,80"/>
    <x v="1"/>
    <x v="1"/>
    <x v="3"/>
    <n v="135.017"/>
    <n v="144.5"/>
    <n v="6.5626297577854693"/>
    <x v="2286"/>
  </r>
  <r>
    <s v="Multihop,STnet,80"/>
    <x v="1"/>
    <x v="1"/>
    <x v="3"/>
    <n v="143.11199999999999"/>
    <n v="144.5"/>
    <n v="0.96055363321799669"/>
    <x v="2287"/>
  </r>
  <r>
    <s v="Multihop,STnet,80"/>
    <x v="1"/>
    <x v="1"/>
    <x v="3"/>
    <n v="164.91499999999999"/>
    <n v="144.5"/>
    <n v="14.128027681660893"/>
    <x v="2288"/>
  </r>
  <r>
    <s v="Multihop,STnet,80"/>
    <x v="1"/>
    <x v="1"/>
    <x v="3"/>
    <n v="144.768"/>
    <n v="144.5"/>
    <n v="0.18546712802768212"/>
    <x v="2289"/>
  </r>
  <r>
    <s v="Multihop,STnet,80"/>
    <x v="1"/>
    <x v="1"/>
    <x v="3"/>
    <n v="153.54900000000001"/>
    <n v="144.5"/>
    <n v="6.2622837370242257"/>
    <x v="2290"/>
  </r>
  <r>
    <s v="Multihop,STnet,80"/>
    <x v="1"/>
    <x v="1"/>
    <x v="3"/>
    <n v="149.40299999999999"/>
    <n v="144.5"/>
    <n v="3.3930795847750805"/>
    <x v="2291"/>
  </r>
  <r>
    <s v="Multihop,STnet,80"/>
    <x v="1"/>
    <x v="1"/>
    <x v="3"/>
    <n v="138.11099999999999"/>
    <n v="144.5"/>
    <n v="4.421453287197239"/>
    <x v="2292"/>
  </r>
  <r>
    <s v="Multihop,STnet,80"/>
    <x v="1"/>
    <x v="1"/>
    <x v="3"/>
    <n v="144.96600000000001"/>
    <n v="144.5"/>
    <n v="0.32249134948097452"/>
    <x v="2293"/>
  </r>
  <r>
    <s v="Multihop,STnet,80"/>
    <x v="1"/>
    <x v="1"/>
    <x v="3"/>
    <n v="152.10900000000001"/>
    <n v="144.5"/>
    <n v="5.2657439446366849"/>
    <x v="2294"/>
  </r>
  <r>
    <s v="Multihop,STnet,80"/>
    <x v="1"/>
    <x v="1"/>
    <x v="3"/>
    <n v="127.527"/>
    <n v="144.5"/>
    <n v="11.746020761245674"/>
    <x v="2295"/>
  </r>
  <r>
    <s v="Multihop,STnet,100"/>
    <x v="1"/>
    <x v="1"/>
    <x v="4"/>
    <n v="187.90700000000001"/>
    <n v="176"/>
    <n v="6.7653409090909156"/>
    <x v="2296"/>
  </r>
  <r>
    <s v="Multihop,STnet,100"/>
    <x v="1"/>
    <x v="1"/>
    <x v="4"/>
    <n v="157.91"/>
    <n v="176"/>
    <n v="10.278409090909092"/>
    <x v="2297"/>
  </r>
  <r>
    <s v="Multihop,STnet,100"/>
    <x v="1"/>
    <x v="1"/>
    <x v="4"/>
    <n v="152.69499999999999"/>
    <n v="176"/>
    <n v="13.241477272727275"/>
    <x v="2298"/>
  </r>
  <r>
    <s v="Multihop,STnet,100"/>
    <x v="1"/>
    <x v="1"/>
    <x v="4"/>
    <n v="172.34899999999999"/>
    <n v="176"/>
    <n v="2.0744318181818242"/>
    <x v="2299"/>
  </r>
  <r>
    <s v="Multihop,STnet,100"/>
    <x v="1"/>
    <x v="1"/>
    <x v="4"/>
    <n v="171.911"/>
    <n v="176"/>
    <n v="2.3232954545454541"/>
    <x v="2300"/>
  </r>
  <r>
    <s v="Multihop,STnet,100"/>
    <x v="1"/>
    <x v="1"/>
    <x v="4"/>
    <n v="169.202"/>
    <n v="176"/>
    <n v="3.8625000000000012"/>
    <x v="2301"/>
  </r>
  <r>
    <s v="Multihop,STnet,100"/>
    <x v="1"/>
    <x v="1"/>
    <x v="4"/>
    <n v="162.59399999999999"/>
    <n v="176"/>
    <n v="7.6170454545454582"/>
    <x v="2302"/>
  </r>
  <r>
    <s v="Multihop,STnet,100"/>
    <x v="1"/>
    <x v="1"/>
    <x v="4"/>
    <n v="178.05699999999999"/>
    <n v="176"/>
    <n v="1.1687499999999933"/>
    <x v="2303"/>
  </r>
  <r>
    <s v="Multihop,STnet,100"/>
    <x v="1"/>
    <x v="1"/>
    <x v="4"/>
    <n v="193.328"/>
    <n v="176"/>
    <n v="9.8454545454545475"/>
    <x v="2304"/>
  </r>
  <r>
    <s v="Multihop,STnet,100"/>
    <x v="1"/>
    <x v="1"/>
    <x v="4"/>
    <n v="201.75800000000001"/>
    <n v="176"/>
    <n v="14.635227272727278"/>
    <x v="2305"/>
  </r>
  <r>
    <s v="Multihop,STnet,100"/>
    <x v="1"/>
    <x v="1"/>
    <x v="4"/>
    <n v="139.30799999999999"/>
    <n v="176"/>
    <n v="20.847727272727276"/>
    <x v="2306"/>
  </r>
  <r>
    <s v="Multihop,STnet,100"/>
    <x v="1"/>
    <x v="1"/>
    <x v="4"/>
    <n v="166.4"/>
    <n v="176"/>
    <n v="5.4545454545454515"/>
    <x v="2307"/>
  </r>
  <r>
    <s v="Multihop,STnet,100"/>
    <x v="1"/>
    <x v="1"/>
    <x v="4"/>
    <n v="166.69499999999999"/>
    <n v="176"/>
    <n v="5.2869318181818219"/>
    <x v="2308"/>
  </r>
  <r>
    <s v="Multihop,STnet,100"/>
    <x v="1"/>
    <x v="1"/>
    <x v="4"/>
    <n v="161.03200000000001"/>
    <n v="176"/>
    <n v="8.5045454545454486"/>
    <x v="2309"/>
  </r>
  <r>
    <s v="Multihop,STnet,100"/>
    <x v="1"/>
    <x v="1"/>
    <x v="4"/>
    <n v="171.39699999999999"/>
    <n v="176"/>
    <n v="2.6153409090909139"/>
    <x v="2310"/>
  </r>
  <r>
    <s v="Multihop,STnet,100"/>
    <x v="1"/>
    <x v="1"/>
    <x v="4"/>
    <n v="181.90700000000001"/>
    <n v="176"/>
    <n v="3.356250000000006"/>
    <x v="2311"/>
  </r>
  <r>
    <s v="Multihop,STnet,100"/>
    <x v="1"/>
    <x v="1"/>
    <x v="4"/>
    <n v="187.27600000000001"/>
    <n v="176"/>
    <n v="6.4068181818181875"/>
    <x v="2312"/>
  </r>
  <r>
    <s v="Multihop,STnet,100"/>
    <x v="1"/>
    <x v="1"/>
    <x v="4"/>
    <n v="176.56700000000001"/>
    <n v="176"/>
    <n v="0.32215909090909506"/>
    <x v="2313"/>
  </r>
  <r>
    <s v="Multihop,STnet,100"/>
    <x v="1"/>
    <x v="1"/>
    <x v="4"/>
    <n v="139.96600000000001"/>
    <n v="176"/>
    <n v="20.473863636363632"/>
    <x v="2314"/>
  </r>
  <r>
    <s v="Multihop,STnet,100"/>
    <x v="1"/>
    <x v="1"/>
    <x v="4"/>
    <n v="165.74799999999999"/>
    <n v="176"/>
    <n v="5.8250000000000055"/>
    <x v="2315"/>
  </r>
  <r>
    <s v="Multihop,STnet,100"/>
    <x v="1"/>
    <x v="1"/>
    <x v="4"/>
    <n v="182.68899999999999"/>
    <n v="176"/>
    <n v="3.800568181818178"/>
    <x v="2316"/>
  </r>
  <r>
    <s v="Multihop,STnet,100"/>
    <x v="1"/>
    <x v="1"/>
    <x v="4"/>
    <n v="127.649"/>
    <n v="176"/>
    <n v="27.472159090909091"/>
    <x v="2317"/>
  </r>
  <r>
    <s v="Multihop,STnet,100"/>
    <x v="1"/>
    <x v="1"/>
    <x v="4"/>
    <n v="171.42599999999999"/>
    <n v="176"/>
    <n v="2.5988636363636433"/>
    <x v="2318"/>
  </r>
  <r>
    <s v="Multihop,STnet,100"/>
    <x v="1"/>
    <x v="1"/>
    <x v="4"/>
    <n v="170.91399999999999"/>
    <n v="176"/>
    <n v="2.8897727272727347"/>
    <x v="2319"/>
  </r>
  <r>
    <s v="Multihop,STnet,100"/>
    <x v="1"/>
    <x v="1"/>
    <x v="4"/>
    <n v="175.03899999999999"/>
    <n v="176"/>
    <n v="0.54602272727273449"/>
    <x v="2320"/>
  </r>
  <r>
    <s v="Multihop,STnet,100"/>
    <x v="1"/>
    <x v="1"/>
    <x v="4"/>
    <n v="151.25800000000001"/>
    <n v="176"/>
    <n v="14.057954545454541"/>
    <x v="2321"/>
  </r>
  <r>
    <s v="Multihop,STnet,100"/>
    <x v="1"/>
    <x v="1"/>
    <x v="4"/>
    <n v="206.36699999999999"/>
    <n v="176"/>
    <n v="17.253977272727266"/>
    <x v="2322"/>
  </r>
  <r>
    <s v="Multihop,STnet,100"/>
    <x v="1"/>
    <x v="1"/>
    <x v="4"/>
    <n v="178.21"/>
    <n v="176"/>
    <n v="1.2556818181818226"/>
    <x v="2323"/>
  </r>
  <r>
    <s v="Multihop,STnet,100"/>
    <x v="1"/>
    <x v="1"/>
    <x v="4"/>
    <n v="164.10400000000001"/>
    <n v="176"/>
    <n v="6.7590909090909017"/>
    <x v="2324"/>
  </r>
  <r>
    <s v="Multihop,STnet,100"/>
    <x v="1"/>
    <x v="1"/>
    <x v="4"/>
    <n v="180.30099999999999"/>
    <n v="176"/>
    <n v="2.443749999999993"/>
    <x v="2325"/>
  </r>
  <r>
    <s v="Multihop,STnet,100"/>
    <x v="1"/>
    <x v="1"/>
    <x v="4"/>
    <n v="168.69300000000001"/>
    <n v="176"/>
    <n v="4.151704545454538"/>
    <x v="2326"/>
  </r>
  <r>
    <s v="Multihop,STnet,100"/>
    <x v="1"/>
    <x v="1"/>
    <x v="4"/>
    <n v="193.12700000000001"/>
    <n v="176"/>
    <n v="9.7312500000000046"/>
    <x v="2327"/>
  </r>
  <r>
    <s v="Multihop,STnet,100"/>
    <x v="1"/>
    <x v="1"/>
    <x v="4"/>
    <n v="182.55"/>
    <n v="176"/>
    <n v="3.7215909090909154"/>
    <x v="2328"/>
  </r>
  <r>
    <s v="Multihop,STnet,100"/>
    <x v="1"/>
    <x v="1"/>
    <x v="4"/>
    <n v="179.39699999999999"/>
    <n v="176"/>
    <n v="1.9301136363636315"/>
    <x v="2329"/>
  </r>
  <r>
    <s v="Multihop,STnet,100"/>
    <x v="1"/>
    <x v="1"/>
    <x v="4"/>
    <n v="196.85599999999999"/>
    <n v="176"/>
    <n v="11.849999999999996"/>
    <x v="2330"/>
  </r>
  <r>
    <s v="Multihop,STnet,100"/>
    <x v="1"/>
    <x v="1"/>
    <x v="4"/>
    <n v="179.745"/>
    <n v="176"/>
    <n v="2.1278409090909114"/>
    <x v="2331"/>
  </r>
  <r>
    <s v="Multihop,STnet,100"/>
    <x v="1"/>
    <x v="1"/>
    <x v="4"/>
    <n v="150.185"/>
    <n v="176"/>
    <n v="14.667613636363635"/>
    <x v="2332"/>
  </r>
  <r>
    <s v="Multihop,STnet,100"/>
    <x v="1"/>
    <x v="1"/>
    <x v="4"/>
    <n v="168.13"/>
    <n v="176"/>
    <n v="4.4715909090909118"/>
    <x v="2333"/>
  </r>
  <r>
    <s v="Multihop,STnet,100"/>
    <x v="1"/>
    <x v="1"/>
    <x v="4"/>
    <n v="193.41800000000001"/>
    <n v="176"/>
    <n v="9.8965909090909125"/>
    <x v="2334"/>
  </r>
  <r>
    <s v="Multihop,STnet,100"/>
    <x v="1"/>
    <x v="1"/>
    <x v="4"/>
    <n v="152.327"/>
    <n v="176"/>
    <n v="13.450568181818182"/>
    <x v="2335"/>
  </r>
  <r>
    <s v="Multihop,STnet,100"/>
    <x v="1"/>
    <x v="1"/>
    <x v="4"/>
    <n v="158.13399999999999"/>
    <n v="176"/>
    <n v="10.151136363636372"/>
    <x v="2336"/>
  </r>
  <r>
    <s v="Multihop,STnet,100"/>
    <x v="1"/>
    <x v="1"/>
    <x v="4"/>
    <n v="168.71700000000001"/>
    <n v="176"/>
    <n v="4.1380681818181744"/>
    <x v="2337"/>
  </r>
  <r>
    <s v="Multihop,STnet,100"/>
    <x v="1"/>
    <x v="1"/>
    <x v="4"/>
    <n v="186.27600000000001"/>
    <n v="176"/>
    <n v="5.8386363636363692"/>
    <x v="2338"/>
  </r>
  <r>
    <s v="Multihop,STnet,100"/>
    <x v="1"/>
    <x v="1"/>
    <x v="4"/>
    <n v="173.44900000000001"/>
    <n v="176"/>
    <n v="1.4494318181818111"/>
    <x v="2339"/>
  </r>
  <r>
    <s v="Multihop,STnet,100"/>
    <x v="1"/>
    <x v="1"/>
    <x v="4"/>
    <n v="185.66499999999999"/>
    <n v="176"/>
    <n v="5.491477272727268"/>
    <x v="2340"/>
  </r>
  <r>
    <s v="Multihop,STnet,100"/>
    <x v="1"/>
    <x v="1"/>
    <x v="4"/>
    <n v="173.572"/>
    <n v="176"/>
    <n v="1.3795454545454529"/>
    <x v="2341"/>
  </r>
  <r>
    <s v="Multihop,STnet,100"/>
    <x v="1"/>
    <x v="1"/>
    <x v="4"/>
    <n v="148.55000000000001"/>
    <n v="176"/>
    <n v="15.596590909090901"/>
    <x v="2342"/>
  </r>
  <r>
    <s v="Multihop,STnet,100"/>
    <x v="1"/>
    <x v="1"/>
    <x v="4"/>
    <n v="139.404"/>
    <n v="176"/>
    <n v="20.793181818181818"/>
    <x v="2343"/>
  </r>
  <r>
    <s v="Multihop,STnet,100"/>
    <x v="1"/>
    <x v="1"/>
    <x v="4"/>
    <n v="143.45099999999999"/>
    <n v="176"/>
    <n v="18.493750000000002"/>
    <x v="2344"/>
  </r>
  <r>
    <s v="Multihop,STnet,100"/>
    <x v="1"/>
    <x v="1"/>
    <x v="4"/>
    <n v="181.273"/>
    <n v="176"/>
    <n v="2.9960227272727251"/>
    <x v="2345"/>
  </r>
  <r>
    <s v="Multihop,STnet,100"/>
    <x v="1"/>
    <x v="1"/>
    <x v="4"/>
    <n v="156.06"/>
    <n v="176"/>
    <n v="11.329545454545453"/>
    <x v="2346"/>
  </r>
  <r>
    <s v="Multihop,STnet,100"/>
    <x v="1"/>
    <x v="1"/>
    <x v="4"/>
    <n v="166.279"/>
    <n v="176"/>
    <n v="5.5232954545454565"/>
    <x v="2347"/>
  </r>
  <r>
    <s v="Multihop,STnet,100"/>
    <x v="1"/>
    <x v="1"/>
    <x v="4"/>
    <n v="161.06100000000001"/>
    <n v="176"/>
    <n v="8.4880681818181767"/>
    <x v="2348"/>
  </r>
  <r>
    <s v="Multihop,STnet,100"/>
    <x v="1"/>
    <x v="1"/>
    <x v="4"/>
    <n v="179.93199999999999"/>
    <n v="176"/>
    <n v="2.2340909090909022"/>
    <x v="2349"/>
  </r>
  <r>
    <s v="Multihop,STnet,100"/>
    <x v="1"/>
    <x v="1"/>
    <x v="4"/>
    <n v="179.78700000000001"/>
    <n v="176"/>
    <n v="2.1517045454545491"/>
    <x v="2350"/>
  </r>
  <r>
    <s v="Multihop,STnet,100"/>
    <x v="1"/>
    <x v="1"/>
    <x v="4"/>
    <n v="165.47399999999999"/>
    <n v="176"/>
    <n v="5.9806818181818242"/>
    <x v="2351"/>
  </r>
  <r>
    <s v="Multihop,STnet,100"/>
    <x v="1"/>
    <x v="1"/>
    <x v="4"/>
    <n v="163.959"/>
    <n v="176"/>
    <n v="6.8414772727272712"/>
    <x v="2352"/>
  </r>
  <r>
    <s v="Multihop,STnet,100"/>
    <x v="1"/>
    <x v="1"/>
    <x v="4"/>
    <n v="166.79"/>
    <n v="176"/>
    <n v="5.2329545454545494"/>
    <x v="2353"/>
  </r>
  <r>
    <s v="Multihop,STnet,100"/>
    <x v="1"/>
    <x v="1"/>
    <x v="4"/>
    <n v="141.52500000000001"/>
    <n v="176"/>
    <n v="19.588068181818176"/>
    <x v="2354"/>
  </r>
  <r>
    <s v="Multihop,STnet,100"/>
    <x v="1"/>
    <x v="1"/>
    <x v="4"/>
    <n v="175.34899999999999"/>
    <n v="176"/>
    <n v="0.36988636363636956"/>
    <x v="2355"/>
  </r>
  <r>
    <s v="Multihop,STnet,100"/>
    <x v="1"/>
    <x v="1"/>
    <x v="4"/>
    <n v="178.54300000000001"/>
    <n v="176"/>
    <n v="1.4448863636363674"/>
    <x v="2356"/>
  </r>
  <r>
    <s v="Multihop,STnet,100"/>
    <x v="1"/>
    <x v="1"/>
    <x v="4"/>
    <n v="190.053"/>
    <n v="176"/>
    <n v="7.9846590909090898"/>
    <x v="2357"/>
  </r>
  <r>
    <s v="Multihop,STnet,100"/>
    <x v="1"/>
    <x v="1"/>
    <x v="4"/>
    <n v="176.81399999999999"/>
    <n v="176"/>
    <n v="0.46249999999999597"/>
    <x v="2358"/>
  </r>
  <r>
    <s v="Multihop,STnet,100"/>
    <x v="1"/>
    <x v="1"/>
    <x v="4"/>
    <n v="171.20599999999999"/>
    <n v="176"/>
    <n v="2.7238636363636428"/>
    <x v="2359"/>
  </r>
  <r>
    <s v="Multihop,STnet,100"/>
    <x v="1"/>
    <x v="1"/>
    <x v="4"/>
    <n v="173.422"/>
    <n v="176"/>
    <n v="1.4647727272727289"/>
    <x v="2360"/>
  </r>
  <r>
    <s v="Multihop,STnet,100"/>
    <x v="1"/>
    <x v="1"/>
    <x v="4"/>
    <n v="170.56700000000001"/>
    <n v="176"/>
    <n v="3.0869318181818142"/>
    <x v="2361"/>
  </r>
  <r>
    <s v="Multihop,STnet,100"/>
    <x v="1"/>
    <x v="1"/>
    <x v="4"/>
    <n v="173.13"/>
    <n v="176"/>
    <n v="1.6306818181818208"/>
    <x v="2362"/>
  </r>
  <r>
    <s v="Multihop,STnet,100"/>
    <x v="1"/>
    <x v="1"/>
    <x v="4"/>
    <n v="155.91399999999999"/>
    <n v="176"/>
    <n v="11.412500000000007"/>
    <x v="2363"/>
  </r>
  <r>
    <s v="Multihop,STnet,100"/>
    <x v="1"/>
    <x v="1"/>
    <x v="4"/>
    <n v="153.327"/>
    <n v="176"/>
    <n v="12.882386363636364"/>
    <x v="2364"/>
  </r>
  <r>
    <s v="Multihop,STnet,100"/>
    <x v="1"/>
    <x v="1"/>
    <x v="4"/>
    <n v="165.18100000000001"/>
    <n v="176"/>
    <n v="6.1471590909090841"/>
    <x v="2365"/>
  </r>
  <r>
    <s v="Multihop,STnet,100"/>
    <x v="1"/>
    <x v="1"/>
    <x v="4"/>
    <n v="173.911"/>
    <n v="176"/>
    <n v="1.1869318181818174"/>
    <x v="2366"/>
  </r>
  <r>
    <s v="Multihop,STnet,100"/>
    <x v="1"/>
    <x v="1"/>
    <x v="4"/>
    <n v="162.42500000000001"/>
    <n v="176"/>
    <n v="7.7130681818181754"/>
    <x v="2367"/>
  </r>
  <r>
    <s v="Multihop,STnet,100"/>
    <x v="1"/>
    <x v="1"/>
    <x v="4"/>
    <n v="218.732"/>
    <n v="176"/>
    <n v="24.279545454545453"/>
    <x v="2368"/>
  </r>
  <r>
    <s v="Multihop,STnet,100"/>
    <x v="1"/>
    <x v="1"/>
    <x v="4"/>
    <n v="167.10400000000001"/>
    <n v="176"/>
    <n v="5.0545454545454467"/>
    <x v="2369"/>
  </r>
  <r>
    <s v="Multihop,STnet,100"/>
    <x v="1"/>
    <x v="1"/>
    <x v="4"/>
    <n v="207.196"/>
    <n v="176"/>
    <n v="17.724999999999998"/>
    <x v="2370"/>
  </r>
  <r>
    <s v="Multihop,STnet,100"/>
    <x v="1"/>
    <x v="1"/>
    <x v="4"/>
    <n v="164.886"/>
    <n v="176"/>
    <n v="6.3147727272727296"/>
    <x v="2371"/>
  </r>
  <r>
    <s v="Multihop,STnet,100"/>
    <x v="1"/>
    <x v="1"/>
    <x v="4"/>
    <n v="170.98400000000001"/>
    <n v="176"/>
    <n v="2.8499999999999948"/>
    <x v="2372"/>
  </r>
  <r>
    <s v="Multihop,STnet,100"/>
    <x v="1"/>
    <x v="1"/>
    <x v="4"/>
    <n v="178.05699999999999"/>
    <n v="176"/>
    <n v="1.1687499999999933"/>
    <x v="2303"/>
  </r>
  <r>
    <s v="Multihop,STnet,100"/>
    <x v="1"/>
    <x v="1"/>
    <x v="4"/>
    <n v="151.988"/>
    <n v="176"/>
    <n v="13.643181818181818"/>
    <x v="2373"/>
  </r>
  <r>
    <s v="Multihop,STnet,100"/>
    <x v="1"/>
    <x v="1"/>
    <x v="4"/>
    <n v="162.898"/>
    <n v="176"/>
    <n v="7.4443181818181836"/>
    <x v="2374"/>
  </r>
  <r>
    <s v="Multihop,STnet,100"/>
    <x v="1"/>
    <x v="1"/>
    <x v="4"/>
    <n v="173.27500000000001"/>
    <n v="176"/>
    <n v="1.5482954545454513"/>
    <x v="2375"/>
  </r>
  <r>
    <s v="Multihop,STnet,100"/>
    <x v="1"/>
    <x v="1"/>
    <x v="4"/>
    <n v="179.42099999999999"/>
    <n v="176"/>
    <n v="1.9437499999999954"/>
    <x v="2376"/>
  </r>
  <r>
    <s v="Multihop,STnet,100"/>
    <x v="1"/>
    <x v="1"/>
    <x v="4"/>
    <n v="180.98099999999999"/>
    <n v="176"/>
    <n v="2.8301136363636332"/>
    <x v="2377"/>
  </r>
  <r>
    <s v="Multihop,STnet,100"/>
    <x v="1"/>
    <x v="1"/>
    <x v="4"/>
    <n v="200.10300000000001"/>
    <n v="176"/>
    <n v="13.694886363636369"/>
    <x v="2378"/>
  </r>
  <r>
    <s v="Multihop,STnet,100"/>
    <x v="1"/>
    <x v="1"/>
    <x v="4"/>
    <n v="160.279"/>
    <n v="176"/>
    <n v="8.9323863636363665"/>
    <x v="2379"/>
  </r>
  <r>
    <s v="Multihop,STnet,100"/>
    <x v="1"/>
    <x v="1"/>
    <x v="4"/>
    <n v="158.744"/>
    <n v="176"/>
    <n v="9.8045454545454547"/>
    <x v="2380"/>
  </r>
  <r>
    <s v="Multihop,STnet,100"/>
    <x v="1"/>
    <x v="1"/>
    <x v="4"/>
    <n v="170.76499999999999"/>
    <n v="176"/>
    <n v="2.9744318181818259"/>
    <x v="2381"/>
  </r>
  <r>
    <s v="Multihop,STnet,100"/>
    <x v="1"/>
    <x v="1"/>
    <x v="4"/>
    <n v="185.34899999999999"/>
    <n v="176"/>
    <n v="5.3119318181818125"/>
    <x v="2382"/>
  </r>
  <r>
    <s v="Multihop,STnet,100"/>
    <x v="1"/>
    <x v="1"/>
    <x v="4"/>
    <n v="168.76499999999999"/>
    <n v="176"/>
    <n v="4.1107954545454621"/>
    <x v="2383"/>
  </r>
  <r>
    <s v="Multihop,STnet,100"/>
    <x v="1"/>
    <x v="1"/>
    <x v="4"/>
    <n v="155.619"/>
    <n v="176"/>
    <n v="11.580113636363636"/>
    <x v="2384"/>
  </r>
  <r>
    <s v="Multihop,STnet,100"/>
    <x v="1"/>
    <x v="1"/>
    <x v="4"/>
    <n v="141.74700000000001"/>
    <n v="176"/>
    <n v="19.46193181818181"/>
    <x v="2385"/>
  </r>
  <r>
    <s v="Multihop,STnet,100"/>
    <x v="1"/>
    <x v="1"/>
    <x v="4"/>
    <n v="144.62299999999999"/>
    <n v="176"/>
    <n v="17.827840909090913"/>
    <x v="2386"/>
  </r>
  <r>
    <s v="Multihop,STnet,100"/>
    <x v="1"/>
    <x v="1"/>
    <x v="4"/>
    <n v="173.76499999999999"/>
    <n v="176"/>
    <n v="1.2698863636363715"/>
    <x v="2387"/>
  </r>
  <r>
    <s v="Multihop,STnet,100"/>
    <x v="1"/>
    <x v="1"/>
    <x v="4"/>
    <n v="194.17400000000001"/>
    <n v="176"/>
    <n v="10.326136363636367"/>
    <x v="2388"/>
  </r>
  <r>
    <s v="Multihop,STnet,100"/>
    <x v="1"/>
    <x v="1"/>
    <x v="4"/>
    <n v="164.33099999999999"/>
    <n v="176"/>
    <n v="6.6301136363636424"/>
    <x v="2389"/>
  </r>
  <r>
    <s v="Multihop,STnet,100"/>
    <x v="1"/>
    <x v="1"/>
    <x v="4"/>
    <n v="180.46899999999999"/>
    <n v="176"/>
    <n v="2.5392045454545422"/>
    <x v="2390"/>
  </r>
  <r>
    <s v="Multihop,STnet,100"/>
    <x v="1"/>
    <x v="1"/>
    <x v="4"/>
    <n v="179.90700000000001"/>
    <n v="176"/>
    <n v="2.2198863636363697"/>
    <x v="2391"/>
  </r>
  <r>
    <s v="Multihop,STnet,100"/>
    <x v="1"/>
    <x v="1"/>
    <x v="4"/>
    <n v="176.64400000000001"/>
    <n v="176"/>
    <n v="0.36590909090909401"/>
    <x v="2392"/>
  </r>
  <r>
    <s v="Multihop,STnet,100"/>
    <x v="1"/>
    <x v="1"/>
    <x v="4"/>
    <n v="178.154"/>
    <n v="176"/>
    <n v="1.2238636363636342"/>
    <x v="2393"/>
  </r>
  <r>
    <s v="Multihop,STnet,100"/>
    <x v="1"/>
    <x v="1"/>
    <x v="4"/>
    <n v="165.279"/>
    <n v="176"/>
    <n v="6.0914772727272748"/>
    <x v="2394"/>
  </r>
  <r>
    <s v="Multihop,STnet,120"/>
    <x v="1"/>
    <x v="1"/>
    <x v="5"/>
    <n v="233.87799999999999"/>
    <e v="#N/A"/>
    <e v="#N/A"/>
    <x v="883"/>
  </r>
  <r>
    <s v="Multihop,STnet,120"/>
    <x v="1"/>
    <x v="1"/>
    <x v="5"/>
    <n v="187.036"/>
    <e v="#N/A"/>
    <e v="#N/A"/>
    <x v="883"/>
  </r>
  <r>
    <s v="Multihop,STnet,120"/>
    <x v="1"/>
    <x v="1"/>
    <x v="5"/>
    <n v="206.148"/>
    <e v="#N/A"/>
    <e v="#N/A"/>
    <x v="883"/>
  </r>
  <r>
    <s v="Multihop,STnet,120"/>
    <x v="1"/>
    <x v="1"/>
    <x v="5"/>
    <n v="176.27600000000001"/>
    <e v="#N/A"/>
    <e v="#N/A"/>
    <x v="883"/>
  </r>
  <r>
    <s v="Multihop,STnet,120"/>
    <x v="1"/>
    <x v="1"/>
    <x v="5"/>
    <n v="189.37"/>
    <e v="#N/A"/>
    <e v="#N/A"/>
    <x v="883"/>
  </r>
  <r>
    <s v="Multihop,STnet,120"/>
    <x v="1"/>
    <x v="1"/>
    <x v="5"/>
    <n v="170.86199999999999"/>
    <e v="#N/A"/>
    <e v="#N/A"/>
    <x v="883"/>
  </r>
  <r>
    <s v="Multihop,STnet,120"/>
    <x v="1"/>
    <x v="1"/>
    <x v="5"/>
    <n v="251.077"/>
    <e v="#N/A"/>
    <e v="#N/A"/>
    <x v="883"/>
  </r>
  <r>
    <s v="Multihop,STnet,120"/>
    <x v="1"/>
    <x v="1"/>
    <x v="5"/>
    <n v="164.571"/>
    <e v="#N/A"/>
    <e v="#N/A"/>
    <x v="883"/>
  </r>
  <r>
    <s v="Multihop,STnet,120"/>
    <x v="1"/>
    <x v="1"/>
    <x v="5"/>
    <n v="216.71100000000001"/>
    <e v="#N/A"/>
    <e v="#N/A"/>
    <x v="883"/>
  </r>
  <r>
    <s v="Multihop,STnet,120"/>
    <x v="1"/>
    <x v="1"/>
    <x v="5"/>
    <n v="210.334"/>
    <e v="#N/A"/>
    <e v="#N/A"/>
    <x v="883"/>
  </r>
  <r>
    <s v="Multihop,STnet,120"/>
    <x v="1"/>
    <x v="1"/>
    <x v="5"/>
    <n v="225.62200000000001"/>
    <e v="#N/A"/>
    <e v="#N/A"/>
    <x v="883"/>
  </r>
  <r>
    <s v="Multihop,STnet,120"/>
    <x v="1"/>
    <x v="1"/>
    <x v="5"/>
    <n v="185.15899999999999"/>
    <e v="#N/A"/>
    <e v="#N/A"/>
    <x v="883"/>
  </r>
  <r>
    <s v="Multihop,STnet,120"/>
    <x v="1"/>
    <x v="1"/>
    <x v="5"/>
    <n v="183.30699999999999"/>
    <e v="#N/A"/>
    <e v="#N/A"/>
    <x v="883"/>
  </r>
  <r>
    <s v="Multihop,STnet,120"/>
    <x v="1"/>
    <x v="1"/>
    <x v="5"/>
    <n v="179.43"/>
    <e v="#N/A"/>
    <e v="#N/A"/>
    <x v="883"/>
  </r>
  <r>
    <s v="Multihop,STnet,120"/>
    <x v="1"/>
    <x v="1"/>
    <x v="5"/>
    <n v="213.70699999999999"/>
    <e v="#N/A"/>
    <e v="#N/A"/>
    <x v="883"/>
  </r>
  <r>
    <s v="Multihop,STnet,120"/>
    <x v="1"/>
    <x v="1"/>
    <x v="5"/>
    <n v="199.839"/>
    <e v="#N/A"/>
    <e v="#N/A"/>
    <x v="883"/>
  </r>
  <r>
    <s v="Multihop,STnet,120"/>
    <x v="1"/>
    <x v="1"/>
    <x v="5"/>
    <n v="212.05799999999999"/>
    <e v="#N/A"/>
    <e v="#N/A"/>
    <x v="883"/>
  </r>
  <r>
    <s v="Multihop,STnet,120"/>
    <x v="1"/>
    <x v="1"/>
    <x v="5"/>
    <n v="208.637"/>
    <e v="#N/A"/>
    <e v="#N/A"/>
    <x v="883"/>
  </r>
  <r>
    <s v="Multihop,STnet,120"/>
    <x v="1"/>
    <x v="1"/>
    <x v="5"/>
    <n v="219.64699999999999"/>
    <e v="#N/A"/>
    <e v="#N/A"/>
    <x v="883"/>
  </r>
  <r>
    <s v="Multihop,STnet,120"/>
    <x v="1"/>
    <x v="1"/>
    <x v="5"/>
    <n v="222.351"/>
    <e v="#N/A"/>
    <e v="#N/A"/>
    <x v="883"/>
  </r>
  <r>
    <s v="Multihop,STnet,120"/>
    <x v="1"/>
    <x v="1"/>
    <x v="5"/>
    <n v="218.85300000000001"/>
    <e v="#N/A"/>
    <e v="#N/A"/>
    <x v="883"/>
  </r>
  <r>
    <s v="Multihop,STnet,120"/>
    <x v="1"/>
    <x v="1"/>
    <x v="5"/>
    <n v="233.321"/>
    <e v="#N/A"/>
    <e v="#N/A"/>
    <x v="883"/>
  </r>
  <r>
    <s v="Multihop,STnet,120"/>
    <x v="1"/>
    <x v="1"/>
    <x v="5"/>
    <n v="220.131"/>
    <e v="#N/A"/>
    <e v="#N/A"/>
    <x v="883"/>
  </r>
  <r>
    <s v="Multihop,STnet,120"/>
    <x v="1"/>
    <x v="1"/>
    <x v="5"/>
    <n v="171.76499999999999"/>
    <e v="#N/A"/>
    <e v="#N/A"/>
    <x v="883"/>
  </r>
  <r>
    <s v="Multihop,STnet,120"/>
    <x v="1"/>
    <x v="1"/>
    <x v="5"/>
    <n v="202.85599999999999"/>
    <e v="#N/A"/>
    <e v="#N/A"/>
    <x v="883"/>
  </r>
  <r>
    <s v="Multihop,STnet,120"/>
    <x v="1"/>
    <x v="1"/>
    <x v="5"/>
    <n v="216.392"/>
    <e v="#N/A"/>
    <e v="#N/A"/>
    <x v="883"/>
  </r>
  <r>
    <s v="Multihop,STnet,120"/>
    <x v="1"/>
    <x v="1"/>
    <x v="5"/>
    <n v="196.49199999999999"/>
    <e v="#N/A"/>
    <e v="#N/A"/>
    <x v="883"/>
  </r>
  <r>
    <s v="Multihop,STnet,120"/>
    <x v="1"/>
    <x v="1"/>
    <x v="5"/>
    <n v="223.87799999999999"/>
    <e v="#N/A"/>
    <e v="#N/A"/>
    <x v="883"/>
  </r>
  <r>
    <s v="Multihop,STnet,120"/>
    <x v="1"/>
    <x v="1"/>
    <x v="5"/>
    <n v="222.86099999999999"/>
    <e v="#N/A"/>
    <e v="#N/A"/>
    <x v="883"/>
  </r>
  <r>
    <s v="Multihop,STnet,120"/>
    <x v="1"/>
    <x v="1"/>
    <x v="5"/>
    <n v="240.72900000000001"/>
    <e v="#N/A"/>
    <e v="#N/A"/>
    <x v="883"/>
  </r>
  <r>
    <s v="Multihop,STnet,120"/>
    <x v="1"/>
    <x v="1"/>
    <x v="5"/>
    <n v="218.41499999999999"/>
    <e v="#N/A"/>
    <e v="#N/A"/>
    <x v="883"/>
  </r>
  <r>
    <s v="Multihop,STnet,120"/>
    <x v="1"/>
    <x v="1"/>
    <x v="5"/>
    <n v="198.94"/>
    <e v="#N/A"/>
    <e v="#N/A"/>
    <x v="883"/>
  </r>
  <r>
    <s v="Multihop,STnet,120"/>
    <x v="1"/>
    <x v="1"/>
    <x v="5"/>
    <n v="202.102"/>
    <e v="#N/A"/>
    <e v="#N/A"/>
    <x v="883"/>
  </r>
  <r>
    <s v="Multihop,STnet,120"/>
    <x v="1"/>
    <x v="1"/>
    <x v="5"/>
    <n v="208.929"/>
    <e v="#N/A"/>
    <e v="#N/A"/>
    <x v="883"/>
  </r>
  <r>
    <s v="Multihop,STnet,120"/>
    <x v="1"/>
    <x v="1"/>
    <x v="5"/>
    <n v="199.977"/>
    <e v="#N/A"/>
    <e v="#N/A"/>
    <x v="883"/>
  </r>
  <r>
    <s v="Multihop,STnet,120"/>
    <x v="1"/>
    <x v="1"/>
    <x v="5"/>
    <n v="231.93100000000001"/>
    <e v="#N/A"/>
    <e v="#N/A"/>
    <x v="883"/>
  </r>
  <r>
    <s v="Multihop,STnet,120"/>
    <x v="1"/>
    <x v="1"/>
    <x v="5"/>
    <n v="193.56399999999999"/>
    <e v="#N/A"/>
    <e v="#N/A"/>
    <x v="883"/>
  </r>
  <r>
    <s v="Multihop,STnet,120"/>
    <x v="1"/>
    <x v="1"/>
    <x v="5"/>
    <n v="171.20699999999999"/>
    <e v="#N/A"/>
    <e v="#N/A"/>
    <x v="883"/>
  </r>
  <r>
    <s v="Multihop,STnet,120"/>
    <x v="1"/>
    <x v="1"/>
    <x v="5"/>
    <n v="196.56399999999999"/>
    <e v="#N/A"/>
    <e v="#N/A"/>
    <x v="883"/>
  </r>
  <r>
    <s v="Multihop,STnet,120"/>
    <x v="1"/>
    <x v="1"/>
    <x v="5"/>
    <n v="224.899"/>
    <e v="#N/A"/>
    <e v="#N/A"/>
    <x v="883"/>
  </r>
  <r>
    <s v="Multihop,STnet,120"/>
    <x v="1"/>
    <x v="1"/>
    <x v="5"/>
    <n v="185.93299999999999"/>
    <e v="#N/A"/>
    <e v="#N/A"/>
    <x v="883"/>
  </r>
  <r>
    <s v="Multihop,STnet,120"/>
    <x v="1"/>
    <x v="1"/>
    <x v="5"/>
    <n v="222.63399999999999"/>
    <e v="#N/A"/>
    <e v="#N/A"/>
    <x v="883"/>
  </r>
  <r>
    <s v="Multihop,STnet,120"/>
    <x v="1"/>
    <x v="1"/>
    <x v="5"/>
    <n v="215.316"/>
    <e v="#N/A"/>
    <e v="#N/A"/>
    <x v="883"/>
  </r>
  <r>
    <s v="Multihop,STnet,120"/>
    <x v="1"/>
    <x v="1"/>
    <x v="5"/>
    <n v="218.90899999999999"/>
    <e v="#N/A"/>
    <e v="#N/A"/>
    <x v="883"/>
  </r>
  <r>
    <s v="Multihop,STnet,120"/>
    <x v="1"/>
    <x v="1"/>
    <x v="5"/>
    <n v="189.24799999999999"/>
    <e v="#N/A"/>
    <e v="#N/A"/>
    <x v="883"/>
  </r>
  <r>
    <s v="Multihop,STnet,120"/>
    <x v="1"/>
    <x v="1"/>
    <x v="5"/>
    <n v="204.07499999999999"/>
    <e v="#N/A"/>
    <e v="#N/A"/>
    <x v="883"/>
  </r>
  <r>
    <s v="Multihop,STnet,120"/>
    <x v="1"/>
    <x v="1"/>
    <x v="5"/>
    <n v="209.857"/>
    <e v="#N/A"/>
    <e v="#N/A"/>
    <x v="883"/>
  </r>
  <r>
    <s v="Multihop,STnet,120"/>
    <x v="1"/>
    <x v="1"/>
    <x v="5"/>
    <n v="189.37"/>
    <e v="#N/A"/>
    <e v="#N/A"/>
    <x v="883"/>
  </r>
  <r>
    <s v="Multihop,STnet,120"/>
    <x v="1"/>
    <x v="1"/>
    <x v="5"/>
    <n v="179.64400000000001"/>
    <e v="#N/A"/>
    <e v="#N/A"/>
    <x v="883"/>
  </r>
  <r>
    <s v="Multihop,STnet,120"/>
    <x v="1"/>
    <x v="1"/>
    <x v="5"/>
    <n v="192.762"/>
    <e v="#N/A"/>
    <e v="#N/A"/>
    <x v="883"/>
  </r>
  <r>
    <s v="Multihop,STnet,120"/>
    <x v="1"/>
    <x v="1"/>
    <x v="5"/>
    <n v="164.47"/>
    <e v="#N/A"/>
    <e v="#N/A"/>
    <x v="883"/>
  </r>
  <r>
    <s v="Multihop,STnet,120"/>
    <x v="1"/>
    <x v="1"/>
    <x v="5"/>
    <n v="214.86099999999999"/>
    <e v="#N/A"/>
    <e v="#N/A"/>
    <x v="883"/>
  </r>
  <r>
    <s v="Multihop,STnet,120"/>
    <x v="1"/>
    <x v="1"/>
    <x v="5"/>
    <n v="212.715"/>
    <e v="#N/A"/>
    <e v="#N/A"/>
    <x v="883"/>
  </r>
  <r>
    <s v="Multihop,STnet,120"/>
    <x v="1"/>
    <x v="1"/>
    <x v="5"/>
    <n v="150.20599999999999"/>
    <e v="#N/A"/>
    <e v="#N/A"/>
    <x v="883"/>
  </r>
  <r>
    <s v="Multihop,STnet,120"/>
    <x v="1"/>
    <x v="1"/>
    <x v="5"/>
    <n v="185.251"/>
    <e v="#N/A"/>
    <e v="#N/A"/>
    <x v="883"/>
  </r>
  <r>
    <s v="Multihop,STnet,120"/>
    <x v="1"/>
    <x v="1"/>
    <x v="5"/>
    <n v="176.39699999999999"/>
    <e v="#N/A"/>
    <e v="#N/A"/>
    <x v="883"/>
  </r>
  <r>
    <s v="Multihop,STnet,120"/>
    <x v="1"/>
    <x v="1"/>
    <x v="5"/>
    <n v="177.053"/>
    <e v="#N/A"/>
    <e v="#N/A"/>
    <x v="883"/>
  </r>
  <r>
    <s v="Multihop,STnet,120"/>
    <x v="1"/>
    <x v="1"/>
    <x v="5"/>
    <n v="186.28399999999999"/>
    <e v="#N/A"/>
    <e v="#N/A"/>
    <x v="883"/>
  </r>
  <r>
    <s v="Multihop,STnet,120"/>
    <x v="1"/>
    <x v="1"/>
    <x v="5"/>
    <n v="227.72900000000001"/>
    <e v="#N/A"/>
    <e v="#N/A"/>
    <x v="883"/>
  </r>
  <r>
    <s v="Multihop,STnet,120"/>
    <x v="1"/>
    <x v="1"/>
    <x v="5"/>
    <n v="184.89099999999999"/>
    <e v="#N/A"/>
    <e v="#N/A"/>
    <x v="883"/>
  </r>
  <r>
    <s v="Multihop,STnet,120"/>
    <x v="1"/>
    <x v="1"/>
    <x v="5"/>
    <n v="199.85599999999999"/>
    <e v="#N/A"/>
    <e v="#N/A"/>
    <x v="883"/>
  </r>
  <r>
    <s v="Multihop,STnet,120"/>
    <x v="1"/>
    <x v="1"/>
    <x v="5"/>
    <n v="198.07400000000001"/>
    <e v="#N/A"/>
    <e v="#N/A"/>
    <x v="883"/>
  </r>
  <r>
    <s v="Multihop,STnet,120"/>
    <x v="1"/>
    <x v="1"/>
    <x v="5"/>
    <n v="194.523"/>
    <e v="#N/A"/>
    <e v="#N/A"/>
    <x v="883"/>
  </r>
  <r>
    <s v="Multihop,STnet,120"/>
    <x v="1"/>
    <x v="1"/>
    <x v="5"/>
    <n v="191.22399999999999"/>
    <e v="#N/A"/>
    <e v="#N/A"/>
    <x v="883"/>
  </r>
  <r>
    <s v="Multihop,STnet,120"/>
    <x v="1"/>
    <x v="1"/>
    <x v="5"/>
    <n v="191.01400000000001"/>
    <e v="#N/A"/>
    <e v="#N/A"/>
    <x v="883"/>
  </r>
  <r>
    <s v="Multihop,STnet,120"/>
    <x v="1"/>
    <x v="1"/>
    <x v="5"/>
    <n v="196.904"/>
    <e v="#N/A"/>
    <e v="#N/A"/>
    <x v="883"/>
  </r>
  <r>
    <s v="Multihop,STnet,120"/>
    <x v="1"/>
    <x v="1"/>
    <x v="5"/>
    <n v="158.18100000000001"/>
    <e v="#N/A"/>
    <e v="#N/A"/>
    <x v="883"/>
  </r>
  <r>
    <s v="Multihop,STnet,120"/>
    <x v="1"/>
    <x v="1"/>
    <x v="5"/>
    <n v="199.83199999999999"/>
    <e v="#N/A"/>
    <e v="#N/A"/>
    <x v="883"/>
  </r>
  <r>
    <s v="Multihop,STnet,120"/>
    <x v="1"/>
    <x v="1"/>
    <x v="5"/>
    <n v="215.06299999999999"/>
    <e v="#N/A"/>
    <e v="#N/A"/>
    <x v="883"/>
  </r>
  <r>
    <s v="Multihop,STnet,120"/>
    <x v="1"/>
    <x v="1"/>
    <x v="5"/>
    <n v="254.001"/>
    <e v="#N/A"/>
    <e v="#N/A"/>
    <x v="883"/>
  </r>
  <r>
    <s v="Multihop,STnet,120"/>
    <x v="1"/>
    <x v="1"/>
    <x v="5"/>
    <n v="167.18199999999999"/>
    <e v="#N/A"/>
    <e v="#N/A"/>
    <x v="883"/>
  </r>
  <r>
    <s v="Multihop,STnet,120"/>
    <x v="1"/>
    <x v="1"/>
    <x v="5"/>
    <n v="237.43700000000001"/>
    <e v="#N/A"/>
    <e v="#N/A"/>
    <x v="883"/>
  </r>
  <r>
    <s v="Multihop,STnet,120"/>
    <x v="1"/>
    <x v="1"/>
    <x v="5"/>
    <n v="166.10499999999999"/>
    <e v="#N/A"/>
    <e v="#N/A"/>
    <x v="883"/>
  </r>
  <r>
    <s v="Multihop,STnet,120"/>
    <x v="1"/>
    <x v="1"/>
    <x v="5"/>
    <n v="188.20699999999999"/>
    <e v="#N/A"/>
    <e v="#N/A"/>
    <x v="883"/>
  </r>
  <r>
    <s v="Multihop,STnet,120"/>
    <x v="1"/>
    <x v="1"/>
    <x v="5"/>
    <n v="234.05500000000001"/>
    <e v="#N/A"/>
    <e v="#N/A"/>
    <x v="883"/>
  </r>
  <r>
    <s v="Multihop,STnet,120"/>
    <x v="1"/>
    <x v="1"/>
    <x v="5"/>
    <n v="203.71100000000001"/>
    <e v="#N/A"/>
    <e v="#N/A"/>
    <x v="883"/>
  </r>
  <r>
    <s v="Multihop,STnet,120"/>
    <x v="1"/>
    <x v="1"/>
    <x v="5"/>
    <n v="170.27500000000001"/>
    <e v="#N/A"/>
    <e v="#N/A"/>
    <x v="883"/>
  </r>
  <r>
    <s v="Multihop,STnet,120"/>
    <x v="1"/>
    <x v="1"/>
    <x v="5"/>
    <n v="205.857"/>
    <e v="#N/A"/>
    <e v="#N/A"/>
    <x v="883"/>
  </r>
  <r>
    <s v="Multihop,STnet,120"/>
    <x v="1"/>
    <x v="1"/>
    <x v="5"/>
    <n v="204.00200000000001"/>
    <e v="#N/A"/>
    <e v="#N/A"/>
    <x v="883"/>
  </r>
  <r>
    <s v="Multihop,STnet,120"/>
    <x v="1"/>
    <x v="1"/>
    <x v="5"/>
    <n v="187.179"/>
    <e v="#N/A"/>
    <e v="#N/A"/>
    <x v="883"/>
  </r>
  <r>
    <s v="Multihop,STnet,120"/>
    <x v="1"/>
    <x v="1"/>
    <x v="5"/>
    <n v="204.297"/>
    <e v="#N/A"/>
    <e v="#N/A"/>
    <x v="883"/>
  </r>
  <r>
    <s v="Multihop,STnet,120"/>
    <x v="1"/>
    <x v="1"/>
    <x v="5"/>
    <n v="222.78800000000001"/>
    <e v="#N/A"/>
    <e v="#N/A"/>
    <x v="883"/>
  </r>
  <r>
    <s v="Multihop,STnet,120"/>
    <x v="1"/>
    <x v="1"/>
    <x v="5"/>
    <n v="181.81299999999999"/>
    <e v="#N/A"/>
    <e v="#N/A"/>
    <x v="883"/>
  </r>
  <r>
    <s v="Multihop,STnet,120"/>
    <x v="1"/>
    <x v="1"/>
    <x v="5"/>
    <n v="208.904"/>
    <e v="#N/A"/>
    <e v="#N/A"/>
    <x v="883"/>
  </r>
  <r>
    <s v="Multihop,STnet,120"/>
    <x v="1"/>
    <x v="1"/>
    <x v="5"/>
    <n v="201.328"/>
    <e v="#N/A"/>
    <e v="#N/A"/>
    <x v="883"/>
  </r>
  <r>
    <s v="Multihop,STnet,120"/>
    <x v="1"/>
    <x v="1"/>
    <x v="5"/>
    <n v="210.072"/>
    <e v="#N/A"/>
    <e v="#N/A"/>
    <x v="883"/>
  </r>
  <r>
    <s v="Multihop,STnet,120"/>
    <x v="1"/>
    <x v="1"/>
    <x v="5"/>
    <n v="211.07499999999999"/>
    <e v="#N/A"/>
    <e v="#N/A"/>
    <x v="883"/>
  </r>
  <r>
    <s v="Multihop,STnet,120"/>
    <x v="1"/>
    <x v="1"/>
    <x v="5"/>
    <n v="207.78"/>
    <e v="#N/A"/>
    <e v="#N/A"/>
    <x v="883"/>
  </r>
  <r>
    <s v="Multihop,STnet,120"/>
    <x v="1"/>
    <x v="1"/>
    <x v="5"/>
    <n v="196.126"/>
    <e v="#N/A"/>
    <e v="#N/A"/>
    <x v="883"/>
  </r>
  <r>
    <s v="Multihop,STnet,120"/>
    <x v="1"/>
    <x v="1"/>
    <x v="5"/>
    <n v="222.999"/>
    <e v="#N/A"/>
    <e v="#N/A"/>
    <x v="883"/>
  </r>
  <r>
    <s v="Multihop,STnet,120"/>
    <x v="1"/>
    <x v="1"/>
    <x v="5"/>
    <n v="207.05"/>
    <e v="#N/A"/>
    <e v="#N/A"/>
    <x v="883"/>
  </r>
  <r>
    <s v="Multihop,STnet,120"/>
    <x v="1"/>
    <x v="1"/>
    <x v="5"/>
    <n v="199.56399999999999"/>
    <e v="#N/A"/>
    <e v="#N/A"/>
    <x v="883"/>
  </r>
  <r>
    <s v="Multihop,STnet,120"/>
    <x v="1"/>
    <x v="1"/>
    <x v="5"/>
    <n v="223.535"/>
    <e v="#N/A"/>
    <e v="#N/A"/>
    <x v="883"/>
  </r>
  <r>
    <s v="Multihop,STnet,120"/>
    <x v="1"/>
    <x v="1"/>
    <x v="5"/>
    <n v="194.19900000000001"/>
    <e v="#N/A"/>
    <e v="#N/A"/>
    <x v="883"/>
  </r>
  <r>
    <s v="Multihop,STnet,120"/>
    <x v="1"/>
    <x v="1"/>
    <x v="5"/>
    <n v="194.054"/>
    <e v="#N/A"/>
    <e v="#N/A"/>
    <x v="883"/>
  </r>
  <r>
    <s v="Multihop,STnet,120"/>
    <x v="1"/>
    <x v="1"/>
    <x v="5"/>
    <n v="179.227"/>
    <e v="#N/A"/>
    <e v="#N/A"/>
    <x v="883"/>
  </r>
  <r>
    <s v="Multihop,STnet,120"/>
    <x v="1"/>
    <x v="1"/>
    <x v="5"/>
    <n v="176.03200000000001"/>
    <e v="#N/A"/>
    <e v="#N/A"/>
    <x v="883"/>
  </r>
  <r>
    <s v="Multihop,STnet,120"/>
    <x v="1"/>
    <x v="1"/>
    <x v="5"/>
    <n v="223.50899999999999"/>
    <e v="#N/A"/>
    <e v="#N/A"/>
    <x v="883"/>
  </r>
  <r>
    <s v="Multihop,STnet,120"/>
    <x v="1"/>
    <x v="1"/>
    <x v="5"/>
    <n v="178.91200000000001"/>
    <e v="#N/A"/>
    <e v="#N/A"/>
    <x v="883"/>
  </r>
  <r>
    <s v="Multihop,STnet,120"/>
    <x v="1"/>
    <x v="1"/>
    <x v="5"/>
    <n v="215.732"/>
    <e v="#N/A"/>
    <e v="#N/A"/>
    <x v="883"/>
  </r>
  <r>
    <s v="Multihop,USnet,20"/>
    <x v="1"/>
    <x v="2"/>
    <x v="0"/>
    <n v="797.32"/>
    <n v="750"/>
    <n v="6.3093333333333401"/>
    <x v="2395"/>
  </r>
  <r>
    <s v="Multihop,USnet,20"/>
    <x v="1"/>
    <x v="2"/>
    <x v="0"/>
    <n v="820.62300000000005"/>
    <n v="750"/>
    <n v="9.4164000000000065"/>
    <x v="2396"/>
  </r>
  <r>
    <s v="Multihop,USnet,20"/>
    <x v="1"/>
    <x v="2"/>
    <x v="0"/>
    <n v="828.03300000000002"/>
    <n v="750"/>
    <n v="10.404400000000003"/>
    <x v="2397"/>
  </r>
  <r>
    <s v="Multihop,USnet,20"/>
    <x v="1"/>
    <x v="2"/>
    <x v="0"/>
    <n v="814.93600000000004"/>
    <n v="750"/>
    <n v="8.658133333333339"/>
    <x v="2398"/>
  </r>
  <r>
    <s v="Multihop,USnet,20"/>
    <x v="1"/>
    <x v="2"/>
    <x v="0"/>
    <n v="812.52"/>
    <n v="750"/>
    <n v="8.3359999999999967"/>
    <x v="2399"/>
  </r>
  <r>
    <s v="Multihop,USnet,20"/>
    <x v="1"/>
    <x v="2"/>
    <x v="0"/>
    <n v="814.95500000000004"/>
    <n v="750"/>
    <n v="8.6606666666666712"/>
    <x v="2400"/>
  </r>
  <r>
    <s v="Multihop,USnet,20"/>
    <x v="1"/>
    <x v="2"/>
    <x v="0"/>
    <n v="824.16899999999998"/>
    <n v="750"/>
    <n v="9.8891999999999989"/>
    <x v="2401"/>
  </r>
  <r>
    <s v="Multihop,USnet,20"/>
    <x v="1"/>
    <x v="2"/>
    <x v="0"/>
    <n v="825.10500000000002"/>
    <n v="750"/>
    <n v="10.014000000000003"/>
    <x v="2402"/>
  </r>
  <r>
    <s v="Multihop,USnet,20"/>
    <x v="1"/>
    <x v="2"/>
    <x v="0"/>
    <n v="798.64499999999998"/>
    <n v="750"/>
    <n v="6.4859999999999971"/>
    <x v="2403"/>
  </r>
  <r>
    <s v="Multihop,USnet,20"/>
    <x v="1"/>
    <x v="2"/>
    <x v="0"/>
    <n v="816.09799999999996"/>
    <n v="750"/>
    <n v="8.8130666666666606"/>
    <x v="2404"/>
  </r>
  <r>
    <s v="Multihop,USnet,20"/>
    <x v="1"/>
    <x v="2"/>
    <x v="0"/>
    <n v="825.23500000000001"/>
    <n v="750"/>
    <n v="10.031333333333334"/>
    <x v="2405"/>
  </r>
  <r>
    <s v="Multihop,USnet,20"/>
    <x v="1"/>
    <x v="2"/>
    <x v="0"/>
    <n v="821.60400000000004"/>
    <n v="750"/>
    <n v="9.5472000000000055"/>
    <x v="2406"/>
  </r>
  <r>
    <s v="Multihop,USnet,20"/>
    <x v="1"/>
    <x v="2"/>
    <x v="0"/>
    <n v="826.36800000000005"/>
    <n v="750"/>
    <n v="10.182400000000007"/>
    <x v="2407"/>
  </r>
  <r>
    <s v="Multihop,USnet,20"/>
    <x v="1"/>
    <x v="2"/>
    <x v="0"/>
    <n v="817.86"/>
    <n v="750"/>
    <n v="9.0480000000000018"/>
    <x v="2408"/>
  </r>
  <r>
    <s v="Multihop,USnet,20"/>
    <x v="1"/>
    <x v="2"/>
    <x v="0"/>
    <n v="819.50900000000001"/>
    <n v="750"/>
    <n v="9.2678666666666683"/>
    <x v="2409"/>
  </r>
  <r>
    <s v="Multihop,USnet,20"/>
    <x v="1"/>
    <x v="2"/>
    <x v="0"/>
    <n v="807.40300000000002"/>
    <n v="750"/>
    <n v="7.6537333333333359"/>
    <x v="2410"/>
  </r>
  <r>
    <s v="Multihop,USnet,20"/>
    <x v="1"/>
    <x v="2"/>
    <x v="0"/>
    <n v="822.58600000000001"/>
    <n v="750"/>
    <n v="9.678133333333335"/>
    <x v="2411"/>
  </r>
  <r>
    <s v="Multihop,USnet,20"/>
    <x v="1"/>
    <x v="2"/>
    <x v="0"/>
    <n v="820.19100000000003"/>
    <n v="750"/>
    <n v="9.358800000000004"/>
    <x v="2412"/>
  </r>
  <r>
    <s v="Multihop,USnet,20"/>
    <x v="1"/>
    <x v="2"/>
    <x v="0"/>
    <n v="816.76800000000003"/>
    <n v="750"/>
    <n v="8.9024000000000036"/>
    <x v="2413"/>
  </r>
  <r>
    <s v="Multihop,USnet,20"/>
    <x v="1"/>
    <x v="2"/>
    <x v="0"/>
    <n v="805.80200000000002"/>
    <n v="750"/>
    <n v="7.4402666666666697"/>
    <x v="2414"/>
  </r>
  <r>
    <s v="Multihop,USnet,20"/>
    <x v="1"/>
    <x v="2"/>
    <x v="0"/>
    <n v="822.32799999999997"/>
    <n v="750"/>
    <n v="9.6437333333333299"/>
    <x v="2415"/>
  </r>
  <r>
    <s v="Multihop,USnet,20"/>
    <x v="1"/>
    <x v="2"/>
    <x v="0"/>
    <n v="808.49800000000005"/>
    <n v="750"/>
    <n v="7.7997333333333394"/>
    <x v="2416"/>
  </r>
  <r>
    <s v="Multihop,USnet,20"/>
    <x v="1"/>
    <x v="2"/>
    <x v="0"/>
    <n v="826.14700000000005"/>
    <n v="750"/>
    <n v="10.15293333333334"/>
    <x v="2417"/>
  </r>
  <r>
    <s v="Multihop,USnet,20"/>
    <x v="1"/>
    <x v="2"/>
    <x v="0"/>
    <n v="812.37699999999995"/>
    <n v="750"/>
    <n v="8.3169333333333277"/>
    <x v="2418"/>
  </r>
  <r>
    <s v="Multihop,USnet,20"/>
    <x v="1"/>
    <x v="2"/>
    <x v="0"/>
    <n v="821.12900000000002"/>
    <n v="750"/>
    <n v="9.4838666666666693"/>
    <x v="2419"/>
  </r>
  <r>
    <s v="Multihop,USnet,20"/>
    <x v="1"/>
    <x v="2"/>
    <x v="0"/>
    <n v="823.37699999999995"/>
    <n v="750"/>
    <n v="9.7835999999999945"/>
    <x v="2420"/>
  </r>
  <r>
    <s v="Multihop,USnet,20"/>
    <x v="1"/>
    <x v="2"/>
    <x v="0"/>
    <n v="822.34"/>
    <n v="750"/>
    <n v="9.6453333333333369"/>
    <x v="2421"/>
  </r>
  <r>
    <s v="Multihop,USnet,20"/>
    <x v="1"/>
    <x v="2"/>
    <x v="0"/>
    <n v="820.06600000000003"/>
    <n v="750"/>
    <n v="9.3421333333333365"/>
    <x v="2422"/>
  </r>
  <r>
    <s v="Multihop,USnet,20"/>
    <x v="1"/>
    <x v="2"/>
    <x v="0"/>
    <n v="813.33500000000004"/>
    <n v="750"/>
    <n v="8.4446666666666719"/>
    <x v="2423"/>
  </r>
  <r>
    <s v="Multihop,USnet,20"/>
    <x v="1"/>
    <x v="2"/>
    <x v="0"/>
    <n v="823.08399999999995"/>
    <n v="750"/>
    <n v="9.7445333333333259"/>
    <x v="2424"/>
  </r>
  <r>
    <s v="Multihop,USnet,20"/>
    <x v="1"/>
    <x v="2"/>
    <x v="0"/>
    <n v="827.41399999999999"/>
    <n v="750"/>
    <n v="10.321866666666665"/>
    <x v="2425"/>
  </r>
  <r>
    <s v="Multihop,USnet,20"/>
    <x v="1"/>
    <x v="2"/>
    <x v="0"/>
    <n v="814.45699999999999"/>
    <n v="750"/>
    <n v="8.5942666666666661"/>
    <x v="2426"/>
  </r>
  <r>
    <s v="Multihop,USnet,20"/>
    <x v="1"/>
    <x v="2"/>
    <x v="0"/>
    <n v="815.18899999999996"/>
    <n v="750"/>
    <n v="8.6918666666666624"/>
    <x v="2427"/>
  </r>
  <r>
    <s v="Multihop,USnet,20"/>
    <x v="1"/>
    <x v="2"/>
    <x v="0"/>
    <n v="819.49800000000005"/>
    <n v="750"/>
    <n v="9.2664000000000062"/>
    <x v="2428"/>
  </r>
  <r>
    <s v="Multihop,USnet,20"/>
    <x v="1"/>
    <x v="2"/>
    <x v="0"/>
    <n v="803.62199999999996"/>
    <n v="750"/>
    <n v="7.1495999999999951"/>
    <x v="2429"/>
  </r>
  <r>
    <s v="Multihop,USnet,20"/>
    <x v="1"/>
    <x v="2"/>
    <x v="0"/>
    <n v="815.00199999999995"/>
    <n v="750"/>
    <n v="8.6669333333333256"/>
    <x v="2430"/>
  </r>
  <r>
    <s v="Multihop,USnet,20"/>
    <x v="1"/>
    <x v="2"/>
    <x v="0"/>
    <n v="807.84199999999998"/>
    <n v="750"/>
    <n v="7.7122666666666646"/>
    <x v="2431"/>
  </r>
  <r>
    <s v="Multihop,USnet,20"/>
    <x v="1"/>
    <x v="2"/>
    <x v="0"/>
    <n v="813.43700000000001"/>
    <n v="750"/>
    <n v="8.4582666666666686"/>
    <x v="2432"/>
  </r>
  <r>
    <s v="Multihop,USnet,20"/>
    <x v="1"/>
    <x v="2"/>
    <x v="0"/>
    <n v="816.12300000000005"/>
    <n v="750"/>
    <n v="8.8164000000000069"/>
    <x v="2433"/>
  </r>
  <r>
    <s v="Multihop,USnet,20"/>
    <x v="1"/>
    <x v="2"/>
    <x v="0"/>
    <n v="817.96900000000005"/>
    <n v="750"/>
    <n v="9.0625333333333398"/>
    <x v="2434"/>
  </r>
  <r>
    <s v="Multihop,USnet,20"/>
    <x v="1"/>
    <x v="2"/>
    <x v="0"/>
    <n v="820.10699999999997"/>
    <n v="750"/>
    <n v="9.3475999999999964"/>
    <x v="2435"/>
  </r>
  <r>
    <s v="Multihop,USnet,20"/>
    <x v="1"/>
    <x v="2"/>
    <x v="0"/>
    <n v="805.17600000000004"/>
    <n v="750"/>
    <n v="7.356800000000006"/>
    <x v="2436"/>
  </r>
  <r>
    <s v="Multihop,USnet,20"/>
    <x v="1"/>
    <x v="2"/>
    <x v="0"/>
    <n v="803.59199999999998"/>
    <n v="750"/>
    <n v="7.1455999999999982"/>
    <x v="2437"/>
  </r>
  <r>
    <s v="Multihop,USnet,20"/>
    <x v="1"/>
    <x v="2"/>
    <x v="0"/>
    <n v="819.62300000000005"/>
    <n v="750"/>
    <n v="9.2830666666666737"/>
    <x v="2438"/>
  </r>
  <r>
    <s v="Multihop,USnet,20"/>
    <x v="1"/>
    <x v="2"/>
    <x v="0"/>
    <n v="833.61199999999997"/>
    <n v="750"/>
    <n v="11.148266666666661"/>
    <x v="2439"/>
  </r>
  <r>
    <s v="Multihop,USnet,20"/>
    <x v="1"/>
    <x v="2"/>
    <x v="0"/>
    <n v="826.26900000000001"/>
    <n v="750"/>
    <n v="10.1692"/>
    <x v="2440"/>
  </r>
  <r>
    <s v="Multihop,USnet,20"/>
    <x v="1"/>
    <x v="2"/>
    <x v="0"/>
    <n v="822.95100000000002"/>
    <n v="750"/>
    <n v="9.7268000000000043"/>
    <x v="2441"/>
  </r>
  <r>
    <s v="Multihop,USnet,20"/>
    <x v="1"/>
    <x v="2"/>
    <x v="0"/>
    <n v="812.46299999999997"/>
    <n v="750"/>
    <n v="8.3283999999999949"/>
    <x v="2442"/>
  </r>
  <r>
    <s v="Multihop,USnet,20"/>
    <x v="1"/>
    <x v="2"/>
    <x v="0"/>
    <n v="824.846"/>
    <n v="750"/>
    <n v="9.9794666666666672"/>
    <x v="2443"/>
  </r>
  <r>
    <s v="Multihop,USnet,20"/>
    <x v="1"/>
    <x v="2"/>
    <x v="0"/>
    <n v="812.64400000000001"/>
    <n v="750"/>
    <n v="8.3525333333333336"/>
    <x v="2444"/>
  </r>
  <r>
    <s v="Multihop,USnet,20"/>
    <x v="1"/>
    <x v="2"/>
    <x v="0"/>
    <n v="819.75699999999995"/>
    <n v="750"/>
    <n v="9.3009333333333259"/>
    <x v="2445"/>
  </r>
  <r>
    <s v="Multihop,USnet,20"/>
    <x v="1"/>
    <x v="2"/>
    <x v="0"/>
    <n v="830.56"/>
    <n v="750"/>
    <n v="10.741333333333326"/>
    <x v="2446"/>
  </r>
  <r>
    <s v="Multihop,USnet,20"/>
    <x v="1"/>
    <x v="2"/>
    <x v="0"/>
    <n v="817.07"/>
    <n v="750"/>
    <n v="8.942666666666673"/>
    <x v="2447"/>
  </r>
  <r>
    <s v="Multihop,USnet,20"/>
    <x v="1"/>
    <x v="2"/>
    <x v="0"/>
    <n v="816.07799999999997"/>
    <n v="750"/>
    <n v="8.810399999999996"/>
    <x v="2448"/>
  </r>
  <r>
    <s v="Multihop,USnet,20"/>
    <x v="1"/>
    <x v="2"/>
    <x v="0"/>
    <n v="815.66899999999998"/>
    <n v="750"/>
    <n v="8.7558666666666642"/>
    <x v="2449"/>
  </r>
  <r>
    <s v="Multihop,USnet,20"/>
    <x v="1"/>
    <x v="2"/>
    <x v="0"/>
    <n v="828.572"/>
    <n v="750"/>
    <n v="10.476266666666668"/>
    <x v="2450"/>
  </r>
  <r>
    <s v="Multihop,USnet,20"/>
    <x v="1"/>
    <x v="2"/>
    <x v="0"/>
    <n v="813.36800000000005"/>
    <n v="750"/>
    <n v="8.4490666666666741"/>
    <x v="2451"/>
  </r>
  <r>
    <s v="Multihop,USnet,20"/>
    <x v="1"/>
    <x v="2"/>
    <x v="0"/>
    <n v="815.94399999999996"/>
    <n v="750"/>
    <n v="8.7925333333333278"/>
    <x v="2452"/>
  </r>
  <r>
    <s v="Multihop,USnet,20"/>
    <x v="1"/>
    <x v="2"/>
    <x v="0"/>
    <n v="811.84500000000003"/>
    <n v="750"/>
    <n v="8.246000000000004"/>
    <x v="2453"/>
  </r>
  <r>
    <s v="Multihop,USnet,20"/>
    <x v="1"/>
    <x v="2"/>
    <x v="0"/>
    <n v="809.91"/>
    <n v="750"/>
    <n v="7.9879999999999951"/>
    <x v="2454"/>
  </r>
  <r>
    <s v="Multihop,USnet,20"/>
    <x v="1"/>
    <x v="2"/>
    <x v="0"/>
    <n v="820.12900000000002"/>
    <n v="750"/>
    <n v="9.3505333333333365"/>
    <x v="2455"/>
  </r>
  <r>
    <s v="Multihop,USnet,20"/>
    <x v="1"/>
    <x v="2"/>
    <x v="0"/>
    <n v="818.80100000000004"/>
    <n v="750"/>
    <n v="9.1734666666666733"/>
    <x v="2456"/>
  </r>
  <r>
    <s v="Multihop,USnet,20"/>
    <x v="1"/>
    <x v="2"/>
    <x v="0"/>
    <n v="820.55200000000002"/>
    <n v="750"/>
    <n v="9.4069333333333365"/>
    <x v="2457"/>
  </r>
  <r>
    <s v="Multihop,USnet,20"/>
    <x v="1"/>
    <x v="2"/>
    <x v="0"/>
    <n v="828.51700000000005"/>
    <n v="750"/>
    <n v="10.468933333333339"/>
    <x v="2458"/>
  </r>
  <r>
    <s v="Multihop,USnet,20"/>
    <x v="1"/>
    <x v="2"/>
    <x v="0"/>
    <n v="814.90300000000002"/>
    <n v="750"/>
    <n v="8.6537333333333351"/>
    <x v="2459"/>
  </r>
  <r>
    <s v="Multihop,USnet,20"/>
    <x v="1"/>
    <x v="2"/>
    <x v="0"/>
    <n v="814.40800000000002"/>
    <n v="750"/>
    <n v="8.5877333333333343"/>
    <x v="2460"/>
  </r>
  <r>
    <s v="Multihop,USnet,20"/>
    <x v="1"/>
    <x v="2"/>
    <x v="0"/>
    <n v="813.83500000000004"/>
    <n v="750"/>
    <n v="8.5113333333333383"/>
    <x v="2461"/>
  </r>
  <r>
    <s v="Multihop,USnet,20"/>
    <x v="1"/>
    <x v="2"/>
    <x v="0"/>
    <n v="817.1"/>
    <n v="750"/>
    <n v="8.946666666666669"/>
    <x v="2462"/>
  </r>
  <r>
    <s v="Multihop,USnet,20"/>
    <x v="1"/>
    <x v="2"/>
    <x v="0"/>
    <n v="812.49099999999999"/>
    <n v="750"/>
    <n v="8.3321333333333314"/>
    <x v="2463"/>
  </r>
  <r>
    <s v="Multihop,USnet,20"/>
    <x v="1"/>
    <x v="2"/>
    <x v="0"/>
    <n v="813.35500000000002"/>
    <n v="750"/>
    <n v="8.4473333333333365"/>
    <x v="2464"/>
  </r>
  <r>
    <s v="Multihop,USnet,20"/>
    <x v="1"/>
    <x v="2"/>
    <x v="0"/>
    <n v="808.92600000000004"/>
    <n v="750"/>
    <n v="7.8568000000000051"/>
    <x v="2465"/>
  </r>
  <r>
    <s v="Multihop,USnet,20"/>
    <x v="1"/>
    <x v="2"/>
    <x v="0"/>
    <n v="817.827"/>
    <n v="750"/>
    <n v="9.0435999999999996"/>
    <x v="2466"/>
  </r>
  <r>
    <s v="Multihop,USnet,20"/>
    <x v="1"/>
    <x v="2"/>
    <x v="0"/>
    <n v="811.77300000000002"/>
    <n v="750"/>
    <n v="8.2364000000000033"/>
    <x v="2467"/>
  </r>
  <r>
    <s v="Multihop,USnet,20"/>
    <x v="1"/>
    <x v="2"/>
    <x v="0"/>
    <n v="823.822"/>
    <n v="750"/>
    <n v="9.8429333333333346"/>
    <x v="2468"/>
  </r>
  <r>
    <s v="Multihop,USnet,20"/>
    <x v="1"/>
    <x v="2"/>
    <x v="0"/>
    <n v="824.43299999999999"/>
    <n v="750"/>
    <n v="9.9243999999999986"/>
    <x v="2469"/>
  </r>
  <r>
    <s v="Multihop,USnet,20"/>
    <x v="1"/>
    <x v="2"/>
    <x v="0"/>
    <n v="813.93399999999997"/>
    <n v="750"/>
    <n v="8.5245333333333306"/>
    <x v="2470"/>
  </r>
  <r>
    <s v="Multihop,USnet,20"/>
    <x v="1"/>
    <x v="2"/>
    <x v="0"/>
    <n v="815.08799999999997"/>
    <n v="750"/>
    <n v="8.6783999999999963"/>
    <x v="2471"/>
  </r>
  <r>
    <s v="Multihop,USnet,20"/>
    <x v="1"/>
    <x v="2"/>
    <x v="0"/>
    <n v="823.59299999999996"/>
    <n v="750"/>
    <n v="9.8123999999999949"/>
    <x v="2472"/>
  </r>
  <r>
    <s v="Multihop,USnet,20"/>
    <x v="1"/>
    <x v="2"/>
    <x v="0"/>
    <n v="834.68799999999999"/>
    <n v="750"/>
    <n v="11.291733333333331"/>
    <x v="2473"/>
  </r>
  <r>
    <s v="Multihop,USnet,20"/>
    <x v="1"/>
    <x v="2"/>
    <x v="0"/>
    <n v="822.58600000000001"/>
    <n v="750"/>
    <n v="9.678133333333335"/>
    <x v="2411"/>
  </r>
  <r>
    <s v="Multihop,USnet,20"/>
    <x v="1"/>
    <x v="2"/>
    <x v="0"/>
    <n v="819.96500000000003"/>
    <n v="750"/>
    <n v="9.3286666666666704"/>
    <x v="2474"/>
  </r>
  <r>
    <s v="Multihop,USnet,20"/>
    <x v="1"/>
    <x v="2"/>
    <x v="0"/>
    <n v="815.74400000000003"/>
    <n v="750"/>
    <n v="8.7658666666666711"/>
    <x v="2475"/>
  </r>
  <r>
    <s v="Multihop,USnet,20"/>
    <x v="1"/>
    <x v="2"/>
    <x v="0"/>
    <n v="813.80899999999997"/>
    <n v="750"/>
    <n v="8.5078666666666614"/>
    <x v="2476"/>
  </r>
  <r>
    <s v="Multihop,USnet,20"/>
    <x v="1"/>
    <x v="2"/>
    <x v="0"/>
    <n v="811.37400000000002"/>
    <n v="750"/>
    <n v="8.1832000000000029"/>
    <x v="2477"/>
  </r>
  <r>
    <s v="Multihop,USnet,20"/>
    <x v="1"/>
    <x v="2"/>
    <x v="0"/>
    <n v="812.28300000000002"/>
    <n v="750"/>
    <n v="8.3044000000000029"/>
    <x v="2478"/>
  </r>
  <r>
    <s v="Multihop,USnet,20"/>
    <x v="1"/>
    <x v="2"/>
    <x v="0"/>
    <n v="817.04100000000005"/>
    <n v="750"/>
    <n v="8.9388000000000059"/>
    <x v="2479"/>
  </r>
  <r>
    <s v="Multihop,USnet,20"/>
    <x v="1"/>
    <x v="2"/>
    <x v="0"/>
    <n v="813.16099999999994"/>
    <n v="750"/>
    <n v="8.4214666666666584"/>
    <x v="2480"/>
  </r>
  <r>
    <s v="Multihop,USnet,20"/>
    <x v="1"/>
    <x v="2"/>
    <x v="0"/>
    <n v="806.76400000000001"/>
    <n v="750"/>
    <n v="7.5685333333333338"/>
    <x v="2481"/>
  </r>
  <r>
    <s v="Multihop,USnet,20"/>
    <x v="1"/>
    <x v="2"/>
    <x v="0"/>
    <n v="818.45299999999997"/>
    <n v="750"/>
    <n v="9.1270666666666642"/>
    <x v="2482"/>
  </r>
  <r>
    <s v="Multihop,USnet,20"/>
    <x v="1"/>
    <x v="2"/>
    <x v="0"/>
    <n v="809.29200000000003"/>
    <n v="750"/>
    <n v="7.9056000000000042"/>
    <x v="2483"/>
  </r>
  <r>
    <s v="Multihop,USnet,20"/>
    <x v="1"/>
    <x v="2"/>
    <x v="0"/>
    <n v="803.22199999999998"/>
    <n v="750"/>
    <n v="7.0962666666666649"/>
    <x v="2484"/>
  </r>
  <r>
    <s v="Multihop,USnet,20"/>
    <x v="1"/>
    <x v="2"/>
    <x v="0"/>
    <n v="811.60400000000004"/>
    <n v="750"/>
    <n v="8.2138666666666715"/>
    <x v="2485"/>
  </r>
  <r>
    <s v="Multihop,USnet,20"/>
    <x v="1"/>
    <x v="2"/>
    <x v="0"/>
    <n v="817.46400000000006"/>
    <n v="750"/>
    <n v="8.9952000000000076"/>
    <x v="2486"/>
  </r>
  <r>
    <s v="Multihop,USnet,20"/>
    <x v="1"/>
    <x v="2"/>
    <x v="0"/>
    <n v="828.50800000000004"/>
    <n v="750"/>
    <n v="10.467733333333339"/>
    <x v="2487"/>
  </r>
  <r>
    <s v="Multihop,USnet,20"/>
    <x v="1"/>
    <x v="2"/>
    <x v="0"/>
    <n v="812.48599999999999"/>
    <n v="750"/>
    <n v="8.3314666666666639"/>
    <x v="2488"/>
  </r>
  <r>
    <s v="Multihop,USnet,20"/>
    <x v="1"/>
    <x v="2"/>
    <x v="0"/>
    <n v="821.62199999999996"/>
    <n v="750"/>
    <n v="9.5495999999999945"/>
    <x v="2489"/>
  </r>
  <r>
    <s v="Multihop,USnet,20"/>
    <x v="1"/>
    <x v="2"/>
    <x v="0"/>
    <n v="807.64099999999996"/>
    <n v="750"/>
    <n v="7.6854666666666613"/>
    <x v="2490"/>
  </r>
  <r>
    <s v="Multihop,USnet,20"/>
    <x v="1"/>
    <x v="2"/>
    <x v="0"/>
    <n v="811.38900000000001"/>
    <n v="750"/>
    <n v="8.1852"/>
    <x v="2491"/>
  </r>
  <r>
    <s v="Multihop,USnet,20"/>
    <x v="1"/>
    <x v="2"/>
    <x v="0"/>
    <n v="803.35299999999995"/>
    <n v="750"/>
    <n v="7.113733333333327"/>
    <x v="2492"/>
  </r>
  <r>
    <s v="Multihop,USnet,20"/>
    <x v="1"/>
    <x v="2"/>
    <x v="0"/>
    <n v="815.50400000000002"/>
    <n v="750"/>
    <n v="8.7338666666666693"/>
    <x v="2493"/>
  </r>
  <r>
    <s v="Multihop,USnet,40"/>
    <x v="1"/>
    <x v="2"/>
    <x v="1"/>
    <n v="1424.627"/>
    <n v="1410"/>
    <n v="1.0373758865248193"/>
    <x v="2494"/>
  </r>
  <r>
    <s v="Multihop,USnet,40"/>
    <x v="1"/>
    <x v="2"/>
    <x v="1"/>
    <n v="1416.05"/>
    <n v="1410"/>
    <n v="0.42907801418439395"/>
    <x v="2495"/>
  </r>
  <r>
    <s v="Multihop,USnet,40"/>
    <x v="1"/>
    <x v="2"/>
    <x v="1"/>
    <n v="1407.2349999999999"/>
    <n v="1410"/>
    <n v="0.19609929078014893"/>
    <x v="2496"/>
  </r>
  <r>
    <s v="Multihop,USnet,40"/>
    <x v="1"/>
    <x v="2"/>
    <x v="1"/>
    <n v="1409.7070000000001"/>
    <n v="1410"/>
    <n v="2.0780141843964019E-2"/>
    <x v="2497"/>
  </r>
  <r>
    <s v="Multihop,USnet,40"/>
    <x v="1"/>
    <x v="2"/>
    <x v="1"/>
    <n v="1383.251"/>
    <n v="1410"/>
    <n v="1.8970921985815619"/>
    <x v="2498"/>
  </r>
  <r>
    <s v="Multihop,USnet,40"/>
    <x v="1"/>
    <x v="2"/>
    <x v="1"/>
    <n v="1375.0909999999999"/>
    <n v="1410"/>
    <n v="2.475815602836887"/>
    <x v="2499"/>
  </r>
  <r>
    <s v="Multihop,USnet,40"/>
    <x v="1"/>
    <x v="2"/>
    <x v="1"/>
    <n v="1397.3779999999999"/>
    <n v="1410"/>
    <n v="0.89517730496454406"/>
    <x v="2500"/>
  </r>
  <r>
    <s v="Multihop,USnet,40"/>
    <x v="1"/>
    <x v="2"/>
    <x v="1"/>
    <n v="1419.11"/>
    <n v="1410"/>
    <n v="0.64609929078013473"/>
    <x v="2501"/>
  </r>
  <r>
    <s v="Multihop,USnet,40"/>
    <x v="1"/>
    <x v="2"/>
    <x v="1"/>
    <n v="1399.2329999999999"/>
    <n v="1410"/>
    <n v="0.76361702127659947"/>
    <x v="2502"/>
  </r>
  <r>
    <s v="Multihop,USnet,40"/>
    <x v="1"/>
    <x v="2"/>
    <x v="1"/>
    <n v="1423.3869999999999"/>
    <n v="1410"/>
    <n v="0.94943262411347118"/>
    <x v="2503"/>
  </r>
  <r>
    <s v="Multihop,USnet,40"/>
    <x v="1"/>
    <x v="2"/>
    <x v="1"/>
    <n v="1415.8109999999999"/>
    <n v="1410"/>
    <n v="0.41212765957446257"/>
    <x v="2504"/>
  </r>
  <r>
    <s v="Multihop,USnet,40"/>
    <x v="1"/>
    <x v="2"/>
    <x v="1"/>
    <n v="1418.2"/>
    <n v="1410"/>
    <n v="0.58156028368794643"/>
    <x v="2505"/>
  </r>
  <r>
    <s v="Multihop,USnet,40"/>
    <x v="1"/>
    <x v="2"/>
    <x v="1"/>
    <n v="1402.4739999999999"/>
    <n v="1410"/>
    <n v="0.53375886524823168"/>
    <x v="2506"/>
  </r>
  <r>
    <s v="Multihop,USnet,40"/>
    <x v="1"/>
    <x v="2"/>
    <x v="1"/>
    <n v="1438.4570000000001"/>
    <n v="1410"/>
    <n v="2.0182269503546175"/>
    <x v="2507"/>
  </r>
  <r>
    <s v="Multihop,USnet,40"/>
    <x v="1"/>
    <x v="2"/>
    <x v="1"/>
    <n v="1424.117"/>
    <n v="1410"/>
    <n v="1.0012056737588626"/>
    <x v="2508"/>
  </r>
  <r>
    <s v="Multihop,USnet,40"/>
    <x v="1"/>
    <x v="2"/>
    <x v="1"/>
    <n v="1430.8579999999999"/>
    <n v="1410"/>
    <n v="1.4792907801418402"/>
    <x v="2509"/>
  </r>
  <r>
    <s v="Multihop,USnet,40"/>
    <x v="1"/>
    <x v="2"/>
    <x v="1"/>
    <n v="1397.3489999999999"/>
    <n v="1410"/>
    <n v="0.89723404255319628"/>
    <x v="2510"/>
  </r>
  <r>
    <s v="Multihop,USnet,40"/>
    <x v="1"/>
    <x v="2"/>
    <x v="1"/>
    <n v="1417.47"/>
    <n v="1410"/>
    <n v="0.52978723404255512"/>
    <x v="2511"/>
  </r>
  <r>
    <s v="Multihop,USnet,40"/>
    <x v="1"/>
    <x v="2"/>
    <x v="1"/>
    <n v="1411.1369999999999"/>
    <n v="1410"/>
    <n v="8.0638297872336437E-2"/>
    <x v="2512"/>
  </r>
  <r>
    <s v="Multihop,USnet,40"/>
    <x v="1"/>
    <x v="2"/>
    <x v="1"/>
    <n v="1440.318"/>
    <n v="1410"/>
    <n v="2.1502127659574457"/>
    <x v="2513"/>
  </r>
  <r>
    <s v="Multihop,USnet,40"/>
    <x v="1"/>
    <x v="2"/>
    <x v="1"/>
    <n v="1405.1320000000001"/>
    <n v="1410"/>
    <n v="0.34524822695035023"/>
    <x v="2514"/>
  </r>
  <r>
    <s v="Multihop,USnet,40"/>
    <x v="1"/>
    <x v="2"/>
    <x v="1"/>
    <n v="1400.8869999999999"/>
    <n v="1410"/>
    <n v="0.64631205673759262"/>
    <x v="2515"/>
  </r>
  <r>
    <s v="Multihop,USnet,40"/>
    <x v="1"/>
    <x v="2"/>
    <x v="1"/>
    <n v="1428.095"/>
    <n v="1410"/>
    <n v="1.2833333333333352"/>
    <x v="2516"/>
  </r>
  <r>
    <s v="Multihop,USnet,40"/>
    <x v="1"/>
    <x v="2"/>
    <x v="1"/>
    <n v="1377.684"/>
    <n v="1410"/>
    <n v="2.2919148936170237"/>
    <x v="2517"/>
  </r>
  <r>
    <s v="Multihop,USnet,40"/>
    <x v="1"/>
    <x v="2"/>
    <x v="1"/>
    <n v="1423.4880000000001"/>
    <n v="1410"/>
    <n v="0.95659574468085506"/>
    <x v="2518"/>
  </r>
  <r>
    <s v="Multihop,USnet,40"/>
    <x v="1"/>
    <x v="2"/>
    <x v="1"/>
    <n v="1417.43"/>
    <n v="1410"/>
    <n v="0.52695035460993356"/>
    <x v="2519"/>
  </r>
  <r>
    <s v="Multihop,USnet,40"/>
    <x v="1"/>
    <x v="2"/>
    <x v="1"/>
    <n v="1406.7159999999999"/>
    <n v="1410"/>
    <n v="0.23290780141844719"/>
    <x v="2520"/>
  </r>
  <r>
    <s v="Multihop,USnet,40"/>
    <x v="1"/>
    <x v="2"/>
    <x v="1"/>
    <n v="1420.116"/>
    <n v="1410"/>
    <n v="0.71744680851063725"/>
    <x v="2521"/>
  </r>
  <r>
    <s v="Multihop,USnet,40"/>
    <x v="1"/>
    <x v="2"/>
    <x v="1"/>
    <n v="1416.56"/>
    <n v="1410"/>
    <n v="0.46524822695035073"/>
    <x v="2522"/>
  </r>
  <r>
    <s v="Multihop,USnet,40"/>
    <x v="1"/>
    <x v="2"/>
    <x v="1"/>
    <n v="1428.672"/>
    <n v="1410"/>
    <n v="1.3242553191489381"/>
    <x v="2523"/>
  </r>
  <r>
    <s v="Multihop,USnet,40"/>
    <x v="1"/>
    <x v="2"/>
    <x v="1"/>
    <n v="1398.575"/>
    <n v="1410"/>
    <n v="0.81028368794325911"/>
    <x v="2524"/>
  </r>
  <r>
    <s v="Multihop,USnet,40"/>
    <x v="1"/>
    <x v="2"/>
    <x v="1"/>
    <n v="1404.3589999999999"/>
    <n v="1410"/>
    <n v="0.40007092198582106"/>
    <x v="2525"/>
  </r>
  <r>
    <s v="Multihop,USnet,40"/>
    <x v="1"/>
    <x v="2"/>
    <x v="1"/>
    <n v="1402.402"/>
    <n v="1410"/>
    <n v="0.53886524822694726"/>
    <x v="2526"/>
  </r>
  <r>
    <s v="Multihop,USnet,40"/>
    <x v="1"/>
    <x v="2"/>
    <x v="1"/>
    <n v="1400.165"/>
    <n v="1410"/>
    <n v="0.69751773049645649"/>
    <x v="2527"/>
  </r>
  <r>
    <s v="Multihop,USnet,40"/>
    <x v="1"/>
    <x v="2"/>
    <x v="1"/>
    <n v="1415.569"/>
    <n v="1410"/>
    <n v="0.39496453900708939"/>
    <x v="2528"/>
  </r>
  <r>
    <s v="Multihop,USnet,40"/>
    <x v="1"/>
    <x v="2"/>
    <x v="1"/>
    <n v="1414.846"/>
    <n v="1410"/>
    <n v="0.34368794326241159"/>
    <x v="2529"/>
  </r>
  <r>
    <s v="Multihop,USnet,40"/>
    <x v="1"/>
    <x v="2"/>
    <x v="1"/>
    <n v="1383.1310000000001"/>
    <n v="1410"/>
    <n v="1.9056028368794264"/>
    <x v="2530"/>
  </r>
  <r>
    <s v="Multihop,USnet,40"/>
    <x v="1"/>
    <x v="2"/>
    <x v="1"/>
    <n v="1407.8109999999999"/>
    <n v="1410"/>
    <n v="0.15524822695036014"/>
    <x v="2531"/>
  </r>
  <r>
    <s v="Multihop,USnet,40"/>
    <x v="1"/>
    <x v="2"/>
    <x v="1"/>
    <n v="1375.3389999999999"/>
    <n v="1410"/>
    <n v="2.4582269503546139"/>
    <x v="2532"/>
  </r>
  <r>
    <s v="Multihop,USnet,40"/>
    <x v="1"/>
    <x v="2"/>
    <x v="1"/>
    <n v="1416.931"/>
    <n v="1410"/>
    <n v="0.49156028368794613"/>
    <x v="2533"/>
  </r>
  <r>
    <s v="Multihop,USnet,40"/>
    <x v="1"/>
    <x v="2"/>
    <x v="1"/>
    <n v="1405.116"/>
    <n v="1410"/>
    <n v="0.34638297872340529"/>
    <x v="2534"/>
  </r>
  <r>
    <s v="Multihop,USnet,40"/>
    <x v="1"/>
    <x v="2"/>
    <x v="1"/>
    <n v="1391.76"/>
    <n v="1410"/>
    <n v="1.2936170212765963"/>
    <x v="2535"/>
  </r>
  <r>
    <s v="Multihop,USnet,40"/>
    <x v="1"/>
    <x v="2"/>
    <x v="1"/>
    <n v="1390.1310000000001"/>
    <n v="1410"/>
    <n v="1.4091489361702065"/>
    <x v="2536"/>
  </r>
  <r>
    <s v="Multihop,USnet,40"/>
    <x v="1"/>
    <x v="2"/>
    <x v="1"/>
    <n v="1428.576"/>
    <n v="1410"/>
    <n v="1.3174468085106399"/>
    <x v="2537"/>
  </r>
  <r>
    <s v="Multihop,USnet,40"/>
    <x v="1"/>
    <x v="2"/>
    <x v="1"/>
    <n v="1436.9580000000001"/>
    <n v="1410"/>
    <n v="1.9119148936170272"/>
    <x v="2538"/>
  </r>
  <r>
    <s v="Multihop,USnet,40"/>
    <x v="1"/>
    <x v="2"/>
    <x v="1"/>
    <n v="1413.8309999999999"/>
    <n v="1410"/>
    <n v="0.27170212765956764"/>
    <x v="2539"/>
  </r>
  <r>
    <s v="Multihop,USnet,40"/>
    <x v="1"/>
    <x v="2"/>
    <x v="1"/>
    <n v="1418.7529999999999"/>
    <n v="1410"/>
    <n v="0.62078014184396668"/>
    <x v="2540"/>
  </r>
  <r>
    <s v="Multihop,USnet,40"/>
    <x v="1"/>
    <x v="2"/>
    <x v="1"/>
    <n v="1422.4880000000001"/>
    <n v="1410"/>
    <n v="0.88567375886525224"/>
    <x v="2541"/>
  </r>
  <r>
    <s v="Multihop,USnet,40"/>
    <x v="1"/>
    <x v="2"/>
    <x v="1"/>
    <n v="1427.3689999999999"/>
    <n v="1410"/>
    <n v="1.2318439716311995"/>
    <x v="2542"/>
  </r>
  <r>
    <s v="Multihop,USnet,40"/>
    <x v="1"/>
    <x v="2"/>
    <x v="1"/>
    <n v="1422.797"/>
    <n v="1410"/>
    <n v="0.90758865248227127"/>
    <x v="2543"/>
  </r>
  <r>
    <s v="Multihop,USnet,40"/>
    <x v="1"/>
    <x v="2"/>
    <x v="1"/>
    <n v="1401.3869999999999"/>
    <n v="1410"/>
    <n v="0.61085106382979126"/>
    <x v="2544"/>
  </r>
  <r>
    <s v="Multihop,USnet,40"/>
    <x v="1"/>
    <x v="2"/>
    <x v="1"/>
    <n v="1469.2049999999999"/>
    <n v="1410"/>
    <n v="4.198936170212761"/>
    <x v="2545"/>
  </r>
  <r>
    <s v="Multihop,USnet,40"/>
    <x v="1"/>
    <x v="2"/>
    <x v="1"/>
    <n v="1402.241"/>
    <n v="1410"/>
    <n v="0.55028368794326343"/>
    <x v="2546"/>
  </r>
  <r>
    <s v="Multihop,USnet,40"/>
    <x v="1"/>
    <x v="2"/>
    <x v="1"/>
    <n v="1442.9690000000001"/>
    <n v="1410"/>
    <n v="2.3382269503546138"/>
    <x v="2547"/>
  </r>
  <r>
    <s v="Multihop,USnet,40"/>
    <x v="1"/>
    <x v="2"/>
    <x v="1"/>
    <n v="1438.126"/>
    <n v="1410"/>
    <n v="1.9947517730496436"/>
    <x v="2548"/>
  </r>
  <r>
    <s v="Multihop,USnet,40"/>
    <x v="1"/>
    <x v="2"/>
    <x v="1"/>
    <n v="1443.0730000000001"/>
    <n v="1410"/>
    <n v="2.345602836879439"/>
    <x v="2549"/>
  </r>
  <r>
    <s v="Multihop,USnet,40"/>
    <x v="1"/>
    <x v="2"/>
    <x v="1"/>
    <n v="1422.4590000000001"/>
    <n v="1410"/>
    <n v="0.88361702127660002"/>
    <x v="2550"/>
  </r>
  <r>
    <s v="Multihop,USnet,40"/>
    <x v="1"/>
    <x v="2"/>
    <x v="1"/>
    <n v="1441.82"/>
    <n v="1410"/>
    <n v="2.2567375886524776"/>
    <x v="2551"/>
  </r>
  <r>
    <s v="Multihop,USnet,40"/>
    <x v="1"/>
    <x v="2"/>
    <x v="1"/>
    <n v="1417.8589999999999"/>
    <n v="1410"/>
    <n v="0.55737588652481729"/>
    <x v="2552"/>
  </r>
  <r>
    <s v="Multihop,USnet,40"/>
    <x v="1"/>
    <x v="2"/>
    <x v="1"/>
    <n v="1399.9"/>
    <n v="1410"/>
    <n v="0.71631205673758225"/>
    <x v="2553"/>
  </r>
  <r>
    <s v="Multihop,USnet,40"/>
    <x v="1"/>
    <x v="2"/>
    <x v="1"/>
    <n v="1461.02"/>
    <n v="1410"/>
    <n v="3.6184397163120554"/>
    <x v="2554"/>
  </r>
  <r>
    <s v="Multihop,USnet,40"/>
    <x v="1"/>
    <x v="2"/>
    <x v="1"/>
    <n v="1434.5219999999999"/>
    <n v="1410"/>
    <n v="1.7391489361702082"/>
    <x v="2555"/>
  </r>
  <r>
    <s v="Multihop,USnet,40"/>
    <x v="1"/>
    <x v="2"/>
    <x v="1"/>
    <n v="1429.921"/>
    <n v="1410"/>
    <n v="1.4128368794326276"/>
    <x v="2556"/>
  </r>
  <r>
    <s v="Multihop,USnet,40"/>
    <x v="1"/>
    <x v="2"/>
    <x v="1"/>
    <n v="1404.7670000000001"/>
    <n v="1410"/>
    <n v="0.37113475177304589"/>
    <x v="2557"/>
  </r>
  <r>
    <s v="Multihop,USnet,40"/>
    <x v="1"/>
    <x v="2"/>
    <x v="1"/>
    <n v="1391.3109999999999"/>
    <n v="1410"/>
    <n v="1.3254609929078069"/>
    <x v="2558"/>
  </r>
  <r>
    <s v="Multihop,USnet,40"/>
    <x v="1"/>
    <x v="2"/>
    <x v="1"/>
    <n v="1391.672"/>
    <n v="1410"/>
    <n v="1.2998581560283671"/>
    <x v="2559"/>
  </r>
  <r>
    <s v="Multihop,USnet,40"/>
    <x v="1"/>
    <x v="2"/>
    <x v="1"/>
    <n v="1432.2840000000001"/>
    <n v="1410"/>
    <n v="1.5804255319149012"/>
    <x v="2560"/>
  </r>
  <r>
    <s v="Multihop,USnet,40"/>
    <x v="1"/>
    <x v="2"/>
    <x v="1"/>
    <n v="1416.9760000000001"/>
    <n v="1410"/>
    <n v="0.4947517730496534"/>
    <x v="2561"/>
  </r>
  <r>
    <s v="Multihop,USnet,40"/>
    <x v="1"/>
    <x v="2"/>
    <x v="1"/>
    <n v="1393.298"/>
    <n v="1410"/>
    <n v="1.1845390070921984"/>
    <x v="2562"/>
  </r>
  <r>
    <s v="Multihop,USnet,40"/>
    <x v="1"/>
    <x v="2"/>
    <x v="1"/>
    <n v="1403.66"/>
    <n v="1410"/>
    <n v="0.4496453900709162"/>
    <x v="2563"/>
  </r>
  <r>
    <s v="Multihop,USnet,40"/>
    <x v="1"/>
    <x v="2"/>
    <x v="1"/>
    <n v="1428.471"/>
    <n v="1410"/>
    <n v="1.3100000000000003"/>
    <x v="2564"/>
  </r>
  <r>
    <s v="Multihop,USnet,40"/>
    <x v="1"/>
    <x v="2"/>
    <x v="1"/>
    <n v="1418.5139999999999"/>
    <n v="1410"/>
    <n v="0.60382978723403513"/>
    <x v="2565"/>
  </r>
  <r>
    <s v="Multihop,USnet,40"/>
    <x v="1"/>
    <x v="2"/>
    <x v="1"/>
    <n v="1380.338"/>
    <n v="1410"/>
    <n v="2.1036879432624138"/>
    <x v="2566"/>
  </r>
  <r>
    <s v="Multihop,USnet,40"/>
    <x v="1"/>
    <x v="2"/>
    <x v="1"/>
    <n v="1418.4110000000001"/>
    <n v="1410"/>
    <n v="0.59652482269503959"/>
    <x v="2567"/>
  </r>
  <r>
    <s v="Multihop,USnet,40"/>
    <x v="1"/>
    <x v="2"/>
    <x v="1"/>
    <n v="1416.325"/>
    <n v="1410"/>
    <n v="0.44858156028369123"/>
    <x v="2568"/>
  </r>
  <r>
    <s v="Multihop,USnet,40"/>
    <x v="1"/>
    <x v="2"/>
    <x v="1"/>
    <n v="1411.068"/>
    <n v="1410"/>
    <n v="7.5744680851062673E-2"/>
    <x v="2569"/>
  </r>
  <r>
    <s v="Multihop,USnet,40"/>
    <x v="1"/>
    <x v="2"/>
    <x v="1"/>
    <n v="1391.557"/>
    <n v="1410"/>
    <n v="1.308014184397162"/>
    <x v="2570"/>
  </r>
  <r>
    <s v="Multihop,USnet,40"/>
    <x v="1"/>
    <x v="2"/>
    <x v="1"/>
    <n v="1430.8530000000001"/>
    <n v="1410"/>
    <n v="1.4789361702127706"/>
    <x v="2571"/>
  </r>
  <r>
    <s v="Multihop,USnet,40"/>
    <x v="1"/>
    <x v="2"/>
    <x v="1"/>
    <n v="1406.2629999999999"/>
    <n v="1410"/>
    <n v="0.26503546099291347"/>
    <x v="2572"/>
  </r>
  <r>
    <s v="Multihop,USnet,40"/>
    <x v="1"/>
    <x v="2"/>
    <x v="1"/>
    <n v="1441.6890000000001"/>
    <n v="1410"/>
    <n v="2.2474468085106438"/>
    <x v="2573"/>
  </r>
  <r>
    <s v="Multihop,USnet,40"/>
    <x v="1"/>
    <x v="2"/>
    <x v="1"/>
    <n v="1416.16"/>
    <n v="1410"/>
    <n v="0.43687943262411927"/>
    <x v="2574"/>
  </r>
  <r>
    <s v="Multihop,USnet,40"/>
    <x v="1"/>
    <x v="2"/>
    <x v="1"/>
    <n v="1382.693"/>
    <n v="1410"/>
    <n v="1.9366666666666679"/>
    <x v="2575"/>
  </r>
  <r>
    <s v="Multihop,USnet,40"/>
    <x v="1"/>
    <x v="2"/>
    <x v="1"/>
    <n v="1405.124"/>
    <n v="1410"/>
    <n v="0.34581560283687773"/>
    <x v="2576"/>
  </r>
  <r>
    <s v="Multihop,USnet,40"/>
    <x v="1"/>
    <x v="2"/>
    <x v="1"/>
    <n v="1417.1859999999999"/>
    <n v="1410"/>
    <n v="0.50964539007091647"/>
    <x v="2577"/>
  </r>
  <r>
    <s v="Multihop,USnet,40"/>
    <x v="1"/>
    <x v="2"/>
    <x v="1"/>
    <n v="1441.404"/>
    <n v="1410"/>
    <n v="2.2272340425531914"/>
    <x v="2578"/>
  </r>
  <r>
    <s v="Multihop,USnet,40"/>
    <x v="1"/>
    <x v="2"/>
    <x v="1"/>
    <n v="1395.184"/>
    <n v="1410"/>
    <n v="1.0507801418439739"/>
    <x v="2579"/>
  </r>
  <r>
    <s v="Multihop,USnet,40"/>
    <x v="1"/>
    <x v="2"/>
    <x v="1"/>
    <n v="1415.021"/>
    <n v="1410"/>
    <n v="0.35609929078013886"/>
    <x v="2580"/>
  </r>
  <r>
    <s v="Multihop,USnet,40"/>
    <x v="1"/>
    <x v="2"/>
    <x v="1"/>
    <n v="1413.299"/>
    <n v="1410"/>
    <n v="0.23397163120567219"/>
    <x v="2581"/>
  </r>
  <r>
    <s v="Multihop,USnet,40"/>
    <x v="1"/>
    <x v="2"/>
    <x v="1"/>
    <n v="1400.6849999999999"/>
    <n v="1410"/>
    <n v="0.66063829787234429"/>
    <x v="2582"/>
  </r>
  <r>
    <s v="Multihop,USnet,40"/>
    <x v="1"/>
    <x v="2"/>
    <x v="1"/>
    <n v="1444.0989999999999"/>
    <n v="1410"/>
    <n v="2.4183687943262364"/>
    <x v="2583"/>
  </r>
  <r>
    <s v="Multihop,USnet,40"/>
    <x v="1"/>
    <x v="2"/>
    <x v="1"/>
    <n v="1409.098"/>
    <n v="1410"/>
    <n v="6.3971631205676852E-2"/>
    <x v="2584"/>
  </r>
  <r>
    <s v="Multihop,USnet,40"/>
    <x v="1"/>
    <x v="2"/>
    <x v="1"/>
    <n v="1415.663"/>
    <n v="1410"/>
    <n v="0.40163120567375965"/>
    <x v="2585"/>
  </r>
  <r>
    <s v="Multihop,USnet,40"/>
    <x v="1"/>
    <x v="2"/>
    <x v="1"/>
    <n v="1393.896"/>
    <n v="1410"/>
    <n v="1.1421276595744709"/>
    <x v="2586"/>
  </r>
  <r>
    <s v="Multihop,USnet,40"/>
    <x v="1"/>
    <x v="2"/>
    <x v="1"/>
    <n v="1418.7260000000001"/>
    <n v="1410"/>
    <n v="0.61886524822695843"/>
    <x v="2587"/>
  </r>
  <r>
    <s v="Multihop,USnet,40"/>
    <x v="1"/>
    <x v="2"/>
    <x v="1"/>
    <n v="1437.0129999999999"/>
    <n v="1410"/>
    <n v="1.9158156028368738"/>
    <x v="2588"/>
  </r>
  <r>
    <s v="Multihop,USnet,40"/>
    <x v="1"/>
    <x v="2"/>
    <x v="1"/>
    <n v="1410.252"/>
    <n v="1410"/>
    <n v="1.7872340425528561E-2"/>
    <x v="2589"/>
  </r>
  <r>
    <s v="Multihop,USnet,40"/>
    <x v="1"/>
    <x v="2"/>
    <x v="1"/>
    <n v="1401.4680000000001"/>
    <n v="1410"/>
    <n v="0.6051063829787181"/>
    <x v="2590"/>
  </r>
  <r>
    <s v="Multihop,USnet,40"/>
    <x v="1"/>
    <x v="2"/>
    <x v="1"/>
    <n v="1394.029"/>
    <n v="1410"/>
    <n v="1.1326950354609933"/>
    <x v="2591"/>
  </r>
  <r>
    <s v="Multihop,USnet,40"/>
    <x v="1"/>
    <x v="2"/>
    <x v="1"/>
    <n v="1379.9549999999999"/>
    <n v="1410"/>
    <n v="2.1308510638297924"/>
    <x v="2592"/>
  </r>
  <r>
    <s v="Multihop,USnet,40"/>
    <x v="1"/>
    <x v="2"/>
    <x v="1"/>
    <n v="1428.84"/>
    <n v="1410"/>
    <n v="1.3361702127659516"/>
    <x v="2593"/>
  </r>
  <r>
    <s v="Multihop,USnet,60"/>
    <x v="1"/>
    <x v="2"/>
    <x v="2"/>
    <n v="1999.2739999999999"/>
    <n v="2040"/>
    <n v="1.9963725490196136"/>
    <x v="2594"/>
  </r>
  <r>
    <s v="Multihop,USnet,60"/>
    <x v="1"/>
    <x v="2"/>
    <x v="2"/>
    <n v="2033.326"/>
    <n v="2040"/>
    <n v="0.32715686274509698"/>
    <x v="2595"/>
  </r>
  <r>
    <s v="Multihop,USnet,60"/>
    <x v="1"/>
    <x v="2"/>
    <x v="2"/>
    <n v="2075.9520000000002"/>
    <n v="2040"/>
    <n v="1.7623529411764816"/>
    <x v="2596"/>
  </r>
  <r>
    <s v="Multihop,USnet,60"/>
    <x v="1"/>
    <x v="2"/>
    <x v="2"/>
    <n v="1983.4649999999999"/>
    <n v="2040"/>
    <n v="2.7713235294117688"/>
    <x v="2597"/>
  </r>
  <r>
    <s v="Multihop,USnet,60"/>
    <x v="1"/>
    <x v="2"/>
    <x v="2"/>
    <n v="2014.336"/>
    <n v="2040"/>
    <n v="1.2580392156862739"/>
    <x v="2598"/>
  </r>
  <r>
    <s v="Multihop,USnet,60"/>
    <x v="1"/>
    <x v="2"/>
    <x v="2"/>
    <n v="1982.7840000000001"/>
    <n v="2040"/>
    <n v="2.8047058823529358"/>
    <x v="2599"/>
  </r>
  <r>
    <s v="Multihop,USnet,60"/>
    <x v="1"/>
    <x v="2"/>
    <x v="2"/>
    <n v="2035.3610000000001"/>
    <n v="2040"/>
    <n v="0.22740196078430866"/>
    <x v="2600"/>
  </r>
  <r>
    <s v="Multihop,USnet,60"/>
    <x v="1"/>
    <x v="2"/>
    <x v="2"/>
    <n v="2003.04"/>
    <n v="2040"/>
    <n v="1.8117647058823547"/>
    <x v="2601"/>
  </r>
  <r>
    <s v="Multihop,USnet,60"/>
    <x v="1"/>
    <x v="2"/>
    <x v="2"/>
    <n v="2009.175"/>
    <n v="2040"/>
    <n v="1.5110294117647081"/>
    <x v="2602"/>
  </r>
  <r>
    <s v="Multihop,USnet,60"/>
    <x v="1"/>
    <x v="2"/>
    <x v="2"/>
    <n v="2112.989"/>
    <n v="2040"/>
    <n v="3.5778921568627471"/>
    <x v="2603"/>
  </r>
  <r>
    <s v="Multihop,USnet,60"/>
    <x v="1"/>
    <x v="2"/>
    <x v="2"/>
    <n v="2006.2239999999999"/>
    <n v="2040"/>
    <n v="1.6556862745098071"/>
    <x v="2604"/>
  </r>
  <r>
    <s v="Multihop,USnet,60"/>
    <x v="1"/>
    <x v="2"/>
    <x v="2"/>
    <n v="2036.864"/>
    <n v="2040"/>
    <n v="0.15372549019607684"/>
    <x v="2605"/>
  </r>
  <r>
    <s v="Multihop,USnet,60"/>
    <x v="1"/>
    <x v="2"/>
    <x v="2"/>
    <n v="2005.5360000000001"/>
    <n v="2040"/>
    <n v="1.6894117647058795"/>
    <x v="2606"/>
  </r>
  <r>
    <s v="Multihop,USnet,60"/>
    <x v="1"/>
    <x v="2"/>
    <x v="2"/>
    <n v="2042.798"/>
    <n v="2040"/>
    <n v="0.13715686274509811"/>
    <x v="2607"/>
  </r>
  <r>
    <s v="Multihop,USnet,60"/>
    <x v="1"/>
    <x v="2"/>
    <x v="2"/>
    <n v="1987.3920000000001"/>
    <n v="2040"/>
    <n v="2.5788235294117623"/>
    <x v="2608"/>
  </r>
  <r>
    <s v="Multihop,USnet,60"/>
    <x v="1"/>
    <x v="2"/>
    <x v="2"/>
    <n v="2047.8779999999999"/>
    <n v="2040"/>
    <n v="0.38617647058823179"/>
    <x v="2609"/>
  </r>
  <r>
    <s v="Multihop,USnet,60"/>
    <x v="1"/>
    <x v="2"/>
    <x v="2"/>
    <n v="2001.9449999999999"/>
    <n v="2040"/>
    <n v="1.8654411764705912"/>
    <x v="2610"/>
  </r>
  <r>
    <s v="Multihop,USnet,60"/>
    <x v="1"/>
    <x v="2"/>
    <x v="2"/>
    <n v="1967.722"/>
    <n v="2040"/>
    <n v="3.5430392156862758"/>
    <x v="2611"/>
  </r>
  <r>
    <s v="Multihop,USnet,60"/>
    <x v="1"/>
    <x v="2"/>
    <x v="2"/>
    <n v="1996.2380000000001"/>
    <n v="2040"/>
    <n v="2.1451960784313697"/>
    <x v="2612"/>
  </r>
  <r>
    <s v="Multihop,USnet,60"/>
    <x v="1"/>
    <x v="2"/>
    <x v="2"/>
    <n v="1968.598"/>
    <n v="2040"/>
    <n v="3.5000980392156884"/>
    <x v="2613"/>
  </r>
  <r>
    <s v="Multihop,USnet,60"/>
    <x v="1"/>
    <x v="2"/>
    <x v="2"/>
    <n v="1996.3320000000001"/>
    <n v="2040"/>
    <n v="2.1405882352941124"/>
    <x v="2614"/>
  </r>
  <r>
    <s v="Multihop,USnet,60"/>
    <x v="1"/>
    <x v="2"/>
    <x v="2"/>
    <n v="2035.1020000000001"/>
    <n v="2040"/>
    <n v="0.24009803921568193"/>
    <x v="2615"/>
  </r>
  <r>
    <s v="Multihop,USnet,60"/>
    <x v="1"/>
    <x v="2"/>
    <x v="2"/>
    <n v="1992.53"/>
    <n v="2040"/>
    <n v="2.326960784313727"/>
    <x v="2616"/>
  </r>
  <r>
    <s v="Multihop,USnet,60"/>
    <x v="1"/>
    <x v="2"/>
    <x v="2"/>
    <n v="2018.5319999999999"/>
    <n v="2040"/>
    <n v="1.0523529411764743"/>
    <x v="2617"/>
  </r>
  <r>
    <s v="Multihop,USnet,60"/>
    <x v="1"/>
    <x v="2"/>
    <x v="2"/>
    <n v="2029.6759999999999"/>
    <n v="2040"/>
    <n v="0.50607843137255248"/>
    <x v="2618"/>
  </r>
  <r>
    <s v="Multihop,USnet,60"/>
    <x v="1"/>
    <x v="2"/>
    <x v="2"/>
    <n v="2042.34"/>
    <n v="2040"/>
    <n v="0.11470588235293717"/>
    <x v="2619"/>
  </r>
  <r>
    <s v="Multihop,USnet,60"/>
    <x v="1"/>
    <x v="2"/>
    <x v="2"/>
    <n v="2036.6569999999999"/>
    <n v="2040"/>
    <n v="0.16387254901961149"/>
    <x v="2620"/>
  </r>
  <r>
    <s v="Multihop,USnet,60"/>
    <x v="1"/>
    <x v="2"/>
    <x v="2"/>
    <n v="2037.5820000000001"/>
    <n v="2040"/>
    <n v="0.11852941176470062"/>
    <x v="2621"/>
  </r>
  <r>
    <s v="Multihop,USnet,60"/>
    <x v="1"/>
    <x v="2"/>
    <x v="2"/>
    <n v="2018.3630000000001"/>
    <n v="2040"/>
    <n v="1.060637254901958"/>
    <x v="2622"/>
  </r>
  <r>
    <s v="Multihop,USnet,60"/>
    <x v="1"/>
    <x v="2"/>
    <x v="2"/>
    <n v="2095.5140000000001"/>
    <n v="2040"/>
    <n v="2.7212745098039273"/>
    <x v="2623"/>
  </r>
  <r>
    <s v="Multihop,USnet,60"/>
    <x v="1"/>
    <x v="2"/>
    <x v="2"/>
    <n v="1975.902"/>
    <n v="2040"/>
    <n v="3.1420588235294096"/>
    <x v="2624"/>
  </r>
  <r>
    <s v="Multihop,USnet,60"/>
    <x v="1"/>
    <x v="2"/>
    <x v="2"/>
    <n v="2072.7669999999998"/>
    <n v="2040"/>
    <n v="1.6062254901960697"/>
    <x v="2625"/>
  </r>
  <r>
    <s v="Multihop,USnet,60"/>
    <x v="1"/>
    <x v="2"/>
    <x v="2"/>
    <n v="2031.174"/>
    <n v="2040"/>
    <n v="0.43264705882353049"/>
    <x v="2626"/>
  </r>
  <r>
    <s v="Multihop,USnet,60"/>
    <x v="1"/>
    <x v="2"/>
    <x v="2"/>
    <n v="1996.222"/>
    <n v="2040"/>
    <n v="2.1459803921568636"/>
    <x v="2627"/>
  </r>
  <r>
    <s v="Multihop,USnet,60"/>
    <x v="1"/>
    <x v="2"/>
    <x v="2"/>
    <n v="2076.3110000000001"/>
    <n v="2040"/>
    <n v="1.7799509803921643"/>
    <x v="2628"/>
  </r>
  <r>
    <s v="Multihop,USnet,60"/>
    <x v="1"/>
    <x v="2"/>
    <x v="2"/>
    <n v="1927.366"/>
    <n v="2040"/>
    <n v="5.5212745098039226"/>
    <x v="2629"/>
  </r>
  <r>
    <s v="Multihop,USnet,60"/>
    <x v="1"/>
    <x v="2"/>
    <x v="2"/>
    <n v="2003.6130000000001"/>
    <n v="2040"/>
    <n v="1.7836764705882326"/>
    <x v="2630"/>
  </r>
  <r>
    <s v="Multihop,USnet,60"/>
    <x v="1"/>
    <x v="2"/>
    <x v="2"/>
    <n v="1985.44"/>
    <n v="2040"/>
    <n v="2.6745098039215662"/>
    <x v="2631"/>
  </r>
  <r>
    <s v="Multihop,USnet,60"/>
    <x v="1"/>
    <x v="2"/>
    <x v="2"/>
    <n v="2015.943"/>
    <n v="2040"/>
    <n v="1.1792647058823538"/>
    <x v="2632"/>
  </r>
  <r>
    <s v="Multihop,USnet,60"/>
    <x v="1"/>
    <x v="2"/>
    <x v="2"/>
    <n v="2000.1320000000001"/>
    <n v="2040"/>
    <n v="1.9543137254901932"/>
    <x v="2633"/>
  </r>
  <r>
    <s v="Multihop,USnet,60"/>
    <x v="1"/>
    <x v="2"/>
    <x v="2"/>
    <n v="1977.9939999999999"/>
    <n v="2040"/>
    <n v="3.0395098039215727"/>
    <x v="2634"/>
  </r>
  <r>
    <s v="Multihop,USnet,60"/>
    <x v="1"/>
    <x v="2"/>
    <x v="2"/>
    <n v="2041.6030000000001"/>
    <n v="2040"/>
    <n v="7.8578431372552229E-2"/>
    <x v="2635"/>
  </r>
  <r>
    <s v="Multihop,USnet,60"/>
    <x v="1"/>
    <x v="2"/>
    <x v="2"/>
    <n v="1956.171"/>
    <n v="2040"/>
    <n v="4.1092647058823504"/>
    <x v="2636"/>
  </r>
  <r>
    <s v="Multihop,USnet,60"/>
    <x v="1"/>
    <x v="2"/>
    <x v="2"/>
    <n v="2044.56"/>
    <n v="2040"/>
    <n v="0.2235294117647032"/>
    <x v="2637"/>
  </r>
  <r>
    <s v="Multihop,USnet,60"/>
    <x v="1"/>
    <x v="2"/>
    <x v="2"/>
    <n v="1979.307"/>
    <n v="2040"/>
    <n v="2.9751470588235285"/>
    <x v="2638"/>
  </r>
  <r>
    <s v="Multihop,USnet,60"/>
    <x v="1"/>
    <x v="2"/>
    <x v="2"/>
    <n v="2018.3040000000001"/>
    <n v="2040"/>
    <n v="1.0635294117647016"/>
    <x v="2639"/>
  </r>
  <r>
    <s v="Multihop,USnet,60"/>
    <x v="1"/>
    <x v="2"/>
    <x v="2"/>
    <n v="2040.9359999999999"/>
    <n v="2040"/>
    <n v="4.5882352941172634E-2"/>
    <x v="2640"/>
  </r>
  <r>
    <s v="Multihop,USnet,60"/>
    <x v="1"/>
    <x v="2"/>
    <x v="2"/>
    <n v="1974.5540000000001"/>
    <n v="2040"/>
    <n v="3.2081372549019562"/>
    <x v="2641"/>
  </r>
  <r>
    <s v="Multihop,USnet,60"/>
    <x v="1"/>
    <x v="2"/>
    <x v="2"/>
    <n v="2053.5309999999999"/>
    <n v="2040"/>
    <n v="0.66328431372548768"/>
    <x v="2642"/>
  </r>
  <r>
    <s v="Multihop,USnet,60"/>
    <x v="1"/>
    <x v="2"/>
    <x v="2"/>
    <n v="2019.451"/>
    <n v="2040"/>
    <n v="1.0073039215686264"/>
    <x v="2643"/>
  </r>
  <r>
    <s v="Multihop,USnet,60"/>
    <x v="1"/>
    <x v="2"/>
    <x v="2"/>
    <n v="2044.3889999999999"/>
    <n v="2040"/>
    <n v="0.21514705882352433"/>
    <x v="2644"/>
  </r>
  <r>
    <s v="Multihop,USnet,60"/>
    <x v="1"/>
    <x v="2"/>
    <x v="2"/>
    <n v="2008.1579999999999"/>
    <n v="2040"/>
    <n v="1.5608823529411813"/>
    <x v="2645"/>
  </r>
  <r>
    <s v="Multihop,USnet,60"/>
    <x v="1"/>
    <x v="2"/>
    <x v="2"/>
    <n v="2020.9490000000001"/>
    <n v="2040"/>
    <n v="0.93387254901960448"/>
    <x v="2646"/>
  </r>
  <r>
    <s v="Multihop,USnet,60"/>
    <x v="1"/>
    <x v="2"/>
    <x v="2"/>
    <n v="2028.7339999999999"/>
    <n v="2040"/>
    <n v="0.55225490196078808"/>
    <x v="2647"/>
  </r>
  <r>
    <s v="Multihop,USnet,60"/>
    <x v="1"/>
    <x v="2"/>
    <x v="2"/>
    <n v="1993.8810000000001"/>
    <n v="2040"/>
    <n v="2.2607352941176431"/>
    <x v="2648"/>
  </r>
  <r>
    <s v="Multihop,USnet,60"/>
    <x v="1"/>
    <x v="2"/>
    <x v="2"/>
    <n v="2009.066"/>
    <n v="2040"/>
    <n v="1.5163725490196063"/>
    <x v="2649"/>
  </r>
  <r>
    <s v="Multihop,USnet,60"/>
    <x v="1"/>
    <x v="2"/>
    <x v="2"/>
    <n v="2012.627"/>
    <n v="2040"/>
    <n v="1.3418137254901983"/>
    <x v="2650"/>
  </r>
  <r>
    <s v="Multihop,USnet,60"/>
    <x v="1"/>
    <x v="2"/>
    <x v="2"/>
    <n v="2033.008"/>
    <n v="2040"/>
    <n v="0.34274509803921382"/>
    <x v="2651"/>
  </r>
  <r>
    <s v="Multihop,USnet,60"/>
    <x v="1"/>
    <x v="2"/>
    <x v="2"/>
    <n v="2034.5719999999999"/>
    <n v="2040"/>
    <n v="0.26607843137255444"/>
    <x v="2652"/>
  </r>
  <r>
    <s v="Multihop,USnet,60"/>
    <x v="1"/>
    <x v="2"/>
    <x v="2"/>
    <n v="1937.047"/>
    <n v="2040"/>
    <n v="5.0467156862745082"/>
    <x v="2653"/>
  </r>
  <r>
    <s v="Multihop,USnet,60"/>
    <x v="1"/>
    <x v="2"/>
    <x v="2"/>
    <n v="2044.376"/>
    <n v="2040"/>
    <n v="0.21450980392156749"/>
    <x v="2654"/>
  </r>
  <r>
    <s v="Multihop,USnet,60"/>
    <x v="1"/>
    <x v="2"/>
    <x v="2"/>
    <n v="2035.931"/>
    <n v="2040"/>
    <n v="0.19946078431372352"/>
    <x v="2655"/>
  </r>
  <r>
    <s v="Multihop,USnet,60"/>
    <x v="1"/>
    <x v="2"/>
    <x v="2"/>
    <n v="2080.21"/>
    <n v="2040"/>
    <n v="1.9710784313725509"/>
    <x v="2656"/>
  </r>
  <r>
    <s v="Multihop,USnet,60"/>
    <x v="1"/>
    <x v="2"/>
    <x v="2"/>
    <n v="2085.65"/>
    <n v="2040"/>
    <n v="2.2377450980392202"/>
    <x v="2657"/>
  </r>
  <r>
    <s v="Multihop,USnet,60"/>
    <x v="1"/>
    <x v="2"/>
    <x v="2"/>
    <n v="2058.2660000000001"/>
    <n v="2040"/>
    <n v="0.89539215686274887"/>
    <x v="2658"/>
  </r>
  <r>
    <s v="Multihop,USnet,60"/>
    <x v="1"/>
    <x v="2"/>
    <x v="2"/>
    <n v="2044.663"/>
    <n v="2040"/>
    <n v="0.22857843137254955"/>
    <x v="2659"/>
  </r>
  <r>
    <s v="Multihop,USnet,60"/>
    <x v="1"/>
    <x v="2"/>
    <x v="2"/>
    <n v="2074.5"/>
    <n v="2040"/>
    <n v="1.6911764705882353"/>
    <x v="2660"/>
  </r>
  <r>
    <s v="Multihop,USnet,60"/>
    <x v="1"/>
    <x v="2"/>
    <x v="2"/>
    <n v="1947.193"/>
    <n v="2040"/>
    <n v="4.5493627450980405"/>
    <x v="2661"/>
  </r>
  <r>
    <s v="Multihop,USnet,60"/>
    <x v="1"/>
    <x v="2"/>
    <x v="2"/>
    <n v="2031.0160000000001"/>
    <n v="2040"/>
    <n v="0.4403921568627413"/>
    <x v="2662"/>
  </r>
  <r>
    <s v="Multihop,USnet,60"/>
    <x v="1"/>
    <x v="2"/>
    <x v="2"/>
    <n v="2019.585"/>
    <n v="2040"/>
    <n v="1.0007352941176453"/>
    <x v="2663"/>
  </r>
  <r>
    <s v="Multihop,USnet,60"/>
    <x v="1"/>
    <x v="2"/>
    <x v="2"/>
    <n v="2001.1410000000001"/>
    <n v="2040"/>
    <n v="1.904852941176467"/>
    <x v="2664"/>
  </r>
  <r>
    <s v="Multihop,USnet,60"/>
    <x v="1"/>
    <x v="2"/>
    <x v="2"/>
    <n v="2081.9209999999998"/>
    <n v="2040"/>
    <n v="2.0549509803921482"/>
    <x v="2665"/>
  </r>
  <r>
    <s v="Multihop,USnet,60"/>
    <x v="1"/>
    <x v="2"/>
    <x v="2"/>
    <n v="2026.24"/>
    <n v="2040"/>
    <n v="0.67450980392156812"/>
    <x v="2666"/>
  </r>
  <r>
    <s v="Multihop,USnet,60"/>
    <x v="1"/>
    <x v="2"/>
    <x v="2"/>
    <n v="2028.2180000000001"/>
    <n v="2040"/>
    <n v="0.57754901960783955"/>
    <x v="2667"/>
  </r>
  <r>
    <s v="Multihop,USnet,60"/>
    <x v="1"/>
    <x v="2"/>
    <x v="2"/>
    <n v="2018.3240000000001"/>
    <n v="2040"/>
    <n v="1.0625490196078398"/>
    <x v="2668"/>
  </r>
  <r>
    <s v="Multihop,USnet,60"/>
    <x v="1"/>
    <x v="2"/>
    <x v="2"/>
    <n v="1998.6510000000001"/>
    <n v="2040"/>
    <n v="2.0269117647058792"/>
    <x v="2669"/>
  </r>
  <r>
    <s v="Multihop,USnet,60"/>
    <x v="1"/>
    <x v="2"/>
    <x v="2"/>
    <n v="2065.056"/>
    <n v="2040"/>
    <n v="1.2282352941176491"/>
    <x v="2670"/>
  </r>
  <r>
    <s v="Multihop,USnet,60"/>
    <x v="1"/>
    <x v="2"/>
    <x v="2"/>
    <n v="2040.394"/>
    <n v="2040"/>
    <n v="1.9313725490196346E-2"/>
    <x v="2671"/>
  </r>
  <r>
    <s v="Multihop,USnet,60"/>
    <x v="1"/>
    <x v="2"/>
    <x v="2"/>
    <n v="1964.443"/>
    <n v="2040"/>
    <n v="3.7037745098039228"/>
    <x v="2672"/>
  </r>
  <r>
    <s v="Multihop,USnet,60"/>
    <x v="1"/>
    <x v="2"/>
    <x v="2"/>
    <n v="2032.58"/>
    <n v="2040"/>
    <n v="0.36372549019608202"/>
    <x v="2673"/>
  </r>
  <r>
    <s v="Multihop,USnet,60"/>
    <x v="1"/>
    <x v="2"/>
    <x v="2"/>
    <n v="2012.066"/>
    <n v="2040"/>
    <n v="1.3693137254901946"/>
    <x v="2674"/>
  </r>
  <r>
    <s v="Multihop,USnet,60"/>
    <x v="1"/>
    <x v="2"/>
    <x v="2"/>
    <n v="2034.4970000000001"/>
    <n v="2040"/>
    <n v="0.26975490196078084"/>
    <x v="2675"/>
  </r>
  <r>
    <s v="Multihop,USnet,60"/>
    <x v="1"/>
    <x v="2"/>
    <x v="2"/>
    <n v="1983.7139999999999"/>
    <n v="2040"/>
    <n v="2.7591176470588263"/>
    <x v="2676"/>
  </r>
  <r>
    <s v="Multihop,USnet,60"/>
    <x v="1"/>
    <x v="2"/>
    <x v="2"/>
    <n v="2068.1799999999998"/>
    <n v="2040"/>
    <n v="1.3813725490195998"/>
    <x v="2677"/>
  </r>
  <r>
    <s v="Multihop,USnet,60"/>
    <x v="1"/>
    <x v="2"/>
    <x v="2"/>
    <n v="1958.626"/>
    <n v="2040"/>
    <n v="3.9889215686274522"/>
    <x v="2678"/>
  </r>
  <r>
    <s v="Multihop,USnet,60"/>
    <x v="1"/>
    <x v="2"/>
    <x v="2"/>
    <n v="1945.317"/>
    <n v="2040"/>
    <n v="4.6413235294117641"/>
    <x v="2679"/>
  </r>
  <r>
    <s v="Multihop,USnet,60"/>
    <x v="1"/>
    <x v="2"/>
    <x v="2"/>
    <n v="2041.7170000000001"/>
    <n v="2040"/>
    <n v="8.4166666666671483E-2"/>
    <x v="2680"/>
  </r>
  <r>
    <s v="Multihop,USnet,60"/>
    <x v="1"/>
    <x v="2"/>
    <x v="2"/>
    <n v="2073.123"/>
    <n v="2040"/>
    <n v="1.6236764705882378"/>
    <x v="2681"/>
  </r>
  <r>
    <s v="Multihop,USnet,60"/>
    <x v="1"/>
    <x v="2"/>
    <x v="2"/>
    <n v="2034.0219999999999"/>
    <n v="2040"/>
    <n v="0.29303921568627772"/>
    <x v="2682"/>
  </r>
  <r>
    <s v="Multihop,USnet,60"/>
    <x v="1"/>
    <x v="2"/>
    <x v="2"/>
    <n v="2002.742"/>
    <n v="2040"/>
    <n v="1.8263725490196097"/>
    <x v="2683"/>
  </r>
  <r>
    <s v="Multihop,USnet,60"/>
    <x v="1"/>
    <x v="2"/>
    <x v="2"/>
    <n v="2038.8820000000001"/>
    <n v="2040"/>
    <n v="5.4803921568624417E-2"/>
    <x v="2684"/>
  </r>
  <r>
    <s v="Multihop,USnet,60"/>
    <x v="1"/>
    <x v="2"/>
    <x v="2"/>
    <n v="2051.489"/>
    <n v="2040"/>
    <n v="0.56318627450980552"/>
    <x v="2685"/>
  </r>
  <r>
    <s v="Multihop,USnet,60"/>
    <x v="1"/>
    <x v="2"/>
    <x v="2"/>
    <n v="2034.575"/>
    <n v="2040"/>
    <n v="0.26593137254901739"/>
    <x v="2686"/>
  </r>
  <r>
    <s v="Multihop,USnet,60"/>
    <x v="1"/>
    <x v="2"/>
    <x v="2"/>
    <n v="1980.8810000000001"/>
    <n v="2040"/>
    <n v="2.8979901960784269"/>
    <x v="2687"/>
  </r>
  <r>
    <s v="Multihop,USnet,60"/>
    <x v="1"/>
    <x v="2"/>
    <x v="2"/>
    <n v="1962.181"/>
    <n v="2040"/>
    <n v="3.8146568627450956"/>
    <x v="2688"/>
  </r>
  <r>
    <s v="Multihop,USnet,60"/>
    <x v="1"/>
    <x v="2"/>
    <x v="2"/>
    <n v="1973.1990000000001"/>
    <n v="2040"/>
    <n v="3.2745588235294081"/>
    <x v="2689"/>
  </r>
  <r>
    <s v="Multihop,USnet,60"/>
    <x v="1"/>
    <x v="2"/>
    <x v="2"/>
    <n v="2078.3440000000001"/>
    <n v="2040"/>
    <n v="1.8796078431372574"/>
    <x v="2690"/>
  </r>
  <r>
    <s v="Multihop,USnet,60"/>
    <x v="1"/>
    <x v="2"/>
    <x v="2"/>
    <n v="1997.212"/>
    <n v="2040"/>
    <n v="2.0974509803921575"/>
    <x v="2691"/>
  </r>
  <r>
    <s v="Multihop,USnet,60"/>
    <x v="1"/>
    <x v="2"/>
    <x v="2"/>
    <n v="1988.8810000000001"/>
    <n v="2040"/>
    <n v="2.5058333333333289"/>
    <x v="2692"/>
  </r>
  <r>
    <s v="Multihop,USnet,60"/>
    <x v="1"/>
    <x v="2"/>
    <x v="2"/>
    <n v="2036.98"/>
    <n v="2040"/>
    <n v="0.14803921568627362"/>
    <x v="2693"/>
  </r>
  <r>
    <s v="Multihop,USnet,80"/>
    <x v="1"/>
    <x v="2"/>
    <x v="3"/>
    <n v="2596.9189999999999"/>
    <n v="2670"/>
    <n v="2.7371161048689188"/>
    <x v="2694"/>
  </r>
  <r>
    <s v="Multihop,USnet,80"/>
    <x v="1"/>
    <x v="2"/>
    <x v="3"/>
    <n v="2762.7750000000001"/>
    <n v="2670"/>
    <n v="3.4747191011235987"/>
    <x v="2695"/>
  </r>
  <r>
    <s v="Multihop,USnet,80"/>
    <x v="1"/>
    <x v="2"/>
    <x v="3"/>
    <n v="2684.29"/>
    <n v="2670"/>
    <n v="0.53520599250936196"/>
    <x v="2696"/>
  </r>
  <r>
    <s v="Multihop,USnet,80"/>
    <x v="1"/>
    <x v="2"/>
    <x v="3"/>
    <n v="2749.201"/>
    <n v="2670"/>
    <n v="2.966329588014982"/>
    <x v="2697"/>
  </r>
  <r>
    <s v="Multihop,USnet,80"/>
    <x v="1"/>
    <x v="2"/>
    <x v="3"/>
    <n v="2611.2170000000001"/>
    <n v="2670"/>
    <n v="2.2016104868913819"/>
    <x v="2698"/>
  </r>
  <r>
    <s v="Multihop,USnet,80"/>
    <x v="1"/>
    <x v="2"/>
    <x v="3"/>
    <n v="2660.2069999999999"/>
    <n v="2670"/>
    <n v="0.36677902621723296"/>
    <x v="2699"/>
  </r>
  <r>
    <s v="Multihop,USnet,80"/>
    <x v="1"/>
    <x v="2"/>
    <x v="3"/>
    <n v="2644.4180000000001"/>
    <n v="2670"/>
    <n v="0.95812734082396556"/>
    <x v="2700"/>
  </r>
  <r>
    <s v="Multihop,USnet,80"/>
    <x v="1"/>
    <x v="2"/>
    <x v="3"/>
    <n v="2609.6979999999999"/>
    <n v="2670"/>
    <n v="2.2585018726591808"/>
    <x v="2701"/>
  </r>
  <r>
    <s v="Multihop,USnet,80"/>
    <x v="1"/>
    <x v="2"/>
    <x v="3"/>
    <n v="2670.6280000000002"/>
    <n v="2670"/>
    <n v="2.352059925094219E-2"/>
    <x v="2702"/>
  </r>
  <r>
    <s v="Multihop,USnet,80"/>
    <x v="1"/>
    <x v="2"/>
    <x v="3"/>
    <n v="2607.1930000000002"/>
    <n v="2670"/>
    <n v="2.352322097378269"/>
    <x v="2703"/>
  </r>
  <r>
    <s v="Multihop,USnet,80"/>
    <x v="1"/>
    <x v="2"/>
    <x v="3"/>
    <n v="2607.1289999999999"/>
    <n v="2670"/>
    <n v="2.3547191011235991"/>
    <x v="2704"/>
  </r>
  <r>
    <s v="Multihop,USnet,80"/>
    <x v="1"/>
    <x v="2"/>
    <x v="3"/>
    <n v="2611.002"/>
    <n v="2670"/>
    <n v="2.2096629213483165"/>
    <x v="2705"/>
  </r>
  <r>
    <s v="Multihop,USnet,80"/>
    <x v="1"/>
    <x v="2"/>
    <x v="3"/>
    <n v="2604.67"/>
    <n v="2670"/>
    <n v="2.4468164794007463"/>
    <x v="2706"/>
  </r>
  <r>
    <s v="Multihop,USnet,80"/>
    <x v="1"/>
    <x v="2"/>
    <x v="3"/>
    <n v="2611.627"/>
    <n v="2670"/>
    <n v="2.186254681647942"/>
    <x v="2707"/>
  </r>
  <r>
    <s v="Multihop,USnet,80"/>
    <x v="1"/>
    <x v="2"/>
    <x v="3"/>
    <n v="2618.201"/>
    <n v="2670"/>
    <n v="1.9400374531835198"/>
    <x v="2708"/>
  </r>
  <r>
    <s v="Multihop,USnet,80"/>
    <x v="1"/>
    <x v="2"/>
    <x v="3"/>
    <n v="2670.922"/>
    <n v="2670"/>
    <n v="3.4531835205993462E-2"/>
    <x v="2709"/>
  </r>
  <r>
    <s v="Multihop,USnet,80"/>
    <x v="1"/>
    <x v="2"/>
    <x v="3"/>
    <n v="2610.04"/>
    <n v="2670"/>
    <n v="2.2456928838951327"/>
    <x v="2710"/>
  </r>
  <r>
    <s v="Multihop,USnet,80"/>
    <x v="1"/>
    <x v="2"/>
    <x v="3"/>
    <n v="2566.712"/>
    <n v="2670"/>
    <n v="3.8684644194756554"/>
    <x v="2711"/>
  </r>
  <r>
    <s v="Multihop,USnet,80"/>
    <x v="1"/>
    <x v="2"/>
    <x v="3"/>
    <n v="2681.5880000000002"/>
    <n v="2670"/>
    <n v="0.43400749063671135"/>
    <x v="2712"/>
  </r>
  <r>
    <s v="Multihop,USnet,80"/>
    <x v="1"/>
    <x v="2"/>
    <x v="3"/>
    <n v="2688.3069999999998"/>
    <n v="2670"/>
    <n v="0.68565543071160262"/>
    <x v="2713"/>
  </r>
  <r>
    <s v="Multihop,USnet,80"/>
    <x v="1"/>
    <x v="2"/>
    <x v="3"/>
    <n v="2599.6410000000001"/>
    <n v="2670"/>
    <n v="2.6351685393258397"/>
    <x v="2714"/>
  </r>
  <r>
    <s v="Multihop,USnet,80"/>
    <x v="1"/>
    <x v="2"/>
    <x v="3"/>
    <n v="2745.4250000000002"/>
    <n v="2670"/>
    <n v="2.8249063670412053"/>
    <x v="2715"/>
  </r>
  <r>
    <s v="Multihop,USnet,80"/>
    <x v="1"/>
    <x v="2"/>
    <x v="3"/>
    <n v="2600.5740000000001"/>
    <n v="2670"/>
    <n v="2.6002247191011207"/>
    <x v="2716"/>
  </r>
  <r>
    <s v="Multihop,USnet,80"/>
    <x v="1"/>
    <x v="2"/>
    <x v="3"/>
    <n v="2671.8919999999998"/>
    <n v="2670"/>
    <n v="7.0861423220967237E-2"/>
    <x v="2717"/>
  </r>
  <r>
    <s v="Multihop,USnet,80"/>
    <x v="1"/>
    <x v="2"/>
    <x v="3"/>
    <n v="2667.02"/>
    <n v="2670"/>
    <n v="0.11161048689138645"/>
    <x v="2718"/>
  </r>
  <r>
    <s v="Multihop,USnet,80"/>
    <x v="1"/>
    <x v="2"/>
    <x v="3"/>
    <n v="2577.8020000000001"/>
    <n v="2670"/>
    <n v="3.4531086142322045"/>
    <x v="2719"/>
  </r>
  <r>
    <s v="Multihop,USnet,80"/>
    <x v="1"/>
    <x v="2"/>
    <x v="3"/>
    <n v="2648.4639999999999"/>
    <n v="2670"/>
    <n v="0.80659176029962765"/>
    <x v="2720"/>
  </r>
  <r>
    <s v="Multihop,USnet,80"/>
    <x v="1"/>
    <x v="2"/>
    <x v="3"/>
    <n v="2660.87"/>
    <n v="2670"/>
    <n v="0.34194756554307526"/>
    <x v="2721"/>
  </r>
  <r>
    <s v="Multihop,USnet,80"/>
    <x v="1"/>
    <x v="2"/>
    <x v="3"/>
    <n v="2599.7570000000001"/>
    <n v="2670"/>
    <n v="2.6308239700374507"/>
    <x v="2722"/>
  </r>
  <r>
    <s v="Multihop,USnet,80"/>
    <x v="1"/>
    <x v="2"/>
    <x v="3"/>
    <n v="2595.424"/>
    <n v="2670"/>
    <n v="2.7931086142322106"/>
    <x v="2723"/>
  </r>
  <r>
    <s v="Multihop,USnet,80"/>
    <x v="1"/>
    <x v="2"/>
    <x v="3"/>
    <n v="2750.47"/>
    <n v="2670"/>
    <n v="3.0138576779026143"/>
    <x v="2724"/>
  </r>
  <r>
    <s v="Multihop,USnet,80"/>
    <x v="1"/>
    <x v="2"/>
    <x v="3"/>
    <n v="2608.92"/>
    <n v="2670"/>
    <n v="2.2876404494381997"/>
    <x v="2725"/>
  </r>
  <r>
    <s v="Multihop,USnet,80"/>
    <x v="1"/>
    <x v="2"/>
    <x v="3"/>
    <n v="2663.7190000000001"/>
    <n v="2670"/>
    <n v="0.235243445692882"/>
    <x v="2726"/>
  </r>
  <r>
    <s v="Multihop,USnet,80"/>
    <x v="1"/>
    <x v="2"/>
    <x v="3"/>
    <n v="2567.748"/>
    <n v="2670"/>
    <n v="3.8296629213483127"/>
    <x v="2727"/>
  </r>
  <r>
    <s v="Multihop,USnet,80"/>
    <x v="1"/>
    <x v="2"/>
    <x v="3"/>
    <n v="2602.3200000000002"/>
    <n v="2670"/>
    <n v="2.5348314606741513"/>
    <x v="2728"/>
  </r>
  <r>
    <s v="Multihop,USnet,80"/>
    <x v="1"/>
    <x v="2"/>
    <x v="3"/>
    <n v="2603.7139999999999"/>
    <n v="2670"/>
    <n v="2.4826217228464444"/>
    <x v="2729"/>
  </r>
  <r>
    <s v="Multihop,USnet,80"/>
    <x v="1"/>
    <x v="2"/>
    <x v="3"/>
    <n v="2678.34"/>
    <n v="2670"/>
    <n v="0.3123595505618032"/>
    <x v="2730"/>
  </r>
  <r>
    <s v="Multihop,USnet,80"/>
    <x v="1"/>
    <x v="2"/>
    <x v="3"/>
    <n v="2689.34"/>
    <n v="2670"/>
    <n v="0.72434456928839497"/>
    <x v="2731"/>
  </r>
  <r>
    <s v="Multihop,USnet,80"/>
    <x v="1"/>
    <x v="2"/>
    <x v="3"/>
    <n v="2677.433"/>
    <n v="2670"/>
    <n v="0.27838951310861393"/>
    <x v="2732"/>
  </r>
  <r>
    <s v="Multihop,USnet,80"/>
    <x v="1"/>
    <x v="2"/>
    <x v="3"/>
    <n v="2722.9859999999999"/>
    <n v="2670"/>
    <n v="1.9844943820224674"/>
    <x v="2733"/>
  </r>
  <r>
    <s v="Multihop,USnet,80"/>
    <x v="1"/>
    <x v="2"/>
    <x v="3"/>
    <n v="2513.4740000000002"/>
    <n v="2670"/>
    <n v="5.8623970037453121"/>
    <x v="2734"/>
  </r>
  <r>
    <s v="Multihop,USnet,80"/>
    <x v="1"/>
    <x v="2"/>
    <x v="3"/>
    <n v="2599.1909999999998"/>
    <n v="2670"/>
    <n v="2.6520224719101195"/>
    <x v="2735"/>
  </r>
  <r>
    <s v="Multihop,USnet,80"/>
    <x v="1"/>
    <x v="2"/>
    <x v="3"/>
    <n v="2673.72"/>
    <n v="2670"/>
    <n v="0.13932584269662174"/>
    <x v="2736"/>
  </r>
  <r>
    <s v="Multihop,USnet,80"/>
    <x v="1"/>
    <x v="2"/>
    <x v="3"/>
    <n v="2590.4760000000001"/>
    <n v="2670"/>
    <n v="2.9784269662921306"/>
    <x v="2737"/>
  </r>
  <r>
    <s v="Multihop,USnet,80"/>
    <x v="1"/>
    <x v="2"/>
    <x v="3"/>
    <n v="2565.6779999999999"/>
    <n v="2670"/>
    <n v="3.9071910112359594"/>
    <x v="2738"/>
  </r>
  <r>
    <s v="Multihop,USnet,80"/>
    <x v="1"/>
    <x v="2"/>
    <x v="3"/>
    <n v="2613.5520000000001"/>
    <n v="2670"/>
    <n v="2.1141573033707814"/>
    <x v="2739"/>
  </r>
  <r>
    <s v="Multihop,USnet,80"/>
    <x v="1"/>
    <x v="2"/>
    <x v="3"/>
    <n v="2696.7809999999999"/>
    <n v="2670"/>
    <n v="1.0030337078651668"/>
    <x v="2740"/>
  </r>
  <r>
    <s v="Multihop,USnet,80"/>
    <x v="1"/>
    <x v="2"/>
    <x v="3"/>
    <n v="2636.6869999999999"/>
    <n v="2670"/>
    <n v="1.2476779026217266"/>
    <x v="2741"/>
  </r>
  <r>
    <s v="Multihop,USnet,80"/>
    <x v="1"/>
    <x v="2"/>
    <x v="3"/>
    <n v="2654.413"/>
    <n v="2670"/>
    <n v="0.58378277153558011"/>
    <x v="2742"/>
  </r>
  <r>
    <s v="Multihop,USnet,80"/>
    <x v="1"/>
    <x v="2"/>
    <x v="3"/>
    <n v="2574.2440000000001"/>
    <n v="2670"/>
    <n v="3.5863670411984967"/>
    <x v="2743"/>
  </r>
  <r>
    <s v="Multihop,USnet,80"/>
    <x v="1"/>
    <x v="2"/>
    <x v="3"/>
    <n v="2666.81"/>
    <n v="2670"/>
    <n v="0.11947565543071366"/>
    <x v="2744"/>
  </r>
  <r>
    <s v="Multihop,USnet,80"/>
    <x v="1"/>
    <x v="2"/>
    <x v="3"/>
    <n v="2611.6329999999998"/>
    <n v="2670"/>
    <n v="2.1860299625468236"/>
    <x v="2745"/>
  </r>
  <r>
    <s v="Multihop,USnet,80"/>
    <x v="1"/>
    <x v="2"/>
    <x v="3"/>
    <n v="2653.2829999999999"/>
    <n v="2670"/>
    <n v="0.6261048689138613"/>
    <x v="2746"/>
  </r>
  <r>
    <s v="Multihop,USnet,80"/>
    <x v="1"/>
    <x v="2"/>
    <x v="3"/>
    <n v="2678.047"/>
    <n v="2670"/>
    <n v="0.3013857677902631"/>
    <x v="2747"/>
  </r>
  <r>
    <s v="Multihop,USnet,80"/>
    <x v="1"/>
    <x v="2"/>
    <x v="3"/>
    <n v="2636.4989999999998"/>
    <n v="2670"/>
    <n v="1.2547191011236032"/>
    <x v="2748"/>
  </r>
  <r>
    <s v="Multihop,USnet,80"/>
    <x v="1"/>
    <x v="2"/>
    <x v="3"/>
    <n v="2671.826"/>
    <n v="2670"/>
    <n v="6.8389513108615047E-2"/>
    <x v="2749"/>
  </r>
  <r>
    <s v="Multihop,USnet,80"/>
    <x v="1"/>
    <x v="2"/>
    <x v="3"/>
    <n v="2658.672"/>
    <n v="2670"/>
    <n v="0.42426966292134738"/>
    <x v="2750"/>
  </r>
  <r>
    <s v="Multihop,USnet,80"/>
    <x v="1"/>
    <x v="2"/>
    <x v="3"/>
    <n v="2752.32"/>
    <n v="2670"/>
    <n v="3.0831460674157363"/>
    <x v="2751"/>
  </r>
  <r>
    <s v="Multihop,USnet,80"/>
    <x v="1"/>
    <x v="2"/>
    <x v="3"/>
    <n v="2620.1129999999998"/>
    <n v="2670"/>
    <n v="1.8684269662921411"/>
    <x v="2752"/>
  </r>
  <r>
    <s v="Multihop,USnet,80"/>
    <x v="1"/>
    <x v="2"/>
    <x v="3"/>
    <n v="2696.3690000000001"/>
    <n v="2670"/>
    <n v="0.98760299625468706"/>
    <x v="2753"/>
  </r>
  <r>
    <s v="Multihop,USnet,80"/>
    <x v="1"/>
    <x v="2"/>
    <x v="3"/>
    <n v="2671.8029999999999"/>
    <n v="2670"/>
    <n v="6.7528089887636089E-2"/>
    <x v="2754"/>
  </r>
  <r>
    <s v="Multihop,USnet,80"/>
    <x v="1"/>
    <x v="2"/>
    <x v="3"/>
    <n v="2655.8220000000001"/>
    <n v="2670"/>
    <n v="0.53101123595505184"/>
    <x v="2755"/>
  </r>
  <r>
    <s v="Multihop,USnet,80"/>
    <x v="1"/>
    <x v="2"/>
    <x v="3"/>
    <n v="2652.4490000000001"/>
    <n v="2670"/>
    <n v="0.65734082397003479"/>
    <x v="2756"/>
  </r>
  <r>
    <s v="Multihop,USnet,80"/>
    <x v="1"/>
    <x v="2"/>
    <x v="3"/>
    <n v="2629.8440000000001"/>
    <n v="2670"/>
    <n v="1.5039700374531817"/>
    <x v="2757"/>
  </r>
  <r>
    <s v="Multihop,USnet,80"/>
    <x v="1"/>
    <x v="2"/>
    <x v="3"/>
    <n v="2531.87"/>
    <n v="2670"/>
    <n v="5.1734082397003789"/>
    <x v="2758"/>
  </r>
  <r>
    <s v="Multihop,USnet,80"/>
    <x v="1"/>
    <x v="2"/>
    <x v="3"/>
    <n v="2624.1970000000001"/>
    <n v="2670"/>
    <n v="1.7154681647940033"/>
    <x v="2759"/>
  </r>
  <r>
    <s v="Multihop,USnet,80"/>
    <x v="1"/>
    <x v="2"/>
    <x v="3"/>
    <n v="2639.6039999999998"/>
    <n v="2670"/>
    <n v="1.1384269662921418"/>
    <x v="2760"/>
  </r>
  <r>
    <s v="Multihop,USnet,80"/>
    <x v="1"/>
    <x v="2"/>
    <x v="3"/>
    <n v="2615.7429999999999"/>
    <n v="2670"/>
    <n v="2.0320973782771556"/>
    <x v="2761"/>
  </r>
  <r>
    <s v="Multihop,USnet,80"/>
    <x v="1"/>
    <x v="2"/>
    <x v="3"/>
    <n v="2594.9319999999998"/>
    <n v="2670"/>
    <n v="2.8115355805243527"/>
    <x v="2762"/>
  </r>
  <r>
    <s v="Multihop,USnet,80"/>
    <x v="1"/>
    <x v="2"/>
    <x v="3"/>
    <n v="2616.6019999999999"/>
    <n v="2670"/>
    <n v="1.9999250936329638"/>
    <x v="2763"/>
  </r>
  <r>
    <s v="Multihop,USnet,80"/>
    <x v="1"/>
    <x v="2"/>
    <x v="3"/>
    <n v="2724.6320000000001"/>
    <n v="2670"/>
    <n v="2.0461423220973805"/>
    <x v="2764"/>
  </r>
  <r>
    <s v="Multihop,USnet,80"/>
    <x v="1"/>
    <x v="2"/>
    <x v="3"/>
    <n v="2678.752"/>
    <n v="2670"/>
    <n v="0.32779026217228285"/>
    <x v="2765"/>
  </r>
  <r>
    <s v="Multihop,USnet,80"/>
    <x v="1"/>
    <x v="2"/>
    <x v="3"/>
    <n v="2620.5410000000002"/>
    <n v="2670"/>
    <n v="1.8523970037453121"/>
    <x v="2766"/>
  </r>
  <r>
    <s v="Multihop,USnet,80"/>
    <x v="1"/>
    <x v="2"/>
    <x v="3"/>
    <n v="2645.0720000000001"/>
    <n v="2670"/>
    <n v="0.93363295880149377"/>
    <x v="2767"/>
  </r>
  <r>
    <s v="Multihop,USnet,80"/>
    <x v="1"/>
    <x v="2"/>
    <x v="3"/>
    <n v="2605.5419999999999"/>
    <n v="2670"/>
    <n v="2.4141573033707897"/>
    <x v="2768"/>
  </r>
  <r>
    <s v="Multihop,USnet,80"/>
    <x v="1"/>
    <x v="2"/>
    <x v="3"/>
    <n v="2629.1689999999999"/>
    <n v="2670"/>
    <n v="1.529250936329593"/>
    <x v="2769"/>
  </r>
  <r>
    <s v="Multihop,USnet,80"/>
    <x v="1"/>
    <x v="2"/>
    <x v="3"/>
    <n v="2683.596"/>
    <n v="2670"/>
    <n v="0.50921348314606751"/>
    <x v="2770"/>
  </r>
  <r>
    <s v="Multihop,USnet,80"/>
    <x v="1"/>
    <x v="2"/>
    <x v="3"/>
    <n v="2652.087"/>
    <n v="2670"/>
    <n v="0.67089887640449475"/>
    <x v="2771"/>
  </r>
  <r>
    <s v="Multihop,USnet,80"/>
    <x v="1"/>
    <x v="2"/>
    <x v="3"/>
    <n v="2684.893"/>
    <n v="2670"/>
    <n v="0.55779026217228578"/>
    <x v="2772"/>
  </r>
  <r>
    <s v="Multihop,USnet,80"/>
    <x v="1"/>
    <x v="2"/>
    <x v="3"/>
    <n v="2621.2350000000001"/>
    <n v="2670"/>
    <n v="1.8264044943820179"/>
    <x v="2773"/>
  </r>
  <r>
    <s v="Multihop,USnet,80"/>
    <x v="1"/>
    <x v="2"/>
    <x v="3"/>
    <n v="2661.3090000000002"/>
    <n v="2670"/>
    <n v="0.32550561797752076"/>
    <x v="2774"/>
  </r>
  <r>
    <s v="Multihop,USnet,80"/>
    <x v="1"/>
    <x v="2"/>
    <x v="3"/>
    <n v="2514.4"/>
    <n v="2670"/>
    <n v="5.8277153558052399"/>
    <x v="2775"/>
  </r>
  <r>
    <s v="Multihop,USnet,80"/>
    <x v="1"/>
    <x v="2"/>
    <x v="3"/>
    <n v="2628.7370000000001"/>
    <n v="2670"/>
    <n v="1.545430711610484"/>
    <x v="2776"/>
  </r>
  <r>
    <s v="Multihop,USnet,80"/>
    <x v="1"/>
    <x v="2"/>
    <x v="3"/>
    <n v="2578.4830000000002"/>
    <n v="2670"/>
    <n v="3.427602996254675"/>
    <x v="2777"/>
  </r>
  <r>
    <s v="Multihop,USnet,80"/>
    <x v="1"/>
    <x v="2"/>
    <x v="3"/>
    <n v="2659.1970000000001"/>
    <n v="2670"/>
    <n v="0.40460674157302934"/>
    <x v="2778"/>
  </r>
  <r>
    <s v="Multihop,USnet,80"/>
    <x v="1"/>
    <x v="2"/>
    <x v="3"/>
    <n v="2651.6489999999999"/>
    <n v="2670"/>
    <n v="0.68730337078652104"/>
    <x v="2779"/>
  </r>
  <r>
    <s v="Multihop,USnet,80"/>
    <x v="1"/>
    <x v="2"/>
    <x v="3"/>
    <n v="2649.491"/>
    <n v="2670"/>
    <n v="0.76812734082397061"/>
    <x v="2780"/>
  </r>
  <r>
    <s v="Multihop,USnet,80"/>
    <x v="1"/>
    <x v="2"/>
    <x v="3"/>
    <n v="2688.0740000000001"/>
    <n v="2670"/>
    <n v="0.67692883895131339"/>
    <x v="2781"/>
  </r>
  <r>
    <s v="Multihop,USnet,80"/>
    <x v="1"/>
    <x v="2"/>
    <x v="3"/>
    <n v="2697.402"/>
    <n v="2670"/>
    <n v="1.0262921348314624"/>
    <x v="2782"/>
  </r>
  <r>
    <s v="Multihop,USnet,80"/>
    <x v="1"/>
    <x v="2"/>
    <x v="3"/>
    <n v="2602.6060000000002"/>
    <n v="2670"/>
    <n v="2.5241198501872577"/>
    <x v="2783"/>
  </r>
  <r>
    <s v="Multihop,USnet,80"/>
    <x v="1"/>
    <x v="2"/>
    <x v="3"/>
    <n v="2671.232"/>
    <n v="2670"/>
    <n v="4.6142322097377189E-2"/>
    <x v="2784"/>
  </r>
  <r>
    <s v="Multihop,USnet,80"/>
    <x v="1"/>
    <x v="2"/>
    <x v="3"/>
    <n v="2656.0970000000002"/>
    <n v="2670"/>
    <n v="0.52071161048688364"/>
    <x v="2785"/>
  </r>
  <r>
    <s v="Multihop,USnet,80"/>
    <x v="1"/>
    <x v="2"/>
    <x v="3"/>
    <n v="2712.3"/>
    <n v="2670"/>
    <n v="1.5842696629213553"/>
    <x v="2786"/>
  </r>
  <r>
    <s v="Multihop,USnet,80"/>
    <x v="1"/>
    <x v="2"/>
    <x v="3"/>
    <n v="2747.3530000000001"/>
    <n v="2670"/>
    <n v="2.8971161048689162"/>
    <x v="2787"/>
  </r>
  <r>
    <s v="Multihop,USnet,80"/>
    <x v="1"/>
    <x v="2"/>
    <x v="3"/>
    <n v="2677.0120000000002"/>
    <n v="2670"/>
    <n v="0.26262172284644836"/>
    <x v="2788"/>
  </r>
  <r>
    <s v="Multihop,USnet,80"/>
    <x v="1"/>
    <x v="2"/>
    <x v="3"/>
    <n v="2631.5729999999999"/>
    <n v="2670"/>
    <n v="1.4392134831460723"/>
    <x v="2789"/>
  </r>
  <r>
    <s v="Multihop,USnet,80"/>
    <x v="1"/>
    <x v="2"/>
    <x v="3"/>
    <n v="2641.7379999999998"/>
    <n v="2670"/>
    <n v="1.0585018726591824"/>
    <x v="2790"/>
  </r>
  <r>
    <s v="Multihop,USnet,80"/>
    <x v="1"/>
    <x v="2"/>
    <x v="3"/>
    <n v="2718.7130000000002"/>
    <n v="2670"/>
    <n v="1.8244569288389585"/>
    <x v="2791"/>
  </r>
  <r>
    <s v="Multihop,USnet,80"/>
    <x v="1"/>
    <x v="2"/>
    <x v="3"/>
    <n v="2608.9029999999998"/>
    <n v="2670"/>
    <n v="2.2882771535580599"/>
    <x v="2792"/>
  </r>
  <r>
    <s v="Multihop,USnet,80"/>
    <x v="1"/>
    <x v="2"/>
    <x v="3"/>
    <n v="2580.913"/>
    <n v="2670"/>
    <n v="3.3365917602996253"/>
    <x v="2793"/>
  </r>
  <r>
    <s v="Multihop,USnet,100"/>
    <x v="1"/>
    <x v="2"/>
    <x v="4"/>
    <n v="3227.395"/>
    <n v="3280"/>
    <n v="1.6038109756097565"/>
    <x v="2794"/>
  </r>
  <r>
    <s v="Multihop,USnet,100"/>
    <x v="1"/>
    <x v="2"/>
    <x v="4"/>
    <n v="3215.7919999999999"/>
    <n v="3280"/>
    <n v="1.9575609756097587"/>
    <x v="2795"/>
  </r>
  <r>
    <s v="Multihop,USnet,100"/>
    <x v="1"/>
    <x v="2"/>
    <x v="4"/>
    <n v="3299.7919999999999"/>
    <n v="3280"/>
    <n v="0.60341463414633889"/>
    <x v="2796"/>
  </r>
  <r>
    <s v="Multihop,USnet,100"/>
    <x v="1"/>
    <x v="2"/>
    <x v="4"/>
    <n v="3216.36"/>
    <n v="3280"/>
    <n v="1.9402439024390206"/>
    <x v="2797"/>
  </r>
  <r>
    <s v="Multihop,USnet,100"/>
    <x v="1"/>
    <x v="2"/>
    <x v="4"/>
    <n v="3388.2449999999999"/>
    <n v="3280"/>
    <n v="3.3001524390243868"/>
    <x v="2798"/>
  </r>
  <r>
    <s v="Multihop,USnet,100"/>
    <x v="1"/>
    <x v="2"/>
    <x v="4"/>
    <n v="3268.1680000000001"/>
    <n v="3280"/>
    <n v="0.36073170731706955"/>
    <x v="2799"/>
  </r>
  <r>
    <s v="Multihop,USnet,100"/>
    <x v="1"/>
    <x v="2"/>
    <x v="4"/>
    <n v="3171.1089999999999"/>
    <n v="3280"/>
    <n v="3.319847560975612"/>
    <x v="2800"/>
  </r>
  <r>
    <s v="Multihop,USnet,100"/>
    <x v="1"/>
    <x v="2"/>
    <x v="4"/>
    <n v="3257.9409999999998"/>
    <n v="3280"/>
    <n v="0.67253048780488411"/>
    <x v="2801"/>
  </r>
  <r>
    <s v="Multihop,USnet,100"/>
    <x v="1"/>
    <x v="2"/>
    <x v="4"/>
    <n v="3118.99"/>
    <n v="3280"/>
    <n v="4.9088414634146407"/>
    <x v="2802"/>
  </r>
  <r>
    <s v="Multihop,USnet,100"/>
    <x v="1"/>
    <x v="2"/>
    <x v="4"/>
    <n v="3241.25"/>
    <n v="3280"/>
    <n v="1.1814024390243902"/>
    <x v="2803"/>
  </r>
  <r>
    <s v="Multihop,USnet,100"/>
    <x v="1"/>
    <x v="2"/>
    <x v="4"/>
    <n v="3329.665"/>
    <n v="3280"/>
    <n v="1.5141768292682916"/>
    <x v="2804"/>
  </r>
  <r>
    <s v="Multihop,USnet,100"/>
    <x v="1"/>
    <x v="2"/>
    <x v="4"/>
    <n v="3111.9009999999998"/>
    <n v="3280"/>
    <n v="5.1249695121951264"/>
    <x v="2805"/>
  </r>
  <r>
    <s v="Multihop,USnet,100"/>
    <x v="1"/>
    <x v="2"/>
    <x v="4"/>
    <n v="3215.422"/>
    <n v="3280"/>
    <n v="1.9688414634146334"/>
    <x v="2806"/>
  </r>
  <r>
    <s v="Multihop,USnet,100"/>
    <x v="1"/>
    <x v="2"/>
    <x v="4"/>
    <n v="3255.4389999999999"/>
    <n v="3280"/>
    <n v="0.74881097560976062"/>
    <x v="2807"/>
  </r>
  <r>
    <s v="Multihop,USnet,100"/>
    <x v="1"/>
    <x v="2"/>
    <x v="4"/>
    <n v="3201.6010000000001"/>
    <n v="3280"/>
    <n v="2.3902134146341432"/>
    <x v="2808"/>
  </r>
  <r>
    <s v="Multihop,USnet,100"/>
    <x v="1"/>
    <x v="2"/>
    <x v="4"/>
    <n v="3134.6329999999998"/>
    <n v="3280"/>
    <n v="4.431920731707323"/>
    <x v="2809"/>
  </r>
  <r>
    <s v="Multihop,USnet,100"/>
    <x v="1"/>
    <x v="2"/>
    <x v="4"/>
    <n v="3269.9949999999999"/>
    <n v="3280"/>
    <n v="0.30503048780488135"/>
    <x v="2810"/>
  </r>
  <r>
    <s v="Multihop,USnet,100"/>
    <x v="1"/>
    <x v="2"/>
    <x v="4"/>
    <n v="3218.0169999999998"/>
    <n v="3280"/>
    <n v="1.889725609756103"/>
    <x v="2811"/>
  </r>
  <r>
    <s v="Multihop,USnet,100"/>
    <x v="1"/>
    <x v="2"/>
    <x v="4"/>
    <n v="3392.58"/>
    <n v="3280"/>
    <n v="3.4323170731707293"/>
    <x v="2812"/>
  </r>
  <r>
    <s v="Multihop,USnet,100"/>
    <x v="1"/>
    <x v="2"/>
    <x v="4"/>
    <n v="3259.7979999999998"/>
    <n v="3280"/>
    <n v="0.61591463414634828"/>
    <x v="2813"/>
  </r>
  <r>
    <s v="Multihop,USnet,100"/>
    <x v="1"/>
    <x v="2"/>
    <x v="4"/>
    <n v="3302.5650000000001"/>
    <n v="3280"/>
    <n v="0.68795731707317243"/>
    <x v="2814"/>
  </r>
  <r>
    <s v="Multihop,USnet,100"/>
    <x v="1"/>
    <x v="2"/>
    <x v="4"/>
    <n v="3217.2020000000002"/>
    <n v="3280"/>
    <n v="1.9145731707317002"/>
    <x v="2815"/>
  </r>
  <r>
    <s v="Multihop,USnet,100"/>
    <x v="1"/>
    <x v="2"/>
    <x v="4"/>
    <n v="3056.55"/>
    <n v="3280"/>
    <n v="6.8124999999999947"/>
    <x v="2816"/>
  </r>
  <r>
    <s v="Multihop,USnet,100"/>
    <x v="1"/>
    <x v="2"/>
    <x v="4"/>
    <n v="3320.7890000000002"/>
    <n v="3280"/>
    <n v="1.2435670731707382"/>
    <x v="2817"/>
  </r>
  <r>
    <s v="Multihop,USnet,100"/>
    <x v="1"/>
    <x v="2"/>
    <x v="4"/>
    <n v="3077.5349999999999"/>
    <n v="3280"/>
    <n v="6.17271341463415"/>
    <x v="2818"/>
  </r>
  <r>
    <s v="Multihop,USnet,100"/>
    <x v="1"/>
    <x v="2"/>
    <x v="4"/>
    <n v="3296.7570000000001"/>
    <n v="3280"/>
    <n v="0.51088414634146528"/>
    <x v="2819"/>
  </r>
  <r>
    <s v="Multihop,USnet,100"/>
    <x v="1"/>
    <x v="2"/>
    <x v="4"/>
    <n v="3294.0129999999999"/>
    <n v="3280"/>
    <n v="0.42722560975609508"/>
    <x v="2820"/>
  </r>
  <r>
    <s v="Multihop,USnet,100"/>
    <x v="1"/>
    <x v="2"/>
    <x v="4"/>
    <n v="3155.0279999999998"/>
    <n v="3280"/>
    <n v="3.8101219512195188"/>
    <x v="2821"/>
  </r>
  <r>
    <s v="Multihop,USnet,100"/>
    <x v="1"/>
    <x v="2"/>
    <x v="4"/>
    <n v="3336.7069999999999"/>
    <n v="3280"/>
    <n v="1.7288719512195085"/>
    <x v="2822"/>
  </r>
  <r>
    <s v="Multihop,USnet,100"/>
    <x v="1"/>
    <x v="2"/>
    <x v="4"/>
    <n v="3340.3510000000001"/>
    <n v="3280"/>
    <n v="1.8399695121951256"/>
    <x v="2823"/>
  </r>
  <r>
    <s v="Multihop,USnet,100"/>
    <x v="1"/>
    <x v="2"/>
    <x v="4"/>
    <n v="3277.2840000000001"/>
    <n v="3280"/>
    <n v="8.2804878048777272E-2"/>
    <x v="2824"/>
  </r>
  <r>
    <s v="Multihop,USnet,100"/>
    <x v="1"/>
    <x v="2"/>
    <x v="4"/>
    <n v="3251.6370000000002"/>
    <n v="3280"/>
    <n v="0.86472560975609236"/>
    <x v="2825"/>
  </r>
  <r>
    <s v="Multihop,USnet,100"/>
    <x v="1"/>
    <x v="2"/>
    <x v="4"/>
    <n v="3312.0390000000002"/>
    <n v="3280"/>
    <n v="0.97679878048781144"/>
    <x v="2826"/>
  </r>
  <r>
    <s v="Multihop,USnet,100"/>
    <x v="1"/>
    <x v="2"/>
    <x v="4"/>
    <n v="3173.2020000000002"/>
    <n v="3280"/>
    <n v="3.2560365853658473"/>
    <x v="2827"/>
  </r>
  <r>
    <s v="Multihop,USnet,100"/>
    <x v="1"/>
    <x v="2"/>
    <x v="4"/>
    <n v="3129.9119999999998"/>
    <n v="3280"/>
    <n v="4.575853658536591"/>
    <x v="2828"/>
  </r>
  <r>
    <s v="Multihop,USnet,100"/>
    <x v="1"/>
    <x v="2"/>
    <x v="4"/>
    <n v="3119.8429999999998"/>
    <n v="3280"/>
    <n v="4.882835365853663"/>
    <x v="2829"/>
  </r>
  <r>
    <s v="Multihop,USnet,100"/>
    <x v="1"/>
    <x v="2"/>
    <x v="4"/>
    <n v="3338.3539999999998"/>
    <n v="3280"/>
    <n v="1.779085365853653"/>
    <x v="2830"/>
  </r>
  <r>
    <s v="Multihop,USnet,100"/>
    <x v="1"/>
    <x v="2"/>
    <x v="4"/>
    <n v="3285.5230000000001"/>
    <n v="3280"/>
    <n v="0.16838414634146764"/>
    <x v="2831"/>
  </r>
  <r>
    <s v="Multihop,USnet,100"/>
    <x v="1"/>
    <x v="2"/>
    <x v="4"/>
    <n v="3361.9119999999998"/>
    <n v="3280"/>
    <n v="2.4973170731707257"/>
    <x v="2832"/>
  </r>
  <r>
    <s v="Multihop,USnet,100"/>
    <x v="1"/>
    <x v="2"/>
    <x v="4"/>
    <n v="3187.74"/>
    <n v="3280"/>
    <n v="2.8128048780487873"/>
    <x v="2833"/>
  </r>
  <r>
    <s v="Multihop,USnet,100"/>
    <x v="1"/>
    <x v="2"/>
    <x v="4"/>
    <n v="3283.1280000000002"/>
    <n v="3280"/>
    <n v="9.5365853658541347E-2"/>
    <x v="2834"/>
  </r>
  <r>
    <s v="Multihop,USnet,100"/>
    <x v="1"/>
    <x v="2"/>
    <x v="4"/>
    <n v="3166.9830000000002"/>
    <n v="3280"/>
    <n v="3.4456402439024334"/>
    <x v="2835"/>
  </r>
  <r>
    <s v="Multihop,USnet,100"/>
    <x v="1"/>
    <x v="2"/>
    <x v="4"/>
    <n v="3309.0320000000002"/>
    <n v="3280"/>
    <n v="0.88512195121951687"/>
    <x v="2836"/>
  </r>
  <r>
    <s v="Multihop,USnet,100"/>
    <x v="1"/>
    <x v="2"/>
    <x v="4"/>
    <n v="3236.107"/>
    <n v="3280"/>
    <n v="1.3382012195121962"/>
    <x v="2837"/>
  </r>
  <r>
    <s v="Multihop,USnet,100"/>
    <x v="1"/>
    <x v="2"/>
    <x v="4"/>
    <n v="3227.2020000000002"/>
    <n v="3280"/>
    <n v="1.6096951219512126"/>
    <x v="2838"/>
  </r>
  <r>
    <s v="Multihop,USnet,100"/>
    <x v="1"/>
    <x v="2"/>
    <x v="4"/>
    <n v="3205.8130000000001"/>
    <n v="3280"/>
    <n v="2.2617987804878017"/>
    <x v="2839"/>
  </r>
  <r>
    <s v="Multihop,USnet,100"/>
    <x v="1"/>
    <x v="2"/>
    <x v="4"/>
    <n v="3192.922"/>
    <n v="3280"/>
    <n v="2.6548170731707308"/>
    <x v="2840"/>
  </r>
  <r>
    <s v="Multihop,USnet,100"/>
    <x v="1"/>
    <x v="2"/>
    <x v="4"/>
    <n v="3269.431"/>
    <n v="3280"/>
    <n v="0.32222560975609632"/>
    <x v="2841"/>
  </r>
  <r>
    <s v="Multihop,USnet,100"/>
    <x v="1"/>
    <x v="2"/>
    <x v="4"/>
    <n v="3388.9490000000001"/>
    <n v="3280"/>
    <n v="3.321615853658539"/>
    <x v="2842"/>
  </r>
  <r>
    <s v="Multihop,USnet,100"/>
    <x v="1"/>
    <x v="2"/>
    <x v="4"/>
    <n v="3331.2190000000001"/>
    <n v="3280"/>
    <n v="1.561554878048782"/>
    <x v="2843"/>
  </r>
  <r>
    <s v="Multihop,USnet,100"/>
    <x v="1"/>
    <x v="2"/>
    <x v="4"/>
    <n v="3233.63"/>
    <n v="3280"/>
    <n v="1.4137195121951187"/>
    <x v="2844"/>
  </r>
  <r>
    <s v="Multihop,USnet,100"/>
    <x v="1"/>
    <x v="2"/>
    <x v="4"/>
    <n v="3333.6039999999998"/>
    <n v="3280"/>
    <n v="1.6342682926829211"/>
    <x v="2845"/>
  </r>
  <r>
    <s v="Multihop,USnet,100"/>
    <x v="1"/>
    <x v="2"/>
    <x v="4"/>
    <n v="3215.0650000000001"/>
    <n v="3280"/>
    <n v="1.9797256097560958"/>
    <x v="2846"/>
  </r>
  <r>
    <s v="Multihop,USnet,100"/>
    <x v="1"/>
    <x v="2"/>
    <x v="4"/>
    <n v="3224.5990000000002"/>
    <n v="3280"/>
    <n v="1.6890548780487755"/>
    <x v="2847"/>
  </r>
  <r>
    <s v="Multihop,USnet,100"/>
    <x v="1"/>
    <x v="2"/>
    <x v="4"/>
    <n v="3226.48"/>
    <n v="3280"/>
    <n v="1.6317073170731702"/>
    <x v="2848"/>
  </r>
  <r>
    <s v="Multihop,USnet,100"/>
    <x v="1"/>
    <x v="2"/>
    <x v="4"/>
    <n v="3263.1309999999999"/>
    <n v="3280"/>
    <n v="0.51429878048780919"/>
    <x v="2849"/>
  </r>
  <r>
    <s v="Multihop,USnet,100"/>
    <x v="1"/>
    <x v="2"/>
    <x v="4"/>
    <n v="3331.77"/>
    <n v="3280"/>
    <n v="1.5783536585365847"/>
    <x v="2850"/>
  </r>
  <r>
    <s v="Multihop,USnet,100"/>
    <x v="1"/>
    <x v="2"/>
    <x v="4"/>
    <n v="3188.0439999999999"/>
    <n v="3280"/>
    <n v="2.8035365853658578"/>
    <x v="2851"/>
  </r>
  <r>
    <s v="Multihop,USnet,100"/>
    <x v="1"/>
    <x v="2"/>
    <x v="4"/>
    <n v="3253.7649999999999"/>
    <n v="3280"/>
    <n v="0.7998475609756136"/>
    <x v="2852"/>
  </r>
  <r>
    <s v="Multihop,USnet,100"/>
    <x v="1"/>
    <x v="2"/>
    <x v="4"/>
    <n v="3206.4470000000001"/>
    <n v="3280"/>
    <n v="2.2424695121951181"/>
    <x v="2853"/>
  </r>
  <r>
    <s v="Multihop,USnet,100"/>
    <x v="1"/>
    <x v="2"/>
    <x v="4"/>
    <n v="3311.2930000000001"/>
    <n v="3280"/>
    <n v="0.95405487804878419"/>
    <x v="2854"/>
  </r>
  <r>
    <s v="Multihop,USnet,100"/>
    <x v="1"/>
    <x v="2"/>
    <x v="4"/>
    <n v="3235.28"/>
    <n v="3280"/>
    <n v="1.3634146341463353"/>
    <x v="2855"/>
  </r>
  <r>
    <s v="Multihop,USnet,100"/>
    <x v="1"/>
    <x v="2"/>
    <x v="4"/>
    <n v="3339.9960000000001"/>
    <n v="3280"/>
    <n v="1.8291463414634175"/>
    <x v="2856"/>
  </r>
  <r>
    <s v="Multihop,USnet,100"/>
    <x v="1"/>
    <x v="2"/>
    <x v="4"/>
    <n v="3128.2060000000001"/>
    <n v="3280"/>
    <n v="4.6278658536585322"/>
    <x v="2857"/>
  </r>
  <r>
    <s v="Multihop,USnet,100"/>
    <x v="1"/>
    <x v="2"/>
    <x v="4"/>
    <n v="3233.3580000000002"/>
    <n v="3280"/>
    <n v="1.422012195121946"/>
    <x v="2858"/>
  </r>
  <r>
    <s v="Multihop,USnet,100"/>
    <x v="1"/>
    <x v="2"/>
    <x v="4"/>
    <n v="3234.306"/>
    <n v="3280"/>
    <n v="1.3931097560975598"/>
    <x v="2859"/>
  </r>
  <r>
    <s v="Multihop,USnet,100"/>
    <x v="1"/>
    <x v="2"/>
    <x v="4"/>
    <n v="3312.8580000000002"/>
    <n v="3280"/>
    <n v="1.0017682926829321"/>
    <x v="2860"/>
  </r>
  <r>
    <s v="Multihop,USnet,100"/>
    <x v="1"/>
    <x v="2"/>
    <x v="4"/>
    <n v="3135.7289999999998"/>
    <n v="3280"/>
    <n v="4.3985060975609818"/>
    <x v="2861"/>
  </r>
  <r>
    <s v="Multihop,USnet,100"/>
    <x v="1"/>
    <x v="2"/>
    <x v="4"/>
    <n v="3311.0680000000002"/>
    <n v="3280"/>
    <n v="0.94719512195122602"/>
    <x v="2862"/>
  </r>
  <r>
    <s v="Multihop,USnet,100"/>
    <x v="1"/>
    <x v="2"/>
    <x v="4"/>
    <n v="3172.462"/>
    <n v="3280"/>
    <n v="3.2785975609756104"/>
    <x v="2863"/>
  </r>
  <r>
    <s v="Multihop,USnet,100"/>
    <x v="1"/>
    <x v="2"/>
    <x v="4"/>
    <n v="3293.7179999999998"/>
    <n v="3280"/>
    <n v="0.41823170731706855"/>
    <x v="2864"/>
  </r>
  <r>
    <s v="Multihop,USnet,100"/>
    <x v="1"/>
    <x v="2"/>
    <x v="4"/>
    <n v="3308.62"/>
    <n v="3280"/>
    <n v="0.87256097560975276"/>
    <x v="2865"/>
  </r>
  <r>
    <s v="Multihop,USnet,100"/>
    <x v="1"/>
    <x v="2"/>
    <x v="4"/>
    <n v="3138.3159999999998"/>
    <n v="3280"/>
    <n v="4.3196341463414694"/>
    <x v="2866"/>
  </r>
  <r>
    <s v="Multihop,USnet,100"/>
    <x v="1"/>
    <x v="2"/>
    <x v="4"/>
    <n v="3272.4360000000001"/>
    <n v="3280"/>
    <n v="0.23060975609755641"/>
    <x v="2867"/>
  </r>
  <r>
    <s v="Multihop,USnet,100"/>
    <x v="1"/>
    <x v="2"/>
    <x v="4"/>
    <n v="3297.7350000000001"/>
    <n v="3280"/>
    <n v="0.54070121951219896"/>
    <x v="2868"/>
  </r>
  <r>
    <s v="Multihop,USnet,100"/>
    <x v="1"/>
    <x v="2"/>
    <x v="4"/>
    <n v="3229.5250000000001"/>
    <n v="3280"/>
    <n v="1.5388719512195095"/>
    <x v="2869"/>
  </r>
  <r>
    <s v="Multihop,USnet,100"/>
    <x v="1"/>
    <x v="2"/>
    <x v="4"/>
    <n v="3181.3220000000001"/>
    <n v="3280"/>
    <n v="3.0084756097560938"/>
    <x v="2870"/>
  </r>
  <r>
    <s v="Multihop,USnet,100"/>
    <x v="1"/>
    <x v="2"/>
    <x v="4"/>
    <n v="3182.8890000000001"/>
    <n v="3280"/>
    <n v="2.9607012195121913"/>
    <x v="2871"/>
  </r>
  <r>
    <s v="Multihop,USnet,100"/>
    <x v="1"/>
    <x v="2"/>
    <x v="4"/>
    <n v="3264.17"/>
    <n v="3280"/>
    <n v="0.48262195121950996"/>
    <x v="2872"/>
  </r>
  <r>
    <s v="Multihop,USnet,100"/>
    <x v="1"/>
    <x v="2"/>
    <x v="4"/>
    <n v="3397.444"/>
    <n v="3280"/>
    <n v="3.5806097560975596"/>
    <x v="2873"/>
  </r>
  <r>
    <s v="Multihop,USnet,100"/>
    <x v="1"/>
    <x v="2"/>
    <x v="4"/>
    <n v="3347.1019999999999"/>
    <n v="3280"/>
    <n v="2.0457926829268249"/>
    <x v="2874"/>
  </r>
  <r>
    <s v="Multihop,USnet,100"/>
    <x v="1"/>
    <x v="2"/>
    <x v="4"/>
    <n v="3121.9409999999998"/>
    <n v="3280"/>
    <n v="4.8188719512195179"/>
    <x v="2875"/>
  </r>
  <r>
    <s v="Multihop,USnet,100"/>
    <x v="1"/>
    <x v="2"/>
    <x v="4"/>
    <n v="3190.009"/>
    <n v="3280"/>
    <n v="2.7436280487804874"/>
    <x v="2876"/>
  </r>
  <r>
    <s v="Multihop,USnet,100"/>
    <x v="1"/>
    <x v="2"/>
    <x v="4"/>
    <n v="3254.0819999999999"/>
    <n v="3280"/>
    <n v="0.79018292682927183"/>
    <x v="2877"/>
  </r>
  <r>
    <s v="Multihop,USnet,100"/>
    <x v="1"/>
    <x v="2"/>
    <x v="4"/>
    <n v="3285.7629999999999"/>
    <n v="3280"/>
    <n v="0.17570121951219267"/>
    <x v="2878"/>
  </r>
  <r>
    <s v="Multihop,USnet,100"/>
    <x v="1"/>
    <x v="2"/>
    <x v="4"/>
    <n v="3283.3359999999998"/>
    <n v="3280"/>
    <n v="0.10170731707316417"/>
    <x v="2879"/>
  </r>
  <r>
    <s v="Multihop,USnet,100"/>
    <x v="1"/>
    <x v="2"/>
    <x v="4"/>
    <n v="3149.4960000000001"/>
    <n v="3280"/>
    <n v="3.9787804878048756"/>
    <x v="2880"/>
  </r>
  <r>
    <s v="Multihop,USnet,100"/>
    <x v="1"/>
    <x v="2"/>
    <x v="4"/>
    <n v="3228.143"/>
    <n v="3280"/>
    <n v="1.5810060975609748"/>
    <x v="2881"/>
  </r>
  <r>
    <s v="Multihop,USnet,100"/>
    <x v="1"/>
    <x v="2"/>
    <x v="4"/>
    <n v="3228.2460000000001"/>
    <n v="3280"/>
    <n v="1.5778658536585337"/>
    <x v="2882"/>
  </r>
  <r>
    <s v="Multihop,USnet,100"/>
    <x v="1"/>
    <x v="2"/>
    <x v="4"/>
    <n v="3381.7510000000002"/>
    <n v="3280"/>
    <n v="3.1021646341463476"/>
    <x v="2883"/>
  </r>
  <r>
    <s v="Multihop,USnet,100"/>
    <x v="1"/>
    <x v="2"/>
    <x v="4"/>
    <n v="3288.5050000000001"/>
    <n v="3280"/>
    <n v="0.25929878048780819"/>
    <x v="2884"/>
  </r>
  <r>
    <s v="Multihop,USnet,100"/>
    <x v="1"/>
    <x v="2"/>
    <x v="4"/>
    <n v="3369.6179999999999"/>
    <n v="3280"/>
    <n v="2.732256097560974"/>
    <x v="2885"/>
  </r>
  <r>
    <s v="Multihop,USnet,100"/>
    <x v="1"/>
    <x v="2"/>
    <x v="4"/>
    <n v="3234.3809999999999"/>
    <n v="3280"/>
    <n v="1.3908231707317116"/>
    <x v="2886"/>
  </r>
  <r>
    <s v="Multihop,USnet,100"/>
    <x v="1"/>
    <x v="2"/>
    <x v="4"/>
    <n v="3184.4360000000001"/>
    <n v="3280"/>
    <n v="2.9135365853658493"/>
    <x v="2887"/>
  </r>
  <r>
    <s v="Multihop,USnet,100"/>
    <x v="1"/>
    <x v="2"/>
    <x v="4"/>
    <n v="3182.8339999999998"/>
    <n v="3280"/>
    <n v="2.9623780487804932"/>
    <x v="2888"/>
  </r>
  <r>
    <s v="Multihop,USnet,100"/>
    <x v="1"/>
    <x v="2"/>
    <x v="4"/>
    <n v="3310.4470000000001"/>
    <n v="3280"/>
    <n v="0.92826219512195474"/>
    <x v="2889"/>
  </r>
  <r>
    <s v="Multihop,USnet,100"/>
    <x v="1"/>
    <x v="2"/>
    <x v="4"/>
    <n v="3275.6559999999999"/>
    <n v="3280"/>
    <n v="0.13243902439024546"/>
    <x v="2890"/>
  </r>
  <r>
    <s v="Multihop,USnet,100"/>
    <x v="1"/>
    <x v="2"/>
    <x v="4"/>
    <n v="2990.3850000000002"/>
    <n v="3280"/>
    <n v="8.8297256097560908"/>
    <x v="2891"/>
  </r>
  <r>
    <s v="Multihop,USnet,100"/>
    <x v="1"/>
    <x v="2"/>
    <x v="4"/>
    <n v="3372.7130000000002"/>
    <n v="3280"/>
    <n v="2.8266158536585424"/>
    <x v="2892"/>
  </r>
  <r>
    <s v="Multihop,USnet,100"/>
    <x v="1"/>
    <x v="2"/>
    <x v="4"/>
    <n v="3186.7570000000001"/>
    <n v="3280"/>
    <n v="2.8427743902439002"/>
    <x v="2893"/>
  </r>
  <r>
    <s v="Multihop,USnet,120"/>
    <x v="1"/>
    <x v="2"/>
    <x v="5"/>
    <n v="3804.68"/>
    <n v="3960"/>
    <n v="3.9222222222222261"/>
    <x v="2894"/>
  </r>
  <r>
    <s v="Multihop,USnet,120"/>
    <x v="1"/>
    <x v="2"/>
    <x v="5"/>
    <n v="3859.433"/>
    <n v="3960"/>
    <n v="2.5395707070707072"/>
    <x v="2895"/>
  </r>
  <r>
    <s v="Multihop,USnet,120"/>
    <x v="1"/>
    <x v="2"/>
    <x v="5"/>
    <n v="3819.576"/>
    <n v="3960"/>
    <n v="3.5460606060606055"/>
    <x v="2896"/>
  </r>
  <r>
    <s v="Multihop,USnet,120"/>
    <x v="1"/>
    <x v="2"/>
    <x v="5"/>
    <n v="3851.0630000000001"/>
    <n v="3960"/>
    <n v="2.7509343434343405"/>
    <x v="2897"/>
  </r>
  <r>
    <s v="Multihop,USnet,120"/>
    <x v="1"/>
    <x v="2"/>
    <x v="5"/>
    <n v="3849.1179999999999"/>
    <n v="3960"/>
    <n v="2.8000505050505069"/>
    <x v="2898"/>
  </r>
  <r>
    <s v="Multihop,USnet,120"/>
    <x v="1"/>
    <x v="2"/>
    <x v="5"/>
    <n v="3736.9740000000002"/>
    <n v="3960"/>
    <n v="5.6319696969696933"/>
    <x v="2899"/>
  </r>
  <r>
    <s v="Multihop,USnet,120"/>
    <x v="1"/>
    <x v="2"/>
    <x v="5"/>
    <n v="3863.9110000000001"/>
    <n v="3960"/>
    <n v="2.4264898989898978"/>
    <x v="2900"/>
  </r>
  <r>
    <s v="Multihop,USnet,120"/>
    <x v="1"/>
    <x v="2"/>
    <x v="5"/>
    <n v="3844.0010000000002"/>
    <n v="3960"/>
    <n v="2.9292676767676715"/>
    <x v="2901"/>
  </r>
  <r>
    <s v="Multihop,USnet,120"/>
    <x v="1"/>
    <x v="2"/>
    <x v="5"/>
    <n v="3860.2730000000001"/>
    <n v="3960"/>
    <n v="2.5183585858585826"/>
    <x v="2902"/>
  </r>
  <r>
    <s v="Multihop,USnet,120"/>
    <x v="1"/>
    <x v="2"/>
    <x v="5"/>
    <n v="3959.4760000000001"/>
    <n v="3960"/>
    <n v="1.3232323232320384E-2"/>
    <x v="2903"/>
  </r>
  <r>
    <s v="Multihop,USnet,120"/>
    <x v="1"/>
    <x v="2"/>
    <x v="5"/>
    <n v="3811.7840000000001"/>
    <n v="3960"/>
    <n v="3.7428282828282802"/>
    <x v="2904"/>
  </r>
  <r>
    <s v="Multihop,USnet,120"/>
    <x v="1"/>
    <x v="2"/>
    <x v="5"/>
    <n v="3888.3539999999998"/>
    <n v="3960"/>
    <n v="1.8092424242424288"/>
    <x v="2905"/>
  </r>
  <r>
    <s v="Multihop,USnet,120"/>
    <x v="1"/>
    <x v="2"/>
    <x v="5"/>
    <n v="3703.1579999999999"/>
    <n v="3960"/>
    <n v="6.485909090909094"/>
    <x v="2906"/>
  </r>
  <r>
    <s v="Multihop,USnet,120"/>
    <x v="1"/>
    <x v="2"/>
    <x v="5"/>
    <n v="3744.8919999999998"/>
    <n v="3960"/>
    <n v="5.4320202020202064"/>
    <x v="2907"/>
  </r>
  <r>
    <s v="Multihop,USnet,120"/>
    <x v="1"/>
    <x v="2"/>
    <x v="5"/>
    <n v="3924.2719999999999"/>
    <n v="3960"/>
    <n v="0.90222222222222392"/>
    <x v="2908"/>
  </r>
  <r>
    <s v="Multihop,USnet,120"/>
    <x v="1"/>
    <x v="2"/>
    <x v="5"/>
    <n v="3782.0279999999998"/>
    <n v="3960"/>
    <n v="4.4942424242424295"/>
    <x v="2909"/>
  </r>
  <r>
    <s v="Multihop,USnet,120"/>
    <x v="1"/>
    <x v="2"/>
    <x v="5"/>
    <n v="3789.877"/>
    <n v="3960"/>
    <n v="4.2960353535353546"/>
    <x v="2910"/>
  </r>
  <r>
    <s v="Multihop,USnet,120"/>
    <x v="1"/>
    <x v="2"/>
    <x v="5"/>
    <n v="3734.2370000000001"/>
    <n v="3960"/>
    <n v="5.7010858585858566"/>
    <x v="2911"/>
  </r>
  <r>
    <s v="Multihop,USnet,120"/>
    <x v="1"/>
    <x v="2"/>
    <x v="5"/>
    <n v="3972.0039999999999"/>
    <n v="3960"/>
    <n v="0.30313131313131075"/>
    <x v="2912"/>
  </r>
  <r>
    <s v="Multihop,USnet,120"/>
    <x v="1"/>
    <x v="2"/>
    <x v="5"/>
    <n v="3934.93"/>
    <n v="3960"/>
    <n v="0.63308080808081213"/>
    <x v="2913"/>
  </r>
  <r>
    <s v="Multihop,USnet,120"/>
    <x v="1"/>
    <x v="2"/>
    <x v="5"/>
    <n v="3895.1149999999998"/>
    <n v="3960"/>
    <n v="1.6385101010101064"/>
    <x v="2914"/>
  </r>
  <r>
    <s v="Multihop,USnet,120"/>
    <x v="1"/>
    <x v="2"/>
    <x v="5"/>
    <n v="3725.4189999999999"/>
    <n v="3960"/>
    <n v="5.9237626262626293"/>
    <x v="2915"/>
  </r>
  <r>
    <s v="Multihop,USnet,120"/>
    <x v="1"/>
    <x v="2"/>
    <x v="5"/>
    <n v="3736.9850000000001"/>
    <n v="3960"/>
    <n v="5.6316919191919164"/>
    <x v="2916"/>
  </r>
  <r>
    <s v="Multihop,USnet,120"/>
    <x v="1"/>
    <x v="2"/>
    <x v="5"/>
    <n v="3742.8180000000002"/>
    <n v="3960"/>
    <n v="5.484393939393934"/>
    <x v="2917"/>
  </r>
  <r>
    <s v="Multihop,USnet,120"/>
    <x v="1"/>
    <x v="2"/>
    <x v="5"/>
    <n v="3969.2220000000002"/>
    <n v="3960"/>
    <n v="0.2328787878787931"/>
    <x v="2918"/>
  </r>
  <r>
    <s v="Multihop,USnet,120"/>
    <x v="1"/>
    <x v="2"/>
    <x v="5"/>
    <n v="3786.2150000000001"/>
    <n v="3960"/>
    <n v="4.3885101010100973"/>
    <x v="2919"/>
  </r>
  <r>
    <s v="Multihop,USnet,120"/>
    <x v="1"/>
    <x v="2"/>
    <x v="5"/>
    <n v="3973.2370000000001"/>
    <n v="3960"/>
    <n v="0.33426767676767877"/>
    <x v="2920"/>
  </r>
  <r>
    <s v="Multihop,USnet,120"/>
    <x v="1"/>
    <x v="2"/>
    <x v="5"/>
    <n v="4020.692"/>
    <n v="3960"/>
    <n v="1.5326262626262628"/>
    <x v="2921"/>
  </r>
  <r>
    <s v="Multihop,USnet,120"/>
    <x v="1"/>
    <x v="2"/>
    <x v="5"/>
    <n v="3774.3310000000001"/>
    <n v="3960"/>
    <n v="4.6886111111111077"/>
    <x v="2922"/>
  </r>
  <r>
    <s v="Multihop,USnet,120"/>
    <x v="1"/>
    <x v="2"/>
    <x v="5"/>
    <n v="3829.1370000000002"/>
    <n v="3960"/>
    <n v="3.3046212121212082"/>
    <x v="2923"/>
  </r>
  <r>
    <s v="Multihop,USnet,120"/>
    <x v="1"/>
    <x v="2"/>
    <x v="5"/>
    <n v="3887.1190000000001"/>
    <n v="3960"/>
    <n v="1.8404292929292891"/>
    <x v="2924"/>
  </r>
  <r>
    <s v="Multihop,USnet,120"/>
    <x v="1"/>
    <x v="2"/>
    <x v="5"/>
    <n v="3859.0520000000001"/>
    <n v="3960"/>
    <n v="2.5491919191919159"/>
    <x v="2925"/>
  </r>
  <r>
    <s v="Multihop,USnet,120"/>
    <x v="1"/>
    <x v="2"/>
    <x v="5"/>
    <n v="3935.1469999999999"/>
    <n v="3960"/>
    <n v="0.62760101010101177"/>
    <x v="2926"/>
  </r>
  <r>
    <s v="Multihop,USnet,120"/>
    <x v="1"/>
    <x v="2"/>
    <x v="5"/>
    <n v="3866.4470000000001"/>
    <n v="3960"/>
    <n v="2.3624494949494919"/>
    <x v="2927"/>
  </r>
  <r>
    <s v="Multihop,USnet,120"/>
    <x v="1"/>
    <x v="2"/>
    <x v="5"/>
    <n v="3811.8760000000002"/>
    <n v="3960"/>
    <n v="3.7405050505050457"/>
    <x v="2928"/>
  </r>
  <r>
    <s v="Multihop,USnet,120"/>
    <x v="1"/>
    <x v="2"/>
    <x v="5"/>
    <n v="3811.027"/>
    <n v="3960"/>
    <n v="3.7619444444444436"/>
    <x v="2929"/>
  </r>
  <r>
    <s v="Multihop,USnet,120"/>
    <x v="1"/>
    <x v="2"/>
    <x v="5"/>
    <n v="3764.2649999999999"/>
    <n v="3960"/>
    <n v="4.9428030303030335"/>
    <x v="2930"/>
  </r>
  <r>
    <s v="Multihop,USnet,120"/>
    <x v="1"/>
    <x v="2"/>
    <x v="5"/>
    <n v="3804.1030000000001"/>
    <n v="3960"/>
    <n v="3.9367929292929276"/>
    <x v="2931"/>
  </r>
  <r>
    <s v="Multihop,USnet,120"/>
    <x v="1"/>
    <x v="2"/>
    <x v="5"/>
    <n v="3876.654"/>
    <n v="3960"/>
    <n v="2.10469696969697"/>
    <x v="2932"/>
  </r>
  <r>
    <s v="Multihop,USnet,120"/>
    <x v="1"/>
    <x v="2"/>
    <x v="5"/>
    <n v="3960.9090000000001"/>
    <n v="3960"/>
    <n v="2.2954545454548121E-2"/>
    <x v="2933"/>
  </r>
  <r>
    <s v="Multihop,USnet,120"/>
    <x v="1"/>
    <x v="2"/>
    <x v="5"/>
    <n v="3829.346"/>
    <n v="3960"/>
    <n v="3.2993434343434345"/>
    <x v="2934"/>
  </r>
  <r>
    <s v="Multihop,USnet,120"/>
    <x v="1"/>
    <x v="2"/>
    <x v="5"/>
    <n v="3692.788"/>
    <n v="3960"/>
    <n v="6.7477777777777774"/>
    <x v="2935"/>
  </r>
  <r>
    <s v="Multihop,USnet,120"/>
    <x v="1"/>
    <x v="2"/>
    <x v="5"/>
    <n v="3788.0250000000001"/>
    <n v="3960"/>
    <n v="4.3428030303030285"/>
    <x v="2936"/>
  </r>
  <r>
    <s v="Multihop,USnet,120"/>
    <x v="1"/>
    <x v="2"/>
    <x v="5"/>
    <n v="3933.0749999999998"/>
    <n v="3960"/>
    <n v="0.67992424242424698"/>
    <x v="2937"/>
  </r>
  <r>
    <s v="Multihop,USnet,120"/>
    <x v="1"/>
    <x v="2"/>
    <x v="5"/>
    <n v="3850.5309999999999"/>
    <n v="3960"/>
    <n v="2.7643686868686879"/>
    <x v="2938"/>
  </r>
  <r>
    <s v="Multihop,USnet,120"/>
    <x v="1"/>
    <x v="2"/>
    <x v="5"/>
    <n v="3875.3009999999999"/>
    <n v="3960"/>
    <n v="2.138863636363638"/>
    <x v="2939"/>
  </r>
  <r>
    <s v="Multihop,USnet,120"/>
    <x v="1"/>
    <x v="2"/>
    <x v="5"/>
    <n v="3770.5259999999998"/>
    <n v="3960"/>
    <n v="4.7846969696969737"/>
    <x v="2940"/>
  </r>
  <r>
    <s v="Multihop,USnet,120"/>
    <x v="1"/>
    <x v="2"/>
    <x v="5"/>
    <n v="4028.7750000000001"/>
    <n v="3960"/>
    <n v="1.7367424242424263"/>
    <x v="2941"/>
  </r>
  <r>
    <s v="Multihop,USnet,120"/>
    <x v="1"/>
    <x v="2"/>
    <x v="5"/>
    <n v="4038.4940000000001"/>
    <n v="3960"/>
    <n v="1.9821717171717208"/>
    <x v="2942"/>
  </r>
  <r>
    <s v="Multihop,USnet,120"/>
    <x v="1"/>
    <x v="2"/>
    <x v="5"/>
    <n v="3882.5830000000001"/>
    <n v="3960"/>
    <n v="1.9549747474747452"/>
    <x v="2943"/>
  </r>
  <r>
    <s v="Multihop,USnet,120"/>
    <x v="1"/>
    <x v="2"/>
    <x v="5"/>
    <n v="3931.587"/>
    <n v="3960"/>
    <n v="0.71750000000000025"/>
    <x v="2944"/>
  </r>
  <r>
    <s v="Multihop,USnet,120"/>
    <x v="1"/>
    <x v="2"/>
    <x v="5"/>
    <n v="3876.4290000000001"/>
    <n v="3960"/>
    <n v="2.1103787878787856"/>
    <x v="2945"/>
  </r>
  <r>
    <s v="Multihop,USnet,120"/>
    <x v="1"/>
    <x v="2"/>
    <x v="5"/>
    <n v="3741.9940000000001"/>
    <n v="3960"/>
    <n v="5.5052020202020167"/>
    <x v="2946"/>
  </r>
  <r>
    <s v="Multihop,USnet,120"/>
    <x v="1"/>
    <x v="2"/>
    <x v="5"/>
    <n v="3800.7579999999998"/>
    <n v="3960"/>
    <n v="4.0212626262626312"/>
    <x v="2947"/>
  </r>
  <r>
    <s v="Multihop,USnet,120"/>
    <x v="1"/>
    <x v="2"/>
    <x v="5"/>
    <n v="3840.7750000000001"/>
    <n v="3960"/>
    <n v="3.0107323232323213"/>
    <x v="2948"/>
  </r>
  <r>
    <s v="Multihop,USnet,120"/>
    <x v="1"/>
    <x v="2"/>
    <x v="5"/>
    <n v="3932.5819999999999"/>
    <n v="3960"/>
    <n v="0.69237373737374042"/>
    <x v="2949"/>
  </r>
  <r>
    <s v="Multihop,USnet,120"/>
    <x v="1"/>
    <x v="2"/>
    <x v="5"/>
    <n v="3851.364"/>
    <n v="3960"/>
    <n v="2.7433333333333323"/>
    <x v="2950"/>
  </r>
  <r>
    <s v="Multihop,USnet,120"/>
    <x v="1"/>
    <x v="2"/>
    <x v="5"/>
    <n v="3822.7310000000002"/>
    <n v="3960"/>
    <n v="3.4663888888888836"/>
    <x v="2951"/>
  </r>
  <r>
    <s v="Multihop,USnet,120"/>
    <x v="1"/>
    <x v="2"/>
    <x v="5"/>
    <n v="3920.18"/>
    <n v="3960"/>
    <n v="1.0055555555555598"/>
    <x v="2952"/>
  </r>
  <r>
    <s v="Multihop,USnet,120"/>
    <x v="1"/>
    <x v="2"/>
    <x v="5"/>
    <n v="3972.5419999999999"/>
    <n v="3960"/>
    <n v="0.31671717171716962"/>
    <x v="2953"/>
  </r>
  <r>
    <s v="Multihop,USnet,120"/>
    <x v="1"/>
    <x v="2"/>
    <x v="5"/>
    <n v="3752.1889999999999"/>
    <n v="3960"/>
    <n v="5.2477525252525288"/>
    <x v="2954"/>
  </r>
  <r>
    <s v="Multihop,USnet,120"/>
    <x v="1"/>
    <x v="2"/>
    <x v="5"/>
    <n v="3719.002"/>
    <n v="3960"/>
    <n v="6.0858080808080821"/>
    <x v="2955"/>
  </r>
  <r>
    <s v="Multihop,USnet,120"/>
    <x v="1"/>
    <x v="2"/>
    <x v="5"/>
    <n v="3741.319"/>
    <n v="3960"/>
    <n v="5.5222474747474752"/>
    <x v="2956"/>
  </r>
  <r>
    <s v="Multihop,USnet,120"/>
    <x v="1"/>
    <x v="2"/>
    <x v="5"/>
    <n v="4053.3829999999998"/>
    <n v="3960"/>
    <n v="2.3581565656565608"/>
    <x v="2957"/>
  </r>
  <r>
    <s v="Multihop,USnet,120"/>
    <x v="1"/>
    <x v="2"/>
    <x v="5"/>
    <n v="3870.9229999999998"/>
    <n v="3960"/>
    <n v="2.2494191919191975"/>
    <x v="2958"/>
  </r>
  <r>
    <s v="Multihop,USnet,120"/>
    <x v="1"/>
    <x v="2"/>
    <x v="5"/>
    <n v="3918.4070000000002"/>
    <n v="3960"/>
    <n v="1.0503282828282789"/>
    <x v="2959"/>
  </r>
  <r>
    <s v="Multihop,USnet,120"/>
    <x v="1"/>
    <x v="2"/>
    <x v="5"/>
    <n v="4006.2190000000001"/>
    <n v="3960"/>
    <n v="1.167146464646466"/>
    <x v="2960"/>
  </r>
  <r>
    <s v="Multihop,USnet,120"/>
    <x v="1"/>
    <x v="2"/>
    <x v="5"/>
    <n v="3826.317"/>
    <n v="3960"/>
    <n v="3.3758333333333335"/>
    <x v="2961"/>
  </r>
  <r>
    <s v="Multihop,USnet,120"/>
    <x v="1"/>
    <x v="2"/>
    <x v="5"/>
    <n v="3916.241"/>
    <n v="3960"/>
    <n v="1.1050252525252529"/>
    <x v="2962"/>
  </r>
  <r>
    <s v="Multihop,USnet,120"/>
    <x v="1"/>
    <x v="2"/>
    <x v="5"/>
    <n v="3887.127"/>
    <n v="3960"/>
    <n v="1.8402272727272739"/>
    <x v="2963"/>
  </r>
  <r>
    <s v="Multihop,USnet,120"/>
    <x v="1"/>
    <x v="2"/>
    <x v="5"/>
    <n v="3982.2460000000001"/>
    <n v="3960"/>
    <n v="0.56176767676767914"/>
    <x v="2964"/>
  </r>
  <r>
    <s v="Multihop,USnet,120"/>
    <x v="1"/>
    <x v="2"/>
    <x v="5"/>
    <n v="3956.2550000000001"/>
    <n v="3960"/>
    <n v="9.4570707070704307E-2"/>
    <x v="2965"/>
  </r>
  <r>
    <s v="Multihop,USnet,120"/>
    <x v="1"/>
    <x v="2"/>
    <x v="5"/>
    <n v="3824.2939999999999"/>
    <n v="3960"/>
    <n v="3.426919191919195"/>
    <x v="2966"/>
  </r>
  <r>
    <s v="Multihop,USnet,120"/>
    <x v="1"/>
    <x v="2"/>
    <x v="5"/>
    <n v="4011.4340000000002"/>
    <n v="3960"/>
    <n v="1.2988383838383888"/>
    <x v="2967"/>
  </r>
  <r>
    <s v="Multihop,USnet,120"/>
    <x v="1"/>
    <x v="2"/>
    <x v="5"/>
    <n v="3823.8220000000001"/>
    <n v="3960"/>
    <n v="3.4388383838383807"/>
    <x v="2968"/>
  </r>
  <r>
    <s v="Multihop,USnet,120"/>
    <x v="1"/>
    <x v="2"/>
    <x v="5"/>
    <n v="3766.8409999999999"/>
    <n v="3960"/>
    <n v="4.8777525252525278"/>
    <x v="2969"/>
  </r>
  <r>
    <s v="Multihop,USnet,120"/>
    <x v="1"/>
    <x v="2"/>
    <x v="5"/>
    <n v="3947.6750000000002"/>
    <n v="3960"/>
    <n v="0.31123737373736915"/>
    <x v="2970"/>
  </r>
  <r>
    <s v="Multihop,USnet,120"/>
    <x v="1"/>
    <x v="2"/>
    <x v="5"/>
    <n v="3821.136"/>
    <n v="3960"/>
    <n v="3.5066666666666677"/>
    <x v="2971"/>
  </r>
  <r>
    <s v="Multihop,USnet,120"/>
    <x v="1"/>
    <x v="2"/>
    <x v="5"/>
    <n v="3890.16"/>
    <n v="3960"/>
    <n v="1.7636363636363672"/>
    <x v="2972"/>
  </r>
  <r>
    <s v="Multihop,USnet,120"/>
    <x v="1"/>
    <x v="2"/>
    <x v="5"/>
    <n v="3671.0720000000001"/>
    <n v="3960"/>
    <n v="7.296161616161613"/>
    <x v="2973"/>
  </r>
  <r>
    <s v="Multihop,USnet,120"/>
    <x v="1"/>
    <x v="2"/>
    <x v="5"/>
    <n v="3897.66"/>
    <n v="3960"/>
    <n v="1.574242424242428"/>
    <x v="2974"/>
  </r>
  <r>
    <s v="Multihop,USnet,120"/>
    <x v="1"/>
    <x v="2"/>
    <x v="5"/>
    <n v="4022.8710000000001"/>
    <n v="3960"/>
    <n v="1.5876515151515176"/>
    <x v="2975"/>
  </r>
  <r>
    <s v="Multihop,USnet,120"/>
    <x v="1"/>
    <x v="2"/>
    <x v="5"/>
    <n v="3855.21"/>
    <n v="3960"/>
    <n v="2.6462121212121206"/>
    <x v="2976"/>
  </r>
  <r>
    <s v="Multihop,USnet,120"/>
    <x v="1"/>
    <x v="2"/>
    <x v="5"/>
    <n v="4064.895"/>
    <n v="3960"/>
    <n v="2.648863636363636"/>
    <x v="2977"/>
  </r>
  <r>
    <s v="Multihop,USnet,120"/>
    <x v="1"/>
    <x v="2"/>
    <x v="5"/>
    <n v="3937.2730000000001"/>
    <n v="3960"/>
    <n v="0.57391414141413788"/>
    <x v="2978"/>
  </r>
  <r>
    <s v="Multihop,USnet,120"/>
    <x v="1"/>
    <x v="2"/>
    <x v="5"/>
    <n v="3981.8969999999999"/>
    <n v="3960"/>
    <n v="0.55295454545454381"/>
    <x v="2979"/>
  </r>
  <r>
    <s v="Multihop,USnet,120"/>
    <x v="1"/>
    <x v="2"/>
    <x v="5"/>
    <n v="3688.0410000000002"/>
    <n v="3960"/>
    <n v="6.8676515151515112"/>
    <x v="2980"/>
  </r>
  <r>
    <s v="Multihop,USnet,120"/>
    <x v="1"/>
    <x v="2"/>
    <x v="5"/>
    <n v="3833.4140000000002"/>
    <n v="3960"/>
    <n v="3.1966161616161557"/>
    <x v="2981"/>
  </r>
  <r>
    <s v="Multihop,USnet,120"/>
    <x v="1"/>
    <x v="2"/>
    <x v="5"/>
    <n v="3887.8029999999999"/>
    <n v="3960"/>
    <n v="1.8231565656565685"/>
    <x v="2982"/>
  </r>
  <r>
    <s v="Multihop,USnet,120"/>
    <x v="1"/>
    <x v="2"/>
    <x v="5"/>
    <n v="3868.5320000000002"/>
    <n v="3960"/>
    <n v="2.3097979797979762"/>
    <x v="2983"/>
  </r>
  <r>
    <s v="Multihop,USnet,120"/>
    <x v="1"/>
    <x v="2"/>
    <x v="5"/>
    <n v="3892.3270000000002"/>
    <n v="3960"/>
    <n v="1.7089141414141358"/>
    <x v="2984"/>
  </r>
  <r>
    <s v="Multihop,USnet,120"/>
    <x v="1"/>
    <x v="2"/>
    <x v="5"/>
    <n v="3892.203"/>
    <n v="3960"/>
    <n v="1.7120454545454553"/>
    <x v="2985"/>
  </r>
  <r>
    <s v="Multihop,USnet,120"/>
    <x v="1"/>
    <x v="2"/>
    <x v="5"/>
    <n v="3804.3560000000002"/>
    <n v="3960"/>
    <n v="3.930404040404035"/>
    <x v="2986"/>
  </r>
  <r>
    <s v="Multihop,USnet,120"/>
    <x v="1"/>
    <x v="2"/>
    <x v="5"/>
    <n v="3882.7950000000001"/>
    <n v="3960"/>
    <n v="1.9496212121212102"/>
    <x v="2987"/>
  </r>
  <r>
    <s v="Multihop,USnet,120"/>
    <x v="1"/>
    <x v="2"/>
    <x v="5"/>
    <n v="3807.9079999999999"/>
    <n v="3960"/>
    <n v="3.8407070707070732"/>
    <x v="2988"/>
  </r>
  <r>
    <s v="Multihop,USnet,120"/>
    <x v="1"/>
    <x v="2"/>
    <x v="5"/>
    <n v="3834.4340000000002"/>
    <n v="3960"/>
    <n v="3.1708585858585812"/>
    <x v="2989"/>
  </r>
  <r>
    <s v="Multihop,USnet,120"/>
    <x v="1"/>
    <x v="2"/>
    <x v="5"/>
    <n v="3860.4589999999998"/>
    <n v="3960"/>
    <n v="2.5136616161616203"/>
    <x v="2990"/>
  </r>
  <r>
    <s v="Multihop,USnet,120"/>
    <x v="1"/>
    <x v="2"/>
    <x v="5"/>
    <n v="3928.201"/>
    <n v="3960"/>
    <n v="0.80300505050505"/>
    <x v="2991"/>
  </r>
  <r>
    <s v="Multihop,USnet,120"/>
    <x v="1"/>
    <x v="2"/>
    <x v="5"/>
    <n v="3867.29"/>
    <n v="3960"/>
    <n v="2.3411616161616173"/>
    <x v="2992"/>
  </r>
  <r>
    <s v="Multihop,USnet,120"/>
    <x v="1"/>
    <x v="2"/>
    <x v="5"/>
    <n v="3886.163"/>
    <n v="3960"/>
    <n v="1.8645707070707069"/>
    <x v="2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58AC2-0A5F-4CA3-981C-1C428D8DBC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8" firstHeaderRow="1" firstDataRow="1" firstDataCol="1"/>
  <pivotFields count="4">
    <pivotField axis="axisRow" multipleItemSelectionAllowed="1" showAll="0">
      <items count="4">
        <item x="0"/>
        <item h="1"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3">
    <field x="0"/>
    <field x="1"/>
    <field x="2"/>
  </rowFields>
  <rowItems count="45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Items count="1">
    <i/>
  </colItems>
  <dataFields count="1">
    <dataField name="Average of TotalPower (kW)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56E86-6297-4F41-B2C9-B649BF9FD83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2:T38" firstHeaderRow="1" firstDataRow="2" firstDataCol="1"/>
  <pivotFields count="8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>
      <items count="2995">
        <item x="1563"/>
        <item x="1770"/>
        <item x="2022"/>
        <item x="1612"/>
        <item x="1332"/>
        <item x="1735"/>
        <item x="2903"/>
        <item x="1703"/>
        <item x="2589"/>
        <item x="1766"/>
        <item x="2671"/>
        <item x="2497"/>
        <item x="2933"/>
        <item x="1324"/>
        <item x="2702"/>
        <item x="349"/>
        <item x="1342"/>
        <item x="1552"/>
        <item x="2709"/>
        <item x="215"/>
        <item x="1395"/>
        <item x="1762"/>
        <item x="40"/>
        <item x="1588"/>
        <item x="2640"/>
        <item x="2784"/>
        <item x="1942"/>
        <item x="1325"/>
        <item x="1169"/>
        <item x="2684"/>
        <item x="1227"/>
        <item x="344"/>
        <item x="1269"/>
        <item x="1546"/>
        <item x="236"/>
        <item x="1716"/>
        <item x="2584"/>
        <item x="1112"/>
        <item x="1854"/>
        <item x="2754"/>
        <item x="2749"/>
        <item x="1365"/>
        <item x="2717"/>
        <item x="2569"/>
        <item x="1582"/>
        <item x="1955"/>
        <item x="2635"/>
        <item x="2512"/>
        <item x="807"/>
        <item x="2824"/>
        <item x="2680"/>
        <item x="32"/>
        <item x="39"/>
        <item x="1935"/>
        <item x="2965"/>
        <item x="1952"/>
        <item x="2834"/>
        <item x="536"/>
        <item x="2879"/>
        <item x="1727"/>
        <item x="55"/>
        <item x="694"/>
        <item x="1348"/>
        <item x="1372"/>
        <item x="1877"/>
        <item x="1524"/>
        <item x="2718"/>
        <item x="2619"/>
        <item x="2210"/>
        <item x="2621"/>
        <item x="2744"/>
        <item x="818"/>
        <item x="1529"/>
        <item x="1497"/>
        <item x="443"/>
        <item x="396"/>
        <item x="1597"/>
        <item x="2890"/>
        <item x="2607"/>
        <item x="2140"/>
        <item x="2736"/>
        <item x="1163"/>
        <item x="2693"/>
        <item x="1781"/>
        <item x="319"/>
        <item x="367"/>
        <item x="482"/>
        <item x="1357"/>
        <item x="2605"/>
        <item x="2531"/>
        <item x="1456"/>
        <item x="1316"/>
        <item x="2096"/>
        <item x="1821"/>
        <item x="2620"/>
        <item x="2028"/>
        <item x="2831"/>
        <item x="602"/>
        <item x="2878"/>
        <item x="1228"/>
        <item x="42"/>
        <item x="538"/>
        <item x="523"/>
        <item x="2289"/>
        <item x="1419"/>
        <item x="1376"/>
        <item x="1933"/>
        <item x="2496"/>
        <item x="1358"/>
        <item x="2655"/>
        <item x="1569"/>
        <item x="219"/>
        <item x="1339"/>
        <item x="1610"/>
        <item x="295"/>
        <item x="2654"/>
        <item x="2644"/>
        <item x="1450"/>
        <item x="1255"/>
        <item x="2247"/>
        <item x="1364"/>
        <item x="2637"/>
        <item x="1095"/>
        <item x="2600"/>
        <item x="2659"/>
        <item x="2867"/>
        <item x="2918"/>
        <item x="669"/>
        <item x="2581"/>
        <item x="2520"/>
        <item x="1526"/>
        <item x="2726"/>
        <item x="2615"/>
        <item x="1229"/>
        <item x="1901"/>
        <item x="274"/>
        <item x="510"/>
        <item x="2048"/>
        <item x="2085"/>
        <item x="27"/>
        <item x="431"/>
        <item x="1741"/>
        <item x="106"/>
        <item x="2884"/>
        <item x="340"/>
        <item x="2788"/>
        <item x="2572"/>
        <item x="1041"/>
        <item x="2686"/>
        <item x="2652"/>
        <item x="2675"/>
        <item x="2539"/>
        <item x="1370"/>
        <item x="2732"/>
        <item x="1799"/>
        <item x="104"/>
        <item x="838"/>
        <item x="800"/>
        <item x="1757"/>
        <item x="46"/>
        <item x="2682"/>
        <item x="2747"/>
        <item x="2264"/>
        <item x="2912"/>
        <item x="1861"/>
        <item x="2810"/>
        <item x="374"/>
        <item x="1906"/>
        <item x="1960"/>
        <item x="2730"/>
        <item x="2023"/>
        <item x="2970"/>
        <item x="1765"/>
        <item x="1725"/>
        <item x="2953"/>
        <item x="1557"/>
        <item x="355"/>
        <item x="2313"/>
        <item x="2293"/>
        <item x="2026"/>
        <item x="1073"/>
        <item x="2841"/>
        <item x="2144"/>
        <item x="1430"/>
        <item x="2774"/>
        <item x="2765"/>
        <item x="2595"/>
        <item x="1175"/>
        <item x="403"/>
        <item x="1113"/>
        <item x="2920"/>
        <item x="1626"/>
        <item x="1321"/>
        <item x="1674"/>
        <item x="2529"/>
        <item x="2721"/>
        <item x="2651"/>
        <item x="1670"/>
        <item x="2514"/>
        <item x="2576"/>
        <item x="2534"/>
        <item x="1685"/>
        <item x="571"/>
        <item x="2265"/>
        <item x="2580"/>
        <item x="1090"/>
        <item x="1210"/>
        <item x="1715"/>
        <item x="1333"/>
        <item x="2799"/>
        <item x="1079"/>
        <item x="2392"/>
        <item x="2673"/>
        <item x="448"/>
        <item x="1851"/>
        <item x="2699"/>
        <item x="1614"/>
        <item x="1707"/>
        <item x="2355"/>
        <item x="87"/>
        <item x="1007"/>
        <item x="2557"/>
        <item x="1518"/>
        <item x="426"/>
        <item x="2609"/>
        <item x="321"/>
        <item x="1053"/>
        <item x="2528"/>
        <item x="13"/>
        <item x="1385"/>
        <item x="2585"/>
        <item x="1846"/>
        <item x="2525"/>
        <item x="1469"/>
        <item x="1790"/>
        <item x="2778"/>
        <item x="2504"/>
        <item x="1723"/>
        <item x="2864"/>
        <item x="137"/>
        <item x="1307"/>
        <item x="2820"/>
        <item x="2750"/>
        <item x="1443"/>
        <item x="2495"/>
        <item x="2712"/>
        <item x="2626"/>
        <item x="2574"/>
        <item x="1311"/>
        <item x="518"/>
        <item x="1288"/>
        <item x="1359"/>
        <item x="2662"/>
        <item x="2568"/>
        <item x="450"/>
        <item x="1386"/>
        <item x="2563"/>
        <item x="603"/>
        <item x="1508"/>
        <item x="291"/>
        <item x="1057"/>
        <item x="363"/>
        <item x="1042"/>
        <item x="2358"/>
        <item x="2522"/>
        <item x="1143"/>
        <item x="874"/>
        <item x="1500"/>
        <item x="167"/>
        <item x="547"/>
        <item x="1705"/>
        <item x="1380"/>
        <item x="1990"/>
        <item x="2011"/>
        <item x="2872"/>
        <item x="2533"/>
        <item x="465"/>
        <item x="1913"/>
        <item x="1363"/>
        <item x="2561"/>
        <item x="312"/>
        <item x="224"/>
        <item x="375"/>
        <item x="1139"/>
        <item x="2164"/>
        <item x="1600"/>
        <item x="2770"/>
        <item x="2577"/>
        <item x="2819"/>
        <item x="2618"/>
        <item x="2224"/>
        <item x="1147"/>
        <item x="1899"/>
        <item x="350"/>
        <item x="339"/>
        <item x="2849"/>
        <item x="644"/>
        <item x="1537"/>
        <item x="535"/>
        <item x="2785"/>
        <item x="2519"/>
        <item x="2069"/>
        <item x="2511"/>
        <item x="1478"/>
        <item x="2696"/>
        <item x="2755"/>
        <item x="2506"/>
        <item x="2868"/>
        <item x="1431"/>
        <item x="2526"/>
        <item x="1980"/>
        <item x="1114"/>
        <item x="2320"/>
        <item x="1745"/>
        <item x="2979"/>
        <item x="1950"/>
        <item x="2546"/>
        <item x="2552"/>
        <item x="2772"/>
        <item x="2647"/>
        <item x="1568"/>
        <item x="11"/>
        <item x="2964"/>
        <item x="1981"/>
        <item x="2685"/>
        <item x="1214"/>
        <item x="1958"/>
        <item x="1449"/>
        <item x="2204"/>
        <item x="1504"/>
        <item x="2978"/>
        <item x="2505"/>
        <item x="1170"/>
        <item x="1650"/>
        <item x="619"/>
        <item x="2667"/>
        <item x="2742"/>
        <item x="1505"/>
        <item x="1230"/>
        <item x="1966"/>
        <item x="2567"/>
        <item x="1512"/>
        <item x="373"/>
        <item x="451"/>
        <item x="846"/>
        <item x="2796"/>
        <item x="2565"/>
        <item x="1817"/>
        <item x="1691"/>
        <item x="2590"/>
        <item x="1637"/>
        <item x="1429"/>
        <item x="2544"/>
        <item x="2587"/>
        <item x="1249"/>
        <item x="2540"/>
        <item x="1695"/>
        <item x="2813"/>
        <item x="1623"/>
        <item x="1525"/>
        <item x="1654"/>
        <item x="2746"/>
        <item x="2926"/>
        <item x="866"/>
        <item x="323"/>
        <item x="1391"/>
        <item x="2913"/>
        <item x="2002"/>
        <item x="2107"/>
        <item x="2501"/>
        <item x="1302"/>
        <item x="38"/>
        <item x="587"/>
        <item x="2515"/>
        <item x="1074"/>
        <item x="1837"/>
        <item x="2642"/>
        <item x="2756"/>
        <item x="2582"/>
        <item x="311"/>
        <item x="1369"/>
        <item x="1676"/>
        <item x="2781"/>
        <item x="470"/>
        <item x="2771"/>
        <item x="2801"/>
        <item x="1329"/>
        <item x="2666"/>
        <item x="299"/>
        <item x="2713"/>
        <item x="1751"/>
        <item x="459"/>
        <item x="774"/>
        <item x="2814"/>
        <item x="1872"/>
        <item x="2937"/>
        <item x="1441"/>
        <item x="539"/>
        <item x="1217"/>
        <item x="2779"/>
        <item x="1709"/>
        <item x="2949"/>
        <item x="415"/>
        <item x="1157"/>
        <item x="2527"/>
        <item x="1137"/>
        <item x="2077"/>
        <item x="1662"/>
        <item x="2521"/>
        <item x="1533"/>
        <item x="2731"/>
        <item x="133"/>
        <item x="2222"/>
        <item x="2553"/>
        <item x="2944"/>
        <item x="138"/>
        <item x="1603"/>
        <item x="1511"/>
        <item x="2081"/>
        <item x="525"/>
        <item x="1303"/>
        <item x="1746"/>
        <item x="1126"/>
        <item x="1857"/>
        <item x="388"/>
        <item x="2807"/>
        <item x="1400"/>
        <item x="512"/>
        <item x="1142"/>
        <item x="1758"/>
        <item x="394"/>
        <item x="2502"/>
        <item x="611"/>
        <item x="1961"/>
        <item x="2780"/>
        <item x="1164"/>
        <item x="1731"/>
        <item x="1482"/>
        <item x="216"/>
        <item x="2012"/>
        <item x="1415"/>
        <item x="2877"/>
        <item x="1655"/>
        <item x="2852"/>
        <item x="2991"/>
        <item x="260"/>
        <item x="1022"/>
        <item x="1241"/>
        <item x="2720"/>
        <item x="1718"/>
        <item x="2524"/>
        <item x="1520"/>
        <item x="531"/>
        <item x="493"/>
        <item x="1936"/>
        <item x="1728"/>
        <item x="1820"/>
        <item x="1491"/>
        <item x="331"/>
        <item x="2169"/>
        <item x="1371"/>
        <item x="1621"/>
        <item x="1800"/>
        <item x="1749"/>
        <item x="487"/>
        <item x="1003"/>
        <item x="1756"/>
        <item x="1736"/>
        <item x="1599"/>
        <item x="2865"/>
        <item x="2267"/>
        <item x="1080"/>
        <item x="1019"/>
        <item x="2825"/>
        <item x="1483"/>
        <item x="2550"/>
        <item x="2836"/>
        <item x="1923"/>
        <item x="2541"/>
        <item x="1343"/>
        <item x="1409"/>
        <item x="1198"/>
        <item x="481"/>
        <item x="483"/>
        <item x="2658"/>
        <item x="279"/>
        <item x="1488"/>
        <item x="1593"/>
        <item x="1216"/>
        <item x="2543"/>
        <item x="1070"/>
        <item x="2500"/>
        <item x="1815"/>
        <item x="2510"/>
        <item x="2908"/>
        <item x="1312"/>
        <item x="2076"/>
        <item x="2889"/>
        <item x="1411"/>
        <item x="330"/>
        <item x="462"/>
        <item x="1416"/>
        <item x="1221"/>
        <item x="1414"/>
        <item x="2862"/>
        <item x="129"/>
        <item x="233"/>
        <item x="1887"/>
        <item x="2503"/>
        <item x="1583"/>
        <item x="2767"/>
        <item x="2646"/>
        <item x="2854"/>
        <item x="2518"/>
        <item x="1777"/>
        <item x="2030"/>
        <item x="1271"/>
        <item x="314"/>
        <item x="715"/>
        <item x="1528"/>
        <item x="2826"/>
        <item x="2700"/>
        <item x="2287"/>
        <item x="1870"/>
        <item x="1031"/>
        <item x="2753"/>
        <item x="1808"/>
        <item x="57"/>
        <item x="338"/>
        <item x="2508"/>
        <item x="1489"/>
        <item x="2860"/>
        <item x="2740"/>
        <item x="527"/>
        <item x="395"/>
        <item x="1562"/>
        <item x="1642"/>
        <item x="1327"/>
        <item x="1156"/>
        <item x="345"/>
        <item x="1671"/>
        <item x="2663"/>
        <item x="860"/>
        <item x="2952"/>
        <item x="2782"/>
        <item x="1122"/>
        <item x="262"/>
        <item x="2643"/>
        <item x="1608"/>
        <item x="1334"/>
        <item x="1422"/>
        <item x="1509"/>
        <item x="2494"/>
        <item x="1993"/>
        <item x="326"/>
        <item x="204"/>
        <item x="2189"/>
        <item x="1622"/>
        <item x="1378"/>
        <item x="456"/>
        <item x="1124"/>
        <item x="67"/>
        <item x="369"/>
        <item x="695"/>
        <item x="1559"/>
        <item x="1714"/>
        <item x="119"/>
        <item x="397"/>
        <item x="217"/>
        <item x="24"/>
        <item x="1318"/>
        <item x="1590"/>
        <item x="1375"/>
        <item x="2959"/>
        <item x="2579"/>
        <item x="2617"/>
        <item x="844"/>
        <item x="207"/>
        <item x="2790"/>
        <item x="2622"/>
        <item x="2668"/>
        <item x="2639"/>
        <item x="1472"/>
        <item x="1661"/>
        <item x="105"/>
        <item x="370"/>
        <item x="1679"/>
        <item x="1571"/>
        <item x="1445"/>
        <item x="113"/>
        <item x="2180"/>
        <item x="1669"/>
        <item x="1262"/>
        <item x="1564"/>
        <item x="174"/>
        <item x="1496"/>
        <item x="1789"/>
        <item x="2120"/>
        <item x="175"/>
        <item x="701"/>
        <item x="2962"/>
        <item x="1502"/>
        <item x="614"/>
        <item x="1527"/>
        <item x="1753"/>
        <item x="1165"/>
        <item x="799"/>
        <item x="878"/>
        <item x="1658"/>
        <item x="1266"/>
        <item x="1532"/>
        <item x="2591"/>
        <item x="514"/>
        <item x="1471"/>
        <item x="1237"/>
        <item x="498"/>
        <item x="1903"/>
        <item x="2760"/>
        <item x="2960"/>
        <item x="2303"/>
        <item x="2586"/>
        <item x="1874"/>
        <item x="1200"/>
        <item x="411"/>
        <item x="592"/>
        <item x="399"/>
        <item x="427"/>
        <item x="1788"/>
        <item x="1403"/>
        <item x="1550"/>
        <item x="1682"/>
        <item x="1179"/>
        <item x="1694"/>
        <item x="637"/>
        <item x="2632"/>
        <item x="2803"/>
        <item x="1513"/>
        <item x="1683"/>
        <item x="1097"/>
        <item x="2562"/>
        <item x="2366"/>
        <item x="1822"/>
        <item x="2393"/>
        <item x="1468"/>
        <item x="2670"/>
        <item x="2542"/>
        <item x="1833"/>
        <item x="1393"/>
        <item x="1549"/>
        <item x="1379"/>
        <item x="392"/>
        <item x="2130"/>
        <item x="2817"/>
        <item x="393"/>
        <item x="112"/>
        <item x="702"/>
        <item x="2323"/>
        <item x="438"/>
        <item x="1574"/>
        <item x="2242"/>
        <item x="1245"/>
        <item x="2741"/>
        <item x="2231"/>
        <item x="2516"/>
        <item x="2748"/>
        <item x="1444"/>
        <item x="1617"/>
        <item x="2598"/>
        <item x="1427"/>
        <item x="1606"/>
        <item x="1547"/>
        <item x="1040"/>
        <item x="2967"/>
        <item x="45"/>
        <item x="1665"/>
        <item x="2387"/>
        <item x="1543"/>
        <item x="1320"/>
        <item x="2564"/>
        <item x="1453"/>
        <item x="2537"/>
        <item x="1965"/>
        <item x="2523"/>
        <item x="1836"/>
        <item x="2535"/>
        <item x="2559"/>
        <item x="1211"/>
        <item x="477"/>
        <item x="2593"/>
        <item x="666"/>
        <item x="1604"/>
        <item x="1424"/>
        <item x="629"/>
        <item x="202"/>
        <item x="2570"/>
        <item x="264"/>
        <item x="1970"/>
        <item x="446"/>
        <item x="1071"/>
        <item x="1664"/>
        <item x="2558"/>
        <item x="1490"/>
        <item x="1461"/>
        <item x="2837"/>
        <item x="407"/>
        <item x="2650"/>
        <item x="1344"/>
        <item x="1541"/>
        <item x="2677"/>
        <item x="1205"/>
        <item x="1932"/>
        <item x="2262"/>
        <item x="1026"/>
        <item x="663"/>
        <item x="2855"/>
        <item x="282"/>
        <item x="1082"/>
        <item x="453"/>
        <item x="2674"/>
        <item x="385"/>
        <item x="2027"/>
        <item x="2556"/>
        <item x="157"/>
        <item x="1908"/>
        <item x="2257"/>
        <item x="2341"/>
        <item x="1607"/>
        <item x="1640"/>
        <item x="409"/>
        <item x="2886"/>
        <item x="2859"/>
        <item x="831"/>
        <item x="292"/>
        <item x="546"/>
        <item x="1596"/>
        <item x="194"/>
        <item x="2356"/>
        <item x="1462"/>
        <item x="1957"/>
        <item x="1250"/>
        <item x="2536"/>
        <item x="1338"/>
        <item x="1624"/>
        <item x="1258"/>
        <item x="1930"/>
        <item x="2844"/>
        <item x="2271"/>
        <item x="1984"/>
        <item x="2858"/>
        <item x="792"/>
        <item x="2167"/>
        <item x="1436"/>
        <item x="153"/>
        <item x="1558"/>
        <item x="625"/>
        <item x="2571"/>
        <item x="2509"/>
        <item x="2789"/>
        <item x="59"/>
        <item x="37"/>
        <item x="1759"/>
        <item x="159"/>
        <item x="1105"/>
        <item x="1499"/>
        <item x="2339"/>
        <item x="1432"/>
        <item x="1498"/>
        <item x="1812"/>
        <item x="143"/>
        <item x="2360"/>
        <item x="1235"/>
        <item x="1252"/>
        <item x="1579"/>
        <item x="2220"/>
        <item x="1242"/>
        <item x="2804"/>
        <item x="1123"/>
        <item x="811"/>
        <item x="2270"/>
        <item x="1398"/>
        <item x="577"/>
        <item x="1377"/>
        <item x="784"/>
        <item x="2921"/>
        <item x="1081"/>
        <item x="1584"/>
        <item x="346"/>
        <item x="152"/>
        <item x="1286"/>
        <item x="2211"/>
        <item x="1643"/>
        <item x="2757"/>
        <item x="206"/>
        <item x="2602"/>
        <item x="2843"/>
        <item x="2649"/>
        <item x="1108"/>
        <item x="2245"/>
        <item x="1135"/>
        <item x="1946"/>
        <item x="1645"/>
        <item x="504"/>
        <item x="1840"/>
        <item x="1782"/>
        <item x="458"/>
        <item x="1322"/>
        <item x="2769"/>
        <item x="2850"/>
        <item x="1387"/>
        <item x="2560"/>
        <item x="1999"/>
        <item x="711"/>
        <item x="842"/>
        <item x="2786"/>
        <item x="2975"/>
        <item x="2869"/>
        <item x="128"/>
        <item x="1570"/>
        <item x="1678"/>
        <item x="2173"/>
        <item x="605"/>
        <item x="1292"/>
        <item x="2776"/>
        <item x="1373"/>
        <item x="2375"/>
        <item x="2101"/>
        <item x="141"/>
        <item x="1889"/>
        <item x="2625"/>
        <item x="2645"/>
        <item x="574"/>
        <item x="1454"/>
        <item x="2681"/>
        <item x="827"/>
        <item x="2974"/>
        <item x="1389"/>
        <item x="1189"/>
        <item x="2882"/>
        <item x="1413"/>
        <item x="1197"/>
        <item x="2881"/>
        <item x="2845"/>
        <item x="1538"/>
        <item x="474"/>
        <item x="1641"/>
        <item x="1900"/>
        <item x="169"/>
        <item x="1149"/>
        <item x="1548"/>
        <item x="492"/>
        <item x="1794"/>
        <item x="2794"/>
        <item x="636"/>
        <item x="2838"/>
        <item x="1193"/>
        <item x="1278"/>
        <item x="1587"/>
        <item x="1337"/>
        <item x="2272"/>
        <item x="142"/>
        <item x="1956"/>
        <item x="2362"/>
        <item x="21"/>
        <item x="2848"/>
        <item x="432"/>
        <item x="690"/>
        <item x="218"/>
        <item x="2108"/>
        <item x="81"/>
        <item x="2660"/>
        <item x="66"/>
        <item x="1830"/>
        <item x="2914"/>
        <item x="1459"/>
        <item x="554"/>
        <item x="1493"/>
        <item x="1620"/>
        <item x="1492"/>
        <item x="332"/>
        <item x="2229"/>
        <item x="1602"/>
        <item x="2604"/>
        <item x="665"/>
        <item x="782"/>
        <item x="1128"/>
        <item x="2822"/>
        <item x="1832"/>
        <item x="2941"/>
        <item x="2555"/>
        <item x="1353"/>
        <item x="791"/>
        <item x="1072"/>
        <item x="1452"/>
        <item x="2847"/>
        <item x="2606"/>
        <item x="1304"/>
        <item x="1580"/>
        <item x="2007"/>
        <item x="390"/>
        <item x="1421"/>
        <item x="1305"/>
        <item x="1308"/>
        <item x="261"/>
        <item x="2596"/>
        <item x="2984"/>
        <item x="1539"/>
        <item x="2985"/>
        <item x="2759"/>
        <item x="2830"/>
        <item x="1494"/>
        <item x="1786"/>
        <item x="2628"/>
        <item x="700"/>
        <item x="476"/>
        <item x="1801"/>
        <item x="646"/>
        <item x="1555"/>
        <item x="1347"/>
        <item x="1313"/>
        <item x="848"/>
        <item x="1760"/>
        <item x="1259"/>
        <item x="859"/>
        <item x="1941"/>
        <item x="682"/>
        <item x="1947"/>
        <item x="1592"/>
        <item x="364"/>
        <item x="419"/>
        <item x="1130"/>
        <item x="1474"/>
        <item x="1033"/>
        <item x="1289"/>
        <item x="2791"/>
        <item x="2972"/>
        <item x="2856"/>
        <item x="2823"/>
        <item x="197"/>
        <item x="353"/>
        <item x="2630"/>
        <item x="34"/>
        <item x="1826"/>
        <item x="1273"/>
        <item x="269"/>
        <item x="225"/>
        <item x="875"/>
        <item x="98"/>
        <item x="2153"/>
        <item x="334"/>
        <item x="2905"/>
        <item x="1805"/>
        <item x="1649"/>
        <item x="2690"/>
        <item x="2601"/>
        <item x="1864"/>
        <item x="568"/>
        <item x="2982"/>
        <item x="1928"/>
        <item x="1974"/>
        <item x="2683"/>
        <item x="2773"/>
        <item x="1158"/>
        <item x="1277"/>
        <item x="2963"/>
        <item x="2924"/>
        <item x="2538"/>
        <item x="1748"/>
        <item x="2588"/>
        <item x="1426"/>
        <item x="2024"/>
        <item x="1457"/>
        <item x="2766"/>
        <item x="499"/>
        <item x="780"/>
        <item x="2329"/>
        <item x="384"/>
        <item x="1551"/>
        <item x="2993"/>
        <item x="2610"/>
        <item x="1121"/>
        <item x="865"/>
        <item x="2752"/>
        <item x="1405"/>
        <item x="1905"/>
        <item x="2376"/>
        <item x="1914"/>
        <item x="1825"/>
        <item x="185"/>
        <item x="179"/>
        <item x="1979"/>
        <item x="1890"/>
        <item x="1918"/>
        <item x="2064"/>
        <item x="2811"/>
        <item x="1323"/>
        <item x="2086"/>
        <item x="1367"/>
        <item x="2656"/>
        <item x="2498"/>
        <item x="1697"/>
        <item x="500"/>
        <item x="2664"/>
        <item x="2530"/>
        <item x="2942"/>
        <item x="2733"/>
        <item x="1922"/>
        <item x="1761"/>
        <item x="1355"/>
        <item x="2815"/>
        <item x="2548"/>
        <item x="1362"/>
        <item x="1188"/>
        <item x="607"/>
        <item x="1091"/>
        <item x="1852"/>
        <item x="2149"/>
        <item x="2575"/>
        <item x="2507"/>
        <item x="2708"/>
        <item x="2797"/>
        <item x="2285"/>
        <item x="238"/>
        <item x="1764"/>
        <item x="2987"/>
        <item x="273"/>
        <item x="2633"/>
        <item x="2943"/>
        <item x="421"/>
        <item x="2795"/>
        <item x="1767"/>
        <item x="2874"/>
        <item x="2764"/>
        <item x="1843"/>
        <item x="2806"/>
        <item x="2665"/>
        <item x="2098"/>
        <item x="480"/>
        <item x="1867"/>
        <item x="1086"/>
        <item x="2846"/>
        <item x="852"/>
        <item x="2070"/>
        <item x="1341"/>
        <item x="1300"/>
        <item x="2594"/>
        <item x="1448"/>
        <item x="1519"/>
        <item x="2763"/>
        <item x="1451"/>
        <item x="2006"/>
        <item x="861"/>
        <item x="1396"/>
        <item x="22"/>
        <item x="422"/>
        <item x="1931"/>
        <item x="1943"/>
        <item x="1486"/>
        <item x="1281"/>
        <item x="2669"/>
        <item x="1653"/>
        <item x="2761"/>
        <item x="1119"/>
        <item x="1613"/>
        <item x="1573"/>
        <item x="1992"/>
        <item x="2331"/>
        <item x="1968"/>
        <item x="1425"/>
        <item x="1182"/>
        <item x="1495"/>
        <item x="1875"/>
        <item x="1368"/>
        <item x="2199"/>
        <item x="1301"/>
        <item x="2263"/>
        <item x="2513"/>
        <item x="2350"/>
        <item x="168"/>
        <item x="1270"/>
        <item x="576"/>
        <item x="2299"/>
        <item x="2044"/>
        <item x="305"/>
        <item x="1381"/>
        <item x="1910"/>
        <item x="1896"/>
        <item x="54"/>
        <item x="1089"/>
        <item x="35"/>
        <item x="479"/>
        <item x="1945"/>
        <item x="382"/>
        <item x="488"/>
        <item x="1778"/>
        <item x="1134"/>
        <item x="214"/>
        <item x="2691"/>
        <item x="475"/>
        <item x="1470"/>
        <item x="2566"/>
        <item x="506"/>
        <item x="2932"/>
        <item x="2945"/>
        <item x="2739"/>
        <item x="616"/>
        <item x="1310"/>
        <item x="2391"/>
        <item x="2592"/>
        <item x="1742"/>
        <item x="2578"/>
        <item x="2142"/>
        <item x="2349"/>
        <item x="2939"/>
        <item x="1484"/>
        <item x="2614"/>
        <item x="1684"/>
        <item x="2657"/>
        <item x="2612"/>
        <item x="2627"/>
        <item x="1125"/>
        <item x="776"/>
        <item x="2573"/>
        <item x="1234"/>
        <item x="1553"/>
        <item x="537"/>
        <item x="2551"/>
        <item x="710"/>
        <item x="111"/>
        <item x="2001"/>
        <item x="1479"/>
        <item x="473"/>
        <item x="494"/>
        <item x="1407"/>
        <item x="1516"/>
        <item x="2745"/>
        <item x="2707"/>
        <item x="640"/>
        <item x="1858"/>
        <item x="806"/>
        <item x="1565"/>
        <item x="1732"/>
        <item x="830"/>
        <item x="2698"/>
        <item x="1560"/>
        <item x="102"/>
        <item x="2705"/>
        <item x="1577"/>
        <item x="794"/>
        <item x="372"/>
        <item x="58"/>
        <item x="1897"/>
        <item x="1264"/>
        <item x="1515"/>
        <item x="172"/>
        <item x="428"/>
        <item x="2547"/>
        <item x="379"/>
        <item x="2549"/>
        <item x="2853"/>
        <item x="558"/>
        <item x="33"/>
        <item x="2710"/>
        <item x="2958"/>
        <item x="2957"/>
        <item x="2041"/>
        <item x="2701"/>
        <item x="2648"/>
        <item x="2839"/>
        <item x="124"/>
        <item x="1530"/>
        <item x="699"/>
        <item x="336"/>
        <item x="357"/>
        <item x="1807"/>
        <item x="1272"/>
        <item x="1115"/>
        <item x="1346"/>
        <item x="1442"/>
        <item x="1116"/>
        <item x="1845"/>
        <item x="2725"/>
        <item x="1209"/>
        <item x="1667"/>
        <item x="1814"/>
        <item x="2792"/>
        <item x="2517"/>
        <item x="839"/>
        <item x="650"/>
        <item x="1802"/>
        <item x="1972"/>
        <item x="1876"/>
        <item x="2583"/>
        <item x="1813"/>
        <item x="2983"/>
        <item x="1231"/>
        <item x="2123"/>
        <item x="25"/>
        <item x="1075"/>
        <item x="1208"/>
        <item x="2300"/>
        <item x="1410"/>
        <item x="2005"/>
        <item x="2616"/>
        <item x="173"/>
        <item x="1109"/>
        <item x="2325"/>
        <item x="410"/>
        <item x="1203"/>
        <item x="1336"/>
        <item x="2992"/>
        <item x="287"/>
        <item x="803"/>
        <item x="1366"/>
        <item x="2090"/>
        <item x="2703"/>
        <item x="2704"/>
        <item x="670"/>
        <item x="452"/>
        <item x="1680"/>
        <item x="2927"/>
        <item x="1567"/>
        <item x="1446"/>
        <item x="2832"/>
        <item x="1315"/>
        <item x="678"/>
        <item x="1853"/>
        <item x="1287"/>
        <item x="1463"/>
        <item x="436"/>
        <item x="2808"/>
        <item x="366"/>
        <item x="1639"/>
        <item x="387"/>
        <item x="1920"/>
        <item x="1477"/>
        <item x="2768"/>
        <item x="2390"/>
        <item x="1733"/>
        <item x="1349"/>
        <item x="864"/>
        <item x="2900"/>
        <item x="1291"/>
        <item x="1585"/>
        <item x="1792"/>
        <item x="115"/>
        <item x="190"/>
        <item x="1199"/>
        <item x="1983"/>
        <item x="2099"/>
        <item x="1038"/>
        <item x="717"/>
        <item x="2706"/>
        <item x="1507"/>
        <item x="1473"/>
        <item x="79"/>
        <item x="1433"/>
        <item x="1326"/>
        <item x="1196"/>
        <item x="2532"/>
        <item x="31"/>
        <item x="108"/>
        <item x="1207"/>
        <item x="139"/>
        <item x="1418"/>
        <item x="2499"/>
        <item x="26"/>
        <item x="556"/>
        <item x="1986"/>
        <item x="858"/>
        <item x="2729"/>
        <item x="769"/>
        <item x="2034"/>
        <item x="64"/>
        <item x="468"/>
        <item x="1730"/>
        <item x="1657"/>
        <item x="1737"/>
        <item x="1032"/>
        <item x="1011"/>
        <item x="51"/>
        <item x="2692"/>
        <item x="1646"/>
        <item x="1776"/>
        <item x="1166"/>
        <item x="1823"/>
        <item x="2990"/>
        <item x="1934"/>
        <item x="2977"/>
        <item x="2902"/>
        <item x="2014"/>
        <item x="2783"/>
        <item x="1566"/>
        <item x="1345"/>
        <item x="2093"/>
        <item x="2728"/>
        <item x="1673"/>
        <item x="457"/>
        <item x="2895"/>
        <item x="1747"/>
        <item x="1824"/>
        <item x="1194"/>
        <item x="1740"/>
        <item x="2925"/>
        <item x="1145"/>
        <item x="151"/>
        <item x="1531"/>
        <item x="442"/>
        <item x="1159"/>
        <item x="1356"/>
        <item x="600"/>
        <item x="469"/>
        <item x="2608"/>
        <item x="1330"/>
        <item x="56"/>
        <item x="2126"/>
        <item x="2623"/>
        <item x="1420"/>
        <item x="404"/>
        <item x="1257"/>
        <item x="1206"/>
        <item x="2885"/>
        <item x="1556"/>
        <item x="2318"/>
        <item x="2716"/>
        <item x="1806"/>
        <item x="2310"/>
        <item x="2"/>
        <item x="1713"/>
        <item x="1176"/>
        <item x="1374"/>
        <item x="1656"/>
        <item x="1186"/>
        <item x="2722"/>
        <item x="2714"/>
        <item x="83"/>
        <item x="2187"/>
        <item x="320"/>
        <item x="1779"/>
        <item x="2976"/>
        <item x="626"/>
        <item x="1319"/>
        <item x="2735"/>
        <item x="2232"/>
        <item x="2840"/>
        <item x="1594"/>
        <item x="1501"/>
        <item x="1025"/>
        <item x="1953"/>
        <item x="1187"/>
        <item x="2010"/>
        <item x="511"/>
        <item x="2715"/>
        <item x="2631"/>
        <item x="2892"/>
        <item x="201"/>
        <item x="2377"/>
        <item x="1399"/>
        <item x="158"/>
        <item x="439"/>
        <item x="787"/>
        <item x="497"/>
        <item x="145"/>
        <item x="1417"/>
        <item x="1306"/>
        <item x="341"/>
        <item x="134"/>
        <item x="1652"/>
        <item x="1260"/>
        <item x="2359"/>
        <item x="1862"/>
        <item x="1190"/>
        <item x="1834"/>
        <item x="2694"/>
        <item x="2787"/>
        <item x="1967"/>
        <item x="2950"/>
        <item x="2876"/>
        <item x="1024"/>
        <item x="2897"/>
        <item x="2676"/>
        <item x="2938"/>
        <item x="1994"/>
        <item x="1540"/>
        <item x="1589"/>
        <item x="2597"/>
        <item x="1458"/>
        <item x="2132"/>
        <item x="196"/>
        <item x="300"/>
        <item x="1037"/>
        <item x="1517"/>
        <item x="1881"/>
        <item x="2723"/>
        <item x="2898"/>
        <item x="2697"/>
        <item x="2851"/>
        <item x="2599"/>
        <item x="2016"/>
        <item x="2762"/>
        <item x="2833"/>
        <item x="1729"/>
        <item x="417"/>
        <item x="328"/>
        <item x="2345"/>
        <item x="1591"/>
        <item x="1460"/>
        <item x="698"/>
        <item x="2724"/>
        <item x="2893"/>
        <item x="186"/>
        <item x="371"/>
        <item x="1354"/>
        <item x="1630"/>
        <item x="713"/>
        <item x="91"/>
        <item x="1029"/>
        <item x="2372"/>
        <item x="1975"/>
        <item x="1476"/>
        <item x="471"/>
        <item x="628"/>
        <item x="2091"/>
        <item x="41"/>
        <item x="43"/>
        <item x="540"/>
        <item x="1151"/>
        <item x="1675"/>
        <item x="248"/>
        <item x="721"/>
        <item x="1503"/>
        <item x="19"/>
        <item x="2319"/>
        <item x="222"/>
        <item x="144"/>
        <item x="2687"/>
        <item x="515"/>
        <item x="123"/>
        <item x="1693"/>
        <item x="92"/>
        <item x="2751"/>
        <item x="478"/>
        <item x="12"/>
        <item x="9"/>
        <item x="2887"/>
        <item x="425"/>
        <item x="2883"/>
        <item x="1954"/>
        <item x="1423"/>
        <item x="2901"/>
        <item x="1335"/>
        <item x="15"/>
        <item x="1720"/>
        <item x="243"/>
        <item x="648"/>
        <item x="1077"/>
        <item x="2103"/>
        <item x="249"/>
        <item x="2021"/>
        <item x="1717"/>
        <item x="154"/>
        <item x="1020"/>
        <item x="2871"/>
        <item x="2888"/>
        <item x="1219"/>
        <item x="1243"/>
        <item x="239"/>
        <item x="2381"/>
        <item x="354"/>
        <item x="2638"/>
        <item x="2737"/>
        <item x="1051"/>
        <item x="1437"/>
        <item x="1276"/>
        <item x="1976"/>
        <item x="2870"/>
        <item x="1842"/>
        <item x="2948"/>
        <item x="507"/>
        <item x="1605"/>
        <item x="2035"/>
        <item x="1202"/>
        <item x="1784"/>
        <item x="210"/>
        <item x="1069"/>
        <item x="1167"/>
        <item x="2634"/>
        <item x="1856"/>
        <item x="1275"/>
        <item x="1098"/>
        <item x="490"/>
        <item x="1439"/>
        <item x="854"/>
        <item x="2134"/>
        <item x="1248"/>
        <item x="1755"/>
        <item x="1699"/>
        <item x="2216"/>
        <item x="1068"/>
        <item x="1702"/>
        <item x="1949"/>
        <item x="1084"/>
        <item x="1174"/>
        <item x="664"/>
        <item x="1963"/>
        <item x="429"/>
        <item x="586"/>
        <item x="63"/>
        <item x="1388"/>
        <item x="1111"/>
        <item x="2361"/>
        <item x="1317"/>
        <item x="2226"/>
        <item x="1144"/>
        <item x="1218"/>
        <item x="2798"/>
        <item x="1618"/>
        <item x="1360"/>
        <item x="1924"/>
        <item x="1873"/>
        <item x="1256"/>
        <item x="2842"/>
        <item x="1191"/>
        <item x="1296"/>
        <item x="1195"/>
        <item x="401"/>
        <item x="1226"/>
        <item x="2624"/>
        <item x="1350"/>
        <item x="617"/>
        <item x="2311"/>
        <item x="1213"/>
        <item x="1561"/>
        <item x="595"/>
        <item x="2989"/>
        <item x="2291"/>
        <item x="1274"/>
        <item x="2080"/>
        <item x="1008"/>
        <item x="1465"/>
        <item x="1162"/>
        <item x="441"/>
        <item x="97"/>
        <item x="1787"/>
        <item x="2981"/>
        <item x="1844"/>
        <item x="304"/>
        <item x="325"/>
        <item x="1768"/>
        <item x="7"/>
        <item x="1023"/>
        <item x="879"/>
        <item x="2641"/>
        <item x="1253"/>
        <item x="1545"/>
        <item x="380"/>
        <item x="1480"/>
        <item x="2812"/>
        <item x="146"/>
        <item x="2150"/>
        <item x="1314"/>
        <item x="1514"/>
        <item x="528"/>
        <item x="1796"/>
        <item x="2695"/>
        <item x="1628"/>
        <item x="1309"/>
        <item x="1283"/>
        <item x="2827"/>
        <item x="1769"/>
        <item x="163"/>
        <item x="486"/>
        <item x="1004"/>
        <item x="2689"/>
        <item x="1841"/>
        <item x="2863"/>
        <item x="821"/>
        <item x="447"/>
        <item x="288"/>
        <item x="2934"/>
        <item x="1940"/>
        <item x="2923"/>
        <item x="1382"/>
        <item x="1793"/>
        <item x="84"/>
        <item x="1681"/>
        <item x="2248"/>
        <item x="1160"/>
        <item x="649"/>
        <item x="2800"/>
        <item x="677"/>
        <item x="1648"/>
        <item x="2068"/>
        <item x="2793"/>
        <item x="2603"/>
        <item x="2873"/>
        <item x="296"/>
        <item x="1394"/>
        <item x="2128"/>
        <item x="434"/>
        <item x="1860"/>
        <item x="1085"/>
        <item x="86"/>
        <item x="837"/>
        <item x="638"/>
        <item x="1263"/>
        <item x="2554"/>
        <item x="455"/>
        <item x="2961"/>
        <item x="1891"/>
        <item x="779"/>
        <item x="1534"/>
        <item x="1598"/>
        <item x="615"/>
        <item x="472"/>
        <item x="1092"/>
        <item x="50"/>
        <item x="1018"/>
        <item x="1120"/>
        <item x="1261"/>
        <item x="1183"/>
        <item x="1099"/>
        <item x="1265"/>
        <item x="812"/>
        <item x="548"/>
        <item x="526"/>
        <item x="406"/>
        <item x="2966"/>
        <item x="2777"/>
        <item x="1136"/>
        <item x="228"/>
        <item x="1948"/>
        <item x="2968"/>
        <item x="2835"/>
        <item x="1710"/>
        <item x="116"/>
        <item x="2719"/>
        <item x="728"/>
        <item x="53"/>
        <item x="2328"/>
        <item x="2951"/>
        <item x="1743"/>
        <item x="318"/>
        <item x="1392"/>
        <item x="1046"/>
        <item x="1106"/>
        <item x="1888"/>
        <item x="347"/>
        <item x="1601"/>
        <item x="5"/>
        <item x="826"/>
        <item x="1663"/>
        <item x="1885"/>
        <item x="1921"/>
        <item x="1284"/>
        <item x="530"/>
        <item x="2613"/>
        <item x="1132"/>
        <item x="226"/>
        <item x="2971"/>
        <item x="1544"/>
        <item x="1299"/>
        <item x="2100"/>
        <item x="130"/>
        <item x="1619"/>
        <item x="1100"/>
        <item x="1627"/>
        <item x="227"/>
        <item x="2316"/>
        <item x="391"/>
        <item x="82"/>
        <item x="2611"/>
        <item x="1712"/>
        <item x="2896"/>
        <item x="122"/>
        <item x="1435"/>
        <item x="1295"/>
        <item x="1384"/>
        <item x="1148"/>
        <item x="376"/>
        <item x="298"/>
        <item x="365"/>
        <item x="560"/>
        <item x="1015"/>
        <item x="2743"/>
        <item x="1827"/>
        <item x="1440"/>
        <item x="2212"/>
        <item x="114"/>
        <item x="255"/>
        <item x="1795"/>
        <item x="412"/>
        <item x="460"/>
        <item x="850"/>
        <item x="2143"/>
        <item x="1576"/>
        <item x="1894"/>
        <item x="1629"/>
        <item x="44"/>
        <item x="740"/>
        <item x="1939"/>
        <item x="1383"/>
        <item x="162"/>
        <item x="857"/>
        <item x="148"/>
        <item x="1129"/>
        <item x="1104"/>
        <item x="213"/>
        <item x="1412"/>
        <item x="178"/>
        <item x="444"/>
        <item x="1402"/>
        <item x="1390"/>
        <item x="696"/>
        <item x="1065"/>
        <item x="402"/>
        <item x="1351"/>
        <item x="310"/>
        <item x="1915"/>
        <item x="508"/>
        <item x="2185"/>
        <item x="1773"/>
        <item x="1204"/>
        <item x="1521"/>
        <item x="1831"/>
        <item x="1107"/>
        <item x="1232"/>
        <item x="2672"/>
        <item x="1535"/>
        <item x="2050"/>
        <item x="1708"/>
        <item x="1572"/>
        <item x="2218"/>
        <item x="549"/>
        <item x="52"/>
        <item x="2928"/>
        <item x="2904"/>
        <item x="922"/>
        <item x="1991"/>
        <item x="1688"/>
        <item x="1964"/>
        <item x="752"/>
        <item x="413"/>
        <item x="2929"/>
        <item x="1361"/>
        <item x="6"/>
        <item x="729"/>
        <item x="1066"/>
        <item x="315"/>
        <item x="60"/>
        <item x="1184"/>
        <item x="270"/>
        <item x="1481"/>
        <item x="641"/>
        <item x="495"/>
        <item x="1739"/>
        <item x="1634"/>
        <item x="1401"/>
        <item x="521"/>
        <item x="2821"/>
        <item x="2127"/>
        <item x="1047"/>
        <item x="2688"/>
        <item x="398"/>
        <item x="1722"/>
        <item x="1829"/>
        <item x="2727"/>
        <item x="2133"/>
        <item x="1868"/>
        <item x="2988"/>
        <item x="231"/>
        <item x="1236"/>
        <item x="1064"/>
        <item x="2301"/>
        <item x="308"/>
        <item x="1996"/>
        <item x="2711"/>
        <item x="1001"/>
        <item x="1118"/>
        <item x="2545"/>
        <item x="2105"/>
        <item x="1201"/>
        <item x="200"/>
        <item x="1224"/>
        <item x="126"/>
        <item x="2038"/>
        <item x="1028"/>
        <item x="317"/>
        <item x="582"/>
        <item x="1101"/>
        <item x="658"/>
        <item x="2194"/>
        <item x="714"/>
        <item x="643"/>
        <item x="2738"/>
        <item x="1220"/>
        <item x="1044"/>
        <item x="1061"/>
        <item x="1651"/>
        <item x="726"/>
        <item x="1464"/>
        <item x="2894"/>
        <item x="1239"/>
        <item x="2986"/>
        <item x="250"/>
        <item x="1467"/>
        <item x="2931"/>
        <item x="1056"/>
        <item x="1927"/>
        <item x="223"/>
        <item x="1096"/>
        <item x="1244"/>
        <item x="1180"/>
        <item x="1895"/>
        <item x="608"/>
        <item x="953"/>
        <item x="789"/>
        <item x="1030"/>
        <item x="80"/>
        <item x="1016"/>
        <item x="1738"/>
        <item x="383"/>
        <item x="2880"/>
        <item x="337"/>
        <item x="899"/>
        <item x="1969"/>
        <item x="136"/>
        <item x="1938"/>
        <item x="2678"/>
        <item x="1849"/>
        <item x="265"/>
        <item x="928"/>
        <item x="286"/>
        <item x="199"/>
        <item x="687"/>
        <item x="30"/>
        <item x="2249"/>
        <item x="2947"/>
        <item x="2018"/>
        <item x="2112"/>
        <item x="1911"/>
        <item x="1048"/>
        <item x="1883"/>
        <item x="829"/>
        <item x="751"/>
        <item x="967"/>
        <item x="1"/>
        <item x="853"/>
        <item x="73"/>
        <item x="724"/>
        <item x="674"/>
        <item x="1668"/>
        <item x="2178"/>
        <item x="49"/>
        <item x="435"/>
        <item x="1153"/>
        <item x="1855"/>
        <item x="1293"/>
        <item x="952"/>
        <item x="1290"/>
        <item x="1869"/>
        <item x="1027"/>
        <item x="2636"/>
        <item x="2383"/>
        <item x="1140"/>
        <item x="1268"/>
        <item x="1238"/>
        <item x="454"/>
        <item x="1644"/>
        <item x="2337"/>
        <item x="1523"/>
        <item x="1036"/>
        <item x="1055"/>
        <item x="2326"/>
        <item x="2147"/>
        <item x="78"/>
        <item x="1093"/>
        <item x="467"/>
        <item x="1659"/>
        <item x="352"/>
        <item x="93"/>
        <item x="72"/>
        <item x="900"/>
        <item x="1076"/>
        <item x="1711"/>
        <item x="777"/>
        <item x="177"/>
        <item x="96"/>
        <item x="1455"/>
        <item x="1005"/>
        <item x="2003"/>
        <item x="1447"/>
        <item x="362"/>
        <item x="232"/>
        <item x="90"/>
        <item x="1871"/>
        <item x="1181"/>
        <item x="1192"/>
        <item x="851"/>
        <item x="1811"/>
        <item x="259"/>
        <item x="155"/>
        <item x="1094"/>
        <item x="28"/>
        <item x="1677"/>
        <item x="1150"/>
        <item x="505"/>
        <item x="1698"/>
        <item x="901"/>
        <item x="2056"/>
        <item x="95"/>
        <item x="627"/>
        <item x="1251"/>
        <item x="2233"/>
        <item x="1285"/>
        <item x="2910"/>
        <item x="408"/>
        <item x="1178"/>
        <item x="1978"/>
        <item x="1013"/>
        <item x="117"/>
        <item x="1744"/>
        <item x="1989"/>
        <item x="2866"/>
        <item x="2161"/>
        <item x="423"/>
        <item x="1279"/>
        <item x="10"/>
        <item x="1131"/>
        <item x="635"/>
        <item x="1616"/>
        <item x="974"/>
        <item x="2008"/>
        <item x="192"/>
        <item x="307"/>
        <item x="2936"/>
        <item x="894"/>
        <item x="1893"/>
        <item x="1987"/>
        <item x="1050"/>
        <item x="491"/>
        <item x="1102"/>
        <item x="1863"/>
        <item x="235"/>
        <item x="788"/>
        <item x="1045"/>
        <item x="77"/>
        <item x="2122"/>
        <item x="919"/>
        <item x="2919"/>
        <item x="1428"/>
        <item x="1919"/>
        <item x="2861"/>
        <item x="1578"/>
        <item x="1581"/>
        <item x="532"/>
        <item x="1000"/>
        <item x="2292"/>
        <item x="744"/>
        <item x="278"/>
        <item x="2809"/>
        <item x="1103"/>
        <item x="389"/>
        <item x="893"/>
        <item x="1060"/>
        <item x="2162"/>
        <item x="1171"/>
        <item x="1838"/>
        <item x="1917"/>
        <item x="1059"/>
        <item x="771"/>
        <item x="1706"/>
        <item x="1280"/>
        <item x="2259"/>
        <item x="2333"/>
        <item x="950"/>
        <item x="971"/>
        <item x="368"/>
        <item x="2909"/>
        <item x="2004"/>
        <item x="583"/>
        <item x="820"/>
        <item x="1117"/>
        <item x="1982"/>
        <item x="198"/>
        <item x="303"/>
        <item x="189"/>
        <item x="939"/>
        <item x="509"/>
        <item x="272"/>
        <item x="892"/>
        <item x="322"/>
        <item x="1635"/>
        <item x="449"/>
        <item x="1998"/>
        <item x="673"/>
        <item x="1298"/>
        <item x="377"/>
        <item x="1267"/>
        <item x="1404"/>
        <item x="731"/>
        <item x="1254"/>
        <item x="2661"/>
        <item x="1750"/>
        <item x="1909"/>
        <item x="356"/>
        <item x="1328"/>
        <item x="1282"/>
        <item x="1043"/>
        <item x="2828"/>
        <item x="585"/>
        <item x="2135"/>
        <item x="513"/>
        <item x="1063"/>
        <item x="2113"/>
        <item x="101"/>
        <item x="1049"/>
        <item x="1012"/>
        <item x="0"/>
        <item x="166"/>
        <item x="1067"/>
        <item x="835"/>
        <item x="891"/>
        <item x="1177"/>
        <item x="1233"/>
        <item x="2857"/>
        <item x="424"/>
        <item x="1522"/>
        <item x="103"/>
        <item x="735"/>
        <item x="1058"/>
        <item x="1536"/>
        <item x="2679"/>
        <item x="1034"/>
        <item x="1631"/>
        <item x="534"/>
        <item x="1586"/>
        <item x="2032"/>
        <item x="565"/>
        <item x="203"/>
        <item x="2243"/>
        <item x="1127"/>
        <item x="1818"/>
        <item x="2922"/>
        <item x="74"/>
        <item x="2277"/>
        <item x="241"/>
        <item x="662"/>
        <item x="1014"/>
        <item x="1294"/>
        <item x="1406"/>
        <item x="889"/>
        <item x="909"/>
        <item x="245"/>
        <item x="966"/>
        <item x="2188"/>
        <item x="1785"/>
        <item x="575"/>
        <item x="1352"/>
        <item x="502"/>
        <item x="2275"/>
        <item x="1797"/>
        <item x="171"/>
        <item x="1154"/>
        <item x="1408"/>
        <item x="2184"/>
        <item x="176"/>
        <item x="2294"/>
        <item x="2059"/>
        <item x="935"/>
        <item x="1297"/>
        <item x="2213"/>
        <item x="76"/>
        <item x="2940"/>
        <item x="1172"/>
        <item x="1485"/>
        <item x="2029"/>
        <item x="888"/>
        <item x="2382"/>
        <item x="1006"/>
        <item x="1331"/>
        <item x="1904"/>
        <item x="65"/>
        <item x="1397"/>
        <item x="2875"/>
        <item x="70"/>
        <item x="907"/>
        <item x="29"/>
        <item x="343"/>
        <item x="1138"/>
        <item x="734"/>
        <item x="970"/>
        <item x="570"/>
        <item x="877"/>
        <item x="2200"/>
        <item x="647"/>
        <item x="61"/>
        <item x="991"/>
        <item x="589"/>
        <item x="2042"/>
        <item x="237"/>
        <item x="3"/>
        <item x="2969"/>
        <item x="2829"/>
        <item x="980"/>
        <item x="885"/>
        <item x="1884"/>
        <item x="1962"/>
        <item x="1726"/>
        <item x="348"/>
        <item x="642"/>
        <item x="313"/>
        <item x="2802"/>
        <item x="1575"/>
        <item x="1247"/>
        <item x="361"/>
        <item x="849"/>
        <item x="121"/>
        <item x="433"/>
        <item x="1078"/>
        <item x="1215"/>
        <item x="1010"/>
        <item x="2930"/>
        <item x="2340"/>
        <item x="910"/>
        <item x="1701"/>
        <item x="1487"/>
        <item x="1161"/>
        <item x="890"/>
        <item x="208"/>
        <item x="1803"/>
        <item x="1054"/>
        <item x="183"/>
        <item x="2043"/>
        <item x="522"/>
        <item x="107"/>
        <item x="840"/>
        <item x="764"/>
        <item x="873"/>
        <item x="149"/>
        <item x="2074"/>
        <item x="2653"/>
        <item x="2369"/>
        <item x="884"/>
        <item x="2040"/>
        <item x="545"/>
        <item x="1771"/>
        <item x="2168"/>
        <item x="683"/>
        <item x="335"/>
        <item x="489"/>
        <item x="725"/>
        <item x="118"/>
        <item x="1146"/>
        <item x="955"/>
        <item x="2805"/>
        <item x="164"/>
        <item x="2075"/>
        <item x="4"/>
        <item x="887"/>
        <item x="618"/>
        <item x="211"/>
        <item x="2268"/>
        <item x="1687"/>
        <item x="2758"/>
        <item x="1173"/>
        <item x="1009"/>
        <item x="802"/>
        <item x="1246"/>
        <item x="1222"/>
        <item x="756"/>
        <item x="1088"/>
        <item x="466"/>
        <item x="1223"/>
        <item x="2338"/>
        <item x="2353"/>
        <item x="1438"/>
        <item x="895"/>
        <item x="378"/>
        <item x="1506"/>
        <item x="2954"/>
        <item x="400"/>
        <item x="247"/>
        <item x="986"/>
        <item x="2276"/>
        <item x="1087"/>
        <item x="1752"/>
        <item x="156"/>
        <item x="329"/>
        <item x="2136"/>
        <item x="1816"/>
        <item x="2072"/>
        <item x="2308"/>
        <item x="240"/>
        <item x="913"/>
        <item x="2115"/>
        <item x="2284"/>
        <item x="2092"/>
        <item x="896"/>
        <item x="1212"/>
        <item x="316"/>
        <item x="915"/>
        <item x="680"/>
        <item x="828"/>
        <item x="135"/>
        <item x="1951"/>
        <item x="612"/>
        <item x="140"/>
        <item x="946"/>
        <item x="1542"/>
        <item x="440"/>
        <item x="1625"/>
        <item x="212"/>
        <item x="723"/>
        <item x="234"/>
        <item x="1971"/>
        <item x="165"/>
        <item x="1850"/>
        <item x="8"/>
        <item x="912"/>
        <item x="187"/>
        <item x="886"/>
        <item x="1636"/>
        <item x="923"/>
        <item x="963"/>
        <item x="2907"/>
        <item x="2192"/>
        <item x="1595"/>
        <item x="2307"/>
        <item x="359"/>
        <item x="689"/>
        <item x="969"/>
        <item x="1225"/>
        <item x="360"/>
        <item x="988"/>
        <item x="904"/>
        <item x="2917"/>
        <item x="943"/>
        <item x="327"/>
        <item x="1704"/>
        <item x="897"/>
        <item x="573"/>
        <item x="917"/>
        <item x="281"/>
        <item x="2946"/>
        <item x="1466"/>
        <item x="496"/>
        <item x="686"/>
        <item x="205"/>
        <item x="2629"/>
        <item x="2956"/>
        <item x="2347"/>
        <item x="284"/>
        <item x="914"/>
        <item x="1155"/>
        <item x="342"/>
        <item x="184"/>
        <item x="1168"/>
        <item x="2139"/>
        <item x="2290"/>
        <item x="1754"/>
        <item x="738"/>
        <item x="2221"/>
        <item x="898"/>
        <item x="596"/>
        <item x="1988"/>
        <item x="1959"/>
        <item x="2395"/>
        <item x="1083"/>
        <item x="759"/>
        <item x="671"/>
        <item x="1017"/>
        <item x="1152"/>
        <item x="1002"/>
        <item x="1110"/>
        <item x="992"/>
        <item x="2916"/>
        <item x="2899"/>
        <item x="1240"/>
        <item x="1898"/>
        <item x="1772"/>
        <item x="961"/>
        <item x="590"/>
        <item x="667"/>
        <item x="437"/>
        <item x="559"/>
        <item x="89"/>
        <item x="1847"/>
        <item x="69"/>
        <item x="386"/>
        <item x="978"/>
        <item x="2312"/>
        <item x="1638"/>
        <item x="1912"/>
        <item x="855"/>
        <item x="1879"/>
        <item x="2911"/>
        <item x="2278"/>
        <item x="251"/>
        <item x="1783"/>
        <item x="968"/>
        <item x="75"/>
        <item x="2261"/>
        <item x="572"/>
        <item x="1839"/>
        <item x="990"/>
        <item x="2403"/>
        <item x="2052"/>
        <item x="2258"/>
        <item x="256"/>
        <item x="588"/>
        <item x="1700"/>
        <item x="283"/>
        <item x="755"/>
        <item x="1724"/>
        <item x="1554"/>
        <item x="975"/>
        <item x="1929"/>
        <item x="1185"/>
        <item x="824"/>
        <item x="916"/>
        <item x="553"/>
        <item x="1721"/>
        <item x="981"/>
        <item x="942"/>
        <item x="484"/>
        <item x="2177"/>
        <item x="2315"/>
        <item x="2775"/>
        <item x="1021"/>
        <item x="1689"/>
        <item x="561"/>
        <item x="733"/>
        <item x="358"/>
        <item x="1774"/>
        <item x="921"/>
        <item x="2734"/>
        <item x="20"/>
        <item x="795"/>
        <item x="290"/>
        <item x="2183"/>
        <item x="85"/>
        <item x="17"/>
        <item x="1062"/>
        <item x="737"/>
        <item x="985"/>
        <item x="1892"/>
        <item x="293"/>
        <item x="2915"/>
        <item x="529"/>
        <item x="541"/>
        <item x="324"/>
        <item x="2154"/>
        <item x="786"/>
        <item x="2241"/>
        <item x="2296"/>
        <item x="947"/>
        <item x="420"/>
        <item x="1780"/>
        <item x="2351"/>
        <item x="543"/>
        <item x="2145"/>
        <item x="948"/>
        <item x="732"/>
        <item x="1475"/>
        <item x="1798"/>
        <item x="1995"/>
        <item x="996"/>
        <item x="1666"/>
        <item x="2955"/>
        <item x="2394"/>
        <item x="908"/>
        <item x="1791"/>
        <item x="956"/>
        <item x="697"/>
        <item x="567"/>
        <item x="503"/>
        <item x="951"/>
        <item x="1039"/>
        <item x="999"/>
        <item x="2219"/>
        <item x="2051"/>
        <item x="1763"/>
        <item x="962"/>
        <item x="2089"/>
        <item x="271"/>
        <item x="902"/>
        <item x="2033"/>
        <item x="934"/>
        <item x="656"/>
        <item x="2365"/>
        <item x="1660"/>
        <item x="847"/>
        <item x="1672"/>
        <item x="2818"/>
        <item x="707"/>
        <item x="960"/>
        <item x="869"/>
        <item x="2009"/>
        <item x="2083"/>
        <item x="193"/>
        <item x="2484"/>
        <item x="964"/>
        <item x="1632"/>
        <item x="708"/>
        <item x="2492"/>
        <item x="94"/>
        <item x="743"/>
        <item x="1133"/>
        <item x="2437"/>
        <item x="2429"/>
        <item x="1775"/>
        <item x="2114"/>
        <item x="1434"/>
        <item x="736"/>
        <item x="100"/>
        <item x="716"/>
        <item x="23"/>
        <item x="1609"/>
        <item x="2060"/>
        <item x="2058"/>
        <item x="1141"/>
        <item x="814"/>
        <item x="833"/>
        <item x="2371"/>
        <item x="254"/>
        <item x="209"/>
        <item x="1866"/>
        <item x="1734"/>
        <item x="252"/>
        <item x="622"/>
        <item x="2015"/>
        <item x="1886"/>
        <item x="823"/>
        <item x="266"/>
        <item x="147"/>
        <item x="810"/>
        <item x="730"/>
        <item x="2109"/>
        <item x="997"/>
        <item x="1035"/>
        <item x="2138"/>
        <item x="2282"/>
        <item x="351"/>
        <item x="2094"/>
        <item x="2436"/>
        <item x="14"/>
        <item x="973"/>
        <item x="927"/>
        <item x="2414"/>
        <item x="1647"/>
        <item x="2087"/>
        <item x="920"/>
        <item x="2906"/>
        <item x="485"/>
        <item x="989"/>
        <item x="1997"/>
        <item x="257"/>
        <item x="1985"/>
        <item x="931"/>
        <item x="2151"/>
        <item x="925"/>
        <item x="229"/>
        <item x="1340"/>
        <item x="2286"/>
        <item x="1052"/>
        <item x="994"/>
        <item x="191"/>
        <item x="2082"/>
        <item x="645"/>
        <item x="2481"/>
        <item x="929"/>
        <item x="613"/>
        <item x="244"/>
        <item x="170"/>
        <item x="1809"/>
        <item x="937"/>
        <item x="926"/>
        <item x="533"/>
        <item x="2155"/>
        <item x="1633"/>
        <item x="2389"/>
        <item x="2410"/>
        <item x="930"/>
        <item x="2269"/>
        <item x="1692"/>
        <item x="2490"/>
        <item x="933"/>
        <item x="944"/>
        <item x="2013"/>
        <item x="127"/>
        <item x="242"/>
        <item x="2431"/>
        <item x="461"/>
        <item x="959"/>
        <item x="979"/>
        <item x="693"/>
        <item x="1686"/>
        <item x="2137"/>
        <item x="253"/>
        <item x="47"/>
        <item x="2416"/>
        <item x="2935"/>
        <item x="2252"/>
        <item x="709"/>
        <item x="99"/>
        <item x="557"/>
        <item x="2324"/>
        <item x="965"/>
        <item x="2193"/>
        <item x="1848"/>
        <item x="2465"/>
        <item x="2118"/>
        <item x="1828"/>
        <item x="2816"/>
        <item x="519"/>
        <item x="414"/>
        <item x="976"/>
        <item x="2483"/>
        <item x="1944"/>
        <item x="2352"/>
        <item x="982"/>
        <item x="998"/>
        <item x="68"/>
        <item x="679"/>
        <item x="182"/>
        <item x="639"/>
        <item x="936"/>
        <item x="2980"/>
        <item x="1510"/>
        <item x="2208"/>
        <item x="2357"/>
        <item x="2454"/>
        <item x="267"/>
        <item x="1902"/>
        <item x="2095"/>
        <item x="593"/>
        <item x="624"/>
        <item x="870"/>
        <item x="2170"/>
        <item x="501"/>
        <item x="938"/>
        <item x="2020"/>
        <item x="601"/>
        <item x="918"/>
        <item x="993"/>
        <item x="753"/>
        <item x="2477"/>
        <item x="2491"/>
        <item x="2485"/>
        <item x="2467"/>
        <item x="2453"/>
        <item x="813"/>
        <item x="2234"/>
        <item x="564"/>
        <item x="2152"/>
        <item x="906"/>
        <item x="150"/>
        <item x="2478"/>
        <item x="110"/>
        <item x="957"/>
        <item x="2418"/>
        <item x="843"/>
        <item x="2442"/>
        <item x="2488"/>
        <item x="2463"/>
        <item x="972"/>
        <item x="246"/>
        <item x="2399"/>
        <item x="2444"/>
        <item x="911"/>
        <item x="718"/>
        <item x="949"/>
        <item x="517"/>
        <item x="301"/>
        <item x="2283"/>
        <item x="109"/>
        <item x="181"/>
        <item x="125"/>
        <item x="294"/>
        <item x="2207"/>
        <item x="2480"/>
        <item x="1977"/>
        <item x="2423"/>
        <item x="2464"/>
        <item x="2451"/>
        <item x="2166"/>
        <item x="2432"/>
        <item x="2260"/>
        <item x="1865"/>
        <item x="765"/>
        <item x="903"/>
        <item x="825"/>
        <item x="578"/>
        <item x="302"/>
        <item x="2476"/>
        <item x="2461"/>
        <item x="2078"/>
        <item x="2470"/>
        <item x="2973"/>
        <item x="263"/>
        <item x="2460"/>
        <item x="161"/>
        <item x="2426"/>
        <item x="758"/>
        <item x="692"/>
        <item x="36"/>
        <item x="2125"/>
        <item x="704"/>
        <item x="2459"/>
        <item x="2398"/>
        <item x="2400"/>
        <item x="2430"/>
        <item x="2471"/>
        <item x="2427"/>
        <item x="983"/>
        <item x="809"/>
        <item x="2493"/>
        <item x="597"/>
        <item x="2246"/>
        <item x="2172"/>
        <item x="2374"/>
        <item x="995"/>
        <item x="2449"/>
        <item x="790"/>
        <item x="2475"/>
        <item x="120"/>
        <item x="2236"/>
        <item x="2031"/>
        <item x="88"/>
        <item x="2452"/>
        <item x="1907"/>
        <item x="2448"/>
        <item x="2404"/>
        <item x="275"/>
        <item x="2433"/>
        <item x="258"/>
        <item x="463"/>
        <item x="542"/>
        <item x="2157"/>
        <item x="2084"/>
        <item x="620"/>
        <item x="2413"/>
        <item x="2159"/>
        <item x="16"/>
        <item x="781"/>
        <item x="2479"/>
        <item x="2447"/>
        <item x="2462"/>
        <item x="932"/>
        <item x="660"/>
        <item x="599"/>
        <item x="2302"/>
        <item x="2486"/>
        <item x="940"/>
        <item x="741"/>
        <item x="2097"/>
        <item x="2079"/>
        <item x="2466"/>
        <item x="2408"/>
        <item x="2434"/>
        <item x="905"/>
        <item x="2274"/>
        <item x="623"/>
        <item x="445"/>
        <item x="2367"/>
        <item x="405"/>
        <item x="2482"/>
        <item x="297"/>
        <item x="268"/>
        <item x="221"/>
        <item x="18"/>
        <item x="604"/>
        <item x="280"/>
        <item x="1719"/>
        <item x="2065"/>
        <item x="555"/>
        <item x="2456"/>
        <item x="1878"/>
        <item x="1880"/>
        <item x="131"/>
        <item x="924"/>
        <item x="804"/>
        <item x="841"/>
        <item x="2428"/>
        <item x="2409"/>
        <item x="856"/>
        <item x="2438"/>
        <item x="661"/>
        <item x="160"/>
        <item x="2445"/>
        <item x="655"/>
        <item x="2474"/>
        <item x="766"/>
        <item x="2422"/>
        <item x="2435"/>
        <item x="2455"/>
        <item x="2412"/>
        <item x="2116"/>
        <item x="945"/>
        <item x="2110"/>
        <item x="2457"/>
        <item x="2396"/>
        <item x="2419"/>
        <item x="2045"/>
        <item x="430"/>
        <item x="954"/>
        <item x="977"/>
        <item x="712"/>
        <item x="798"/>
        <item x="188"/>
        <item x="581"/>
        <item x="2406"/>
        <item x="2489"/>
        <item x="416"/>
        <item x="2165"/>
        <item x="285"/>
        <item x="958"/>
        <item x="2253"/>
        <item x="1916"/>
        <item x="2415"/>
        <item x="2421"/>
        <item x="1859"/>
        <item x="2411"/>
        <item x="1882"/>
        <item x="2441"/>
        <item x="2327"/>
        <item x="2424"/>
        <item x="2049"/>
        <item x="2191"/>
        <item x="2420"/>
        <item x="2472"/>
        <item x="2176"/>
        <item x="2025"/>
        <item x="2468"/>
        <item x="2304"/>
        <item x="2401"/>
        <item x="220"/>
        <item x="2334"/>
        <item x="563"/>
        <item x="610"/>
        <item x="2156"/>
        <item x="727"/>
        <item x="2121"/>
        <item x="2469"/>
        <item x="633"/>
        <item x="2443"/>
        <item x="2239"/>
        <item x="230"/>
        <item x="720"/>
        <item x="2402"/>
        <item x="71"/>
        <item x="984"/>
        <item x="551"/>
        <item x="2405"/>
        <item x="652"/>
        <item x="760"/>
        <item x="381"/>
        <item x="2119"/>
        <item x="987"/>
        <item x="1611"/>
        <item x="464"/>
        <item x="2417"/>
        <item x="1810"/>
        <item x="2440"/>
        <item x="2407"/>
        <item x="1925"/>
        <item x="289"/>
        <item x="796"/>
        <item x="62"/>
        <item x="691"/>
        <item x="2163"/>
        <item x="2230"/>
        <item x="2348"/>
        <item x="2117"/>
        <item x="657"/>
        <item x="2309"/>
        <item x="132"/>
        <item x="594"/>
        <item x="2071"/>
        <item x="2425"/>
        <item x="2388"/>
        <item x="797"/>
        <item x="2397"/>
        <item x="1937"/>
        <item x="2487"/>
        <item x="2458"/>
        <item x="2450"/>
        <item x="2000"/>
        <item x="306"/>
        <item x="722"/>
        <item x="1973"/>
        <item x="48"/>
        <item x="180"/>
        <item x="195"/>
        <item x="762"/>
        <item x="2198"/>
        <item x="739"/>
        <item x="2891"/>
        <item x="785"/>
        <item x="2446"/>
        <item x="309"/>
        <item x="2195"/>
        <item x="685"/>
        <item x="832"/>
        <item x="1696"/>
        <item x="2255"/>
        <item x="941"/>
        <item x="2379"/>
        <item x="653"/>
        <item x="703"/>
        <item x="2205"/>
        <item x="2057"/>
        <item x="793"/>
        <item x="2019"/>
        <item x="808"/>
        <item x="2235"/>
        <item x="2439"/>
        <item x="881"/>
        <item x="2017"/>
        <item x="2160"/>
        <item x="754"/>
        <item x="2473"/>
        <item x="2238"/>
        <item x="606"/>
        <item x="333"/>
        <item x="845"/>
        <item x="544"/>
        <item x="2129"/>
        <item x="706"/>
        <item x="276"/>
        <item x="2281"/>
        <item x="1835"/>
        <item x="1819"/>
        <item x="1926"/>
        <item x="520"/>
        <item x="750"/>
        <item x="569"/>
        <item x="1804"/>
        <item x="1690"/>
        <item x="817"/>
        <item x="2203"/>
        <item x="2330"/>
        <item x="768"/>
        <item x="684"/>
        <item x="775"/>
        <item x="550"/>
        <item x="2380"/>
        <item x="862"/>
        <item x="681"/>
        <item x="742"/>
        <item x="566"/>
        <item x="880"/>
        <item x="763"/>
        <item x="836"/>
        <item x="767"/>
        <item x="2244"/>
        <item x="277"/>
        <item x="2174"/>
        <item x="688"/>
        <item x="418"/>
        <item x="2336"/>
        <item x="2062"/>
        <item x="584"/>
        <item x="2175"/>
        <item x="631"/>
        <item x="2250"/>
        <item x="2197"/>
        <item x="2106"/>
        <item x="2297"/>
        <item x="822"/>
        <item x="872"/>
        <item x="2237"/>
        <item x="2102"/>
        <item x="2036"/>
        <item x="579"/>
        <item x="876"/>
        <item x="770"/>
        <item x="719"/>
        <item x="2196"/>
        <item x="654"/>
        <item x="2378"/>
        <item x="580"/>
        <item x="2280"/>
        <item x="745"/>
        <item x="805"/>
        <item x="524"/>
        <item x="2209"/>
        <item x="2288"/>
        <item x="552"/>
        <item x="2148"/>
        <item x="2240"/>
        <item x="2146"/>
        <item x="2305"/>
        <item x="634"/>
        <item x="2346"/>
        <item x="863"/>
        <item x="2202"/>
        <item x="2279"/>
        <item x="2363"/>
        <item x="2067"/>
        <item x="609"/>
        <item x="2384"/>
        <item x="2046"/>
        <item x="2053"/>
        <item x="2295"/>
        <item x="630"/>
        <item x="2055"/>
        <item x="1615"/>
        <item x="747"/>
        <item x="2073"/>
        <item x="659"/>
        <item x="2186"/>
        <item x="562"/>
        <item x="2158"/>
        <item x="2131"/>
        <item x="516"/>
        <item x="757"/>
        <item x="2179"/>
        <item x="2182"/>
        <item x="748"/>
        <item x="2251"/>
        <item x="2322"/>
        <item x="2111"/>
        <item x="2364"/>
        <item x="2266"/>
        <item x="2104"/>
        <item x="672"/>
        <item x="2066"/>
        <item x="705"/>
        <item x="632"/>
        <item x="2190"/>
        <item x="2370"/>
        <item x="761"/>
        <item x="675"/>
        <item x="2225"/>
        <item x="2298"/>
        <item x="2039"/>
        <item x="2201"/>
        <item x="2227"/>
        <item x="882"/>
        <item x="2335"/>
        <item x="2223"/>
        <item x="2373"/>
        <item x="871"/>
        <item x="2228"/>
        <item x="2054"/>
        <item x="621"/>
        <item x="676"/>
        <item x="2321"/>
        <item x="2206"/>
        <item x="2088"/>
        <item x="651"/>
        <item x="2063"/>
        <item x="749"/>
        <item x="2332"/>
        <item x="2047"/>
        <item x="2124"/>
        <item x="2217"/>
        <item x="2254"/>
        <item x="2342"/>
        <item x="816"/>
        <item x="2061"/>
        <item x="819"/>
        <item x="2141"/>
        <item x="2214"/>
        <item x="2368"/>
        <item x="2037"/>
        <item x="772"/>
        <item x="868"/>
        <item x="834"/>
        <item x="598"/>
        <item x="746"/>
        <item x="2273"/>
        <item x="2256"/>
        <item x="2386"/>
        <item x="801"/>
        <item x="668"/>
        <item x="2181"/>
        <item x="778"/>
        <item x="2344"/>
        <item x="783"/>
        <item x="2171"/>
        <item x="867"/>
        <item x="2385"/>
        <item x="773"/>
        <item x="2354"/>
        <item x="2215"/>
        <item x="2314"/>
        <item x="2343"/>
        <item x="2306"/>
        <item x="815"/>
        <item x="591"/>
        <item x="2317"/>
        <item x="883"/>
        <item t="default"/>
      </items>
    </pivotField>
  </pivotFields>
  <rowFields count="2">
    <field x="1"/>
    <field x="3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deviation STvsMY" fld="7" subtotal="average" baseField="1" baseItem="0"/>
  </dataFields>
  <formats count="4">
    <format dxfId="3">
      <pivotArea collapsedLevelsAreSubtotals="1" fieldPosition="0">
        <references count="1">
          <reference field="1" count="1">
            <x v="0"/>
          </reference>
        </references>
      </pivotArea>
    </format>
    <format dxfId="2">
      <pivotArea collapsedLevelsAreSubtotals="1" fieldPosition="0">
        <references count="2">
          <reference field="1" count="1" selected="0">
            <x v="0"/>
          </reference>
          <reference field="3" count="0"/>
        </references>
      </pivotArea>
    </format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collapsedLevelsAreSubtotals="1" fieldPosition="0">
        <references count="2">
          <reference field="1" count="1" selected="0">
            <x v="1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91991-E08E-4DDB-B979-60EB9FD3680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T18" firstHeaderRow="1" firstDataRow="2" firstDataCol="1"/>
  <pivotFields count="7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2">
    <field x="1"/>
    <field x="3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deviation" fld="6" subtotal="average" baseField="1" baseItem="0"/>
  </dataFields>
  <formats count="2">
    <format dxfId="5">
      <pivotArea collapsedLevelsAreSubtotals="1" fieldPosition="0">
        <references count="2">
          <reference field="1" count="1" selected="0">
            <x v="0"/>
          </reference>
          <reference field="3" count="0"/>
        </references>
      </pivotArea>
    </format>
    <format dxfId="4">
      <pivotArea collapsedLevelsAreSubtotals="1" fieldPosition="0">
        <references count="2">
          <reference field="1" count="1" selected="0">
            <x v="1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3612-54BF-4952-98BB-614196F16BB9}">
  <dimension ref="A1:B15"/>
  <sheetViews>
    <sheetView topLeftCell="A2" workbookViewId="0">
      <selection activeCell="F18" sqref="F18"/>
    </sheetView>
  </sheetViews>
  <sheetFormatPr defaultRowHeight="15" x14ac:dyDescent="0.25"/>
  <cols>
    <col min="1" max="1" width="18" bestFit="1" customWidth="1"/>
  </cols>
  <sheetData>
    <row r="1" spans="1:2" x14ac:dyDescent="0.25">
      <c r="A1" s="5" t="s">
        <v>17</v>
      </c>
      <c r="B1" s="5"/>
    </row>
    <row r="3" spans="1:2" x14ac:dyDescent="0.25">
      <c r="A3" t="s">
        <v>18</v>
      </c>
      <c r="B3">
        <v>51.705999999999939</v>
      </c>
    </row>
    <row r="4" spans="1:2" x14ac:dyDescent="0.25">
      <c r="A4" t="s">
        <v>19</v>
      </c>
      <c r="B4">
        <v>8.348471099367219E-2</v>
      </c>
    </row>
    <row r="5" spans="1:2" x14ac:dyDescent="0.25">
      <c r="A5" t="s">
        <v>20</v>
      </c>
      <c r="B5">
        <v>51.805999999999997</v>
      </c>
    </row>
    <row r="6" spans="1:2" x14ac:dyDescent="0.25">
      <c r="A6" t="s">
        <v>21</v>
      </c>
      <c r="B6">
        <v>51.805999999999997</v>
      </c>
    </row>
    <row r="7" spans="1:2" x14ac:dyDescent="0.25">
      <c r="A7" t="s">
        <v>22</v>
      </c>
      <c r="B7">
        <v>0.83484710993672184</v>
      </c>
    </row>
    <row r="8" spans="1:2" x14ac:dyDescent="0.25">
      <c r="A8" t="s">
        <v>23</v>
      </c>
      <c r="B8">
        <v>0.69696969696969702</v>
      </c>
    </row>
    <row r="9" spans="1:2" x14ac:dyDescent="0.25">
      <c r="A9" t="s">
        <v>24</v>
      </c>
      <c r="B9">
        <v>0.26000094657162753</v>
      </c>
    </row>
    <row r="10" spans="1:2" x14ac:dyDescent="0.25">
      <c r="A10" t="s">
        <v>25</v>
      </c>
      <c r="B10">
        <v>8.5027443780660503E-2</v>
      </c>
    </row>
    <row r="11" spans="1:2" x14ac:dyDescent="0.25">
      <c r="A11" t="s">
        <v>26</v>
      </c>
      <c r="B11">
        <v>4</v>
      </c>
    </row>
    <row r="12" spans="1:2" x14ac:dyDescent="0.25">
      <c r="A12" t="s">
        <v>27</v>
      </c>
      <c r="B12">
        <v>49.805999999999997</v>
      </c>
    </row>
    <row r="13" spans="1:2" x14ac:dyDescent="0.25">
      <c r="A13" t="s">
        <v>28</v>
      </c>
      <c r="B13">
        <v>53.805999999999997</v>
      </c>
    </row>
    <row r="14" spans="1:2" x14ac:dyDescent="0.25">
      <c r="A14" t="s">
        <v>29</v>
      </c>
      <c r="B14">
        <v>5170.599999999994</v>
      </c>
    </row>
    <row r="15" spans="1:2" ht="15.75" thickBot="1" x14ac:dyDescent="0.3">
      <c r="A15" s="4" t="s">
        <v>30</v>
      </c>
      <c r="B15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462A-3C51-42A5-B8AD-CE2573C3610C}">
  <dimension ref="A3:E48"/>
  <sheetViews>
    <sheetView workbookViewId="0">
      <selection activeCell="B13" sqref="B13:B18"/>
    </sheetView>
  </sheetViews>
  <sheetFormatPr defaultRowHeight="15" x14ac:dyDescent="0.25"/>
  <cols>
    <col min="1" max="1" width="13.85546875" bestFit="1" customWidth="1"/>
    <col min="2" max="3" width="26.140625" bestFit="1" customWidth="1"/>
    <col min="4" max="4" width="25.5703125" bestFit="1" customWidth="1"/>
    <col min="5" max="5" width="26.140625" bestFit="1" customWidth="1"/>
    <col min="6" max="6" width="25.5703125" bestFit="1" customWidth="1"/>
    <col min="7" max="7" width="26.140625" bestFit="1" customWidth="1"/>
    <col min="8" max="8" width="30.5703125" bestFit="1" customWidth="1"/>
    <col min="9" max="9" width="31.140625" bestFit="1" customWidth="1"/>
  </cols>
  <sheetData>
    <row r="3" spans="1:5" x14ac:dyDescent="0.25">
      <c r="A3" s="1" t="s">
        <v>15</v>
      </c>
      <c r="B3" t="s">
        <v>16</v>
      </c>
    </row>
    <row r="4" spans="1:5" x14ac:dyDescent="0.25">
      <c r="A4" s="2" t="s">
        <v>4</v>
      </c>
      <c r="B4">
        <v>1152.8031111111093</v>
      </c>
      <c r="E4" s="6">
        <v>20</v>
      </c>
    </row>
    <row r="5" spans="1:5" x14ac:dyDescent="0.25">
      <c r="A5" s="3" t="s">
        <v>6</v>
      </c>
      <c r="B5">
        <v>815.66049166666676</v>
      </c>
      <c r="E5" s="6">
        <v>40</v>
      </c>
    </row>
    <row r="6" spans="1:5" x14ac:dyDescent="0.25">
      <c r="A6" s="6">
        <v>20</v>
      </c>
      <c r="B6">
        <v>315.78799999999944</v>
      </c>
      <c r="E6" s="6">
        <v>60</v>
      </c>
    </row>
    <row r="7" spans="1:5" x14ac:dyDescent="0.25">
      <c r="A7" s="6">
        <v>40</v>
      </c>
      <c r="B7">
        <v>515.36740999999984</v>
      </c>
      <c r="E7" s="6">
        <v>80</v>
      </c>
    </row>
    <row r="8" spans="1:5" x14ac:dyDescent="0.25">
      <c r="A8" s="6">
        <v>60</v>
      </c>
      <c r="B8">
        <v>711.65046999999993</v>
      </c>
      <c r="E8" s="6">
        <v>100</v>
      </c>
    </row>
    <row r="9" spans="1:5" x14ac:dyDescent="0.25">
      <c r="A9" s="6">
        <v>80</v>
      </c>
      <c r="B9">
        <v>915.17971999999997</v>
      </c>
      <c r="E9" s="6">
        <v>120</v>
      </c>
    </row>
    <row r="10" spans="1:5" x14ac:dyDescent="0.25">
      <c r="A10" s="6">
        <v>100</v>
      </c>
      <c r="B10">
        <v>1113.0294900000001</v>
      </c>
    </row>
    <row r="11" spans="1:5" x14ac:dyDescent="0.25">
      <c r="A11" s="6">
        <v>120</v>
      </c>
      <c r="B11">
        <v>1322.94786</v>
      </c>
    </row>
    <row r="12" spans="1:5" x14ac:dyDescent="0.25">
      <c r="A12" s="3" t="s">
        <v>5</v>
      </c>
      <c r="B12">
        <v>131.28722666666667</v>
      </c>
    </row>
    <row r="13" spans="1:5" x14ac:dyDescent="0.25">
      <c r="A13" s="6">
        <v>20</v>
      </c>
      <c r="B13">
        <v>51.705999999999939</v>
      </c>
    </row>
    <row r="14" spans="1:5" x14ac:dyDescent="0.25">
      <c r="A14" s="6">
        <v>40</v>
      </c>
      <c r="B14">
        <v>83.863120000000023</v>
      </c>
    </row>
    <row r="15" spans="1:5" x14ac:dyDescent="0.25">
      <c r="A15" s="6">
        <v>60</v>
      </c>
      <c r="B15">
        <v>117.11722000000003</v>
      </c>
    </row>
    <row r="16" spans="1:5" x14ac:dyDescent="0.25">
      <c r="A16" s="6">
        <v>80</v>
      </c>
      <c r="B16">
        <v>146.67577</v>
      </c>
    </row>
    <row r="17" spans="1:2" x14ac:dyDescent="0.25">
      <c r="A17" s="6">
        <v>100</v>
      </c>
      <c r="B17">
        <v>178.20447000000004</v>
      </c>
    </row>
    <row r="18" spans="1:2" x14ac:dyDescent="0.25">
      <c r="A18" s="6">
        <v>120</v>
      </c>
      <c r="B18">
        <v>210.15678000000003</v>
      </c>
    </row>
    <row r="19" spans="1:2" x14ac:dyDescent="0.25">
      <c r="A19" s="3" t="s">
        <v>7</v>
      </c>
      <c r="B19">
        <v>2511.4616150000002</v>
      </c>
    </row>
    <row r="20" spans="1:2" x14ac:dyDescent="0.25">
      <c r="A20" s="6">
        <v>20</v>
      </c>
      <c r="B20">
        <v>969.21799999999871</v>
      </c>
    </row>
    <row r="21" spans="1:2" x14ac:dyDescent="0.25">
      <c r="A21" s="6">
        <v>40</v>
      </c>
      <c r="B21">
        <v>1583.1895499999998</v>
      </c>
    </row>
    <row r="22" spans="1:2" x14ac:dyDescent="0.25">
      <c r="A22" s="6">
        <v>60</v>
      </c>
      <c r="B22">
        <v>2202.7231000000006</v>
      </c>
    </row>
    <row r="23" spans="1:2" x14ac:dyDescent="0.25">
      <c r="A23" s="6">
        <v>80</v>
      </c>
      <c r="B23">
        <v>2820.2475299999992</v>
      </c>
    </row>
    <row r="24" spans="1:2" x14ac:dyDescent="0.25">
      <c r="A24" s="6">
        <v>100</v>
      </c>
      <c r="B24">
        <v>3439.0077899999997</v>
      </c>
    </row>
    <row r="25" spans="1:2" x14ac:dyDescent="0.25">
      <c r="A25" s="6">
        <v>120</v>
      </c>
      <c r="B25">
        <v>4054.3837199999984</v>
      </c>
    </row>
    <row r="26" spans="1:2" x14ac:dyDescent="0.25">
      <c r="A26" s="2" t="s">
        <v>9</v>
      </c>
      <c r="B26">
        <v>1072.3635033333326</v>
      </c>
    </row>
    <row r="27" spans="1:2" x14ac:dyDescent="0.25">
      <c r="A27" s="3" t="s">
        <v>6</v>
      </c>
      <c r="B27">
        <v>760.14792666666688</v>
      </c>
    </row>
    <row r="28" spans="1:2" x14ac:dyDescent="0.25">
      <c r="A28" s="6">
        <v>20</v>
      </c>
      <c r="B28">
        <v>265.74493000000001</v>
      </c>
    </row>
    <row r="29" spans="1:2" x14ac:dyDescent="0.25">
      <c r="A29" s="6">
        <v>40</v>
      </c>
      <c r="B29">
        <v>460.55830000000009</v>
      </c>
    </row>
    <row r="30" spans="1:2" x14ac:dyDescent="0.25">
      <c r="A30" s="6">
        <v>60</v>
      </c>
      <c r="B30">
        <v>657.43960000000004</v>
      </c>
    </row>
    <row r="31" spans="1:2" x14ac:dyDescent="0.25">
      <c r="A31" s="6">
        <v>80</v>
      </c>
      <c r="B31">
        <v>858.2951300000002</v>
      </c>
    </row>
    <row r="32" spans="1:2" x14ac:dyDescent="0.25">
      <c r="A32" s="6">
        <v>100</v>
      </c>
      <c r="B32">
        <v>1058.0311900000002</v>
      </c>
    </row>
    <row r="33" spans="1:2" x14ac:dyDescent="0.25">
      <c r="A33" s="6">
        <v>120</v>
      </c>
      <c r="B33">
        <v>1260.8184100000001</v>
      </c>
    </row>
    <row r="34" spans="1:2" x14ac:dyDescent="0.25">
      <c r="A34" s="3" t="s">
        <v>5</v>
      </c>
      <c r="B34">
        <v>123.53921333333325</v>
      </c>
    </row>
    <row r="35" spans="1:2" x14ac:dyDescent="0.25">
      <c r="A35" s="6">
        <v>20</v>
      </c>
      <c r="B35">
        <v>45.162430000000001</v>
      </c>
    </row>
    <row r="36" spans="1:2" x14ac:dyDescent="0.25">
      <c r="A36" s="6">
        <v>40</v>
      </c>
      <c r="B36">
        <v>76.951299999999989</v>
      </c>
    </row>
    <row r="37" spans="1:2" x14ac:dyDescent="0.25">
      <c r="A37" s="6">
        <v>60</v>
      </c>
      <c r="B37">
        <v>107.91355999999998</v>
      </c>
    </row>
    <row r="38" spans="1:2" x14ac:dyDescent="0.25">
      <c r="A38" s="6">
        <v>80</v>
      </c>
      <c r="B38">
        <v>138.71859000000006</v>
      </c>
    </row>
    <row r="39" spans="1:2" x14ac:dyDescent="0.25">
      <c r="A39" s="6">
        <v>100</v>
      </c>
      <c r="B39">
        <v>170.89830999999992</v>
      </c>
    </row>
    <row r="40" spans="1:2" x14ac:dyDescent="0.25">
      <c r="A40" s="6">
        <v>120</v>
      </c>
      <c r="B40">
        <v>201.59109000000007</v>
      </c>
    </row>
    <row r="41" spans="1:2" x14ac:dyDescent="0.25">
      <c r="A41" s="3" t="s">
        <v>7</v>
      </c>
      <c r="B41">
        <v>2333.40337</v>
      </c>
    </row>
    <row r="42" spans="1:2" x14ac:dyDescent="0.25">
      <c r="A42" s="6">
        <v>20</v>
      </c>
      <c r="B42">
        <v>816.80460000000005</v>
      </c>
    </row>
    <row r="43" spans="1:2" x14ac:dyDescent="0.25">
      <c r="A43" s="6">
        <v>40</v>
      </c>
      <c r="B43">
        <v>1413.54701</v>
      </c>
    </row>
    <row r="44" spans="1:2" x14ac:dyDescent="0.25">
      <c r="A44" s="6">
        <v>60</v>
      </c>
      <c r="B44">
        <v>2019.02223</v>
      </c>
    </row>
    <row r="45" spans="1:2" x14ac:dyDescent="0.25">
      <c r="A45" s="6">
        <v>80</v>
      </c>
      <c r="B45">
        <v>2643.17958</v>
      </c>
    </row>
    <row r="46" spans="1:2" x14ac:dyDescent="0.25">
      <c r="A46" s="6">
        <v>100</v>
      </c>
      <c r="B46">
        <v>3245.6268899999995</v>
      </c>
    </row>
    <row r="47" spans="1:2" x14ac:dyDescent="0.25">
      <c r="A47" s="6">
        <v>120</v>
      </c>
      <c r="B47">
        <v>3862.2399100000016</v>
      </c>
    </row>
    <row r="48" spans="1:2" x14ac:dyDescent="0.25">
      <c r="A48" s="2" t="s">
        <v>14</v>
      </c>
      <c r="B48">
        <v>1112.5833072222204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D7C6-AF15-4941-BD59-ACEA201B5A0D}">
  <dimension ref="A1:D5401"/>
  <sheetViews>
    <sheetView workbookViewId="0">
      <selection activeCell="B29" sqref="B2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>
        <v>20</v>
      </c>
      <c r="D2">
        <v>318.36799999999999</v>
      </c>
    </row>
    <row r="3" spans="1:4" x14ac:dyDescent="0.25">
      <c r="A3" t="s">
        <v>4</v>
      </c>
      <c r="B3" t="s">
        <v>6</v>
      </c>
      <c r="C3">
        <v>20</v>
      </c>
      <c r="D3">
        <v>316.36799999999999</v>
      </c>
    </row>
    <row r="4" spans="1:4" x14ac:dyDescent="0.25">
      <c r="A4" t="s">
        <v>4</v>
      </c>
      <c r="B4" t="s">
        <v>6</v>
      </c>
      <c r="C4">
        <v>20</v>
      </c>
      <c r="D4">
        <v>311.36799999999999</v>
      </c>
    </row>
    <row r="5" spans="1:4" x14ac:dyDescent="0.25">
      <c r="A5" t="s">
        <v>4</v>
      </c>
      <c r="B5" t="s">
        <v>6</v>
      </c>
      <c r="C5">
        <v>20</v>
      </c>
      <c r="D5">
        <v>319.36799999999999</v>
      </c>
    </row>
    <row r="6" spans="1:4" x14ac:dyDescent="0.25">
      <c r="A6" t="s">
        <v>4</v>
      </c>
      <c r="B6" t="s">
        <v>6</v>
      </c>
      <c r="C6">
        <v>20</v>
      </c>
      <c r="D6">
        <v>316.36799999999999</v>
      </c>
    </row>
    <row r="7" spans="1:4" x14ac:dyDescent="0.25">
      <c r="A7" t="s">
        <v>4</v>
      </c>
      <c r="B7" t="s">
        <v>6</v>
      </c>
      <c r="C7">
        <v>20</v>
      </c>
      <c r="D7">
        <v>320.36799999999999</v>
      </c>
    </row>
    <row r="8" spans="1:4" x14ac:dyDescent="0.25">
      <c r="A8" t="s">
        <v>4</v>
      </c>
      <c r="B8" t="s">
        <v>6</v>
      </c>
      <c r="C8">
        <v>20</v>
      </c>
      <c r="D8">
        <v>318.36799999999999</v>
      </c>
    </row>
    <row r="9" spans="1:4" x14ac:dyDescent="0.25">
      <c r="A9" t="s">
        <v>4</v>
      </c>
      <c r="B9" t="s">
        <v>6</v>
      </c>
      <c r="C9">
        <v>20</v>
      </c>
      <c r="D9">
        <v>314.36799999999999</v>
      </c>
    </row>
    <row r="10" spans="1:4" x14ac:dyDescent="0.25">
      <c r="A10" t="s">
        <v>4</v>
      </c>
      <c r="B10" t="s">
        <v>6</v>
      </c>
      <c r="C10">
        <v>20</v>
      </c>
      <c r="D10">
        <v>311.36799999999999</v>
      </c>
    </row>
    <row r="11" spans="1:4" x14ac:dyDescent="0.25">
      <c r="A11" t="s">
        <v>4</v>
      </c>
      <c r="B11" t="s">
        <v>6</v>
      </c>
      <c r="C11">
        <v>20</v>
      </c>
      <c r="D11">
        <v>315.36799999999999</v>
      </c>
    </row>
    <row r="12" spans="1:4" x14ac:dyDescent="0.25">
      <c r="A12" t="s">
        <v>4</v>
      </c>
      <c r="B12" t="s">
        <v>6</v>
      </c>
      <c r="C12">
        <v>20</v>
      </c>
      <c r="D12">
        <v>315.36799999999999</v>
      </c>
    </row>
    <row r="13" spans="1:4" x14ac:dyDescent="0.25">
      <c r="A13" t="s">
        <v>4</v>
      </c>
      <c r="B13" t="s">
        <v>6</v>
      </c>
      <c r="C13">
        <v>20</v>
      </c>
      <c r="D13">
        <v>314.36799999999999</v>
      </c>
    </row>
    <row r="14" spans="1:4" x14ac:dyDescent="0.25">
      <c r="A14" t="s">
        <v>4</v>
      </c>
      <c r="B14" t="s">
        <v>6</v>
      </c>
      <c r="C14">
        <v>20</v>
      </c>
      <c r="D14">
        <v>319.36799999999999</v>
      </c>
    </row>
    <row r="15" spans="1:4" x14ac:dyDescent="0.25">
      <c r="A15" t="s">
        <v>4</v>
      </c>
      <c r="B15" t="s">
        <v>6</v>
      </c>
      <c r="C15">
        <v>20</v>
      </c>
      <c r="D15">
        <v>314.36799999999999</v>
      </c>
    </row>
    <row r="16" spans="1:4" x14ac:dyDescent="0.25">
      <c r="A16" t="s">
        <v>4</v>
      </c>
      <c r="B16" t="s">
        <v>6</v>
      </c>
      <c r="C16">
        <v>20</v>
      </c>
      <c r="D16">
        <v>313.36799999999999</v>
      </c>
    </row>
    <row r="17" spans="1:4" x14ac:dyDescent="0.25">
      <c r="A17" t="s">
        <v>4</v>
      </c>
      <c r="B17" t="s">
        <v>6</v>
      </c>
      <c r="C17">
        <v>20</v>
      </c>
      <c r="D17">
        <v>318.36799999999999</v>
      </c>
    </row>
    <row r="18" spans="1:4" x14ac:dyDescent="0.25">
      <c r="A18" t="s">
        <v>4</v>
      </c>
      <c r="B18" t="s">
        <v>6</v>
      </c>
      <c r="C18">
        <v>20</v>
      </c>
      <c r="D18">
        <v>315.36799999999999</v>
      </c>
    </row>
    <row r="19" spans="1:4" x14ac:dyDescent="0.25">
      <c r="A19" t="s">
        <v>4</v>
      </c>
      <c r="B19" t="s">
        <v>6</v>
      </c>
      <c r="C19">
        <v>20</v>
      </c>
      <c r="D19">
        <v>314.36799999999999</v>
      </c>
    </row>
    <row r="20" spans="1:4" x14ac:dyDescent="0.25">
      <c r="A20" t="s">
        <v>4</v>
      </c>
      <c r="B20" t="s">
        <v>6</v>
      </c>
      <c r="C20">
        <v>20</v>
      </c>
      <c r="D20">
        <v>316.36799999999999</v>
      </c>
    </row>
    <row r="21" spans="1:4" x14ac:dyDescent="0.25">
      <c r="A21" t="s">
        <v>4</v>
      </c>
      <c r="B21" t="s">
        <v>6</v>
      </c>
      <c r="C21">
        <v>20</v>
      </c>
      <c r="D21">
        <v>314.36799999999999</v>
      </c>
    </row>
    <row r="22" spans="1:4" x14ac:dyDescent="0.25">
      <c r="A22" t="s">
        <v>4</v>
      </c>
      <c r="B22" t="s">
        <v>6</v>
      </c>
      <c r="C22">
        <v>20</v>
      </c>
      <c r="D22">
        <v>316.36799999999999</v>
      </c>
    </row>
    <row r="23" spans="1:4" x14ac:dyDescent="0.25">
      <c r="A23" t="s">
        <v>4</v>
      </c>
      <c r="B23" t="s">
        <v>6</v>
      </c>
      <c r="C23">
        <v>20</v>
      </c>
      <c r="D23">
        <v>316.36799999999999</v>
      </c>
    </row>
    <row r="24" spans="1:4" x14ac:dyDescent="0.25">
      <c r="A24" t="s">
        <v>4</v>
      </c>
      <c r="B24" t="s">
        <v>6</v>
      </c>
      <c r="C24">
        <v>20</v>
      </c>
      <c r="D24">
        <v>315.36799999999999</v>
      </c>
    </row>
    <row r="25" spans="1:4" x14ac:dyDescent="0.25">
      <c r="A25" t="s">
        <v>4</v>
      </c>
      <c r="B25" t="s">
        <v>6</v>
      </c>
      <c r="C25">
        <v>20</v>
      </c>
      <c r="D25">
        <v>315.36799999999999</v>
      </c>
    </row>
    <row r="26" spans="1:4" x14ac:dyDescent="0.25">
      <c r="A26" t="s">
        <v>4</v>
      </c>
      <c r="B26" t="s">
        <v>6</v>
      </c>
      <c r="C26">
        <v>20</v>
      </c>
      <c r="D26">
        <v>316.36799999999999</v>
      </c>
    </row>
    <row r="27" spans="1:4" x14ac:dyDescent="0.25">
      <c r="A27" t="s">
        <v>4</v>
      </c>
      <c r="B27" t="s">
        <v>6</v>
      </c>
      <c r="C27">
        <v>20</v>
      </c>
      <c r="D27">
        <v>315.36799999999999</v>
      </c>
    </row>
    <row r="28" spans="1:4" x14ac:dyDescent="0.25">
      <c r="A28" t="s">
        <v>4</v>
      </c>
      <c r="B28" t="s">
        <v>6</v>
      </c>
      <c r="C28">
        <v>20</v>
      </c>
      <c r="D28">
        <v>316.36799999999999</v>
      </c>
    </row>
    <row r="29" spans="1:4" x14ac:dyDescent="0.25">
      <c r="A29" t="s">
        <v>4</v>
      </c>
      <c r="B29" t="s">
        <v>6</v>
      </c>
      <c r="C29">
        <v>20</v>
      </c>
      <c r="D29">
        <v>315.36799999999999</v>
      </c>
    </row>
    <row r="30" spans="1:4" x14ac:dyDescent="0.25">
      <c r="A30" t="s">
        <v>4</v>
      </c>
      <c r="B30" t="s">
        <v>6</v>
      </c>
      <c r="C30">
        <v>20</v>
      </c>
      <c r="D30">
        <v>314.36799999999999</v>
      </c>
    </row>
    <row r="31" spans="1:4" x14ac:dyDescent="0.25">
      <c r="A31" t="s">
        <v>4</v>
      </c>
      <c r="B31" t="s">
        <v>6</v>
      </c>
      <c r="C31">
        <v>20</v>
      </c>
      <c r="D31">
        <v>316.36799999999999</v>
      </c>
    </row>
    <row r="32" spans="1:4" x14ac:dyDescent="0.25">
      <c r="A32" t="s">
        <v>4</v>
      </c>
      <c r="B32" t="s">
        <v>6</v>
      </c>
      <c r="C32">
        <v>20</v>
      </c>
      <c r="D32">
        <v>321.36799999999999</v>
      </c>
    </row>
    <row r="33" spans="1:4" x14ac:dyDescent="0.25">
      <c r="A33" t="s">
        <v>4</v>
      </c>
      <c r="B33" t="s">
        <v>6</v>
      </c>
      <c r="C33">
        <v>20</v>
      </c>
      <c r="D33">
        <v>315.36799999999999</v>
      </c>
    </row>
    <row r="34" spans="1:4" x14ac:dyDescent="0.25">
      <c r="A34" t="s">
        <v>4</v>
      </c>
      <c r="B34" t="s">
        <v>6</v>
      </c>
      <c r="C34">
        <v>20</v>
      </c>
      <c r="D34">
        <v>312.36799999999999</v>
      </c>
    </row>
    <row r="35" spans="1:4" x14ac:dyDescent="0.25">
      <c r="A35" t="s">
        <v>4</v>
      </c>
      <c r="B35" t="s">
        <v>6</v>
      </c>
      <c r="C35">
        <v>20</v>
      </c>
      <c r="D35">
        <v>315.36799999999999</v>
      </c>
    </row>
    <row r="36" spans="1:4" x14ac:dyDescent="0.25">
      <c r="A36" t="s">
        <v>4</v>
      </c>
      <c r="B36" t="s">
        <v>6</v>
      </c>
      <c r="C36">
        <v>20</v>
      </c>
      <c r="D36">
        <v>313.36799999999999</v>
      </c>
    </row>
    <row r="37" spans="1:4" x14ac:dyDescent="0.25">
      <c r="A37" t="s">
        <v>4</v>
      </c>
      <c r="B37" t="s">
        <v>6</v>
      </c>
      <c r="C37">
        <v>20</v>
      </c>
      <c r="D37">
        <v>315.36799999999999</v>
      </c>
    </row>
    <row r="38" spans="1:4" x14ac:dyDescent="0.25">
      <c r="A38" t="s">
        <v>4</v>
      </c>
      <c r="B38" t="s">
        <v>6</v>
      </c>
      <c r="C38">
        <v>20</v>
      </c>
      <c r="D38">
        <v>317.36799999999999</v>
      </c>
    </row>
    <row r="39" spans="1:4" x14ac:dyDescent="0.25">
      <c r="A39" t="s">
        <v>4</v>
      </c>
      <c r="B39" t="s">
        <v>6</v>
      </c>
      <c r="C39">
        <v>20</v>
      </c>
      <c r="D39">
        <v>318.36799999999999</v>
      </c>
    </row>
    <row r="40" spans="1:4" x14ac:dyDescent="0.25">
      <c r="A40" t="s">
        <v>4</v>
      </c>
      <c r="B40" t="s">
        <v>6</v>
      </c>
      <c r="C40">
        <v>20</v>
      </c>
      <c r="D40">
        <v>317.36799999999999</v>
      </c>
    </row>
    <row r="41" spans="1:4" x14ac:dyDescent="0.25">
      <c r="A41" t="s">
        <v>4</v>
      </c>
      <c r="B41" t="s">
        <v>6</v>
      </c>
      <c r="C41">
        <v>20</v>
      </c>
      <c r="D41">
        <v>312.36799999999999</v>
      </c>
    </row>
    <row r="42" spans="1:4" x14ac:dyDescent="0.25">
      <c r="A42" t="s">
        <v>4</v>
      </c>
      <c r="B42" t="s">
        <v>6</v>
      </c>
      <c r="C42">
        <v>20</v>
      </c>
      <c r="D42">
        <v>314.36799999999999</v>
      </c>
    </row>
    <row r="43" spans="1:4" x14ac:dyDescent="0.25">
      <c r="A43" t="s">
        <v>4</v>
      </c>
      <c r="B43" t="s">
        <v>6</v>
      </c>
      <c r="C43">
        <v>20</v>
      </c>
      <c r="D43">
        <v>313.36799999999999</v>
      </c>
    </row>
    <row r="44" spans="1:4" x14ac:dyDescent="0.25">
      <c r="A44" t="s">
        <v>4</v>
      </c>
      <c r="B44" t="s">
        <v>6</v>
      </c>
      <c r="C44">
        <v>20</v>
      </c>
      <c r="D44">
        <v>318.36799999999999</v>
      </c>
    </row>
    <row r="45" spans="1:4" x14ac:dyDescent="0.25">
      <c r="A45" t="s">
        <v>4</v>
      </c>
      <c r="B45" t="s">
        <v>6</v>
      </c>
      <c r="C45">
        <v>20</v>
      </c>
      <c r="D45">
        <v>315.36799999999999</v>
      </c>
    </row>
    <row r="46" spans="1:4" x14ac:dyDescent="0.25">
      <c r="A46" t="s">
        <v>4</v>
      </c>
      <c r="B46" t="s">
        <v>6</v>
      </c>
      <c r="C46">
        <v>20</v>
      </c>
      <c r="D46">
        <v>316.36799999999999</v>
      </c>
    </row>
    <row r="47" spans="1:4" x14ac:dyDescent="0.25">
      <c r="A47" t="s">
        <v>4</v>
      </c>
      <c r="B47" t="s">
        <v>6</v>
      </c>
      <c r="C47">
        <v>20</v>
      </c>
      <c r="D47">
        <v>313.36799999999999</v>
      </c>
    </row>
    <row r="48" spans="1:4" x14ac:dyDescent="0.25">
      <c r="A48" t="s">
        <v>4</v>
      </c>
      <c r="B48" t="s">
        <v>6</v>
      </c>
      <c r="C48">
        <v>20</v>
      </c>
      <c r="D48">
        <v>317.36799999999999</v>
      </c>
    </row>
    <row r="49" spans="1:4" x14ac:dyDescent="0.25">
      <c r="A49" t="s">
        <v>4</v>
      </c>
      <c r="B49" t="s">
        <v>6</v>
      </c>
      <c r="C49">
        <v>20</v>
      </c>
      <c r="D49">
        <v>314.36799999999999</v>
      </c>
    </row>
    <row r="50" spans="1:4" x14ac:dyDescent="0.25">
      <c r="A50" t="s">
        <v>4</v>
      </c>
      <c r="B50" t="s">
        <v>6</v>
      </c>
      <c r="C50">
        <v>20</v>
      </c>
      <c r="D50">
        <v>314.36799999999999</v>
      </c>
    </row>
    <row r="51" spans="1:4" x14ac:dyDescent="0.25">
      <c r="A51" t="s">
        <v>4</v>
      </c>
      <c r="B51" t="s">
        <v>6</v>
      </c>
      <c r="C51">
        <v>20</v>
      </c>
      <c r="D51">
        <v>319.36799999999999</v>
      </c>
    </row>
    <row r="52" spans="1:4" x14ac:dyDescent="0.25">
      <c r="A52" t="s">
        <v>4</v>
      </c>
      <c r="B52" t="s">
        <v>6</v>
      </c>
      <c r="C52">
        <v>20</v>
      </c>
      <c r="D52">
        <v>316.36799999999999</v>
      </c>
    </row>
    <row r="53" spans="1:4" x14ac:dyDescent="0.25">
      <c r="A53" t="s">
        <v>4</v>
      </c>
      <c r="B53" t="s">
        <v>6</v>
      </c>
      <c r="C53">
        <v>20</v>
      </c>
      <c r="D53">
        <v>317.36799999999999</v>
      </c>
    </row>
    <row r="54" spans="1:4" x14ac:dyDescent="0.25">
      <c r="A54" t="s">
        <v>4</v>
      </c>
      <c r="B54" t="s">
        <v>6</v>
      </c>
      <c r="C54">
        <v>20</v>
      </c>
      <c r="D54">
        <v>314.36799999999999</v>
      </c>
    </row>
    <row r="55" spans="1:4" x14ac:dyDescent="0.25">
      <c r="A55" t="s">
        <v>4</v>
      </c>
      <c r="B55" t="s">
        <v>6</v>
      </c>
      <c r="C55">
        <v>20</v>
      </c>
      <c r="D55">
        <v>313.36799999999999</v>
      </c>
    </row>
    <row r="56" spans="1:4" x14ac:dyDescent="0.25">
      <c r="A56" t="s">
        <v>4</v>
      </c>
      <c r="B56" t="s">
        <v>6</v>
      </c>
      <c r="C56">
        <v>20</v>
      </c>
      <c r="D56">
        <v>316.36799999999999</v>
      </c>
    </row>
    <row r="57" spans="1:4" x14ac:dyDescent="0.25">
      <c r="A57" t="s">
        <v>4</v>
      </c>
      <c r="B57" t="s">
        <v>6</v>
      </c>
      <c r="C57">
        <v>20</v>
      </c>
      <c r="D57">
        <v>318.36799999999999</v>
      </c>
    </row>
    <row r="58" spans="1:4" x14ac:dyDescent="0.25">
      <c r="A58" t="s">
        <v>4</v>
      </c>
      <c r="B58" t="s">
        <v>6</v>
      </c>
      <c r="C58">
        <v>20</v>
      </c>
      <c r="D58">
        <v>313.36799999999999</v>
      </c>
    </row>
    <row r="59" spans="1:4" x14ac:dyDescent="0.25">
      <c r="A59" t="s">
        <v>4</v>
      </c>
      <c r="B59" t="s">
        <v>6</v>
      </c>
      <c r="C59">
        <v>20</v>
      </c>
      <c r="D59">
        <v>320.36799999999999</v>
      </c>
    </row>
    <row r="60" spans="1:4" x14ac:dyDescent="0.25">
      <c r="A60" t="s">
        <v>4</v>
      </c>
      <c r="B60" t="s">
        <v>6</v>
      </c>
      <c r="C60">
        <v>20</v>
      </c>
      <c r="D60">
        <v>316.36799999999999</v>
      </c>
    </row>
    <row r="61" spans="1:4" x14ac:dyDescent="0.25">
      <c r="A61" t="s">
        <v>4</v>
      </c>
      <c r="B61" t="s">
        <v>6</v>
      </c>
      <c r="C61">
        <v>20</v>
      </c>
      <c r="D61">
        <v>314.36799999999999</v>
      </c>
    </row>
    <row r="62" spans="1:4" x14ac:dyDescent="0.25">
      <c r="A62" t="s">
        <v>4</v>
      </c>
      <c r="B62" t="s">
        <v>6</v>
      </c>
      <c r="C62">
        <v>20</v>
      </c>
      <c r="D62">
        <v>316.36799999999999</v>
      </c>
    </row>
    <row r="63" spans="1:4" x14ac:dyDescent="0.25">
      <c r="A63" t="s">
        <v>4</v>
      </c>
      <c r="B63" t="s">
        <v>6</v>
      </c>
      <c r="C63">
        <v>20</v>
      </c>
      <c r="D63">
        <v>316.36799999999999</v>
      </c>
    </row>
    <row r="64" spans="1:4" x14ac:dyDescent="0.25">
      <c r="A64" t="s">
        <v>4</v>
      </c>
      <c r="B64" t="s">
        <v>6</v>
      </c>
      <c r="C64">
        <v>20</v>
      </c>
      <c r="D64">
        <v>319.36799999999999</v>
      </c>
    </row>
    <row r="65" spans="1:4" x14ac:dyDescent="0.25">
      <c r="A65" t="s">
        <v>4</v>
      </c>
      <c r="B65" t="s">
        <v>6</v>
      </c>
      <c r="C65">
        <v>20</v>
      </c>
      <c r="D65">
        <v>314.36799999999999</v>
      </c>
    </row>
    <row r="66" spans="1:4" x14ac:dyDescent="0.25">
      <c r="A66" t="s">
        <v>4</v>
      </c>
      <c r="B66" t="s">
        <v>6</v>
      </c>
      <c r="C66">
        <v>20</v>
      </c>
      <c r="D66">
        <v>311.36799999999999</v>
      </c>
    </row>
    <row r="67" spans="1:4" x14ac:dyDescent="0.25">
      <c r="A67" t="s">
        <v>4</v>
      </c>
      <c r="B67" t="s">
        <v>6</v>
      </c>
      <c r="C67">
        <v>20</v>
      </c>
      <c r="D67">
        <v>316.36799999999999</v>
      </c>
    </row>
    <row r="68" spans="1:4" x14ac:dyDescent="0.25">
      <c r="A68" t="s">
        <v>4</v>
      </c>
      <c r="B68" t="s">
        <v>6</v>
      </c>
      <c r="C68">
        <v>20</v>
      </c>
      <c r="D68">
        <v>316.36799999999999</v>
      </c>
    </row>
    <row r="69" spans="1:4" x14ac:dyDescent="0.25">
      <c r="A69" t="s">
        <v>4</v>
      </c>
      <c r="B69" t="s">
        <v>6</v>
      </c>
      <c r="C69">
        <v>20</v>
      </c>
      <c r="D69">
        <v>314.36799999999999</v>
      </c>
    </row>
    <row r="70" spans="1:4" x14ac:dyDescent="0.25">
      <c r="A70" t="s">
        <v>4</v>
      </c>
      <c r="B70" t="s">
        <v>6</v>
      </c>
      <c r="C70">
        <v>20</v>
      </c>
      <c r="D70">
        <v>314.36799999999999</v>
      </c>
    </row>
    <row r="71" spans="1:4" x14ac:dyDescent="0.25">
      <c r="A71" t="s">
        <v>4</v>
      </c>
      <c r="B71" t="s">
        <v>6</v>
      </c>
      <c r="C71">
        <v>20</v>
      </c>
      <c r="D71">
        <v>315.36799999999999</v>
      </c>
    </row>
    <row r="72" spans="1:4" x14ac:dyDescent="0.25">
      <c r="A72" t="s">
        <v>4</v>
      </c>
      <c r="B72" t="s">
        <v>6</v>
      </c>
      <c r="C72">
        <v>20</v>
      </c>
      <c r="D72">
        <v>317.36799999999999</v>
      </c>
    </row>
    <row r="73" spans="1:4" x14ac:dyDescent="0.25">
      <c r="A73" t="s">
        <v>4</v>
      </c>
      <c r="B73" t="s">
        <v>6</v>
      </c>
      <c r="C73">
        <v>20</v>
      </c>
      <c r="D73">
        <v>316.36799999999999</v>
      </c>
    </row>
    <row r="74" spans="1:4" x14ac:dyDescent="0.25">
      <c r="A74" t="s">
        <v>4</v>
      </c>
      <c r="B74" t="s">
        <v>6</v>
      </c>
      <c r="C74">
        <v>20</v>
      </c>
      <c r="D74">
        <v>314.36799999999999</v>
      </c>
    </row>
    <row r="75" spans="1:4" x14ac:dyDescent="0.25">
      <c r="A75" t="s">
        <v>4</v>
      </c>
      <c r="B75" t="s">
        <v>6</v>
      </c>
      <c r="C75">
        <v>20</v>
      </c>
      <c r="D75">
        <v>314.36799999999999</v>
      </c>
    </row>
    <row r="76" spans="1:4" x14ac:dyDescent="0.25">
      <c r="A76" t="s">
        <v>4</v>
      </c>
      <c r="B76" t="s">
        <v>6</v>
      </c>
      <c r="C76">
        <v>20</v>
      </c>
      <c r="D76">
        <v>315.36799999999999</v>
      </c>
    </row>
    <row r="77" spans="1:4" x14ac:dyDescent="0.25">
      <c r="A77" t="s">
        <v>4</v>
      </c>
      <c r="B77" t="s">
        <v>6</v>
      </c>
      <c r="C77">
        <v>20</v>
      </c>
      <c r="D77">
        <v>316.36799999999999</v>
      </c>
    </row>
    <row r="78" spans="1:4" x14ac:dyDescent="0.25">
      <c r="A78" t="s">
        <v>4</v>
      </c>
      <c r="B78" t="s">
        <v>6</v>
      </c>
      <c r="C78">
        <v>20</v>
      </c>
      <c r="D78">
        <v>320.36799999999999</v>
      </c>
    </row>
    <row r="79" spans="1:4" x14ac:dyDescent="0.25">
      <c r="A79" t="s">
        <v>4</v>
      </c>
      <c r="B79" t="s">
        <v>6</v>
      </c>
      <c r="C79">
        <v>20</v>
      </c>
      <c r="D79">
        <v>313.36799999999999</v>
      </c>
    </row>
    <row r="80" spans="1:4" x14ac:dyDescent="0.25">
      <c r="A80" t="s">
        <v>4</v>
      </c>
      <c r="B80" t="s">
        <v>6</v>
      </c>
      <c r="C80">
        <v>20</v>
      </c>
      <c r="D80">
        <v>315.36799999999999</v>
      </c>
    </row>
    <row r="81" spans="1:4" x14ac:dyDescent="0.25">
      <c r="A81" t="s">
        <v>4</v>
      </c>
      <c r="B81" t="s">
        <v>6</v>
      </c>
      <c r="C81">
        <v>20</v>
      </c>
      <c r="D81">
        <v>317.36799999999999</v>
      </c>
    </row>
    <row r="82" spans="1:4" x14ac:dyDescent="0.25">
      <c r="A82" t="s">
        <v>4</v>
      </c>
      <c r="B82" t="s">
        <v>6</v>
      </c>
      <c r="C82">
        <v>20</v>
      </c>
      <c r="D82">
        <v>317.36799999999999</v>
      </c>
    </row>
    <row r="83" spans="1:4" x14ac:dyDescent="0.25">
      <c r="A83" t="s">
        <v>4</v>
      </c>
      <c r="B83" t="s">
        <v>6</v>
      </c>
      <c r="C83">
        <v>20</v>
      </c>
      <c r="D83">
        <v>316.36799999999999</v>
      </c>
    </row>
    <row r="84" spans="1:4" x14ac:dyDescent="0.25">
      <c r="A84" t="s">
        <v>4</v>
      </c>
      <c r="B84" t="s">
        <v>6</v>
      </c>
      <c r="C84">
        <v>20</v>
      </c>
      <c r="D84">
        <v>316.36799999999999</v>
      </c>
    </row>
    <row r="85" spans="1:4" x14ac:dyDescent="0.25">
      <c r="A85" t="s">
        <v>4</v>
      </c>
      <c r="B85" t="s">
        <v>6</v>
      </c>
      <c r="C85">
        <v>20</v>
      </c>
      <c r="D85">
        <v>314.36799999999999</v>
      </c>
    </row>
    <row r="86" spans="1:4" x14ac:dyDescent="0.25">
      <c r="A86" t="s">
        <v>4</v>
      </c>
      <c r="B86" t="s">
        <v>6</v>
      </c>
      <c r="C86">
        <v>20</v>
      </c>
      <c r="D86">
        <v>316.36799999999999</v>
      </c>
    </row>
    <row r="87" spans="1:4" x14ac:dyDescent="0.25">
      <c r="A87" t="s">
        <v>4</v>
      </c>
      <c r="B87" t="s">
        <v>6</v>
      </c>
      <c r="C87">
        <v>20</v>
      </c>
      <c r="D87">
        <v>312.36799999999999</v>
      </c>
    </row>
    <row r="88" spans="1:4" x14ac:dyDescent="0.25">
      <c r="A88" t="s">
        <v>4</v>
      </c>
      <c r="B88" t="s">
        <v>6</v>
      </c>
      <c r="C88">
        <v>20</v>
      </c>
      <c r="D88">
        <v>316.36799999999999</v>
      </c>
    </row>
    <row r="89" spans="1:4" x14ac:dyDescent="0.25">
      <c r="A89" t="s">
        <v>4</v>
      </c>
      <c r="B89" t="s">
        <v>6</v>
      </c>
      <c r="C89">
        <v>20</v>
      </c>
      <c r="D89">
        <v>316.36799999999999</v>
      </c>
    </row>
    <row r="90" spans="1:4" x14ac:dyDescent="0.25">
      <c r="A90" t="s">
        <v>4</v>
      </c>
      <c r="B90" t="s">
        <v>6</v>
      </c>
      <c r="C90">
        <v>20</v>
      </c>
      <c r="D90">
        <v>312.36799999999999</v>
      </c>
    </row>
    <row r="91" spans="1:4" x14ac:dyDescent="0.25">
      <c r="A91" t="s">
        <v>4</v>
      </c>
      <c r="B91" t="s">
        <v>6</v>
      </c>
      <c r="C91">
        <v>20</v>
      </c>
      <c r="D91">
        <v>316.36799999999999</v>
      </c>
    </row>
    <row r="92" spans="1:4" x14ac:dyDescent="0.25">
      <c r="A92" t="s">
        <v>4</v>
      </c>
      <c r="B92" t="s">
        <v>6</v>
      </c>
      <c r="C92">
        <v>20</v>
      </c>
      <c r="D92">
        <v>314.36799999999999</v>
      </c>
    </row>
    <row r="93" spans="1:4" x14ac:dyDescent="0.25">
      <c r="A93" t="s">
        <v>4</v>
      </c>
      <c r="B93" t="s">
        <v>6</v>
      </c>
      <c r="C93">
        <v>20</v>
      </c>
      <c r="D93">
        <v>314.36799999999999</v>
      </c>
    </row>
    <row r="94" spans="1:4" x14ac:dyDescent="0.25">
      <c r="A94" t="s">
        <v>4</v>
      </c>
      <c r="B94" t="s">
        <v>6</v>
      </c>
      <c r="C94">
        <v>20</v>
      </c>
      <c r="D94">
        <v>316.36799999999999</v>
      </c>
    </row>
    <row r="95" spans="1:4" x14ac:dyDescent="0.25">
      <c r="A95" t="s">
        <v>4</v>
      </c>
      <c r="B95" t="s">
        <v>6</v>
      </c>
      <c r="C95">
        <v>20</v>
      </c>
      <c r="D95">
        <v>317.36799999999999</v>
      </c>
    </row>
    <row r="96" spans="1:4" x14ac:dyDescent="0.25">
      <c r="A96" t="s">
        <v>4</v>
      </c>
      <c r="B96" t="s">
        <v>6</v>
      </c>
      <c r="C96">
        <v>20</v>
      </c>
      <c r="D96">
        <v>313.36799999999999</v>
      </c>
    </row>
    <row r="97" spans="1:4" x14ac:dyDescent="0.25">
      <c r="A97" t="s">
        <v>4</v>
      </c>
      <c r="B97" t="s">
        <v>6</v>
      </c>
      <c r="C97">
        <v>20</v>
      </c>
      <c r="D97">
        <v>316.36799999999999</v>
      </c>
    </row>
    <row r="98" spans="1:4" x14ac:dyDescent="0.25">
      <c r="A98" t="s">
        <v>4</v>
      </c>
      <c r="B98" t="s">
        <v>6</v>
      </c>
      <c r="C98">
        <v>20</v>
      </c>
      <c r="D98">
        <v>316.36799999999999</v>
      </c>
    </row>
    <row r="99" spans="1:4" x14ac:dyDescent="0.25">
      <c r="A99" t="s">
        <v>4</v>
      </c>
      <c r="B99" t="s">
        <v>6</v>
      </c>
      <c r="C99">
        <v>20</v>
      </c>
      <c r="D99">
        <v>316.36799999999999</v>
      </c>
    </row>
    <row r="100" spans="1:4" x14ac:dyDescent="0.25">
      <c r="A100" t="s">
        <v>4</v>
      </c>
      <c r="B100" t="s">
        <v>6</v>
      </c>
      <c r="C100">
        <v>20</v>
      </c>
      <c r="D100">
        <v>312.36799999999999</v>
      </c>
    </row>
    <row r="101" spans="1:4" x14ac:dyDescent="0.25">
      <c r="A101" t="s">
        <v>4</v>
      </c>
      <c r="B101" t="s">
        <v>6</v>
      </c>
      <c r="C101">
        <v>20</v>
      </c>
      <c r="D101">
        <v>320.36799999999999</v>
      </c>
    </row>
    <row r="102" spans="1:4" x14ac:dyDescent="0.25">
      <c r="A102" t="s">
        <v>4</v>
      </c>
      <c r="B102" t="s">
        <v>6</v>
      </c>
      <c r="C102">
        <v>40</v>
      </c>
      <c r="D102">
        <v>494.24</v>
      </c>
    </row>
    <row r="103" spans="1:4" x14ac:dyDescent="0.25">
      <c r="A103" t="s">
        <v>4</v>
      </c>
      <c r="B103" t="s">
        <v>6</v>
      </c>
      <c r="C103">
        <v>40</v>
      </c>
      <c r="D103">
        <v>512.33799999999997</v>
      </c>
    </row>
    <row r="104" spans="1:4" x14ac:dyDescent="0.25">
      <c r="A104" t="s">
        <v>4</v>
      </c>
      <c r="B104" t="s">
        <v>6</v>
      </c>
      <c r="C104">
        <v>40</v>
      </c>
      <c r="D104">
        <v>495.02800000000002</v>
      </c>
    </row>
    <row r="105" spans="1:4" x14ac:dyDescent="0.25">
      <c r="A105" t="s">
        <v>4</v>
      </c>
      <c r="B105" t="s">
        <v>6</v>
      </c>
      <c r="C105">
        <v>40</v>
      </c>
      <c r="D105">
        <v>533.73</v>
      </c>
    </row>
    <row r="106" spans="1:4" x14ac:dyDescent="0.25">
      <c r="A106" t="s">
        <v>4</v>
      </c>
      <c r="B106" t="s">
        <v>6</v>
      </c>
      <c r="C106">
        <v>40</v>
      </c>
      <c r="D106">
        <v>512.48400000000004</v>
      </c>
    </row>
    <row r="107" spans="1:4" x14ac:dyDescent="0.25">
      <c r="A107" t="s">
        <v>4</v>
      </c>
      <c r="B107" t="s">
        <v>6</v>
      </c>
      <c r="C107">
        <v>40</v>
      </c>
      <c r="D107">
        <v>541.38099999999997</v>
      </c>
    </row>
    <row r="108" spans="1:4" x14ac:dyDescent="0.25">
      <c r="A108" t="s">
        <v>4</v>
      </c>
      <c r="B108" t="s">
        <v>6</v>
      </c>
      <c r="C108">
        <v>40</v>
      </c>
      <c r="D108">
        <v>530.16899999999998</v>
      </c>
    </row>
    <row r="109" spans="1:4" x14ac:dyDescent="0.25">
      <c r="A109" t="s">
        <v>4</v>
      </c>
      <c r="B109" t="s">
        <v>6</v>
      </c>
      <c r="C109">
        <v>40</v>
      </c>
      <c r="D109">
        <v>542.42600000000004</v>
      </c>
    </row>
    <row r="110" spans="1:4" x14ac:dyDescent="0.25">
      <c r="A110" t="s">
        <v>4</v>
      </c>
      <c r="B110" t="s">
        <v>6</v>
      </c>
      <c r="C110">
        <v>40</v>
      </c>
      <c r="D110">
        <v>512.21199999999999</v>
      </c>
    </row>
    <row r="111" spans="1:4" x14ac:dyDescent="0.25">
      <c r="A111" t="s">
        <v>4</v>
      </c>
      <c r="B111" t="s">
        <v>6</v>
      </c>
      <c r="C111">
        <v>40</v>
      </c>
      <c r="D111">
        <v>530.02</v>
      </c>
    </row>
    <row r="112" spans="1:4" x14ac:dyDescent="0.25">
      <c r="A112" t="s">
        <v>4</v>
      </c>
      <c r="B112" t="s">
        <v>6</v>
      </c>
      <c r="C112">
        <v>40</v>
      </c>
      <c r="D112">
        <v>505.37799999999999</v>
      </c>
    </row>
    <row r="113" spans="1:4" x14ac:dyDescent="0.25">
      <c r="A113" t="s">
        <v>4</v>
      </c>
      <c r="B113" t="s">
        <v>6</v>
      </c>
      <c r="C113">
        <v>40</v>
      </c>
      <c r="D113">
        <v>507.44499999999999</v>
      </c>
    </row>
    <row r="114" spans="1:4" x14ac:dyDescent="0.25">
      <c r="A114" t="s">
        <v>4</v>
      </c>
      <c r="B114" t="s">
        <v>6</v>
      </c>
      <c r="C114">
        <v>40</v>
      </c>
      <c r="D114">
        <v>532.77700000000004</v>
      </c>
    </row>
    <row r="115" spans="1:4" x14ac:dyDescent="0.25">
      <c r="A115" t="s">
        <v>4</v>
      </c>
      <c r="B115" t="s">
        <v>6</v>
      </c>
      <c r="C115">
        <v>40</v>
      </c>
      <c r="D115">
        <v>491.82</v>
      </c>
    </row>
    <row r="116" spans="1:4" x14ac:dyDescent="0.25">
      <c r="A116" t="s">
        <v>4</v>
      </c>
      <c r="B116" t="s">
        <v>6</v>
      </c>
      <c r="C116">
        <v>40</v>
      </c>
      <c r="D116">
        <v>509.05700000000002</v>
      </c>
    </row>
    <row r="117" spans="1:4" x14ac:dyDescent="0.25">
      <c r="A117" t="s">
        <v>4</v>
      </c>
      <c r="B117" t="s">
        <v>6</v>
      </c>
      <c r="C117">
        <v>40</v>
      </c>
      <c r="D117">
        <v>509.96</v>
      </c>
    </row>
    <row r="118" spans="1:4" x14ac:dyDescent="0.25">
      <c r="A118" t="s">
        <v>4</v>
      </c>
      <c r="B118" t="s">
        <v>6</v>
      </c>
      <c r="C118">
        <v>40</v>
      </c>
      <c r="D118">
        <v>495.75099999999998</v>
      </c>
    </row>
    <row r="119" spans="1:4" x14ac:dyDescent="0.25">
      <c r="A119" t="s">
        <v>4</v>
      </c>
      <c r="B119" t="s">
        <v>6</v>
      </c>
      <c r="C119">
        <v>40</v>
      </c>
      <c r="D119">
        <v>519.99699999999996</v>
      </c>
    </row>
    <row r="120" spans="1:4" x14ac:dyDescent="0.25">
      <c r="A120" t="s">
        <v>4</v>
      </c>
      <c r="B120" t="s">
        <v>6</v>
      </c>
      <c r="C120">
        <v>40</v>
      </c>
      <c r="D120">
        <v>523.58000000000004</v>
      </c>
    </row>
    <row r="121" spans="1:4" x14ac:dyDescent="0.25">
      <c r="A121" t="s">
        <v>4</v>
      </c>
      <c r="B121" t="s">
        <v>6</v>
      </c>
      <c r="C121">
        <v>40</v>
      </c>
      <c r="D121">
        <v>518.69200000000001</v>
      </c>
    </row>
    <row r="122" spans="1:4" x14ac:dyDescent="0.25">
      <c r="A122" t="s">
        <v>4</v>
      </c>
      <c r="B122" t="s">
        <v>6</v>
      </c>
      <c r="C122">
        <v>40</v>
      </c>
      <c r="D122">
        <v>509.88200000000001</v>
      </c>
    </row>
    <row r="123" spans="1:4" x14ac:dyDescent="0.25">
      <c r="A123" t="s">
        <v>4</v>
      </c>
      <c r="B123" t="s">
        <v>6</v>
      </c>
      <c r="C123">
        <v>40</v>
      </c>
      <c r="D123">
        <v>496.57100000000003</v>
      </c>
    </row>
    <row r="124" spans="1:4" x14ac:dyDescent="0.25">
      <c r="A124" t="s">
        <v>4</v>
      </c>
      <c r="B124" t="s">
        <v>6</v>
      </c>
      <c r="C124">
        <v>40</v>
      </c>
      <c r="D124">
        <v>485.84300000000002</v>
      </c>
    </row>
    <row r="125" spans="1:4" x14ac:dyDescent="0.25">
      <c r="A125" t="s">
        <v>4</v>
      </c>
      <c r="B125" t="s">
        <v>6</v>
      </c>
      <c r="C125">
        <v>40</v>
      </c>
      <c r="D125">
        <v>506.2</v>
      </c>
    </row>
    <row r="126" spans="1:4" x14ac:dyDescent="0.25">
      <c r="A126" t="s">
        <v>4</v>
      </c>
      <c r="B126" t="s">
        <v>6</v>
      </c>
      <c r="C126">
        <v>40</v>
      </c>
      <c r="D126">
        <v>507.827</v>
      </c>
    </row>
    <row r="127" spans="1:4" x14ac:dyDescent="0.25">
      <c r="A127" t="s">
        <v>4</v>
      </c>
      <c r="B127" t="s">
        <v>6</v>
      </c>
      <c r="C127">
        <v>40</v>
      </c>
      <c r="D127">
        <v>539.91099999999994</v>
      </c>
    </row>
    <row r="128" spans="1:4" x14ac:dyDescent="0.25">
      <c r="A128" t="s">
        <v>4</v>
      </c>
      <c r="B128" t="s">
        <v>6</v>
      </c>
      <c r="C128">
        <v>40</v>
      </c>
      <c r="D128">
        <v>504.38499999999999</v>
      </c>
    </row>
    <row r="129" spans="1:4" x14ac:dyDescent="0.25">
      <c r="A129" t="s">
        <v>4</v>
      </c>
      <c r="B129" t="s">
        <v>6</v>
      </c>
      <c r="C129">
        <v>40</v>
      </c>
      <c r="D129">
        <v>500.23099999999999</v>
      </c>
    </row>
    <row r="130" spans="1:4" x14ac:dyDescent="0.25">
      <c r="A130" t="s">
        <v>4</v>
      </c>
      <c r="B130" t="s">
        <v>6</v>
      </c>
      <c r="C130">
        <v>40</v>
      </c>
      <c r="D130">
        <v>496.55500000000001</v>
      </c>
    </row>
    <row r="131" spans="1:4" x14ac:dyDescent="0.25">
      <c r="A131" t="s">
        <v>4</v>
      </c>
      <c r="B131" t="s">
        <v>6</v>
      </c>
      <c r="C131">
        <v>40</v>
      </c>
      <c r="D131">
        <v>496.78399999999999</v>
      </c>
    </row>
    <row r="132" spans="1:4" x14ac:dyDescent="0.25">
      <c r="A132" t="s">
        <v>4</v>
      </c>
      <c r="B132" t="s">
        <v>6</v>
      </c>
      <c r="C132">
        <v>40</v>
      </c>
      <c r="D132">
        <v>512.08600000000001</v>
      </c>
    </row>
    <row r="133" spans="1:4" x14ac:dyDescent="0.25">
      <c r="A133" t="s">
        <v>4</v>
      </c>
      <c r="B133" t="s">
        <v>6</v>
      </c>
      <c r="C133">
        <v>40</v>
      </c>
      <c r="D133">
        <v>497.90499999999997</v>
      </c>
    </row>
    <row r="134" spans="1:4" x14ac:dyDescent="0.25">
      <c r="A134" t="s">
        <v>4</v>
      </c>
      <c r="B134" t="s">
        <v>6</v>
      </c>
      <c r="C134">
        <v>40</v>
      </c>
      <c r="D134">
        <v>512.09400000000005</v>
      </c>
    </row>
    <row r="135" spans="1:4" x14ac:dyDescent="0.25">
      <c r="A135" t="s">
        <v>4</v>
      </c>
      <c r="B135" t="s">
        <v>6</v>
      </c>
      <c r="C135">
        <v>40</v>
      </c>
      <c r="D135">
        <v>516.41899999999998</v>
      </c>
    </row>
    <row r="136" spans="1:4" x14ac:dyDescent="0.25">
      <c r="A136" t="s">
        <v>4</v>
      </c>
      <c r="B136" t="s">
        <v>6</v>
      </c>
      <c r="C136">
        <v>40</v>
      </c>
      <c r="D136">
        <v>503.47</v>
      </c>
    </row>
    <row r="137" spans="1:4" x14ac:dyDescent="0.25">
      <c r="A137" t="s">
        <v>4</v>
      </c>
      <c r="B137" t="s">
        <v>6</v>
      </c>
      <c r="C137">
        <v>40</v>
      </c>
      <c r="D137">
        <v>495.57900000000001</v>
      </c>
    </row>
    <row r="138" spans="1:4" x14ac:dyDescent="0.25">
      <c r="A138" t="s">
        <v>4</v>
      </c>
      <c r="B138" t="s">
        <v>6</v>
      </c>
      <c r="C138">
        <v>40</v>
      </c>
      <c r="D138">
        <v>535.72900000000004</v>
      </c>
    </row>
    <row r="139" spans="1:4" x14ac:dyDescent="0.25">
      <c r="A139" t="s">
        <v>4</v>
      </c>
      <c r="B139" t="s">
        <v>6</v>
      </c>
      <c r="C139">
        <v>40</v>
      </c>
      <c r="D139">
        <v>549.44200000000001</v>
      </c>
    </row>
    <row r="140" spans="1:4" x14ac:dyDescent="0.25">
      <c r="A140" t="s">
        <v>4</v>
      </c>
      <c r="B140" t="s">
        <v>6</v>
      </c>
      <c r="C140">
        <v>40</v>
      </c>
      <c r="D140">
        <v>519.11900000000003</v>
      </c>
    </row>
    <row r="141" spans="1:4" x14ac:dyDescent="0.25">
      <c r="A141" t="s">
        <v>4</v>
      </c>
      <c r="B141" t="s">
        <v>6</v>
      </c>
      <c r="C141">
        <v>40</v>
      </c>
      <c r="D141">
        <v>515.1</v>
      </c>
    </row>
    <row r="142" spans="1:4" x14ac:dyDescent="0.25">
      <c r="A142" t="s">
        <v>4</v>
      </c>
      <c r="B142" t="s">
        <v>6</v>
      </c>
      <c r="C142">
        <v>40</v>
      </c>
      <c r="D142">
        <v>510.10599999999999</v>
      </c>
    </row>
    <row r="143" spans="1:4" x14ac:dyDescent="0.25">
      <c r="A143" t="s">
        <v>4</v>
      </c>
      <c r="B143" t="s">
        <v>6</v>
      </c>
      <c r="C143">
        <v>40</v>
      </c>
      <c r="D143">
        <v>517.08600000000001</v>
      </c>
    </row>
    <row r="144" spans="1:4" x14ac:dyDescent="0.25">
      <c r="A144" t="s">
        <v>4</v>
      </c>
      <c r="B144" t="s">
        <v>6</v>
      </c>
      <c r="C144">
        <v>40</v>
      </c>
      <c r="D144">
        <v>515.47799999999995</v>
      </c>
    </row>
    <row r="145" spans="1:4" x14ac:dyDescent="0.25">
      <c r="A145" t="s">
        <v>4</v>
      </c>
      <c r="B145" t="s">
        <v>6</v>
      </c>
      <c r="C145">
        <v>40</v>
      </c>
      <c r="D145">
        <v>507.80500000000001</v>
      </c>
    </row>
    <row r="146" spans="1:4" x14ac:dyDescent="0.25">
      <c r="A146" t="s">
        <v>4</v>
      </c>
      <c r="B146" t="s">
        <v>6</v>
      </c>
      <c r="C146">
        <v>40</v>
      </c>
      <c r="D146">
        <v>497.52499999999998</v>
      </c>
    </row>
    <row r="147" spans="1:4" x14ac:dyDescent="0.25">
      <c r="A147" t="s">
        <v>4</v>
      </c>
      <c r="B147" t="s">
        <v>6</v>
      </c>
      <c r="C147">
        <v>40</v>
      </c>
      <c r="D147">
        <v>510.51799999999997</v>
      </c>
    </row>
    <row r="148" spans="1:4" x14ac:dyDescent="0.25">
      <c r="A148" t="s">
        <v>4</v>
      </c>
      <c r="B148" t="s">
        <v>6</v>
      </c>
      <c r="C148">
        <v>40</v>
      </c>
      <c r="D148">
        <v>501.92500000000001</v>
      </c>
    </row>
    <row r="149" spans="1:4" x14ac:dyDescent="0.25">
      <c r="A149" t="s">
        <v>4</v>
      </c>
      <c r="B149" t="s">
        <v>6</v>
      </c>
      <c r="C149">
        <v>40</v>
      </c>
      <c r="D149">
        <v>508.553</v>
      </c>
    </row>
    <row r="150" spans="1:4" x14ac:dyDescent="0.25">
      <c r="A150" t="s">
        <v>4</v>
      </c>
      <c r="B150" t="s">
        <v>6</v>
      </c>
      <c r="C150">
        <v>40</v>
      </c>
      <c r="D150">
        <v>504.36500000000001</v>
      </c>
    </row>
    <row r="151" spans="1:4" x14ac:dyDescent="0.25">
      <c r="A151" t="s">
        <v>4</v>
      </c>
      <c r="B151" t="s">
        <v>6</v>
      </c>
      <c r="C151">
        <v>40</v>
      </c>
      <c r="D151">
        <v>517.35500000000002</v>
      </c>
    </row>
    <row r="152" spans="1:4" x14ac:dyDescent="0.25">
      <c r="A152" t="s">
        <v>4</v>
      </c>
      <c r="B152" t="s">
        <v>6</v>
      </c>
      <c r="C152">
        <v>40</v>
      </c>
      <c r="D152">
        <v>523.73500000000001</v>
      </c>
    </row>
    <row r="153" spans="1:4" x14ac:dyDescent="0.25">
      <c r="A153" t="s">
        <v>4</v>
      </c>
      <c r="B153" t="s">
        <v>6</v>
      </c>
      <c r="C153">
        <v>40</v>
      </c>
      <c r="D153">
        <v>547.67100000000005</v>
      </c>
    </row>
    <row r="154" spans="1:4" x14ac:dyDescent="0.25">
      <c r="A154" t="s">
        <v>4</v>
      </c>
      <c r="B154" t="s">
        <v>6</v>
      </c>
      <c r="C154">
        <v>40</v>
      </c>
      <c r="D154">
        <v>513.30899999999997</v>
      </c>
    </row>
    <row r="155" spans="1:4" x14ac:dyDescent="0.25">
      <c r="A155" t="s">
        <v>4</v>
      </c>
      <c r="B155" t="s">
        <v>6</v>
      </c>
      <c r="C155">
        <v>40</v>
      </c>
      <c r="D155">
        <v>510.017</v>
      </c>
    </row>
    <row r="156" spans="1:4" x14ac:dyDescent="0.25">
      <c r="A156" t="s">
        <v>4</v>
      </c>
      <c r="B156" t="s">
        <v>6</v>
      </c>
      <c r="C156">
        <v>40</v>
      </c>
      <c r="D156">
        <v>523.47299999999996</v>
      </c>
    </row>
    <row r="157" spans="1:4" x14ac:dyDescent="0.25">
      <c r="A157" t="s">
        <v>4</v>
      </c>
      <c r="B157" t="s">
        <v>6</v>
      </c>
      <c r="C157">
        <v>40</v>
      </c>
      <c r="D157">
        <v>505.40699999999998</v>
      </c>
    </row>
    <row r="158" spans="1:4" x14ac:dyDescent="0.25">
      <c r="A158" t="s">
        <v>4</v>
      </c>
      <c r="B158" t="s">
        <v>6</v>
      </c>
      <c r="C158">
        <v>40</v>
      </c>
      <c r="D158">
        <v>502.22399999999999</v>
      </c>
    </row>
    <row r="159" spans="1:4" x14ac:dyDescent="0.25">
      <c r="A159" t="s">
        <v>4</v>
      </c>
      <c r="B159" t="s">
        <v>6</v>
      </c>
      <c r="C159">
        <v>40</v>
      </c>
      <c r="D159">
        <v>536.43799999999999</v>
      </c>
    </row>
    <row r="160" spans="1:4" x14ac:dyDescent="0.25">
      <c r="A160" t="s">
        <v>4</v>
      </c>
      <c r="B160" t="s">
        <v>6</v>
      </c>
      <c r="C160">
        <v>40</v>
      </c>
      <c r="D160">
        <v>528.82399999999996</v>
      </c>
    </row>
    <row r="161" spans="1:4" x14ac:dyDescent="0.25">
      <c r="A161" t="s">
        <v>4</v>
      </c>
      <c r="B161" t="s">
        <v>6</v>
      </c>
      <c r="C161">
        <v>40</v>
      </c>
      <c r="D161">
        <v>523.50900000000001</v>
      </c>
    </row>
    <row r="162" spans="1:4" x14ac:dyDescent="0.25">
      <c r="A162" t="s">
        <v>4</v>
      </c>
      <c r="B162" t="s">
        <v>6</v>
      </c>
      <c r="C162">
        <v>40</v>
      </c>
      <c r="D162">
        <v>546.80200000000002</v>
      </c>
    </row>
    <row r="163" spans="1:4" x14ac:dyDescent="0.25">
      <c r="A163" t="s">
        <v>4</v>
      </c>
      <c r="B163" t="s">
        <v>6</v>
      </c>
      <c r="C163">
        <v>40</v>
      </c>
      <c r="D163">
        <v>519.58199999999999</v>
      </c>
    </row>
    <row r="164" spans="1:4" x14ac:dyDescent="0.25">
      <c r="A164" t="s">
        <v>4</v>
      </c>
      <c r="B164" t="s">
        <v>6</v>
      </c>
      <c r="C164">
        <v>40</v>
      </c>
      <c r="D164">
        <v>518.96299999999997</v>
      </c>
    </row>
    <row r="165" spans="1:4" x14ac:dyDescent="0.25">
      <c r="A165" t="s">
        <v>4</v>
      </c>
      <c r="B165" t="s">
        <v>6</v>
      </c>
      <c r="C165">
        <v>40</v>
      </c>
      <c r="D165">
        <v>522.73199999999997</v>
      </c>
    </row>
    <row r="166" spans="1:4" x14ac:dyDescent="0.25">
      <c r="A166" t="s">
        <v>4</v>
      </c>
      <c r="B166" t="s">
        <v>6</v>
      </c>
      <c r="C166">
        <v>40</v>
      </c>
      <c r="D166">
        <v>529.09299999999996</v>
      </c>
    </row>
    <row r="167" spans="1:4" x14ac:dyDescent="0.25">
      <c r="A167" t="s">
        <v>4</v>
      </c>
      <c r="B167" t="s">
        <v>6</v>
      </c>
      <c r="C167">
        <v>40</v>
      </c>
      <c r="D167">
        <v>523.23699999999997</v>
      </c>
    </row>
    <row r="168" spans="1:4" x14ac:dyDescent="0.25">
      <c r="A168" t="s">
        <v>4</v>
      </c>
      <c r="B168" t="s">
        <v>6</v>
      </c>
      <c r="C168">
        <v>40</v>
      </c>
      <c r="D168">
        <v>520.9</v>
      </c>
    </row>
    <row r="169" spans="1:4" x14ac:dyDescent="0.25">
      <c r="A169" t="s">
        <v>4</v>
      </c>
      <c r="B169" t="s">
        <v>6</v>
      </c>
      <c r="C169">
        <v>40</v>
      </c>
      <c r="D169">
        <v>519.524</v>
      </c>
    </row>
    <row r="170" spans="1:4" x14ac:dyDescent="0.25">
      <c r="A170" t="s">
        <v>4</v>
      </c>
      <c r="B170" t="s">
        <v>6</v>
      </c>
      <c r="C170">
        <v>40</v>
      </c>
      <c r="D170">
        <v>509.81</v>
      </c>
    </row>
    <row r="171" spans="1:4" x14ac:dyDescent="0.25">
      <c r="A171" t="s">
        <v>4</v>
      </c>
      <c r="B171" t="s">
        <v>6</v>
      </c>
      <c r="C171">
        <v>40</v>
      </c>
      <c r="D171">
        <v>518.42200000000003</v>
      </c>
    </row>
    <row r="172" spans="1:4" x14ac:dyDescent="0.25">
      <c r="A172" t="s">
        <v>4</v>
      </c>
      <c r="B172" t="s">
        <v>6</v>
      </c>
      <c r="C172">
        <v>40</v>
      </c>
      <c r="D172">
        <v>505.40100000000001</v>
      </c>
    </row>
    <row r="173" spans="1:4" x14ac:dyDescent="0.25">
      <c r="A173" t="s">
        <v>4</v>
      </c>
      <c r="B173" t="s">
        <v>6</v>
      </c>
      <c r="C173">
        <v>40</v>
      </c>
      <c r="D173">
        <v>515.93799999999999</v>
      </c>
    </row>
    <row r="174" spans="1:4" x14ac:dyDescent="0.25">
      <c r="A174" t="s">
        <v>4</v>
      </c>
      <c r="B174" t="s">
        <v>6</v>
      </c>
      <c r="C174">
        <v>40</v>
      </c>
      <c r="D174">
        <v>510.82600000000002</v>
      </c>
    </row>
    <row r="175" spans="1:4" x14ac:dyDescent="0.25">
      <c r="A175" t="s">
        <v>4</v>
      </c>
      <c r="B175" t="s">
        <v>6</v>
      </c>
      <c r="C175">
        <v>40</v>
      </c>
      <c r="D175">
        <v>480.56099999999998</v>
      </c>
    </row>
    <row r="176" spans="1:4" x14ac:dyDescent="0.25">
      <c r="A176" t="s">
        <v>4</v>
      </c>
      <c r="B176" t="s">
        <v>6</v>
      </c>
      <c r="C176">
        <v>40</v>
      </c>
      <c r="D176">
        <v>530.15700000000004</v>
      </c>
    </row>
    <row r="177" spans="1:4" x14ac:dyDescent="0.25">
      <c r="A177" t="s">
        <v>4</v>
      </c>
      <c r="B177" t="s">
        <v>6</v>
      </c>
      <c r="C177">
        <v>40</v>
      </c>
      <c r="D177">
        <v>514.95000000000005</v>
      </c>
    </row>
    <row r="178" spans="1:4" x14ac:dyDescent="0.25">
      <c r="A178" t="s">
        <v>4</v>
      </c>
      <c r="B178" t="s">
        <v>6</v>
      </c>
      <c r="C178">
        <v>40</v>
      </c>
      <c r="D178">
        <v>495.15899999999999</v>
      </c>
    </row>
    <row r="179" spans="1:4" x14ac:dyDescent="0.25">
      <c r="A179" t="s">
        <v>4</v>
      </c>
      <c r="B179" t="s">
        <v>6</v>
      </c>
      <c r="C179">
        <v>40</v>
      </c>
      <c r="D179">
        <v>540.673</v>
      </c>
    </row>
    <row r="180" spans="1:4" x14ac:dyDescent="0.25">
      <c r="A180" t="s">
        <v>4</v>
      </c>
      <c r="B180" t="s">
        <v>6</v>
      </c>
      <c r="C180">
        <v>40</v>
      </c>
      <c r="D180">
        <v>528.79700000000003</v>
      </c>
    </row>
    <row r="181" spans="1:4" x14ac:dyDescent="0.25">
      <c r="A181" t="s">
        <v>4</v>
      </c>
      <c r="B181" t="s">
        <v>6</v>
      </c>
      <c r="C181">
        <v>40</v>
      </c>
      <c r="D181">
        <v>519.71799999999996</v>
      </c>
    </row>
    <row r="182" spans="1:4" x14ac:dyDescent="0.25">
      <c r="A182" t="s">
        <v>4</v>
      </c>
      <c r="B182" t="s">
        <v>6</v>
      </c>
      <c r="C182">
        <v>40</v>
      </c>
      <c r="D182">
        <v>512.01700000000005</v>
      </c>
    </row>
    <row r="183" spans="1:4" x14ac:dyDescent="0.25">
      <c r="A183" t="s">
        <v>4</v>
      </c>
      <c r="B183" t="s">
        <v>6</v>
      </c>
      <c r="C183">
        <v>40</v>
      </c>
      <c r="D183">
        <v>512.30899999999997</v>
      </c>
    </row>
    <row r="184" spans="1:4" x14ac:dyDescent="0.25">
      <c r="A184" t="s">
        <v>4</v>
      </c>
      <c r="B184" t="s">
        <v>6</v>
      </c>
      <c r="C184">
        <v>40</v>
      </c>
      <c r="D184">
        <v>519.58000000000004</v>
      </c>
    </row>
    <row r="185" spans="1:4" x14ac:dyDescent="0.25">
      <c r="A185" t="s">
        <v>4</v>
      </c>
      <c r="B185" t="s">
        <v>6</v>
      </c>
      <c r="C185">
        <v>40</v>
      </c>
      <c r="D185">
        <v>532.38</v>
      </c>
    </row>
    <row r="186" spans="1:4" x14ac:dyDescent="0.25">
      <c r="A186" t="s">
        <v>4</v>
      </c>
      <c r="B186" t="s">
        <v>6</v>
      </c>
      <c r="C186">
        <v>40</v>
      </c>
      <c r="D186">
        <v>520.15200000000004</v>
      </c>
    </row>
    <row r="187" spans="1:4" x14ac:dyDescent="0.25">
      <c r="A187" t="s">
        <v>4</v>
      </c>
      <c r="B187" t="s">
        <v>6</v>
      </c>
      <c r="C187">
        <v>40</v>
      </c>
      <c r="D187">
        <v>519.64099999999996</v>
      </c>
    </row>
    <row r="188" spans="1:4" x14ac:dyDescent="0.25">
      <c r="A188" t="s">
        <v>4</v>
      </c>
      <c r="B188" t="s">
        <v>6</v>
      </c>
      <c r="C188">
        <v>40</v>
      </c>
      <c r="D188">
        <v>513.96600000000001</v>
      </c>
    </row>
    <row r="189" spans="1:4" x14ac:dyDescent="0.25">
      <c r="A189" t="s">
        <v>4</v>
      </c>
      <c r="B189" t="s">
        <v>6</v>
      </c>
      <c r="C189">
        <v>40</v>
      </c>
      <c r="D189">
        <v>506.30099999999999</v>
      </c>
    </row>
    <row r="190" spans="1:4" x14ac:dyDescent="0.25">
      <c r="A190" t="s">
        <v>4</v>
      </c>
      <c r="B190" t="s">
        <v>6</v>
      </c>
      <c r="C190">
        <v>40</v>
      </c>
      <c r="D190">
        <v>535.80399999999997</v>
      </c>
    </row>
    <row r="191" spans="1:4" x14ac:dyDescent="0.25">
      <c r="A191" t="s">
        <v>4</v>
      </c>
      <c r="B191" t="s">
        <v>6</v>
      </c>
      <c r="C191">
        <v>40</v>
      </c>
      <c r="D191">
        <v>532.66200000000003</v>
      </c>
    </row>
    <row r="192" spans="1:4" x14ac:dyDescent="0.25">
      <c r="A192" t="s">
        <v>4</v>
      </c>
      <c r="B192" t="s">
        <v>6</v>
      </c>
      <c r="C192">
        <v>40</v>
      </c>
      <c r="D192">
        <v>522.15899999999999</v>
      </c>
    </row>
    <row r="193" spans="1:4" x14ac:dyDescent="0.25">
      <c r="A193" t="s">
        <v>4</v>
      </c>
      <c r="B193" t="s">
        <v>6</v>
      </c>
      <c r="C193">
        <v>40</v>
      </c>
      <c r="D193">
        <v>508.48099999999999</v>
      </c>
    </row>
    <row r="194" spans="1:4" x14ac:dyDescent="0.25">
      <c r="A194" t="s">
        <v>4</v>
      </c>
      <c r="B194" t="s">
        <v>6</v>
      </c>
      <c r="C194">
        <v>40</v>
      </c>
      <c r="D194">
        <v>522.36800000000005</v>
      </c>
    </row>
    <row r="195" spans="1:4" x14ac:dyDescent="0.25">
      <c r="A195" t="s">
        <v>4</v>
      </c>
      <c r="B195" t="s">
        <v>6</v>
      </c>
      <c r="C195">
        <v>40</v>
      </c>
      <c r="D195">
        <v>495.61599999999999</v>
      </c>
    </row>
    <row r="196" spans="1:4" x14ac:dyDescent="0.25">
      <c r="A196" t="s">
        <v>4</v>
      </c>
      <c r="B196" t="s">
        <v>6</v>
      </c>
      <c r="C196">
        <v>40</v>
      </c>
      <c r="D196">
        <v>502.41899999999998</v>
      </c>
    </row>
    <row r="197" spans="1:4" x14ac:dyDescent="0.25">
      <c r="A197" t="s">
        <v>4</v>
      </c>
      <c r="B197" t="s">
        <v>6</v>
      </c>
      <c r="C197">
        <v>40</v>
      </c>
      <c r="D197">
        <v>498.279</v>
      </c>
    </row>
    <row r="198" spans="1:4" x14ac:dyDescent="0.25">
      <c r="A198" t="s">
        <v>4</v>
      </c>
      <c r="B198" t="s">
        <v>6</v>
      </c>
      <c r="C198">
        <v>40</v>
      </c>
      <c r="D198">
        <v>524.61300000000006</v>
      </c>
    </row>
    <row r="199" spans="1:4" x14ac:dyDescent="0.25">
      <c r="A199" t="s">
        <v>4</v>
      </c>
      <c r="B199" t="s">
        <v>6</v>
      </c>
      <c r="C199">
        <v>40</v>
      </c>
      <c r="D199">
        <v>484.75099999999998</v>
      </c>
    </row>
    <row r="200" spans="1:4" x14ac:dyDescent="0.25">
      <c r="A200" t="s">
        <v>4</v>
      </c>
      <c r="B200" t="s">
        <v>6</v>
      </c>
      <c r="C200">
        <v>40</v>
      </c>
      <c r="D200">
        <v>538.75699999999995</v>
      </c>
    </row>
    <row r="201" spans="1:4" x14ac:dyDescent="0.25">
      <c r="A201" t="s">
        <v>4</v>
      </c>
      <c r="B201" t="s">
        <v>6</v>
      </c>
      <c r="C201">
        <v>40</v>
      </c>
      <c r="D201">
        <v>538.30100000000004</v>
      </c>
    </row>
    <row r="202" spans="1:4" x14ac:dyDescent="0.25">
      <c r="A202" t="s">
        <v>4</v>
      </c>
      <c r="B202" t="s">
        <v>6</v>
      </c>
      <c r="C202">
        <v>60</v>
      </c>
      <c r="D202">
        <v>702.56299999999999</v>
      </c>
    </row>
    <row r="203" spans="1:4" x14ac:dyDescent="0.25">
      <c r="A203" t="s">
        <v>4</v>
      </c>
      <c r="B203" t="s">
        <v>6</v>
      </c>
      <c r="C203">
        <v>60</v>
      </c>
      <c r="D203">
        <v>678.61199999999997</v>
      </c>
    </row>
    <row r="204" spans="1:4" x14ac:dyDescent="0.25">
      <c r="A204" t="s">
        <v>4</v>
      </c>
      <c r="B204" t="s">
        <v>6</v>
      </c>
      <c r="C204">
        <v>60</v>
      </c>
      <c r="D204">
        <v>694.56399999999996</v>
      </c>
    </row>
    <row r="205" spans="1:4" x14ac:dyDescent="0.25">
      <c r="A205" t="s">
        <v>4</v>
      </c>
      <c r="B205" t="s">
        <v>6</v>
      </c>
      <c r="C205">
        <v>60</v>
      </c>
      <c r="D205">
        <v>713.60799999999995</v>
      </c>
    </row>
    <row r="206" spans="1:4" x14ac:dyDescent="0.25">
      <c r="A206" t="s">
        <v>4</v>
      </c>
      <c r="B206" t="s">
        <v>6</v>
      </c>
      <c r="C206">
        <v>60</v>
      </c>
      <c r="D206">
        <v>670.29</v>
      </c>
    </row>
    <row r="207" spans="1:4" x14ac:dyDescent="0.25">
      <c r="A207" t="s">
        <v>4</v>
      </c>
      <c r="B207" t="s">
        <v>6</v>
      </c>
      <c r="C207">
        <v>60</v>
      </c>
      <c r="D207">
        <v>663.28499999999997</v>
      </c>
    </row>
    <row r="208" spans="1:4" x14ac:dyDescent="0.25">
      <c r="A208" t="s">
        <v>4</v>
      </c>
      <c r="B208" t="s">
        <v>6</v>
      </c>
      <c r="C208">
        <v>60</v>
      </c>
      <c r="D208">
        <v>719.447</v>
      </c>
    </row>
    <row r="209" spans="1:4" x14ac:dyDescent="0.25">
      <c r="A209" t="s">
        <v>4</v>
      </c>
      <c r="B209" t="s">
        <v>6</v>
      </c>
      <c r="C209">
        <v>60</v>
      </c>
      <c r="D209">
        <v>726.22</v>
      </c>
    </row>
    <row r="210" spans="1:4" x14ac:dyDescent="0.25">
      <c r="A210" t="s">
        <v>4</v>
      </c>
      <c r="B210" t="s">
        <v>6</v>
      </c>
      <c r="C210">
        <v>60</v>
      </c>
      <c r="D210">
        <v>694.23800000000006</v>
      </c>
    </row>
    <row r="211" spans="1:4" x14ac:dyDescent="0.25">
      <c r="A211" t="s">
        <v>4</v>
      </c>
      <c r="B211" t="s">
        <v>6</v>
      </c>
      <c r="C211">
        <v>60</v>
      </c>
      <c r="D211">
        <v>747.22699999999998</v>
      </c>
    </row>
    <row r="212" spans="1:4" x14ac:dyDescent="0.25">
      <c r="A212" t="s">
        <v>4</v>
      </c>
      <c r="B212" t="s">
        <v>6</v>
      </c>
      <c r="C212">
        <v>60</v>
      </c>
      <c r="D212">
        <v>724.53899999999999</v>
      </c>
    </row>
    <row r="213" spans="1:4" x14ac:dyDescent="0.25">
      <c r="A213" t="s">
        <v>4</v>
      </c>
      <c r="B213" t="s">
        <v>6</v>
      </c>
      <c r="C213">
        <v>60</v>
      </c>
      <c r="D213">
        <v>713.29</v>
      </c>
    </row>
    <row r="214" spans="1:4" x14ac:dyDescent="0.25">
      <c r="A214" t="s">
        <v>4</v>
      </c>
      <c r="B214" t="s">
        <v>6</v>
      </c>
      <c r="C214">
        <v>60</v>
      </c>
      <c r="D214">
        <v>708.154</v>
      </c>
    </row>
    <row r="215" spans="1:4" x14ac:dyDescent="0.25">
      <c r="A215" t="s">
        <v>4</v>
      </c>
      <c r="B215" t="s">
        <v>6</v>
      </c>
      <c r="C215">
        <v>60</v>
      </c>
      <c r="D215">
        <v>703.28300000000002</v>
      </c>
    </row>
    <row r="216" spans="1:4" x14ac:dyDescent="0.25">
      <c r="A216" t="s">
        <v>4</v>
      </c>
      <c r="B216" t="s">
        <v>6</v>
      </c>
      <c r="C216">
        <v>60</v>
      </c>
      <c r="D216">
        <v>744.80499999999995</v>
      </c>
    </row>
    <row r="217" spans="1:4" x14ac:dyDescent="0.25">
      <c r="A217" t="s">
        <v>4</v>
      </c>
      <c r="B217" t="s">
        <v>6</v>
      </c>
      <c r="C217">
        <v>60</v>
      </c>
      <c r="D217">
        <v>715.87699999999995</v>
      </c>
    </row>
    <row r="218" spans="1:4" x14ac:dyDescent="0.25">
      <c r="A218" t="s">
        <v>4</v>
      </c>
      <c r="B218" t="s">
        <v>6</v>
      </c>
      <c r="C218">
        <v>60</v>
      </c>
      <c r="D218">
        <v>739.91800000000001</v>
      </c>
    </row>
    <row r="219" spans="1:4" x14ac:dyDescent="0.25">
      <c r="A219" t="s">
        <v>4</v>
      </c>
      <c r="B219" t="s">
        <v>6</v>
      </c>
      <c r="C219">
        <v>60</v>
      </c>
      <c r="D219">
        <v>697.91099999999994</v>
      </c>
    </row>
    <row r="220" spans="1:4" x14ac:dyDescent="0.25">
      <c r="A220" t="s">
        <v>4</v>
      </c>
      <c r="B220" t="s">
        <v>6</v>
      </c>
      <c r="C220">
        <v>60</v>
      </c>
      <c r="D220">
        <v>693.51</v>
      </c>
    </row>
    <row r="221" spans="1:4" x14ac:dyDescent="0.25">
      <c r="A221" t="s">
        <v>4</v>
      </c>
      <c r="B221" t="s">
        <v>6</v>
      </c>
      <c r="C221">
        <v>60</v>
      </c>
      <c r="D221">
        <v>712.96699999999998</v>
      </c>
    </row>
    <row r="222" spans="1:4" x14ac:dyDescent="0.25">
      <c r="A222" t="s">
        <v>4</v>
      </c>
      <c r="B222" t="s">
        <v>6</v>
      </c>
      <c r="C222">
        <v>60</v>
      </c>
      <c r="D222">
        <v>750.34900000000005</v>
      </c>
    </row>
    <row r="223" spans="1:4" x14ac:dyDescent="0.25">
      <c r="A223" t="s">
        <v>4</v>
      </c>
      <c r="B223" t="s">
        <v>6</v>
      </c>
      <c r="C223">
        <v>60</v>
      </c>
      <c r="D223">
        <v>757.42200000000003</v>
      </c>
    </row>
    <row r="224" spans="1:4" x14ac:dyDescent="0.25">
      <c r="A224" t="s">
        <v>4</v>
      </c>
      <c r="B224" t="s">
        <v>6</v>
      </c>
      <c r="C224">
        <v>60</v>
      </c>
      <c r="D224">
        <v>682.08199999999999</v>
      </c>
    </row>
    <row r="225" spans="1:4" x14ac:dyDescent="0.25">
      <c r="A225" t="s">
        <v>4</v>
      </c>
      <c r="B225" t="s">
        <v>6</v>
      </c>
      <c r="C225">
        <v>60</v>
      </c>
      <c r="D225">
        <v>668.35900000000004</v>
      </c>
    </row>
    <row r="226" spans="1:4" x14ac:dyDescent="0.25">
      <c r="A226" t="s">
        <v>4</v>
      </c>
      <c r="B226" t="s">
        <v>6</v>
      </c>
      <c r="C226">
        <v>60</v>
      </c>
      <c r="D226">
        <v>728.19200000000001</v>
      </c>
    </row>
    <row r="227" spans="1:4" x14ac:dyDescent="0.25">
      <c r="A227" t="s">
        <v>4</v>
      </c>
      <c r="B227" t="s">
        <v>6</v>
      </c>
      <c r="C227">
        <v>60</v>
      </c>
      <c r="D227">
        <v>716.77200000000005</v>
      </c>
    </row>
    <row r="228" spans="1:4" x14ac:dyDescent="0.25">
      <c r="A228" t="s">
        <v>4</v>
      </c>
      <c r="B228" t="s">
        <v>6</v>
      </c>
      <c r="C228">
        <v>60</v>
      </c>
      <c r="D228">
        <v>684.12300000000005</v>
      </c>
    </row>
    <row r="229" spans="1:4" x14ac:dyDescent="0.25">
      <c r="A229" t="s">
        <v>4</v>
      </c>
      <c r="B229" t="s">
        <v>6</v>
      </c>
      <c r="C229">
        <v>60</v>
      </c>
      <c r="D229">
        <v>692.00599999999997</v>
      </c>
    </row>
    <row r="230" spans="1:4" x14ac:dyDescent="0.25">
      <c r="A230" t="s">
        <v>4</v>
      </c>
      <c r="B230" t="s">
        <v>6</v>
      </c>
      <c r="C230">
        <v>60</v>
      </c>
      <c r="D230">
        <v>704.89200000000005</v>
      </c>
    </row>
    <row r="231" spans="1:4" x14ac:dyDescent="0.25">
      <c r="A231" t="s">
        <v>4</v>
      </c>
      <c r="B231" t="s">
        <v>6</v>
      </c>
      <c r="C231">
        <v>60</v>
      </c>
      <c r="D231">
        <v>728.221</v>
      </c>
    </row>
    <row r="232" spans="1:4" x14ac:dyDescent="0.25">
      <c r="A232" t="s">
        <v>4</v>
      </c>
      <c r="B232" t="s">
        <v>6</v>
      </c>
      <c r="C232">
        <v>60</v>
      </c>
      <c r="D232">
        <v>698.024</v>
      </c>
    </row>
    <row r="233" spans="1:4" x14ac:dyDescent="0.25">
      <c r="A233" t="s">
        <v>4</v>
      </c>
      <c r="B233" t="s">
        <v>6</v>
      </c>
      <c r="C233">
        <v>60</v>
      </c>
      <c r="D233">
        <v>698.50900000000001</v>
      </c>
    </row>
    <row r="234" spans="1:4" x14ac:dyDescent="0.25">
      <c r="A234" t="s">
        <v>4</v>
      </c>
      <c r="B234" t="s">
        <v>6</v>
      </c>
      <c r="C234">
        <v>60</v>
      </c>
      <c r="D234">
        <v>697.35</v>
      </c>
    </row>
    <row r="235" spans="1:4" x14ac:dyDescent="0.25">
      <c r="A235" t="s">
        <v>4</v>
      </c>
      <c r="B235" t="s">
        <v>6</v>
      </c>
      <c r="C235">
        <v>60</v>
      </c>
      <c r="D235">
        <v>667.09100000000001</v>
      </c>
    </row>
    <row r="236" spans="1:4" x14ac:dyDescent="0.25">
      <c r="A236" t="s">
        <v>4</v>
      </c>
      <c r="B236" t="s">
        <v>6</v>
      </c>
      <c r="C236">
        <v>60</v>
      </c>
      <c r="D236">
        <v>706.57600000000002</v>
      </c>
    </row>
    <row r="237" spans="1:4" x14ac:dyDescent="0.25">
      <c r="A237" t="s">
        <v>4</v>
      </c>
      <c r="B237" t="s">
        <v>6</v>
      </c>
      <c r="C237">
        <v>60</v>
      </c>
      <c r="D237">
        <v>710.59799999999996</v>
      </c>
    </row>
    <row r="238" spans="1:4" x14ac:dyDescent="0.25">
      <c r="A238" t="s">
        <v>4</v>
      </c>
      <c r="B238" t="s">
        <v>6</v>
      </c>
      <c r="C238">
        <v>60</v>
      </c>
      <c r="D238">
        <v>737.16200000000003</v>
      </c>
    </row>
    <row r="239" spans="1:4" x14ac:dyDescent="0.25">
      <c r="A239" t="s">
        <v>4</v>
      </c>
      <c r="B239" t="s">
        <v>6</v>
      </c>
      <c r="C239">
        <v>60</v>
      </c>
      <c r="D239">
        <v>713.97199999999998</v>
      </c>
    </row>
    <row r="240" spans="1:4" x14ac:dyDescent="0.25">
      <c r="A240" t="s">
        <v>4</v>
      </c>
      <c r="B240" t="s">
        <v>6</v>
      </c>
      <c r="C240">
        <v>60</v>
      </c>
      <c r="D240">
        <v>725.41</v>
      </c>
    </row>
    <row r="241" spans="1:4" x14ac:dyDescent="0.25">
      <c r="A241" t="s">
        <v>4</v>
      </c>
      <c r="B241" t="s">
        <v>6</v>
      </c>
      <c r="C241">
        <v>60</v>
      </c>
      <c r="D241">
        <v>743.99599999999998</v>
      </c>
    </row>
    <row r="242" spans="1:4" x14ac:dyDescent="0.25">
      <c r="A242" t="s">
        <v>4</v>
      </c>
      <c r="B242" t="s">
        <v>6</v>
      </c>
      <c r="C242">
        <v>60</v>
      </c>
      <c r="D242">
        <v>705.48800000000006</v>
      </c>
    </row>
    <row r="243" spans="1:4" x14ac:dyDescent="0.25">
      <c r="A243" t="s">
        <v>4</v>
      </c>
      <c r="B243" t="s">
        <v>6</v>
      </c>
      <c r="C243">
        <v>60</v>
      </c>
      <c r="D243">
        <v>697.62199999999996</v>
      </c>
    </row>
    <row r="244" spans="1:4" x14ac:dyDescent="0.25">
      <c r="A244" t="s">
        <v>4</v>
      </c>
      <c r="B244" t="s">
        <v>6</v>
      </c>
      <c r="C244">
        <v>60</v>
      </c>
      <c r="D244">
        <v>697.10699999999997</v>
      </c>
    </row>
    <row r="245" spans="1:4" x14ac:dyDescent="0.25">
      <c r="A245" t="s">
        <v>4</v>
      </c>
      <c r="B245" t="s">
        <v>6</v>
      </c>
      <c r="C245">
        <v>60</v>
      </c>
      <c r="D245">
        <v>708.58100000000002</v>
      </c>
    </row>
    <row r="246" spans="1:4" x14ac:dyDescent="0.25">
      <c r="A246" t="s">
        <v>4</v>
      </c>
      <c r="B246" t="s">
        <v>6</v>
      </c>
      <c r="C246">
        <v>60</v>
      </c>
      <c r="D246">
        <v>718.68100000000004</v>
      </c>
    </row>
    <row r="247" spans="1:4" x14ac:dyDescent="0.25">
      <c r="A247" t="s">
        <v>4</v>
      </c>
      <c r="B247" t="s">
        <v>6</v>
      </c>
      <c r="C247">
        <v>60</v>
      </c>
      <c r="D247">
        <v>727.49</v>
      </c>
    </row>
    <row r="248" spans="1:4" x14ac:dyDescent="0.25">
      <c r="A248" t="s">
        <v>4</v>
      </c>
      <c r="B248" t="s">
        <v>6</v>
      </c>
      <c r="C248">
        <v>60</v>
      </c>
      <c r="D248">
        <v>696.721</v>
      </c>
    </row>
    <row r="249" spans="1:4" x14ac:dyDescent="0.25">
      <c r="A249" t="s">
        <v>4</v>
      </c>
      <c r="B249" t="s">
        <v>6</v>
      </c>
      <c r="C249">
        <v>60</v>
      </c>
      <c r="D249">
        <v>706.51300000000003</v>
      </c>
    </row>
    <row r="250" spans="1:4" x14ac:dyDescent="0.25">
      <c r="A250" t="s">
        <v>4</v>
      </c>
      <c r="B250" t="s">
        <v>6</v>
      </c>
      <c r="C250">
        <v>60</v>
      </c>
      <c r="D250">
        <v>697.23</v>
      </c>
    </row>
    <row r="251" spans="1:4" x14ac:dyDescent="0.25">
      <c r="A251" t="s">
        <v>4</v>
      </c>
      <c r="B251" t="s">
        <v>6</v>
      </c>
      <c r="C251">
        <v>60</v>
      </c>
      <c r="D251">
        <v>750.84900000000005</v>
      </c>
    </row>
    <row r="252" spans="1:4" x14ac:dyDescent="0.25">
      <c r="A252" t="s">
        <v>4</v>
      </c>
      <c r="B252" t="s">
        <v>6</v>
      </c>
      <c r="C252">
        <v>60</v>
      </c>
      <c r="D252">
        <v>746.00099999999998</v>
      </c>
    </row>
    <row r="253" spans="1:4" x14ac:dyDescent="0.25">
      <c r="A253" t="s">
        <v>4</v>
      </c>
      <c r="B253" t="s">
        <v>6</v>
      </c>
      <c r="C253">
        <v>60</v>
      </c>
      <c r="D253">
        <v>713.94</v>
      </c>
    </row>
    <row r="254" spans="1:4" x14ac:dyDescent="0.25">
      <c r="A254" t="s">
        <v>4</v>
      </c>
      <c r="B254" t="s">
        <v>6</v>
      </c>
      <c r="C254">
        <v>60</v>
      </c>
      <c r="D254">
        <v>664.60199999999998</v>
      </c>
    </row>
    <row r="255" spans="1:4" x14ac:dyDescent="0.25">
      <c r="A255" t="s">
        <v>4</v>
      </c>
      <c r="B255" t="s">
        <v>6</v>
      </c>
      <c r="C255">
        <v>60</v>
      </c>
      <c r="D255">
        <v>726.25599999999997</v>
      </c>
    </row>
    <row r="256" spans="1:4" x14ac:dyDescent="0.25">
      <c r="A256" t="s">
        <v>4</v>
      </c>
      <c r="B256" t="s">
        <v>6</v>
      </c>
      <c r="C256">
        <v>60</v>
      </c>
      <c r="D256">
        <v>728.51300000000003</v>
      </c>
    </row>
    <row r="257" spans="1:4" x14ac:dyDescent="0.25">
      <c r="A257" t="s">
        <v>4</v>
      </c>
      <c r="B257" t="s">
        <v>6</v>
      </c>
      <c r="C257">
        <v>60</v>
      </c>
      <c r="D257">
        <v>721.84799999999996</v>
      </c>
    </row>
    <row r="258" spans="1:4" x14ac:dyDescent="0.25">
      <c r="A258" t="s">
        <v>4</v>
      </c>
      <c r="B258" t="s">
        <v>6</v>
      </c>
      <c r="C258">
        <v>60</v>
      </c>
      <c r="D258">
        <v>690.26099999999997</v>
      </c>
    </row>
    <row r="259" spans="1:4" x14ac:dyDescent="0.25">
      <c r="A259" t="s">
        <v>4</v>
      </c>
      <c r="B259" t="s">
        <v>6</v>
      </c>
      <c r="C259">
        <v>60</v>
      </c>
      <c r="D259">
        <v>701.80600000000004</v>
      </c>
    </row>
    <row r="260" spans="1:4" x14ac:dyDescent="0.25">
      <c r="A260" t="s">
        <v>4</v>
      </c>
      <c r="B260" t="s">
        <v>6</v>
      </c>
      <c r="C260">
        <v>60</v>
      </c>
      <c r="D260">
        <v>676.053</v>
      </c>
    </row>
    <row r="261" spans="1:4" x14ac:dyDescent="0.25">
      <c r="A261" t="s">
        <v>4</v>
      </c>
      <c r="B261" t="s">
        <v>6</v>
      </c>
      <c r="C261">
        <v>60</v>
      </c>
      <c r="D261">
        <v>739.21</v>
      </c>
    </row>
    <row r="262" spans="1:4" x14ac:dyDescent="0.25">
      <c r="A262" t="s">
        <v>4</v>
      </c>
      <c r="B262" t="s">
        <v>6</v>
      </c>
      <c r="C262">
        <v>60</v>
      </c>
      <c r="D262">
        <v>723.01800000000003</v>
      </c>
    </row>
    <row r="263" spans="1:4" x14ac:dyDescent="0.25">
      <c r="A263" t="s">
        <v>4</v>
      </c>
      <c r="B263" t="s">
        <v>6</v>
      </c>
      <c r="C263">
        <v>60</v>
      </c>
      <c r="D263">
        <v>703.01400000000001</v>
      </c>
    </row>
    <row r="264" spans="1:4" x14ac:dyDescent="0.25">
      <c r="A264" t="s">
        <v>4</v>
      </c>
      <c r="B264" t="s">
        <v>6</v>
      </c>
      <c r="C264">
        <v>60</v>
      </c>
      <c r="D264">
        <v>703.78</v>
      </c>
    </row>
    <row r="265" spans="1:4" x14ac:dyDescent="0.25">
      <c r="A265" t="s">
        <v>4</v>
      </c>
      <c r="B265" t="s">
        <v>6</v>
      </c>
      <c r="C265">
        <v>60</v>
      </c>
      <c r="D265">
        <v>679.49699999999996</v>
      </c>
    </row>
    <row r="266" spans="1:4" x14ac:dyDescent="0.25">
      <c r="A266" t="s">
        <v>4</v>
      </c>
      <c r="B266" t="s">
        <v>6</v>
      </c>
      <c r="C266">
        <v>60</v>
      </c>
      <c r="D266">
        <v>694.74300000000005</v>
      </c>
    </row>
    <row r="267" spans="1:4" x14ac:dyDescent="0.25">
      <c r="A267" t="s">
        <v>4</v>
      </c>
      <c r="B267" t="s">
        <v>6</v>
      </c>
      <c r="C267">
        <v>60</v>
      </c>
      <c r="D267">
        <v>723.17399999999998</v>
      </c>
    </row>
    <row r="268" spans="1:4" x14ac:dyDescent="0.25">
      <c r="A268" t="s">
        <v>4</v>
      </c>
      <c r="B268" t="s">
        <v>6</v>
      </c>
      <c r="C268">
        <v>60</v>
      </c>
      <c r="D268">
        <v>718.28499999999997</v>
      </c>
    </row>
    <row r="269" spans="1:4" x14ac:dyDescent="0.25">
      <c r="A269" t="s">
        <v>4</v>
      </c>
      <c r="B269" t="s">
        <v>6</v>
      </c>
      <c r="C269">
        <v>60</v>
      </c>
      <c r="D269">
        <v>714.08299999999997</v>
      </c>
    </row>
    <row r="270" spans="1:4" x14ac:dyDescent="0.25">
      <c r="A270" t="s">
        <v>4</v>
      </c>
      <c r="B270" t="s">
        <v>6</v>
      </c>
      <c r="C270">
        <v>60</v>
      </c>
      <c r="D270">
        <v>700.38499999999999</v>
      </c>
    </row>
    <row r="271" spans="1:4" x14ac:dyDescent="0.25">
      <c r="A271" t="s">
        <v>4</v>
      </c>
      <c r="B271" t="s">
        <v>6</v>
      </c>
      <c r="C271">
        <v>60</v>
      </c>
      <c r="D271">
        <v>759.56</v>
      </c>
    </row>
    <row r="272" spans="1:4" x14ac:dyDescent="0.25">
      <c r="A272" t="s">
        <v>4</v>
      </c>
      <c r="B272" t="s">
        <v>6</v>
      </c>
      <c r="C272">
        <v>60</v>
      </c>
      <c r="D272">
        <v>744.803</v>
      </c>
    </row>
    <row r="273" spans="1:4" x14ac:dyDescent="0.25">
      <c r="A273" t="s">
        <v>4</v>
      </c>
      <c r="B273" t="s">
        <v>6</v>
      </c>
      <c r="C273">
        <v>60</v>
      </c>
      <c r="D273">
        <v>741.59199999999998</v>
      </c>
    </row>
    <row r="274" spans="1:4" x14ac:dyDescent="0.25">
      <c r="A274" t="s">
        <v>4</v>
      </c>
      <c r="B274" t="s">
        <v>6</v>
      </c>
      <c r="C274">
        <v>60</v>
      </c>
      <c r="D274">
        <v>725.05200000000002</v>
      </c>
    </row>
    <row r="275" spans="1:4" x14ac:dyDescent="0.25">
      <c r="A275" t="s">
        <v>4</v>
      </c>
      <c r="B275" t="s">
        <v>6</v>
      </c>
      <c r="C275">
        <v>60</v>
      </c>
      <c r="D275">
        <v>729.87900000000002</v>
      </c>
    </row>
    <row r="276" spans="1:4" x14ac:dyDescent="0.25">
      <c r="A276" t="s">
        <v>4</v>
      </c>
      <c r="B276" t="s">
        <v>6</v>
      </c>
      <c r="C276">
        <v>60</v>
      </c>
      <c r="D276">
        <v>700.38099999999997</v>
      </c>
    </row>
    <row r="277" spans="1:4" x14ac:dyDescent="0.25">
      <c r="A277" t="s">
        <v>4</v>
      </c>
      <c r="B277" t="s">
        <v>6</v>
      </c>
      <c r="C277">
        <v>60</v>
      </c>
      <c r="D277">
        <v>707.71299999999997</v>
      </c>
    </row>
    <row r="278" spans="1:4" x14ac:dyDescent="0.25">
      <c r="A278" t="s">
        <v>4</v>
      </c>
      <c r="B278" t="s">
        <v>6</v>
      </c>
      <c r="C278">
        <v>60</v>
      </c>
      <c r="D278">
        <v>728.68499999999995</v>
      </c>
    </row>
    <row r="279" spans="1:4" x14ac:dyDescent="0.25">
      <c r="A279" t="s">
        <v>4</v>
      </c>
      <c r="B279" t="s">
        <v>6</v>
      </c>
      <c r="C279">
        <v>60</v>
      </c>
      <c r="D279">
        <v>752.48199999999997</v>
      </c>
    </row>
    <row r="280" spans="1:4" x14ac:dyDescent="0.25">
      <c r="A280" t="s">
        <v>4</v>
      </c>
      <c r="B280" t="s">
        <v>6</v>
      </c>
      <c r="C280">
        <v>60</v>
      </c>
      <c r="D280">
        <v>655.98</v>
      </c>
    </row>
    <row r="281" spans="1:4" x14ac:dyDescent="0.25">
      <c r="A281" t="s">
        <v>4</v>
      </c>
      <c r="B281" t="s">
        <v>6</v>
      </c>
      <c r="C281">
        <v>60</v>
      </c>
      <c r="D281">
        <v>704.57500000000005</v>
      </c>
    </row>
    <row r="282" spans="1:4" x14ac:dyDescent="0.25">
      <c r="A282" t="s">
        <v>4</v>
      </c>
      <c r="B282" t="s">
        <v>6</v>
      </c>
      <c r="C282">
        <v>60</v>
      </c>
      <c r="D282">
        <v>738.92600000000004</v>
      </c>
    </row>
    <row r="283" spans="1:4" x14ac:dyDescent="0.25">
      <c r="A283" t="s">
        <v>4</v>
      </c>
      <c r="B283" t="s">
        <v>6</v>
      </c>
      <c r="C283">
        <v>60</v>
      </c>
      <c r="D283">
        <v>719.66800000000001</v>
      </c>
    </row>
    <row r="284" spans="1:4" x14ac:dyDescent="0.25">
      <c r="A284" t="s">
        <v>4</v>
      </c>
      <c r="B284" t="s">
        <v>6</v>
      </c>
      <c r="C284">
        <v>60</v>
      </c>
      <c r="D284">
        <v>735.67899999999997</v>
      </c>
    </row>
    <row r="285" spans="1:4" x14ac:dyDescent="0.25">
      <c r="A285" t="s">
        <v>4</v>
      </c>
      <c r="B285" t="s">
        <v>6</v>
      </c>
      <c r="C285">
        <v>60</v>
      </c>
      <c r="D285">
        <v>677.37300000000005</v>
      </c>
    </row>
    <row r="286" spans="1:4" x14ac:dyDescent="0.25">
      <c r="A286" t="s">
        <v>4</v>
      </c>
      <c r="B286" t="s">
        <v>6</v>
      </c>
      <c r="C286">
        <v>60</v>
      </c>
      <c r="D286">
        <v>759.73099999999999</v>
      </c>
    </row>
    <row r="287" spans="1:4" x14ac:dyDescent="0.25">
      <c r="A287" t="s">
        <v>4</v>
      </c>
      <c r="B287" t="s">
        <v>6</v>
      </c>
      <c r="C287">
        <v>60</v>
      </c>
      <c r="D287">
        <v>707.202</v>
      </c>
    </row>
    <row r="288" spans="1:4" x14ac:dyDescent="0.25">
      <c r="A288" t="s">
        <v>4</v>
      </c>
      <c r="B288" t="s">
        <v>6</v>
      </c>
      <c r="C288">
        <v>60</v>
      </c>
      <c r="D288">
        <v>674.76</v>
      </c>
    </row>
    <row r="289" spans="1:4" x14ac:dyDescent="0.25">
      <c r="A289" t="s">
        <v>4</v>
      </c>
      <c r="B289" t="s">
        <v>6</v>
      </c>
      <c r="C289">
        <v>60</v>
      </c>
      <c r="D289">
        <v>721.02700000000004</v>
      </c>
    </row>
    <row r="290" spans="1:4" x14ac:dyDescent="0.25">
      <c r="A290" t="s">
        <v>4</v>
      </c>
      <c r="B290" t="s">
        <v>6</v>
      </c>
      <c r="C290">
        <v>60</v>
      </c>
      <c r="D290">
        <v>716.94799999999998</v>
      </c>
    </row>
    <row r="291" spans="1:4" x14ac:dyDescent="0.25">
      <c r="A291" t="s">
        <v>4</v>
      </c>
      <c r="B291" t="s">
        <v>6</v>
      </c>
      <c r="C291">
        <v>60</v>
      </c>
      <c r="D291">
        <v>715.85900000000004</v>
      </c>
    </row>
    <row r="292" spans="1:4" x14ac:dyDescent="0.25">
      <c r="A292" t="s">
        <v>4</v>
      </c>
      <c r="B292" t="s">
        <v>6</v>
      </c>
      <c r="C292">
        <v>60</v>
      </c>
      <c r="D292">
        <v>706.44</v>
      </c>
    </row>
    <row r="293" spans="1:4" x14ac:dyDescent="0.25">
      <c r="A293" t="s">
        <v>4</v>
      </c>
      <c r="B293" t="s">
        <v>6</v>
      </c>
      <c r="C293">
        <v>60</v>
      </c>
      <c r="D293">
        <v>696.221</v>
      </c>
    </row>
    <row r="294" spans="1:4" x14ac:dyDescent="0.25">
      <c r="A294" t="s">
        <v>4</v>
      </c>
      <c r="B294" t="s">
        <v>6</v>
      </c>
      <c r="C294">
        <v>60</v>
      </c>
      <c r="D294">
        <v>722.41300000000001</v>
      </c>
    </row>
    <row r="295" spans="1:4" x14ac:dyDescent="0.25">
      <c r="A295" t="s">
        <v>4</v>
      </c>
      <c r="B295" t="s">
        <v>6</v>
      </c>
      <c r="C295">
        <v>60</v>
      </c>
      <c r="D295">
        <v>694.15599999999995</v>
      </c>
    </row>
    <row r="296" spans="1:4" x14ac:dyDescent="0.25">
      <c r="A296" t="s">
        <v>4</v>
      </c>
      <c r="B296" t="s">
        <v>6</v>
      </c>
      <c r="C296">
        <v>60</v>
      </c>
      <c r="D296">
        <v>729.553</v>
      </c>
    </row>
    <row r="297" spans="1:4" x14ac:dyDescent="0.25">
      <c r="A297" t="s">
        <v>4</v>
      </c>
      <c r="B297" t="s">
        <v>6</v>
      </c>
      <c r="C297">
        <v>60</v>
      </c>
      <c r="D297">
        <v>697.673</v>
      </c>
    </row>
    <row r="298" spans="1:4" x14ac:dyDescent="0.25">
      <c r="A298" t="s">
        <v>4</v>
      </c>
      <c r="B298" t="s">
        <v>6</v>
      </c>
      <c r="C298">
        <v>60</v>
      </c>
      <c r="D298">
        <v>679.75400000000002</v>
      </c>
    </row>
    <row r="299" spans="1:4" x14ac:dyDescent="0.25">
      <c r="A299" t="s">
        <v>4</v>
      </c>
      <c r="B299" t="s">
        <v>6</v>
      </c>
      <c r="C299">
        <v>60</v>
      </c>
      <c r="D299">
        <v>724.97799999999995</v>
      </c>
    </row>
    <row r="300" spans="1:4" x14ac:dyDescent="0.25">
      <c r="A300" t="s">
        <v>4</v>
      </c>
      <c r="B300" t="s">
        <v>6</v>
      </c>
      <c r="C300">
        <v>60</v>
      </c>
      <c r="D300">
        <v>736.67100000000005</v>
      </c>
    </row>
    <row r="301" spans="1:4" x14ac:dyDescent="0.25">
      <c r="A301" t="s">
        <v>4</v>
      </c>
      <c r="B301" t="s">
        <v>6</v>
      </c>
      <c r="C301">
        <v>60</v>
      </c>
      <c r="D301">
        <v>709.14800000000002</v>
      </c>
    </row>
    <row r="302" spans="1:4" x14ac:dyDescent="0.25">
      <c r="A302" t="s">
        <v>4</v>
      </c>
      <c r="B302" t="s">
        <v>6</v>
      </c>
      <c r="C302">
        <v>80</v>
      </c>
      <c r="D302">
        <v>927.39</v>
      </c>
    </row>
    <row r="303" spans="1:4" x14ac:dyDescent="0.25">
      <c r="A303" t="s">
        <v>4</v>
      </c>
      <c r="B303" t="s">
        <v>6</v>
      </c>
      <c r="C303">
        <v>80</v>
      </c>
      <c r="D303">
        <v>929.76300000000003</v>
      </c>
    </row>
    <row r="304" spans="1:4" x14ac:dyDescent="0.25">
      <c r="A304" t="s">
        <v>4</v>
      </c>
      <c r="B304" t="s">
        <v>6</v>
      </c>
      <c r="C304">
        <v>80</v>
      </c>
      <c r="D304">
        <v>911.50099999999998</v>
      </c>
    </row>
    <row r="305" spans="1:4" x14ac:dyDescent="0.25">
      <c r="A305" t="s">
        <v>4</v>
      </c>
      <c r="B305" t="s">
        <v>6</v>
      </c>
      <c r="C305">
        <v>80</v>
      </c>
      <c r="D305">
        <v>896.2</v>
      </c>
    </row>
    <row r="306" spans="1:4" x14ac:dyDescent="0.25">
      <c r="A306" t="s">
        <v>4</v>
      </c>
      <c r="B306" t="s">
        <v>6</v>
      </c>
      <c r="C306">
        <v>80</v>
      </c>
      <c r="D306">
        <v>877.327</v>
      </c>
    </row>
    <row r="307" spans="1:4" x14ac:dyDescent="0.25">
      <c r="A307" t="s">
        <v>4</v>
      </c>
      <c r="B307" t="s">
        <v>6</v>
      </c>
      <c r="C307">
        <v>80</v>
      </c>
      <c r="D307">
        <v>883.98699999999997</v>
      </c>
    </row>
    <row r="308" spans="1:4" x14ac:dyDescent="0.25">
      <c r="A308" t="s">
        <v>4</v>
      </c>
      <c r="B308" t="s">
        <v>6</v>
      </c>
      <c r="C308">
        <v>80</v>
      </c>
      <c r="D308">
        <v>886.32799999999997</v>
      </c>
    </row>
    <row r="309" spans="1:4" x14ac:dyDescent="0.25">
      <c r="A309" t="s">
        <v>4</v>
      </c>
      <c r="B309" t="s">
        <v>6</v>
      </c>
      <c r="C309">
        <v>80</v>
      </c>
      <c r="D309">
        <v>862.66499999999996</v>
      </c>
    </row>
    <row r="310" spans="1:4" x14ac:dyDescent="0.25">
      <c r="A310" t="s">
        <v>4</v>
      </c>
      <c r="B310" t="s">
        <v>6</v>
      </c>
      <c r="C310">
        <v>80</v>
      </c>
      <c r="D310">
        <v>878.79600000000005</v>
      </c>
    </row>
    <row r="311" spans="1:4" x14ac:dyDescent="0.25">
      <c r="A311" t="s">
        <v>4</v>
      </c>
      <c r="B311" t="s">
        <v>6</v>
      </c>
      <c r="C311">
        <v>80</v>
      </c>
      <c r="D311">
        <v>963.74400000000003</v>
      </c>
    </row>
    <row r="312" spans="1:4" x14ac:dyDescent="0.25">
      <c r="A312" t="s">
        <v>4</v>
      </c>
      <c r="B312" t="s">
        <v>6</v>
      </c>
      <c r="C312">
        <v>80</v>
      </c>
      <c r="D312">
        <v>957.15300000000002</v>
      </c>
    </row>
    <row r="313" spans="1:4" x14ac:dyDescent="0.25">
      <c r="A313" t="s">
        <v>4</v>
      </c>
      <c r="B313" t="s">
        <v>6</v>
      </c>
      <c r="C313">
        <v>80</v>
      </c>
      <c r="D313">
        <v>851.63699999999994</v>
      </c>
    </row>
    <row r="314" spans="1:4" x14ac:dyDescent="0.25">
      <c r="A314" t="s">
        <v>4</v>
      </c>
      <c r="B314" t="s">
        <v>6</v>
      </c>
      <c r="C314">
        <v>80</v>
      </c>
      <c r="D314">
        <v>842.38900000000001</v>
      </c>
    </row>
    <row r="315" spans="1:4" x14ac:dyDescent="0.25">
      <c r="A315" t="s">
        <v>4</v>
      </c>
      <c r="B315" t="s">
        <v>6</v>
      </c>
      <c r="C315">
        <v>80</v>
      </c>
      <c r="D315">
        <v>881.41300000000001</v>
      </c>
    </row>
    <row r="316" spans="1:4" x14ac:dyDescent="0.25">
      <c r="A316" t="s">
        <v>4</v>
      </c>
      <c r="B316" t="s">
        <v>6</v>
      </c>
      <c r="C316">
        <v>80</v>
      </c>
      <c r="D316">
        <v>893.36699999999996</v>
      </c>
    </row>
    <row r="317" spans="1:4" x14ac:dyDescent="0.25">
      <c r="A317" t="s">
        <v>4</v>
      </c>
      <c r="B317" t="s">
        <v>6</v>
      </c>
      <c r="C317">
        <v>80</v>
      </c>
      <c r="D317">
        <v>910.05499999999995</v>
      </c>
    </row>
    <row r="318" spans="1:4" x14ac:dyDescent="0.25">
      <c r="A318" t="s">
        <v>4</v>
      </c>
      <c r="B318" t="s">
        <v>6</v>
      </c>
      <c r="C318">
        <v>80</v>
      </c>
      <c r="D318">
        <v>910.28399999999999</v>
      </c>
    </row>
    <row r="319" spans="1:4" x14ac:dyDescent="0.25">
      <c r="A319" t="s">
        <v>4</v>
      </c>
      <c r="B319" t="s">
        <v>6</v>
      </c>
      <c r="C319">
        <v>80</v>
      </c>
      <c r="D319">
        <v>909.33500000000004</v>
      </c>
    </row>
    <row r="320" spans="1:4" x14ac:dyDescent="0.25">
      <c r="A320" t="s">
        <v>4</v>
      </c>
      <c r="B320" t="s">
        <v>6</v>
      </c>
      <c r="C320">
        <v>80</v>
      </c>
      <c r="D320">
        <v>943.06799999999998</v>
      </c>
    </row>
    <row r="321" spans="1:4" x14ac:dyDescent="0.25">
      <c r="A321" t="s">
        <v>4</v>
      </c>
      <c r="B321" t="s">
        <v>6</v>
      </c>
      <c r="C321">
        <v>80</v>
      </c>
      <c r="D321">
        <v>964.79100000000005</v>
      </c>
    </row>
    <row r="322" spans="1:4" x14ac:dyDescent="0.25">
      <c r="A322" t="s">
        <v>4</v>
      </c>
      <c r="B322" t="s">
        <v>6</v>
      </c>
      <c r="C322">
        <v>80</v>
      </c>
      <c r="D322">
        <v>913.64</v>
      </c>
    </row>
    <row r="323" spans="1:4" x14ac:dyDescent="0.25">
      <c r="A323" t="s">
        <v>4</v>
      </c>
      <c r="B323" t="s">
        <v>6</v>
      </c>
      <c r="C323">
        <v>80</v>
      </c>
      <c r="D323">
        <v>917.077</v>
      </c>
    </row>
    <row r="324" spans="1:4" x14ac:dyDescent="0.25">
      <c r="A324" t="s">
        <v>4</v>
      </c>
      <c r="B324" t="s">
        <v>6</v>
      </c>
      <c r="C324">
        <v>80</v>
      </c>
      <c r="D324">
        <v>885.31500000000005</v>
      </c>
    </row>
    <row r="325" spans="1:4" x14ac:dyDescent="0.25">
      <c r="A325" t="s">
        <v>4</v>
      </c>
      <c r="B325" t="s">
        <v>6</v>
      </c>
      <c r="C325">
        <v>80</v>
      </c>
      <c r="D325">
        <v>929.90200000000004</v>
      </c>
    </row>
    <row r="326" spans="1:4" x14ac:dyDescent="0.25">
      <c r="A326" t="s">
        <v>4</v>
      </c>
      <c r="B326" t="s">
        <v>6</v>
      </c>
      <c r="C326">
        <v>80</v>
      </c>
      <c r="D326">
        <v>919.13900000000001</v>
      </c>
    </row>
    <row r="327" spans="1:4" x14ac:dyDescent="0.25">
      <c r="A327" t="s">
        <v>4</v>
      </c>
      <c r="B327" t="s">
        <v>6</v>
      </c>
      <c r="C327">
        <v>80</v>
      </c>
      <c r="D327">
        <v>877.54</v>
      </c>
    </row>
    <row r="328" spans="1:4" x14ac:dyDescent="0.25">
      <c r="A328" t="s">
        <v>4</v>
      </c>
      <c r="B328" t="s">
        <v>6</v>
      </c>
      <c r="C328">
        <v>80</v>
      </c>
      <c r="D328">
        <v>834.31600000000003</v>
      </c>
    </row>
    <row r="329" spans="1:4" x14ac:dyDescent="0.25">
      <c r="A329" t="s">
        <v>4</v>
      </c>
      <c r="B329" t="s">
        <v>6</v>
      </c>
      <c r="C329">
        <v>80</v>
      </c>
      <c r="D329">
        <v>894.74</v>
      </c>
    </row>
    <row r="330" spans="1:4" x14ac:dyDescent="0.25">
      <c r="A330" t="s">
        <v>4</v>
      </c>
      <c r="B330" t="s">
        <v>6</v>
      </c>
      <c r="C330">
        <v>80</v>
      </c>
      <c r="D330">
        <v>904.71299999999997</v>
      </c>
    </row>
    <row r="331" spans="1:4" x14ac:dyDescent="0.25">
      <c r="A331" t="s">
        <v>4</v>
      </c>
      <c r="B331" t="s">
        <v>6</v>
      </c>
      <c r="C331">
        <v>80</v>
      </c>
      <c r="D331">
        <v>928.88599999999997</v>
      </c>
    </row>
    <row r="332" spans="1:4" x14ac:dyDescent="0.25">
      <c r="A332" t="s">
        <v>4</v>
      </c>
      <c r="B332" t="s">
        <v>6</v>
      </c>
      <c r="C332">
        <v>80</v>
      </c>
      <c r="D332">
        <v>922.43100000000004</v>
      </c>
    </row>
    <row r="333" spans="1:4" x14ac:dyDescent="0.25">
      <c r="A333" t="s">
        <v>4</v>
      </c>
      <c r="B333" t="s">
        <v>6</v>
      </c>
      <c r="C333">
        <v>80</v>
      </c>
      <c r="D333">
        <v>944.60599999999999</v>
      </c>
    </row>
    <row r="334" spans="1:4" x14ac:dyDescent="0.25">
      <c r="A334" t="s">
        <v>4</v>
      </c>
      <c r="B334" t="s">
        <v>6</v>
      </c>
      <c r="C334">
        <v>80</v>
      </c>
      <c r="D334">
        <v>904.34100000000001</v>
      </c>
    </row>
    <row r="335" spans="1:4" x14ac:dyDescent="0.25">
      <c r="A335" t="s">
        <v>4</v>
      </c>
      <c r="B335" t="s">
        <v>6</v>
      </c>
      <c r="C335">
        <v>80</v>
      </c>
      <c r="D335">
        <v>943.63300000000004</v>
      </c>
    </row>
    <row r="336" spans="1:4" x14ac:dyDescent="0.25">
      <c r="A336" t="s">
        <v>4</v>
      </c>
      <c r="B336" t="s">
        <v>6</v>
      </c>
      <c r="C336">
        <v>80</v>
      </c>
      <c r="D336">
        <v>922.654</v>
      </c>
    </row>
    <row r="337" spans="1:4" x14ac:dyDescent="0.25">
      <c r="A337" t="s">
        <v>4</v>
      </c>
      <c r="B337" t="s">
        <v>6</v>
      </c>
      <c r="C337">
        <v>80</v>
      </c>
      <c r="D337">
        <v>950.10400000000004</v>
      </c>
    </row>
    <row r="338" spans="1:4" x14ac:dyDescent="0.25">
      <c r="A338" t="s">
        <v>4</v>
      </c>
      <c r="B338" t="s">
        <v>6</v>
      </c>
      <c r="C338">
        <v>80</v>
      </c>
      <c r="D338">
        <v>928.44799999999998</v>
      </c>
    </row>
    <row r="339" spans="1:4" x14ac:dyDescent="0.25">
      <c r="A339" t="s">
        <v>4</v>
      </c>
      <c r="B339" t="s">
        <v>6</v>
      </c>
      <c r="C339">
        <v>80</v>
      </c>
      <c r="D339">
        <v>903.755</v>
      </c>
    </row>
    <row r="340" spans="1:4" x14ac:dyDescent="0.25">
      <c r="A340" t="s">
        <v>4</v>
      </c>
      <c r="B340" t="s">
        <v>6</v>
      </c>
      <c r="C340">
        <v>80</v>
      </c>
      <c r="D340">
        <v>904.43799999999999</v>
      </c>
    </row>
    <row r="341" spans="1:4" x14ac:dyDescent="0.25">
      <c r="A341" t="s">
        <v>4</v>
      </c>
      <c r="B341" t="s">
        <v>6</v>
      </c>
      <c r="C341">
        <v>80</v>
      </c>
      <c r="D341">
        <v>914.45500000000004</v>
      </c>
    </row>
    <row r="342" spans="1:4" x14ac:dyDescent="0.25">
      <c r="A342" t="s">
        <v>4</v>
      </c>
      <c r="B342" t="s">
        <v>6</v>
      </c>
      <c r="C342">
        <v>80</v>
      </c>
      <c r="D342">
        <v>933.46699999999998</v>
      </c>
    </row>
    <row r="343" spans="1:4" x14ac:dyDescent="0.25">
      <c r="A343" t="s">
        <v>4</v>
      </c>
      <c r="B343" t="s">
        <v>6</v>
      </c>
      <c r="C343">
        <v>80</v>
      </c>
      <c r="D343">
        <v>940.79700000000003</v>
      </c>
    </row>
    <row r="344" spans="1:4" x14ac:dyDescent="0.25">
      <c r="A344" t="s">
        <v>4</v>
      </c>
      <c r="B344" t="s">
        <v>6</v>
      </c>
      <c r="C344">
        <v>80</v>
      </c>
      <c r="D344">
        <v>945.19200000000001</v>
      </c>
    </row>
    <row r="345" spans="1:4" x14ac:dyDescent="0.25">
      <c r="A345" t="s">
        <v>4</v>
      </c>
      <c r="B345" t="s">
        <v>6</v>
      </c>
      <c r="C345">
        <v>80</v>
      </c>
      <c r="D345">
        <v>940.39800000000002</v>
      </c>
    </row>
    <row r="346" spans="1:4" x14ac:dyDescent="0.25">
      <c r="A346" t="s">
        <v>4</v>
      </c>
      <c r="B346" t="s">
        <v>6</v>
      </c>
      <c r="C346">
        <v>80</v>
      </c>
      <c r="D346">
        <v>910.97400000000005</v>
      </c>
    </row>
    <row r="347" spans="1:4" x14ac:dyDescent="0.25">
      <c r="A347" t="s">
        <v>4</v>
      </c>
      <c r="B347" t="s">
        <v>6</v>
      </c>
      <c r="C347">
        <v>80</v>
      </c>
      <c r="D347">
        <v>934.03800000000001</v>
      </c>
    </row>
    <row r="348" spans="1:4" x14ac:dyDescent="0.25">
      <c r="A348" t="s">
        <v>4</v>
      </c>
      <c r="B348" t="s">
        <v>6</v>
      </c>
      <c r="C348">
        <v>80</v>
      </c>
      <c r="D348">
        <v>942.7</v>
      </c>
    </row>
    <row r="349" spans="1:4" x14ac:dyDescent="0.25">
      <c r="A349" t="s">
        <v>4</v>
      </c>
      <c r="B349" t="s">
        <v>6</v>
      </c>
      <c r="C349">
        <v>80</v>
      </c>
      <c r="D349">
        <v>954.36400000000003</v>
      </c>
    </row>
    <row r="350" spans="1:4" x14ac:dyDescent="0.25">
      <c r="A350" t="s">
        <v>4</v>
      </c>
      <c r="B350" t="s">
        <v>6</v>
      </c>
      <c r="C350">
        <v>80</v>
      </c>
      <c r="D350">
        <v>917.39300000000003</v>
      </c>
    </row>
    <row r="351" spans="1:4" x14ac:dyDescent="0.25">
      <c r="A351" t="s">
        <v>4</v>
      </c>
      <c r="B351" t="s">
        <v>6</v>
      </c>
      <c r="C351">
        <v>80</v>
      </c>
      <c r="D351">
        <v>869.95100000000002</v>
      </c>
    </row>
    <row r="352" spans="1:4" x14ac:dyDescent="0.25">
      <c r="A352" t="s">
        <v>4</v>
      </c>
      <c r="B352" t="s">
        <v>6</v>
      </c>
      <c r="C352">
        <v>80</v>
      </c>
      <c r="D352">
        <v>862.09199999999998</v>
      </c>
    </row>
    <row r="353" spans="1:4" x14ac:dyDescent="0.25">
      <c r="A353" t="s">
        <v>4</v>
      </c>
      <c r="B353" t="s">
        <v>6</v>
      </c>
      <c r="C353">
        <v>80</v>
      </c>
      <c r="D353">
        <v>886.01400000000001</v>
      </c>
    </row>
    <row r="354" spans="1:4" x14ac:dyDescent="0.25">
      <c r="A354" t="s">
        <v>4</v>
      </c>
      <c r="B354" t="s">
        <v>6</v>
      </c>
      <c r="C354">
        <v>80</v>
      </c>
      <c r="D354">
        <v>951.93</v>
      </c>
    </row>
    <row r="355" spans="1:4" x14ac:dyDescent="0.25">
      <c r="A355" t="s">
        <v>4</v>
      </c>
      <c r="B355" t="s">
        <v>6</v>
      </c>
      <c r="C355">
        <v>80</v>
      </c>
      <c r="D355">
        <v>888.83100000000002</v>
      </c>
    </row>
    <row r="356" spans="1:4" x14ac:dyDescent="0.25">
      <c r="A356" t="s">
        <v>4</v>
      </c>
      <c r="B356" t="s">
        <v>6</v>
      </c>
      <c r="C356">
        <v>80</v>
      </c>
      <c r="D356">
        <v>915.13900000000001</v>
      </c>
    </row>
    <row r="357" spans="1:4" x14ac:dyDescent="0.25">
      <c r="A357" t="s">
        <v>4</v>
      </c>
      <c r="B357" t="s">
        <v>6</v>
      </c>
      <c r="C357">
        <v>80</v>
      </c>
      <c r="D357">
        <v>941</v>
      </c>
    </row>
    <row r="358" spans="1:4" x14ac:dyDescent="0.25">
      <c r="A358" t="s">
        <v>4</v>
      </c>
      <c r="B358" t="s">
        <v>6</v>
      </c>
      <c r="C358">
        <v>80</v>
      </c>
      <c r="D358">
        <v>947.26</v>
      </c>
    </row>
    <row r="359" spans="1:4" x14ac:dyDescent="0.25">
      <c r="A359" t="s">
        <v>4</v>
      </c>
      <c r="B359" t="s">
        <v>6</v>
      </c>
      <c r="C359">
        <v>80</v>
      </c>
      <c r="D359">
        <v>957.11900000000003</v>
      </c>
    </row>
    <row r="360" spans="1:4" x14ac:dyDescent="0.25">
      <c r="A360" t="s">
        <v>4</v>
      </c>
      <c r="B360" t="s">
        <v>6</v>
      </c>
      <c r="C360">
        <v>80</v>
      </c>
      <c r="D360">
        <v>893.34799999999996</v>
      </c>
    </row>
    <row r="361" spans="1:4" x14ac:dyDescent="0.25">
      <c r="A361" t="s">
        <v>4</v>
      </c>
      <c r="B361" t="s">
        <v>6</v>
      </c>
      <c r="C361">
        <v>80</v>
      </c>
      <c r="D361">
        <v>913.02300000000002</v>
      </c>
    </row>
    <row r="362" spans="1:4" x14ac:dyDescent="0.25">
      <c r="A362" t="s">
        <v>4</v>
      </c>
      <c r="B362" t="s">
        <v>6</v>
      </c>
      <c r="C362">
        <v>80</v>
      </c>
      <c r="D362">
        <v>938.30700000000002</v>
      </c>
    </row>
    <row r="363" spans="1:4" x14ac:dyDescent="0.25">
      <c r="A363" t="s">
        <v>4</v>
      </c>
      <c r="B363" t="s">
        <v>6</v>
      </c>
      <c r="C363">
        <v>80</v>
      </c>
      <c r="D363">
        <v>920.654</v>
      </c>
    </row>
    <row r="364" spans="1:4" x14ac:dyDescent="0.25">
      <c r="A364" t="s">
        <v>4</v>
      </c>
      <c r="B364" t="s">
        <v>6</v>
      </c>
      <c r="C364">
        <v>80</v>
      </c>
      <c r="D364">
        <v>859.88699999999994</v>
      </c>
    </row>
    <row r="365" spans="1:4" x14ac:dyDescent="0.25">
      <c r="A365" t="s">
        <v>4</v>
      </c>
      <c r="B365" t="s">
        <v>6</v>
      </c>
      <c r="C365">
        <v>80</v>
      </c>
      <c r="D365">
        <v>874.82899999999995</v>
      </c>
    </row>
    <row r="366" spans="1:4" x14ac:dyDescent="0.25">
      <c r="A366" t="s">
        <v>4</v>
      </c>
      <c r="B366" t="s">
        <v>6</v>
      </c>
      <c r="C366">
        <v>80</v>
      </c>
      <c r="D366">
        <v>954.30700000000002</v>
      </c>
    </row>
    <row r="367" spans="1:4" x14ac:dyDescent="0.25">
      <c r="A367" t="s">
        <v>4</v>
      </c>
      <c r="B367" t="s">
        <v>6</v>
      </c>
      <c r="C367">
        <v>80</v>
      </c>
      <c r="D367">
        <v>978.64200000000005</v>
      </c>
    </row>
    <row r="368" spans="1:4" x14ac:dyDescent="0.25">
      <c r="A368" t="s">
        <v>4</v>
      </c>
      <c r="B368" t="s">
        <v>6</v>
      </c>
      <c r="C368">
        <v>80</v>
      </c>
      <c r="D368">
        <v>986.66499999999996</v>
      </c>
    </row>
    <row r="369" spans="1:4" x14ac:dyDescent="0.25">
      <c r="A369" t="s">
        <v>4</v>
      </c>
      <c r="B369" t="s">
        <v>6</v>
      </c>
      <c r="C369">
        <v>80</v>
      </c>
      <c r="D369">
        <v>919.61</v>
      </c>
    </row>
    <row r="370" spans="1:4" x14ac:dyDescent="0.25">
      <c r="A370" t="s">
        <v>4</v>
      </c>
      <c r="B370" t="s">
        <v>6</v>
      </c>
      <c r="C370">
        <v>80</v>
      </c>
      <c r="D370">
        <v>869.28200000000004</v>
      </c>
    </row>
    <row r="371" spans="1:4" x14ac:dyDescent="0.25">
      <c r="A371" t="s">
        <v>4</v>
      </c>
      <c r="B371" t="s">
        <v>6</v>
      </c>
      <c r="C371">
        <v>80</v>
      </c>
      <c r="D371">
        <v>957.221</v>
      </c>
    </row>
    <row r="372" spans="1:4" x14ac:dyDescent="0.25">
      <c r="A372" t="s">
        <v>4</v>
      </c>
      <c r="B372" t="s">
        <v>6</v>
      </c>
      <c r="C372">
        <v>80</v>
      </c>
      <c r="D372">
        <v>931.25099999999998</v>
      </c>
    </row>
    <row r="373" spans="1:4" x14ac:dyDescent="0.25">
      <c r="A373" t="s">
        <v>4</v>
      </c>
      <c r="B373" t="s">
        <v>6</v>
      </c>
      <c r="C373">
        <v>80</v>
      </c>
      <c r="D373">
        <v>889.32100000000003</v>
      </c>
    </row>
    <row r="374" spans="1:4" x14ac:dyDescent="0.25">
      <c r="A374" t="s">
        <v>4</v>
      </c>
      <c r="B374" t="s">
        <v>6</v>
      </c>
      <c r="C374">
        <v>80</v>
      </c>
      <c r="D374">
        <v>934.08900000000006</v>
      </c>
    </row>
    <row r="375" spans="1:4" x14ac:dyDescent="0.25">
      <c r="A375" t="s">
        <v>4</v>
      </c>
      <c r="B375" t="s">
        <v>6</v>
      </c>
      <c r="C375">
        <v>80</v>
      </c>
      <c r="D375">
        <v>931.45699999999999</v>
      </c>
    </row>
    <row r="376" spans="1:4" x14ac:dyDescent="0.25">
      <c r="A376" t="s">
        <v>4</v>
      </c>
      <c r="B376" t="s">
        <v>6</v>
      </c>
      <c r="C376">
        <v>80</v>
      </c>
      <c r="D376">
        <v>961.09500000000003</v>
      </c>
    </row>
    <row r="377" spans="1:4" x14ac:dyDescent="0.25">
      <c r="A377" t="s">
        <v>4</v>
      </c>
      <c r="B377" t="s">
        <v>6</v>
      </c>
      <c r="C377">
        <v>80</v>
      </c>
      <c r="D377">
        <v>915.19</v>
      </c>
    </row>
    <row r="378" spans="1:4" x14ac:dyDescent="0.25">
      <c r="A378" t="s">
        <v>4</v>
      </c>
      <c r="B378" t="s">
        <v>6</v>
      </c>
      <c r="C378">
        <v>80</v>
      </c>
      <c r="D378">
        <v>898.54399999999998</v>
      </c>
    </row>
    <row r="379" spans="1:4" x14ac:dyDescent="0.25">
      <c r="A379" t="s">
        <v>4</v>
      </c>
      <c r="B379" t="s">
        <v>6</v>
      </c>
      <c r="C379">
        <v>80</v>
      </c>
      <c r="D379">
        <v>907.94500000000005</v>
      </c>
    </row>
    <row r="380" spans="1:4" x14ac:dyDescent="0.25">
      <c r="A380" t="s">
        <v>4</v>
      </c>
      <c r="B380" t="s">
        <v>6</v>
      </c>
      <c r="C380">
        <v>80</v>
      </c>
      <c r="D380">
        <v>966.31500000000005</v>
      </c>
    </row>
    <row r="381" spans="1:4" x14ac:dyDescent="0.25">
      <c r="A381" t="s">
        <v>4</v>
      </c>
      <c r="B381" t="s">
        <v>6</v>
      </c>
      <c r="C381">
        <v>80</v>
      </c>
      <c r="D381">
        <v>935.46799999999996</v>
      </c>
    </row>
    <row r="382" spans="1:4" x14ac:dyDescent="0.25">
      <c r="A382" t="s">
        <v>4</v>
      </c>
      <c r="B382" t="s">
        <v>6</v>
      </c>
      <c r="C382">
        <v>80</v>
      </c>
      <c r="D382">
        <v>881.02599999999995</v>
      </c>
    </row>
    <row r="383" spans="1:4" x14ac:dyDescent="0.25">
      <c r="A383" t="s">
        <v>4</v>
      </c>
      <c r="B383" t="s">
        <v>6</v>
      </c>
      <c r="C383">
        <v>80</v>
      </c>
      <c r="D383">
        <v>889.61699999999996</v>
      </c>
    </row>
    <row r="384" spans="1:4" x14ac:dyDescent="0.25">
      <c r="A384" t="s">
        <v>4</v>
      </c>
      <c r="B384" t="s">
        <v>6</v>
      </c>
      <c r="C384">
        <v>80</v>
      </c>
      <c r="D384">
        <v>935.86400000000003</v>
      </c>
    </row>
    <row r="385" spans="1:4" x14ac:dyDescent="0.25">
      <c r="A385" t="s">
        <v>4</v>
      </c>
      <c r="B385" t="s">
        <v>6</v>
      </c>
      <c r="C385">
        <v>80</v>
      </c>
      <c r="D385">
        <v>950.82799999999997</v>
      </c>
    </row>
    <row r="386" spans="1:4" x14ac:dyDescent="0.25">
      <c r="A386" t="s">
        <v>4</v>
      </c>
      <c r="B386" t="s">
        <v>6</v>
      </c>
      <c r="C386">
        <v>80</v>
      </c>
      <c r="D386">
        <v>878.86599999999999</v>
      </c>
    </row>
    <row r="387" spans="1:4" x14ac:dyDescent="0.25">
      <c r="A387" t="s">
        <v>4</v>
      </c>
      <c r="B387" t="s">
        <v>6</v>
      </c>
      <c r="C387">
        <v>80</v>
      </c>
      <c r="D387">
        <v>908.42399999999998</v>
      </c>
    </row>
    <row r="388" spans="1:4" x14ac:dyDescent="0.25">
      <c r="A388" t="s">
        <v>4</v>
      </c>
      <c r="B388" t="s">
        <v>6</v>
      </c>
      <c r="C388">
        <v>80</v>
      </c>
      <c r="D388">
        <v>957.10599999999999</v>
      </c>
    </row>
    <row r="389" spans="1:4" x14ac:dyDescent="0.25">
      <c r="A389" t="s">
        <v>4</v>
      </c>
      <c r="B389" t="s">
        <v>6</v>
      </c>
      <c r="C389">
        <v>80</v>
      </c>
      <c r="D389">
        <v>910.82100000000003</v>
      </c>
    </row>
    <row r="390" spans="1:4" x14ac:dyDescent="0.25">
      <c r="A390" t="s">
        <v>4</v>
      </c>
      <c r="B390" t="s">
        <v>6</v>
      </c>
      <c r="C390">
        <v>80</v>
      </c>
      <c r="D390">
        <v>883.00800000000004</v>
      </c>
    </row>
    <row r="391" spans="1:4" x14ac:dyDescent="0.25">
      <c r="A391" t="s">
        <v>4</v>
      </c>
      <c r="B391" t="s">
        <v>6</v>
      </c>
      <c r="C391">
        <v>80</v>
      </c>
      <c r="D391">
        <v>852.63900000000001</v>
      </c>
    </row>
    <row r="392" spans="1:4" x14ac:dyDescent="0.25">
      <c r="A392" t="s">
        <v>4</v>
      </c>
      <c r="B392" t="s">
        <v>6</v>
      </c>
      <c r="C392">
        <v>80</v>
      </c>
      <c r="D392">
        <v>950.61900000000003</v>
      </c>
    </row>
    <row r="393" spans="1:4" x14ac:dyDescent="0.25">
      <c r="A393" t="s">
        <v>4</v>
      </c>
      <c r="B393" t="s">
        <v>6</v>
      </c>
      <c r="C393">
        <v>80</v>
      </c>
      <c r="D393">
        <v>951.59199999999998</v>
      </c>
    </row>
    <row r="394" spans="1:4" x14ac:dyDescent="0.25">
      <c r="A394" t="s">
        <v>4</v>
      </c>
      <c r="B394" t="s">
        <v>6</v>
      </c>
      <c r="C394">
        <v>80</v>
      </c>
      <c r="D394">
        <v>837.42100000000005</v>
      </c>
    </row>
    <row r="395" spans="1:4" x14ac:dyDescent="0.25">
      <c r="A395" t="s">
        <v>4</v>
      </c>
      <c r="B395" t="s">
        <v>6</v>
      </c>
      <c r="C395">
        <v>80</v>
      </c>
      <c r="D395">
        <v>848.947</v>
      </c>
    </row>
    <row r="396" spans="1:4" x14ac:dyDescent="0.25">
      <c r="A396" t="s">
        <v>4</v>
      </c>
      <c r="B396" t="s">
        <v>6</v>
      </c>
      <c r="C396">
        <v>80</v>
      </c>
      <c r="D396">
        <v>896.00300000000004</v>
      </c>
    </row>
    <row r="397" spans="1:4" x14ac:dyDescent="0.25">
      <c r="A397" t="s">
        <v>4</v>
      </c>
      <c r="B397" t="s">
        <v>6</v>
      </c>
      <c r="C397">
        <v>80</v>
      </c>
      <c r="D397">
        <v>969.27099999999996</v>
      </c>
    </row>
    <row r="398" spans="1:4" x14ac:dyDescent="0.25">
      <c r="A398" t="s">
        <v>4</v>
      </c>
      <c r="B398" t="s">
        <v>6</v>
      </c>
      <c r="C398">
        <v>80</v>
      </c>
      <c r="D398">
        <v>918.70799999999997</v>
      </c>
    </row>
    <row r="399" spans="1:4" x14ac:dyDescent="0.25">
      <c r="A399" t="s">
        <v>4</v>
      </c>
      <c r="B399" t="s">
        <v>6</v>
      </c>
      <c r="C399">
        <v>80</v>
      </c>
      <c r="D399">
        <v>913.726</v>
      </c>
    </row>
    <row r="400" spans="1:4" x14ac:dyDescent="0.25">
      <c r="A400" t="s">
        <v>4</v>
      </c>
      <c r="B400" t="s">
        <v>6</v>
      </c>
      <c r="C400">
        <v>80</v>
      </c>
      <c r="D400">
        <v>971.26300000000003</v>
      </c>
    </row>
    <row r="401" spans="1:4" x14ac:dyDescent="0.25">
      <c r="A401" t="s">
        <v>4</v>
      </c>
      <c r="B401" t="s">
        <v>6</v>
      </c>
      <c r="C401">
        <v>80</v>
      </c>
      <c r="D401">
        <v>911.78800000000001</v>
      </c>
    </row>
    <row r="402" spans="1:4" x14ac:dyDescent="0.25">
      <c r="A402" t="s">
        <v>4</v>
      </c>
      <c r="B402" t="s">
        <v>6</v>
      </c>
      <c r="C402">
        <v>100</v>
      </c>
      <c r="D402">
        <v>1085.7650000000001</v>
      </c>
    </row>
    <row r="403" spans="1:4" x14ac:dyDescent="0.25">
      <c r="A403" t="s">
        <v>4</v>
      </c>
      <c r="B403" t="s">
        <v>6</v>
      </c>
      <c r="C403">
        <v>100</v>
      </c>
      <c r="D403">
        <v>1098.45</v>
      </c>
    </row>
    <row r="404" spans="1:4" x14ac:dyDescent="0.25">
      <c r="A404" t="s">
        <v>4</v>
      </c>
      <c r="B404" t="s">
        <v>6</v>
      </c>
      <c r="C404">
        <v>100</v>
      </c>
      <c r="D404">
        <v>1152.4649999999999</v>
      </c>
    </row>
    <row r="405" spans="1:4" x14ac:dyDescent="0.25">
      <c r="A405" t="s">
        <v>4</v>
      </c>
      <c r="B405" t="s">
        <v>6</v>
      </c>
      <c r="C405">
        <v>100</v>
      </c>
      <c r="D405">
        <v>1082.6420000000001</v>
      </c>
    </row>
    <row r="406" spans="1:4" x14ac:dyDescent="0.25">
      <c r="A406" t="s">
        <v>4</v>
      </c>
      <c r="B406" t="s">
        <v>6</v>
      </c>
      <c r="C406">
        <v>100</v>
      </c>
      <c r="D406">
        <v>1137.684</v>
      </c>
    </row>
    <row r="407" spans="1:4" x14ac:dyDescent="0.25">
      <c r="A407" t="s">
        <v>4</v>
      </c>
      <c r="B407" t="s">
        <v>6</v>
      </c>
      <c r="C407">
        <v>100</v>
      </c>
      <c r="D407">
        <v>1158.2049999999999</v>
      </c>
    </row>
    <row r="408" spans="1:4" x14ac:dyDescent="0.25">
      <c r="A408" t="s">
        <v>4</v>
      </c>
      <c r="B408" t="s">
        <v>6</v>
      </c>
      <c r="C408">
        <v>100</v>
      </c>
      <c r="D408">
        <v>1139</v>
      </c>
    </row>
    <row r="409" spans="1:4" x14ac:dyDescent="0.25">
      <c r="A409" t="s">
        <v>4</v>
      </c>
      <c r="B409" t="s">
        <v>6</v>
      </c>
      <c r="C409">
        <v>100</v>
      </c>
      <c r="D409">
        <v>1133.722</v>
      </c>
    </row>
    <row r="410" spans="1:4" x14ac:dyDescent="0.25">
      <c r="A410" t="s">
        <v>4</v>
      </c>
      <c r="B410" t="s">
        <v>6</v>
      </c>
      <c r="C410">
        <v>100</v>
      </c>
      <c r="D410">
        <v>1094.6379999999999</v>
      </c>
    </row>
    <row r="411" spans="1:4" x14ac:dyDescent="0.25">
      <c r="A411" t="s">
        <v>4</v>
      </c>
      <c r="B411" t="s">
        <v>6</v>
      </c>
      <c r="C411">
        <v>100</v>
      </c>
      <c r="D411">
        <v>1123.5250000000001</v>
      </c>
    </row>
    <row r="412" spans="1:4" x14ac:dyDescent="0.25">
      <c r="A412" t="s">
        <v>4</v>
      </c>
      <c r="B412" t="s">
        <v>6</v>
      </c>
      <c r="C412">
        <v>100</v>
      </c>
      <c r="D412">
        <v>1097.287</v>
      </c>
    </row>
    <row r="413" spans="1:4" x14ac:dyDescent="0.25">
      <c r="A413" t="s">
        <v>4</v>
      </c>
      <c r="B413" t="s">
        <v>6</v>
      </c>
      <c r="C413">
        <v>100</v>
      </c>
      <c r="D413">
        <v>1147.48</v>
      </c>
    </row>
    <row r="414" spans="1:4" x14ac:dyDescent="0.25">
      <c r="A414" t="s">
        <v>4</v>
      </c>
      <c r="B414" t="s">
        <v>6</v>
      </c>
      <c r="C414">
        <v>100</v>
      </c>
      <c r="D414">
        <v>1086.125</v>
      </c>
    </row>
    <row r="415" spans="1:4" x14ac:dyDescent="0.25">
      <c r="A415" t="s">
        <v>4</v>
      </c>
      <c r="B415" t="s">
        <v>6</v>
      </c>
      <c r="C415">
        <v>100</v>
      </c>
      <c r="D415">
        <v>1166.8420000000001</v>
      </c>
    </row>
    <row r="416" spans="1:4" x14ac:dyDescent="0.25">
      <c r="A416" t="s">
        <v>4</v>
      </c>
      <c r="B416" t="s">
        <v>6</v>
      </c>
      <c r="C416">
        <v>100</v>
      </c>
      <c r="D416">
        <v>1058.0360000000001</v>
      </c>
    </row>
    <row r="417" spans="1:4" x14ac:dyDescent="0.25">
      <c r="A417" t="s">
        <v>4</v>
      </c>
      <c r="B417" t="s">
        <v>6</v>
      </c>
      <c r="C417">
        <v>100</v>
      </c>
      <c r="D417">
        <v>1104.3679999999999</v>
      </c>
    </row>
    <row r="418" spans="1:4" x14ac:dyDescent="0.25">
      <c r="A418" t="s">
        <v>4</v>
      </c>
      <c r="B418" t="s">
        <v>6</v>
      </c>
      <c r="C418">
        <v>100</v>
      </c>
      <c r="D418">
        <v>1160.375</v>
      </c>
    </row>
    <row r="419" spans="1:4" x14ac:dyDescent="0.25">
      <c r="A419" t="s">
        <v>4</v>
      </c>
      <c r="B419" t="s">
        <v>6</v>
      </c>
      <c r="C419">
        <v>100</v>
      </c>
      <c r="D419">
        <v>1062.143</v>
      </c>
    </row>
    <row r="420" spans="1:4" x14ac:dyDescent="0.25">
      <c r="A420" t="s">
        <v>4</v>
      </c>
      <c r="B420" t="s">
        <v>6</v>
      </c>
      <c r="C420">
        <v>100</v>
      </c>
      <c r="D420">
        <v>1157.4280000000001</v>
      </c>
    </row>
    <row r="421" spans="1:4" x14ac:dyDescent="0.25">
      <c r="A421" t="s">
        <v>4</v>
      </c>
      <c r="B421" t="s">
        <v>6</v>
      </c>
      <c r="C421">
        <v>100</v>
      </c>
      <c r="D421">
        <v>1083.0309999999999</v>
      </c>
    </row>
    <row r="422" spans="1:4" x14ac:dyDescent="0.25">
      <c r="A422" t="s">
        <v>4</v>
      </c>
      <c r="B422" t="s">
        <v>6</v>
      </c>
      <c r="C422">
        <v>100</v>
      </c>
      <c r="D422">
        <v>1102.2059999999999</v>
      </c>
    </row>
    <row r="423" spans="1:4" x14ac:dyDescent="0.25">
      <c r="A423" t="s">
        <v>4</v>
      </c>
      <c r="B423" t="s">
        <v>6</v>
      </c>
      <c r="C423">
        <v>100</v>
      </c>
      <c r="D423">
        <v>1074.9549999999999</v>
      </c>
    </row>
    <row r="424" spans="1:4" x14ac:dyDescent="0.25">
      <c r="A424" t="s">
        <v>4</v>
      </c>
      <c r="B424" t="s">
        <v>6</v>
      </c>
      <c r="C424">
        <v>100</v>
      </c>
      <c r="D424">
        <v>1216.8420000000001</v>
      </c>
    </row>
    <row r="425" spans="1:4" x14ac:dyDescent="0.25">
      <c r="A425" t="s">
        <v>4</v>
      </c>
      <c r="B425" t="s">
        <v>6</v>
      </c>
      <c r="C425">
        <v>100</v>
      </c>
      <c r="D425">
        <v>1073.268</v>
      </c>
    </row>
    <row r="426" spans="1:4" x14ac:dyDescent="0.25">
      <c r="A426" t="s">
        <v>4</v>
      </c>
      <c r="B426" t="s">
        <v>6</v>
      </c>
      <c r="C426">
        <v>100</v>
      </c>
      <c r="D426">
        <v>1155.068</v>
      </c>
    </row>
    <row r="427" spans="1:4" x14ac:dyDescent="0.25">
      <c r="A427" t="s">
        <v>4</v>
      </c>
      <c r="B427" t="s">
        <v>6</v>
      </c>
      <c r="C427">
        <v>100</v>
      </c>
      <c r="D427">
        <v>1118.9780000000001</v>
      </c>
    </row>
    <row r="428" spans="1:4" x14ac:dyDescent="0.25">
      <c r="A428" t="s">
        <v>4</v>
      </c>
      <c r="B428" t="s">
        <v>6</v>
      </c>
      <c r="C428">
        <v>100</v>
      </c>
      <c r="D428">
        <v>1140.3119999999999</v>
      </c>
    </row>
    <row r="429" spans="1:4" x14ac:dyDescent="0.25">
      <c r="A429" t="s">
        <v>4</v>
      </c>
      <c r="B429" t="s">
        <v>6</v>
      </c>
      <c r="C429">
        <v>100</v>
      </c>
      <c r="D429">
        <v>1103.845</v>
      </c>
    </row>
    <row r="430" spans="1:4" x14ac:dyDescent="0.25">
      <c r="A430" t="s">
        <v>4</v>
      </c>
      <c r="B430" t="s">
        <v>6</v>
      </c>
      <c r="C430">
        <v>100</v>
      </c>
      <c r="D430">
        <v>1098.6600000000001</v>
      </c>
    </row>
    <row r="431" spans="1:4" x14ac:dyDescent="0.25">
      <c r="A431" t="s">
        <v>4</v>
      </c>
      <c r="B431" t="s">
        <v>6</v>
      </c>
      <c r="C431">
        <v>100</v>
      </c>
      <c r="D431">
        <v>1090.1780000000001</v>
      </c>
    </row>
    <row r="432" spans="1:4" x14ac:dyDescent="0.25">
      <c r="A432" t="s">
        <v>4</v>
      </c>
      <c r="B432" t="s">
        <v>6</v>
      </c>
      <c r="C432">
        <v>100</v>
      </c>
      <c r="D432">
        <v>1124.278</v>
      </c>
    </row>
    <row r="433" spans="1:4" x14ac:dyDescent="0.25">
      <c r="A433" t="s">
        <v>4</v>
      </c>
      <c r="B433" t="s">
        <v>6</v>
      </c>
      <c r="C433">
        <v>100</v>
      </c>
      <c r="D433">
        <v>1161.1600000000001</v>
      </c>
    </row>
    <row r="434" spans="1:4" x14ac:dyDescent="0.25">
      <c r="A434" t="s">
        <v>4</v>
      </c>
      <c r="B434" t="s">
        <v>6</v>
      </c>
      <c r="C434">
        <v>100</v>
      </c>
      <c r="D434">
        <v>1151.48</v>
      </c>
    </row>
    <row r="435" spans="1:4" x14ac:dyDescent="0.25">
      <c r="A435" t="s">
        <v>4</v>
      </c>
      <c r="B435" t="s">
        <v>6</v>
      </c>
      <c r="C435">
        <v>100</v>
      </c>
      <c r="D435">
        <v>1093.662</v>
      </c>
    </row>
    <row r="436" spans="1:4" x14ac:dyDescent="0.25">
      <c r="A436" t="s">
        <v>4</v>
      </c>
      <c r="B436" t="s">
        <v>6</v>
      </c>
      <c r="C436">
        <v>100</v>
      </c>
      <c r="D436">
        <v>1082.1400000000001</v>
      </c>
    </row>
    <row r="437" spans="1:4" x14ac:dyDescent="0.25">
      <c r="A437" t="s">
        <v>4</v>
      </c>
      <c r="B437" t="s">
        <v>6</v>
      </c>
      <c r="C437">
        <v>100</v>
      </c>
      <c r="D437">
        <v>1076.722</v>
      </c>
    </row>
    <row r="438" spans="1:4" x14ac:dyDescent="0.25">
      <c r="A438" t="s">
        <v>4</v>
      </c>
      <c r="B438" t="s">
        <v>6</v>
      </c>
      <c r="C438">
        <v>100</v>
      </c>
      <c r="D438">
        <v>1054.866</v>
      </c>
    </row>
    <row r="439" spans="1:4" x14ac:dyDescent="0.25">
      <c r="A439" t="s">
        <v>4</v>
      </c>
      <c r="B439" t="s">
        <v>6</v>
      </c>
      <c r="C439">
        <v>100</v>
      </c>
      <c r="D439">
        <v>1152.425</v>
      </c>
    </row>
    <row r="440" spans="1:4" x14ac:dyDescent="0.25">
      <c r="A440" t="s">
        <v>4</v>
      </c>
      <c r="B440" t="s">
        <v>6</v>
      </c>
      <c r="C440">
        <v>100</v>
      </c>
      <c r="D440">
        <v>1093.2650000000001</v>
      </c>
    </row>
    <row r="441" spans="1:4" x14ac:dyDescent="0.25">
      <c r="A441" t="s">
        <v>4</v>
      </c>
      <c r="B441" t="s">
        <v>6</v>
      </c>
      <c r="C441">
        <v>100</v>
      </c>
      <c r="D441">
        <v>1087.403</v>
      </c>
    </row>
    <row r="442" spans="1:4" x14ac:dyDescent="0.25">
      <c r="A442" t="s">
        <v>4</v>
      </c>
      <c r="B442" t="s">
        <v>6</v>
      </c>
      <c r="C442">
        <v>100</v>
      </c>
      <c r="D442">
        <v>1173.278</v>
      </c>
    </row>
    <row r="443" spans="1:4" x14ac:dyDescent="0.25">
      <c r="A443" t="s">
        <v>4</v>
      </c>
      <c r="B443" t="s">
        <v>6</v>
      </c>
      <c r="C443">
        <v>100</v>
      </c>
      <c r="D443">
        <v>1142.606</v>
      </c>
    </row>
    <row r="444" spans="1:4" x14ac:dyDescent="0.25">
      <c r="A444" t="s">
        <v>4</v>
      </c>
      <c r="B444" t="s">
        <v>6</v>
      </c>
      <c r="C444">
        <v>100</v>
      </c>
      <c r="D444">
        <v>1073.5070000000001</v>
      </c>
    </row>
    <row r="445" spans="1:4" x14ac:dyDescent="0.25">
      <c r="A445" t="s">
        <v>4</v>
      </c>
      <c r="B445" t="s">
        <v>6</v>
      </c>
      <c r="C445">
        <v>100</v>
      </c>
      <c r="D445">
        <v>1127.575</v>
      </c>
    </row>
    <row r="446" spans="1:4" x14ac:dyDescent="0.25">
      <c r="A446" t="s">
        <v>4</v>
      </c>
      <c r="B446" t="s">
        <v>6</v>
      </c>
      <c r="C446">
        <v>100</v>
      </c>
      <c r="D446">
        <v>1096.4760000000001</v>
      </c>
    </row>
    <row r="447" spans="1:4" x14ac:dyDescent="0.25">
      <c r="A447" t="s">
        <v>4</v>
      </c>
      <c r="B447" t="s">
        <v>6</v>
      </c>
      <c r="C447">
        <v>100</v>
      </c>
      <c r="D447">
        <v>1147.8789999999999</v>
      </c>
    </row>
    <row r="448" spans="1:4" x14ac:dyDescent="0.25">
      <c r="A448" t="s">
        <v>4</v>
      </c>
      <c r="B448" t="s">
        <v>6</v>
      </c>
      <c r="C448">
        <v>100</v>
      </c>
      <c r="D448">
        <v>1119.037</v>
      </c>
    </row>
    <row r="449" spans="1:4" x14ac:dyDescent="0.25">
      <c r="A449" t="s">
        <v>4</v>
      </c>
      <c r="B449" t="s">
        <v>6</v>
      </c>
      <c r="C449">
        <v>100</v>
      </c>
      <c r="D449">
        <v>1165.3800000000001</v>
      </c>
    </row>
    <row r="450" spans="1:4" x14ac:dyDescent="0.25">
      <c r="A450" t="s">
        <v>4</v>
      </c>
      <c r="B450" t="s">
        <v>6</v>
      </c>
      <c r="C450">
        <v>100</v>
      </c>
      <c r="D450">
        <v>1159.94</v>
      </c>
    </row>
    <row r="451" spans="1:4" x14ac:dyDescent="0.25">
      <c r="A451" t="s">
        <v>4</v>
      </c>
      <c r="B451" t="s">
        <v>6</v>
      </c>
      <c r="C451">
        <v>100</v>
      </c>
      <c r="D451">
        <v>1160.1389999999999</v>
      </c>
    </row>
    <row r="452" spans="1:4" x14ac:dyDescent="0.25">
      <c r="A452" t="s">
        <v>4</v>
      </c>
      <c r="B452" t="s">
        <v>6</v>
      </c>
      <c r="C452">
        <v>100</v>
      </c>
      <c r="D452">
        <v>1152.6600000000001</v>
      </c>
    </row>
    <row r="453" spans="1:4" x14ac:dyDescent="0.25">
      <c r="A453" t="s">
        <v>4</v>
      </c>
      <c r="B453" t="s">
        <v>6</v>
      </c>
      <c r="C453">
        <v>100</v>
      </c>
      <c r="D453">
        <v>1142.9459999999999</v>
      </c>
    </row>
    <row r="454" spans="1:4" x14ac:dyDescent="0.25">
      <c r="A454" t="s">
        <v>4</v>
      </c>
      <c r="B454" t="s">
        <v>6</v>
      </c>
      <c r="C454">
        <v>100</v>
      </c>
      <c r="D454">
        <v>1098.027</v>
      </c>
    </row>
    <row r="455" spans="1:4" x14ac:dyDescent="0.25">
      <c r="A455" t="s">
        <v>4</v>
      </c>
      <c r="B455" t="s">
        <v>6</v>
      </c>
      <c r="C455">
        <v>100</v>
      </c>
      <c r="D455">
        <v>1112.723</v>
      </c>
    </row>
    <row r="456" spans="1:4" x14ac:dyDescent="0.25">
      <c r="A456" t="s">
        <v>4</v>
      </c>
      <c r="B456" t="s">
        <v>6</v>
      </c>
      <c r="C456">
        <v>100</v>
      </c>
      <c r="D456">
        <v>1135.2149999999999</v>
      </c>
    </row>
    <row r="457" spans="1:4" x14ac:dyDescent="0.25">
      <c r="A457" t="s">
        <v>4</v>
      </c>
      <c r="B457" t="s">
        <v>6</v>
      </c>
      <c r="C457">
        <v>100</v>
      </c>
      <c r="D457">
        <v>1120.5239999999999</v>
      </c>
    </row>
    <row r="458" spans="1:4" x14ac:dyDescent="0.25">
      <c r="A458" t="s">
        <v>4</v>
      </c>
      <c r="B458" t="s">
        <v>6</v>
      </c>
      <c r="C458">
        <v>100</v>
      </c>
      <c r="D458">
        <v>1094.643</v>
      </c>
    </row>
    <row r="459" spans="1:4" x14ac:dyDescent="0.25">
      <c r="A459" t="s">
        <v>4</v>
      </c>
      <c r="B459" t="s">
        <v>6</v>
      </c>
      <c r="C459">
        <v>100</v>
      </c>
      <c r="D459">
        <v>1043.914</v>
      </c>
    </row>
    <row r="460" spans="1:4" x14ac:dyDescent="0.25">
      <c r="A460" t="s">
        <v>4</v>
      </c>
      <c r="B460" t="s">
        <v>6</v>
      </c>
      <c r="C460">
        <v>100</v>
      </c>
      <c r="D460">
        <v>1104.4949999999999</v>
      </c>
    </row>
    <row r="461" spans="1:4" x14ac:dyDescent="0.25">
      <c r="A461" t="s">
        <v>4</v>
      </c>
      <c r="B461" t="s">
        <v>6</v>
      </c>
      <c r="C461">
        <v>100</v>
      </c>
      <c r="D461">
        <v>1081.3309999999999</v>
      </c>
    </row>
    <row r="462" spans="1:4" x14ac:dyDescent="0.25">
      <c r="A462" t="s">
        <v>4</v>
      </c>
      <c r="B462" t="s">
        <v>6</v>
      </c>
      <c r="C462">
        <v>100</v>
      </c>
      <c r="D462">
        <v>1125.9639999999999</v>
      </c>
    </row>
    <row r="463" spans="1:4" x14ac:dyDescent="0.25">
      <c r="A463" t="s">
        <v>4</v>
      </c>
      <c r="B463" t="s">
        <v>6</v>
      </c>
      <c r="C463">
        <v>100</v>
      </c>
      <c r="D463">
        <v>1068.751</v>
      </c>
    </row>
    <row r="464" spans="1:4" x14ac:dyDescent="0.25">
      <c r="A464" t="s">
        <v>4</v>
      </c>
      <c r="B464" t="s">
        <v>6</v>
      </c>
      <c r="C464">
        <v>100</v>
      </c>
      <c r="D464">
        <v>1099.5419999999999</v>
      </c>
    </row>
    <row r="465" spans="1:4" x14ac:dyDescent="0.25">
      <c r="A465" t="s">
        <v>4</v>
      </c>
      <c r="B465" t="s">
        <v>6</v>
      </c>
      <c r="C465">
        <v>100</v>
      </c>
      <c r="D465">
        <v>1096.3679999999999</v>
      </c>
    </row>
    <row r="466" spans="1:4" x14ac:dyDescent="0.25">
      <c r="A466" t="s">
        <v>4</v>
      </c>
      <c r="B466" t="s">
        <v>6</v>
      </c>
      <c r="C466">
        <v>100</v>
      </c>
      <c r="D466">
        <v>1087.547</v>
      </c>
    </row>
    <row r="467" spans="1:4" x14ac:dyDescent="0.25">
      <c r="A467" t="s">
        <v>4</v>
      </c>
      <c r="B467" t="s">
        <v>6</v>
      </c>
      <c r="C467">
        <v>100</v>
      </c>
      <c r="D467">
        <v>1135.1020000000001</v>
      </c>
    </row>
    <row r="468" spans="1:4" x14ac:dyDescent="0.25">
      <c r="A468" t="s">
        <v>4</v>
      </c>
      <c r="B468" t="s">
        <v>6</v>
      </c>
      <c r="C468">
        <v>100</v>
      </c>
      <c r="D468">
        <v>1147.5899999999999</v>
      </c>
    </row>
    <row r="469" spans="1:4" x14ac:dyDescent="0.25">
      <c r="A469" t="s">
        <v>4</v>
      </c>
      <c r="B469" t="s">
        <v>6</v>
      </c>
      <c r="C469">
        <v>100</v>
      </c>
      <c r="D469">
        <v>1156.972</v>
      </c>
    </row>
    <row r="470" spans="1:4" x14ac:dyDescent="0.25">
      <c r="A470" t="s">
        <v>4</v>
      </c>
      <c r="B470" t="s">
        <v>6</v>
      </c>
      <c r="C470">
        <v>100</v>
      </c>
      <c r="D470">
        <v>1118.569</v>
      </c>
    </row>
    <row r="471" spans="1:4" x14ac:dyDescent="0.25">
      <c r="A471" t="s">
        <v>4</v>
      </c>
      <c r="B471" t="s">
        <v>6</v>
      </c>
      <c r="C471">
        <v>100</v>
      </c>
      <c r="D471">
        <v>1130.51</v>
      </c>
    </row>
    <row r="472" spans="1:4" x14ac:dyDescent="0.25">
      <c r="A472" t="s">
        <v>4</v>
      </c>
      <c r="B472" t="s">
        <v>6</v>
      </c>
      <c r="C472">
        <v>100</v>
      </c>
      <c r="D472">
        <v>1203.356</v>
      </c>
    </row>
    <row r="473" spans="1:4" x14ac:dyDescent="0.25">
      <c r="A473" t="s">
        <v>4</v>
      </c>
      <c r="B473" t="s">
        <v>6</v>
      </c>
      <c r="C473">
        <v>100</v>
      </c>
      <c r="D473">
        <v>1116.826</v>
      </c>
    </row>
    <row r="474" spans="1:4" x14ac:dyDescent="0.25">
      <c r="A474" t="s">
        <v>4</v>
      </c>
      <c r="B474" t="s">
        <v>6</v>
      </c>
      <c r="C474">
        <v>100</v>
      </c>
      <c r="D474">
        <v>1140.1890000000001</v>
      </c>
    </row>
    <row r="475" spans="1:4" x14ac:dyDescent="0.25">
      <c r="A475" t="s">
        <v>4</v>
      </c>
      <c r="B475" t="s">
        <v>6</v>
      </c>
      <c r="C475">
        <v>100</v>
      </c>
      <c r="D475">
        <v>1114.127</v>
      </c>
    </row>
    <row r="476" spans="1:4" x14ac:dyDescent="0.25">
      <c r="A476" t="s">
        <v>4</v>
      </c>
      <c r="B476" t="s">
        <v>6</v>
      </c>
      <c r="C476">
        <v>100</v>
      </c>
      <c r="D476">
        <v>1078.03</v>
      </c>
    </row>
    <row r="477" spans="1:4" x14ac:dyDescent="0.25">
      <c r="A477" t="s">
        <v>4</v>
      </c>
      <c r="B477" t="s">
        <v>6</v>
      </c>
      <c r="C477">
        <v>100</v>
      </c>
      <c r="D477">
        <v>1030.9480000000001</v>
      </c>
    </row>
    <row r="478" spans="1:4" x14ac:dyDescent="0.25">
      <c r="A478" t="s">
        <v>4</v>
      </c>
      <c r="B478" t="s">
        <v>6</v>
      </c>
      <c r="C478">
        <v>100</v>
      </c>
      <c r="D478">
        <v>1120.624</v>
      </c>
    </row>
    <row r="479" spans="1:4" x14ac:dyDescent="0.25">
      <c r="A479" t="s">
        <v>4</v>
      </c>
      <c r="B479" t="s">
        <v>6</v>
      </c>
      <c r="C479">
        <v>100</v>
      </c>
      <c r="D479">
        <v>1101.2760000000001</v>
      </c>
    </row>
    <row r="480" spans="1:4" x14ac:dyDescent="0.25">
      <c r="A480" t="s">
        <v>4</v>
      </c>
      <c r="B480" t="s">
        <v>6</v>
      </c>
      <c r="C480">
        <v>100</v>
      </c>
      <c r="D480">
        <v>1044.498</v>
      </c>
    </row>
    <row r="481" spans="1:4" x14ac:dyDescent="0.25">
      <c r="A481" t="s">
        <v>4</v>
      </c>
      <c r="B481" t="s">
        <v>6</v>
      </c>
      <c r="C481">
        <v>100</v>
      </c>
      <c r="D481">
        <v>1074.5070000000001</v>
      </c>
    </row>
    <row r="482" spans="1:4" x14ac:dyDescent="0.25">
      <c r="A482" t="s">
        <v>4</v>
      </c>
      <c r="B482" t="s">
        <v>6</v>
      </c>
      <c r="C482">
        <v>100</v>
      </c>
      <c r="D482">
        <v>1134.616</v>
      </c>
    </row>
    <row r="483" spans="1:4" x14ac:dyDescent="0.25">
      <c r="A483" t="s">
        <v>4</v>
      </c>
      <c r="B483" t="s">
        <v>6</v>
      </c>
      <c r="C483">
        <v>100</v>
      </c>
      <c r="D483">
        <v>1079.7809999999999</v>
      </c>
    </row>
    <row r="484" spans="1:4" x14ac:dyDescent="0.25">
      <c r="A484" t="s">
        <v>4</v>
      </c>
      <c r="B484" t="s">
        <v>6</v>
      </c>
      <c r="C484">
        <v>100</v>
      </c>
      <c r="D484">
        <v>1079.7370000000001</v>
      </c>
    </row>
    <row r="485" spans="1:4" x14ac:dyDescent="0.25">
      <c r="A485" t="s">
        <v>4</v>
      </c>
      <c r="B485" t="s">
        <v>6</v>
      </c>
      <c r="C485">
        <v>100</v>
      </c>
      <c r="D485">
        <v>1101.421</v>
      </c>
    </row>
    <row r="486" spans="1:4" x14ac:dyDescent="0.25">
      <c r="A486" t="s">
        <v>4</v>
      </c>
      <c r="B486" t="s">
        <v>6</v>
      </c>
      <c r="C486">
        <v>100</v>
      </c>
      <c r="D486">
        <v>1104.01</v>
      </c>
    </row>
    <row r="487" spans="1:4" x14ac:dyDescent="0.25">
      <c r="A487" t="s">
        <v>4</v>
      </c>
      <c r="B487" t="s">
        <v>6</v>
      </c>
      <c r="C487">
        <v>100</v>
      </c>
      <c r="D487">
        <v>1091.615</v>
      </c>
    </row>
    <row r="488" spans="1:4" x14ac:dyDescent="0.25">
      <c r="A488" t="s">
        <v>4</v>
      </c>
      <c r="B488" t="s">
        <v>6</v>
      </c>
      <c r="C488">
        <v>100</v>
      </c>
      <c r="D488">
        <v>1081.6199999999999</v>
      </c>
    </row>
    <row r="489" spans="1:4" x14ac:dyDescent="0.25">
      <c r="A489" t="s">
        <v>4</v>
      </c>
      <c r="B489" t="s">
        <v>6</v>
      </c>
      <c r="C489">
        <v>100</v>
      </c>
      <c r="D489">
        <v>1051.2950000000001</v>
      </c>
    </row>
    <row r="490" spans="1:4" x14ac:dyDescent="0.25">
      <c r="A490" t="s">
        <v>4</v>
      </c>
      <c r="B490" t="s">
        <v>6</v>
      </c>
      <c r="C490">
        <v>100</v>
      </c>
      <c r="D490">
        <v>1105.9680000000001</v>
      </c>
    </row>
    <row r="491" spans="1:4" x14ac:dyDescent="0.25">
      <c r="A491" t="s">
        <v>4</v>
      </c>
      <c r="B491" t="s">
        <v>6</v>
      </c>
      <c r="C491">
        <v>100</v>
      </c>
      <c r="D491">
        <v>1157.095</v>
      </c>
    </row>
    <row r="492" spans="1:4" x14ac:dyDescent="0.25">
      <c r="A492" t="s">
        <v>4</v>
      </c>
      <c r="B492" t="s">
        <v>6</v>
      </c>
      <c r="C492">
        <v>100</v>
      </c>
      <c r="D492">
        <v>1058.752</v>
      </c>
    </row>
    <row r="493" spans="1:4" x14ac:dyDescent="0.25">
      <c r="A493" t="s">
        <v>4</v>
      </c>
      <c r="B493" t="s">
        <v>6</v>
      </c>
      <c r="C493">
        <v>100</v>
      </c>
      <c r="D493">
        <v>1136.2249999999999</v>
      </c>
    </row>
    <row r="494" spans="1:4" x14ac:dyDescent="0.25">
      <c r="A494" t="s">
        <v>4</v>
      </c>
      <c r="B494" t="s">
        <v>6</v>
      </c>
      <c r="C494">
        <v>100</v>
      </c>
      <c r="D494">
        <v>1096.616</v>
      </c>
    </row>
    <row r="495" spans="1:4" x14ac:dyDescent="0.25">
      <c r="A495" t="s">
        <v>4</v>
      </c>
      <c r="B495" t="s">
        <v>6</v>
      </c>
      <c r="C495">
        <v>100</v>
      </c>
      <c r="D495">
        <v>1122.8219999999999</v>
      </c>
    </row>
    <row r="496" spans="1:4" x14ac:dyDescent="0.25">
      <c r="A496" t="s">
        <v>4</v>
      </c>
      <c r="B496" t="s">
        <v>6</v>
      </c>
      <c r="C496">
        <v>100</v>
      </c>
      <c r="D496">
        <v>1192.7280000000001</v>
      </c>
    </row>
    <row r="497" spans="1:4" x14ac:dyDescent="0.25">
      <c r="A497" t="s">
        <v>4</v>
      </c>
      <c r="B497" t="s">
        <v>6</v>
      </c>
      <c r="C497">
        <v>100</v>
      </c>
      <c r="D497">
        <v>1055.58</v>
      </c>
    </row>
    <row r="498" spans="1:4" x14ac:dyDescent="0.25">
      <c r="A498" t="s">
        <v>4</v>
      </c>
      <c r="B498" t="s">
        <v>6</v>
      </c>
      <c r="C498">
        <v>100</v>
      </c>
      <c r="D498">
        <v>1108.0319999999999</v>
      </c>
    </row>
    <row r="499" spans="1:4" x14ac:dyDescent="0.25">
      <c r="A499" t="s">
        <v>4</v>
      </c>
      <c r="B499" t="s">
        <v>6</v>
      </c>
      <c r="C499">
        <v>100</v>
      </c>
      <c r="D499">
        <v>1144.4469999999999</v>
      </c>
    </row>
    <row r="500" spans="1:4" x14ac:dyDescent="0.25">
      <c r="A500" t="s">
        <v>4</v>
      </c>
      <c r="B500" t="s">
        <v>6</v>
      </c>
      <c r="C500">
        <v>100</v>
      </c>
      <c r="D500">
        <v>1108.57</v>
      </c>
    </row>
    <row r="501" spans="1:4" x14ac:dyDescent="0.25">
      <c r="A501" t="s">
        <v>4</v>
      </c>
      <c r="B501" t="s">
        <v>6</v>
      </c>
      <c r="C501">
        <v>100</v>
      </c>
      <c r="D501">
        <v>1067.5039999999999</v>
      </c>
    </row>
    <row r="502" spans="1:4" x14ac:dyDescent="0.25">
      <c r="A502" t="s">
        <v>4</v>
      </c>
      <c r="B502" t="s">
        <v>6</v>
      </c>
      <c r="C502">
        <v>120</v>
      </c>
      <c r="D502">
        <v>1310.3510000000001</v>
      </c>
    </row>
    <row r="503" spans="1:4" x14ac:dyDescent="0.25">
      <c r="A503" t="s">
        <v>4</v>
      </c>
      <c r="B503" t="s">
        <v>6</v>
      </c>
      <c r="C503">
        <v>120</v>
      </c>
      <c r="D503">
        <v>1345.348</v>
      </c>
    </row>
    <row r="504" spans="1:4" x14ac:dyDescent="0.25">
      <c r="A504" t="s">
        <v>4</v>
      </c>
      <c r="B504" t="s">
        <v>6</v>
      </c>
      <c r="C504">
        <v>120</v>
      </c>
      <c r="D504">
        <v>1347.6510000000001</v>
      </c>
    </row>
    <row r="505" spans="1:4" x14ac:dyDescent="0.25">
      <c r="A505" t="s">
        <v>4</v>
      </c>
      <c r="B505" t="s">
        <v>6</v>
      </c>
      <c r="C505">
        <v>120</v>
      </c>
      <c r="D505">
        <v>1397.2339999999999</v>
      </c>
    </row>
    <row r="506" spans="1:4" x14ac:dyDescent="0.25">
      <c r="A506" t="s">
        <v>4</v>
      </c>
      <c r="B506" t="s">
        <v>6</v>
      </c>
      <c r="C506">
        <v>120</v>
      </c>
      <c r="D506">
        <v>1304.123</v>
      </c>
    </row>
    <row r="507" spans="1:4" x14ac:dyDescent="0.25">
      <c r="A507" t="s">
        <v>4</v>
      </c>
      <c r="B507" t="s">
        <v>6</v>
      </c>
      <c r="C507">
        <v>120</v>
      </c>
      <c r="D507">
        <v>1418.8820000000001</v>
      </c>
    </row>
    <row r="508" spans="1:4" x14ac:dyDescent="0.25">
      <c r="A508" t="s">
        <v>4</v>
      </c>
      <c r="B508" t="s">
        <v>6</v>
      </c>
      <c r="C508">
        <v>120</v>
      </c>
      <c r="D508">
        <v>1333.7380000000001</v>
      </c>
    </row>
    <row r="509" spans="1:4" x14ac:dyDescent="0.25">
      <c r="A509" t="s">
        <v>4</v>
      </c>
      <c r="B509" t="s">
        <v>6</v>
      </c>
      <c r="C509">
        <v>120</v>
      </c>
      <c r="D509">
        <v>1164.193</v>
      </c>
    </row>
    <row r="510" spans="1:4" x14ac:dyDescent="0.25">
      <c r="A510" t="s">
        <v>4</v>
      </c>
      <c r="B510" t="s">
        <v>6</v>
      </c>
      <c r="C510">
        <v>120</v>
      </c>
      <c r="D510">
        <v>1318.376</v>
      </c>
    </row>
    <row r="511" spans="1:4" x14ac:dyDescent="0.25">
      <c r="A511" t="s">
        <v>4</v>
      </c>
      <c r="B511" t="s">
        <v>6</v>
      </c>
      <c r="C511">
        <v>120</v>
      </c>
      <c r="D511">
        <v>1382.7919999999999</v>
      </c>
    </row>
    <row r="512" spans="1:4" x14ac:dyDescent="0.25">
      <c r="A512" t="s">
        <v>4</v>
      </c>
      <c r="B512" t="s">
        <v>6</v>
      </c>
      <c r="C512">
        <v>120</v>
      </c>
      <c r="D512">
        <v>1321.3579999999999</v>
      </c>
    </row>
    <row r="513" spans="1:4" x14ac:dyDescent="0.25">
      <c r="A513" t="s">
        <v>4</v>
      </c>
      <c r="B513" t="s">
        <v>6</v>
      </c>
      <c r="C513">
        <v>120</v>
      </c>
      <c r="D513">
        <v>1322.2460000000001</v>
      </c>
    </row>
    <row r="514" spans="1:4" x14ac:dyDescent="0.25">
      <c r="A514" t="s">
        <v>4</v>
      </c>
      <c r="B514" t="s">
        <v>6</v>
      </c>
      <c r="C514">
        <v>120</v>
      </c>
      <c r="D514">
        <v>1356.2829999999999</v>
      </c>
    </row>
    <row r="515" spans="1:4" x14ac:dyDescent="0.25">
      <c r="A515" t="s">
        <v>4</v>
      </c>
      <c r="B515" t="s">
        <v>6</v>
      </c>
      <c r="C515">
        <v>120</v>
      </c>
      <c r="D515">
        <v>1361.059</v>
      </c>
    </row>
    <row r="516" spans="1:4" x14ac:dyDescent="0.25">
      <c r="A516" t="s">
        <v>4</v>
      </c>
      <c r="B516" t="s">
        <v>6</v>
      </c>
      <c r="C516">
        <v>120</v>
      </c>
      <c r="D516">
        <v>1335.105</v>
      </c>
    </row>
    <row r="517" spans="1:4" x14ac:dyDescent="0.25">
      <c r="A517" t="s">
        <v>4</v>
      </c>
      <c r="B517" t="s">
        <v>6</v>
      </c>
      <c r="C517">
        <v>120</v>
      </c>
      <c r="D517">
        <v>1290.078</v>
      </c>
    </row>
    <row r="518" spans="1:4" x14ac:dyDescent="0.25">
      <c r="A518" t="s">
        <v>4</v>
      </c>
      <c r="B518" t="s">
        <v>6</v>
      </c>
      <c r="C518">
        <v>120</v>
      </c>
      <c r="D518">
        <v>1310.377</v>
      </c>
    </row>
    <row r="519" spans="1:4" x14ac:dyDescent="0.25">
      <c r="A519" t="s">
        <v>4</v>
      </c>
      <c r="B519" t="s">
        <v>6</v>
      </c>
      <c r="C519">
        <v>120</v>
      </c>
      <c r="D519">
        <v>1325.232</v>
      </c>
    </row>
    <row r="520" spans="1:4" x14ac:dyDescent="0.25">
      <c r="A520" t="s">
        <v>4</v>
      </c>
      <c r="B520" t="s">
        <v>6</v>
      </c>
      <c r="C520">
        <v>120</v>
      </c>
      <c r="D520">
        <v>1337.357</v>
      </c>
    </row>
    <row r="521" spans="1:4" x14ac:dyDescent="0.25">
      <c r="A521" t="s">
        <v>4</v>
      </c>
      <c r="B521" t="s">
        <v>6</v>
      </c>
      <c r="C521">
        <v>120</v>
      </c>
      <c r="D521">
        <v>1418.0129999999999</v>
      </c>
    </row>
    <row r="522" spans="1:4" x14ac:dyDescent="0.25">
      <c r="A522" t="s">
        <v>4</v>
      </c>
      <c r="B522" t="s">
        <v>6</v>
      </c>
      <c r="C522">
        <v>120</v>
      </c>
      <c r="D522">
        <v>1291.692</v>
      </c>
    </row>
    <row r="523" spans="1:4" x14ac:dyDescent="0.25">
      <c r="A523" t="s">
        <v>4</v>
      </c>
      <c r="B523" t="s">
        <v>6</v>
      </c>
      <c r="C523">
        <v>120</v>
      </c>
      <c r="D523">
        <v>1316.847</v>
      </c>
    </row>
    <row r="524" spans="1:4" x14ac:dyDescent="0.25">
      <c r="A524" t="s">
        <v>4</v>
      </c>
      <c r="B524" t="s">
        <v>6</v>
      </c>
      <c r="C524">
        <v>120</v>
      </c>
      <c r="D524">
        <v>1365.789</v>
      </c>
    </row>
    <row r="525" spans="1:4" x14ac:dyDescent="0.25">
      <c r="A525" t="s">
        <v>4</v>
      </c>
      <c r="B525" t="s">
        <v>6</v>
      </c>
      <c r="C525">
        <v>120</v>
      </c>
      <c r="D525">
        <v>1341.6</v>
      </c>
    </row>
    <row r="526" spans="1:4" x14ac:dyDescent="0.25">
      <c r="A526" t="s">
        <v>4</v>
      </c>
      <c r="B526" t="s">
        <v>6</v>
      </c>
      <c r="C526">
        <v>120</v>
      </c>
      <c r="D526">
        <v>1352.6410000000001</v>
      </c>
    </row>
    <row r="527" spans="1:4" x14ac:dyDescent="0.25">
      <c r="A527" t="s">
        <v>4</v>
      </c>
      <c r="B527" t="s">
        <v>6</v>
      </c>
      <c r="C527">
        <v>120</v>
      </c>
      <c r="D527">
        <v>1327.5060000000001</v>
      </c>
    </row>
    <row r="528" spans="1:4" x14ac:dyDescent="0.25">
      <c r="A528" t="s">
        <v>4</v>
      </c>
      <c r="B528" t="s">
        <v>6</v>
      </c>
      <c r="C528">
        <v>120</v>
      </c>
      <c r="D528">
        <v>1377.826</v>
      </c>
    </row>
    <row r="529" spans="1:4" x14ac:dyDescent="0.25">
      <c r="A529" t="s">
        <v>4</v>
      </c>
      <c r="B529" t="s">
        <v>6</v>
      </c>
      <c r="C529">
        <v>120</v>
      </c>
      <c r="D529">
        <v>1311.3130000000001</v>
      </c>
    </row>
    <row r="530" spans="1:4" x14ac:dyDescent="0.25">
      <c r="A530" t="s">
        <v>4</v>
      </c>
      <c r="B530" t="s">
        <v>6</v>
      </c>
      <c r="C530">
        <v>120</v>
      </c>
      <c r="D530">
        <v>1331.827</v>
      </c>
    </row>
    <row r="531" spans="1:4" x14ac:dyDescent="0.25">
      <c r="A531" t="s">
        <v>4</v>
      </c>
      <c r="B531" t="s">
        <v>6</v>
      </c>
      <c r="C531">
        <v>120</v>
      </c>
      <c r="D531">
        <v>1372.7280000000001</v>
      </c>
    </row>
    <row r="532" spans="1:4" x14ac:dyDescent="0.25">
      <c r="A532" t="s">
        <v>4</v>
      </c>
      <c r="B532" t="s">
        <v>6</v>
      </c>
      <c r="C532">
        <v>120</v>
      </c>
      <c r="D532">
        <v>1339.2049999999999</v>
      </c>
    </row>
    <row r="533" spans="1:4" x14ac:dyDescent="0.25">
      <c r="A533" t="s">
        <v>4</v>
      </c>
      <c r="B533" t="s">
        <v>6</v>
      </c>
      <c r="C533">
        <v>120</v>
      </c>
      <c r="D533">
        <v>1261.877</v>
      </c>
    </row>
    <row r="534" spans="1:4" x14ac:dyDescent="0.25">
      <c r="A534" t="s">
        <v>4</v>
      </c>
      <c r="B534" t="s">
        <v>6</v>
      </c>
      <c r="C534">
        <v>120</v>
      </c>
      <c r="D534">
        <v>1296.643</v>
      </c>
    </row>
    <row r="535" spans="1:4" x14ac:dyDescent="0.25">
      <c r="A535" t="s">
        <v>4</v>
      </c>
      <c r="B535" t="s">
        <v>6</v>
      </c>
      <c r="C535">
        <v>120</v>
      </c>
      <c r="D535">
        <v>1247.663</v>
      </c>
    </row>
    <row r="536" spans="1:4" x14ac:dyDescent="0.25">
      <c r="A536" t="s">
        <v>4</v>
      </c>
      <c r="B536" t="s">
        <v>6</v>
      </c>
      <c r="C536">
        <v>120</v>
      </c>
      <c r="D536">
        <v>1195.2909999999999</v>
      </c>
    </row>
    <row r="537" spans="1:4" x14ac:dyDescent="0.25">
      <c r="A537" t="s">
        <v>4</v>
      </c>
      <c r="B537" t="s">
        <v>6</v>
      </c>
      <c r="C537">
        <v>120</v>
      </c>
      <c r="D537">
        <v>1277.961</v>
      </c>
    </row>
    <row r="538" spans="1:4" x14ac:dyDescent="0.25">
      <c r="A538" t="s">
        <v>4</v>
      </c>
      <c r="B538" t="s">
        <v>6</v>
      </c>
      <c r="C538">
        <v>120</v>
      </c>
      <c r="D538">
        <v>1340.6869999999999</v>
      </c>
    </row>
    <row r="539" spans="1:4" x14ac:dyDescent="0.25">
      <c r="A539" t="s">
        <v>4</v>
      </c>
      <c r="B539" t="s">
        <v>6</v>
      </c>
      <c r="C539">
        <v>120</v>
      </c>
      <c r="D539">
        <v>1299.77</v>
      </c>
    </row>
    <row r="540" spans="1:4" x14ac:dyDescent="0.25">
      <c r="A540" t="s">
        <v>4</v>
      </c>
      <c r="B540" t="s">
        <v>6</v>
      </c>
      <c r="C540">
        <v>120</v>
      </c>
      <c r="D540">
        <v>1359.596</v>
      </c>
    </row>
    <row r="541" spans="1:4" x14ac:dyDescent="0.25">
      <c r="A541" t="s">
        <v>4</v>
      </c>
      <c r="B541" t="s">
        <v>6</v>
      </c>
      <c r="C541">
        <v>120</v>
      </c>
      <c r="D541">
        <v>1289.24</v>
      </c>
    </row>
    <row r="542" spans="1:4" x14ac:dyDescent="0.25">
      <c r="A542" t="s">
        <v>4</v>
      </c>
      <c r="B542" t="s">
        <v>6</v>
      </c>
      <c r="C542">
        <v>120</v>
      </c>
      <c r="D542">
        <v>1287.3</v>
      </c>
    </row>
    <row r="543" spans="1:4" x14ac:dyDescent="0.25">
      <c r="A543" t="s">
        <v>4</v>
      </c>
      <c r="B543" t="s">
        <v>6</v>
      </c>
      <c r="C543">
        <v>120</v>
      </c>
      <c r="D543">
        <v>1327.0650000000001</v>
      </c>
    </row>
    <row r="544" spans="1:4" x14ac:dyDescent="0.25">
      <c r="A544" t="s">
        <v>4</v>
      </c>
      <c r="B544" t="s">
        <v>6</v>
      </c>
      <c r="C544">
        <v>120</v>
      </c>
      <c r="D544">
        <v>1313.229</v>
      </c>
    </row>
    <row r="545" spans="1:4" x14ac:dyDescent="0.25">
      <c r="A545" t="s">
        <v>4</v>
      </c>
      <c r="B545" t="s">
        <v>6</v>
      </c>
      <c r="C545">
        <v>120</v>
      </c>
      <c r="D545">
        <v>1353.2270000000001</v>
      </c>
    </row>
    <row r="546" spans="1:4" x14ac:dyDescent="0.25">
      <c r="A546" t="s">
        <v>4</v>
      </c>
      <c r="B546" t="s">
        <v>6</v>
      </c>
      <c r="C546">
        <v>120</v>
      </c>
      <c r="D546">
        <v>1341.877</v>
      </c>
    </row>
    <row r="547" spans="1:4" x14ac:dyDescent="0.25">
      <c r="A547" t="s">
        <v>4</v>
      </c>
      <c r="B547" t="s">
        <v>6</v>
      </c>
      <c r="C547">
        <v>120</v>
      </c>
      <c r="D547">
        <v>1281.749</v>
      </c>
    </row>
    <row r="548" spans="1:4" x14ac:dyDescent="0.25">
      <c r="A548" t="s">
        <v>4</v>
      </c>
      <c r="B548" t="s">
        <v>6</v>
      </c>
      <c r="C548">
        <v>120</v>
      </c>
      <c r="D548">
        <v>1329.598</v>
      </c>
    </row>
    <row r="549" spans="1:4" x14ac:dyDescent="0.25">
      <c r="A549" t="s">
        <v>4</v>
      </c>
      <c r="B549" t="s">
        <v>6</v>
      </c>
      <c r="C549">
        <v>120</v>
      </c>
      <c r="D549">
        <v>1275.229</v>
      </c>
    </row>
    <row r="550" spans="1:4" x14ac:dyDescent="0.25">
      <c r="A550" t="s">
        <v>4</v>
      </c>
      <c r="B550" t="s">
        <v>6</v>
      </c>
      <c r="C550">
        <v>120</v>
      </c>
      <c r="D550">
        <v>1303.902</v>
      </c>
    </row>
    <row r="551" spans="1:4" x14ac:dyDescent="0.25">
      <c r="A551" t="s">
        <v>4</v>
      </c>
      <c r="B551" t="s">
        <v>6</v>
      </c>
      <c r="C551">
        <v>120</v>
      </c>
      <c r="D551">
        <v>1345.414</v>
      </c>
    </row>
    <row r="552" spans="1:4" x14ac:dyDescent="0.25">
      <c r="A552" t="s">
        <v>4</v>
      </c>
      <c r="B552" t="s">
        <v>6</v>
      </c>
      <c r="C552">
        <v>120</v>
      </c>
      <c r="D552">
        <v>1394.93</v>
      </c>
    </row>
    <row r="553" spans="1:4" x14ac:dyDescent="0.25">
      <c r="A553" t="s">
        <v>4</v>
      </c>
      <c r="B553" t="s">
        <v>6</v>
      </c>
      <c r="C553">
        <v>120</v>
      </c>
      <c r="D553">
        <v>1307.0429999999999</v>
      </c>
    </row>
    <row r="554" spans="1:4" x14ac:dyDescent="0.25">
      <c r="A554" t="s">
        <v>4</v>
      </c>
      <c r="B554" t="s">
        <v>6</v>
      </c>
      <c r="C554">
        <v>120</v>
      </c>
      <c r="D554">
        <v>1409.386</v>
      </c>
    </row>
    <row r="555" spans="1:4" x14ac:dyDescent="0.25">
      <c r="A555" t="s">
        <v>4</v>
      </c>
      <c r="B555" t="s">
        <v>6</v>
      </c>
      <c r="C555">
        <v>120</v>
      </c>
      <c r="D555">
        <v>1426.2260000000001</v>
      </c>
    </row>
    <row r="556" spans="1:4" x14ac:dyDescent="0.25">
      <c r="A556" t="s">
        <v>4</v>
      </c>
      <c r="B556" t="s">
        <v>6</v>
      </c>
      <c r="C556">
        <v>120</v>
      </c>
      <c r="D556">
        <v>1288.692</v>
      </c>
    </row>
    <row r="557" spans="1:4" x14ac:dyDescent="0.25">
      <c r="A557" t="s">
        <v>4</v>
      </c>
      <c r="B557" t="s">
        <v>6</v>
      </c>
      <c r="C557">
        <v>120</v>
      </c>
      <c r="D557">
        <v>1370.502</v>
      </c>
    </row>
    <row r="558" spans="1:4" x14ac:dyDescent="0.25">
      <c r="A558" t="s">
        <v>4</v>
      </c>
      <c r="B558" t="s">
        <v>6</v>
      </c>
      <c r="C558">
        <v>120</v>
      </c>
      <c r="D558">
        <v>1353.7629999999999</v>
      </c>
    </row>
    <row r="559" spans="1:4" x14ac:dyDescent="0.25">
      <c r="A559" t="s">
        <v>4</v>
      </c>
      <c r="B559" t="s">
        <v>6</v>
      </c>
      <c r="C559">
        <v>120</v>
      </c>
      <c r="D559">
        <v>1262.729</v>
      </c>
    </row>
    <row r="560" spans="1:4" x14ac:dyDescent="0.25">
      <c r="A560" t="s">
        <v>4</v>
      </c>
      <c r="B560" t="s">
        <v>6</v>
      </c>
      <c r="C560">
        <v>120</v>
      </c>
      <c r="D560">
        <v>1261.6600000000001</v>
      </c>
    </row>
    <row r="561" spans="1:4" x14ac:dyDescent="0.25">
      <c r="A561" t="s">
        <v>4</v>
      </c>
      <c r="B561" t="s">
        <v>6</v>
      </c>
      <c r="C561">
        <v>120</v>
      </c>
      <c r="D561">
        <v>1303.769</v>
      </c>
    </row>
    <row r="562" spans="1:4" x14ac:dyDescent="0.25">
      <c r="A562" t="s">
        <v>4</v>
      </c>
      <c r="B562" t="s">
        <v>6</v>
      </c>
      <c r="C562">
        <v>120</v>
      </c>
      <c r="D562">
        <v>1334.279</v>
      </c>
    </row>
    <row r="563" spans="1:4" x14ac:dyDescent="0.25">
      <c r="A563" t="s">
        <v>4</v>
      </c>
      <c r="B563" t="s">
        <v>6</v>
      </c>
      <c r="C563">
        <v>120</v>
      </c>
      <c r="D563">
        <v>1342.107</v>
      </c>
    </row>
    <row r="564" spans="1:4" x14ac:dyDescent="0.25">
      <c r="A564" t="s">
        <v>4</v>
      </c>
      <c r="B564" t="s">
        <v>6</v>
      </c>
      <c r="C564">
        <v>120</v>
      </c>
      <c r="D564">
        <v>1266.893</v>
      </c>
    </row>
    <row r="565" spans="1:4" x14ac:dyDescent="0.25">
      <c r="A565" t="s">
        <v>4</v>
      </c>
      <c r="B565" t="s">
        <v>6</v>
      </c>
      <c r="C565">
        <v>120</v>
      </c>
      <c r="D565">
        <v>1316.202</v>
      </c>
    </row>
    <row r="566" spans="1:4" x14ac:dyDescent="0.25">
      <c r="A566" t="s">
        <v>4</v>
      </c>
      <c r="B566" t="s">
        <v>6</v>
      </c>
      <c r="C566">
        <v>120</v>
      </c>
      <c r="D566">
        <v>1323.3889999999999</v>
      </c>
    </row>
    <row r="567" spans="1:4" x14ac:dyDescent="0.25">
      <c r="A567" t="s">
        <v>4</v>
      </c>
      <c r="B567" t="s">
        <v>6</v>
      </c>
      <c r="C567">
        <v>120</v>
      </c>
      <c r="D567">
        <v>1272.7270000000001</v>
      </c>
    </row>
    <row r="568" spans="1:4" x14ac:dyDescent="0.25">
      <c r="A568" t="s">
        <v>4</v>
      </c>
      <c r="B568" t="s">
        <v>6</v>
      </c>
      <c r="C568">
        <v>120</v>
      </c>
      <c r="D568">
        <v>1312.2909999999999</v>
      </c>
    </row>
    <row r="569" spans="1:4" x14ac:dyDescent="0.25">
      <c r="A569" t="s">
        <v>4</v>
      </c>
      <c r="B569" t="s">
        <v>6</v>
      </c>
      <c r="C569">
        <v>120</v>
      </c>
      <c r="D569">
        <v>1257.377</v>
      </c>
    </row>
    <row r="570" spans="1:4" x14ac:dyDescent="0.25">
      <c r="A570" t="s">
        <v>4</v>
      </c>
      <c r="B570" t="s">
        <v>6</v>
      </c>
      <c r="C570">
        <v>120</v>
      </c>
      <c r="D570">
        <v>1267.9649999999999</v>
      </c>
    </row>
    <row r="571" spans="1:4" x14ac:dyDescent="0.25">
      <c r="A571" t="s">
        <v>4</v>
      </c>
      <c r="B571" t="s">
        <v>6</v>
      </c>
      <c r="C571">
        <v>120</v>
      </c>
      <c r="D571">
        <v>1321.616</v>
      </c>
    </row>
    <row r="572" spans="1:4" x14ac:dyDescent="0.25">
      <c r="A572" t="s">
        <v>4</v>
      </c>
      <c r="B572" t="s">
        <v>6</v>
      </c>
      <c r="C572">
        <v>120</v>
      </c>
      <c r="D572">
        <v>1283.6389999999999</v>
      </c>
    </row>
    <row r="573" spans="1:4" x14ac:dyDescent="0.25">
      <c r="A573" t="s">
        <v>4</v>
      </c>
      <c r="B573" t="s">
        <v>6</v>
      </c>
      <c r="C573">
        <v>120</v>
      </c>
      <c r="D573">
        <v>1296.9590000000001</v>
      </c>
    </row>
    <row r="574" spans="1:4" x14ac:dyDescent="0.25">
      <c r="A574" t="s">
        <v>4</v>
      </c>
      <c r="B574" t="s">
        <v>6</v>
      </c>
      <c r="C574">
        <v>120</v>
      </c>
      <c r="D574">
        <v>1306.5889999999999</v>
      </c>
    </row>
    <row r="575" spans="1:4" x14ac:dyDescent="0.25">
      <c r="A575" t="s">
        <v>4</v>
      </c>
      <c r="B575" t="s">
        <v>6</v>
      </c>
      <c r="C575">
        <v>120</v>
      </c>
      <c r="D575">
        <v>1380.2760000000001</v>
      </c>
    </row>
    <row r="576" spans="1:4" x14ac:dyDescent="0.25">
      <c r="A576" t="s">
        <v>4</v>
      </c>
      <c r="B576" t="s">
        <v>6</v>
      </c>
      <c r="C576">
        <v>120</v>
      </c>
      <c r="D576">
        <v>1391.682</v>
      </c>
    </row>
    <row r="577" spans="1:4" x14ac:dyDescent="0.25">
      <c r="A577" t="s">
        <v>4</v>
      </c>
      <c r="B577" t="s">
        <v>6</v>
      </c>
      <c r="C577">
        <v>120</v>
      </c>
      <c r="D577">
        <v>1340.2929999999999</v>
      </c>
    </row>
    <row r="578" spans="1:4" x14ac:dyDescent="0.25">
      <c r="A578" t="s">
        <v>4</v>
      </c>
      <c r="B578" t="s">
        <v>6</v>
      </c>
      <c r="C578">
        <v>120</v>
      </c>
      <c r="D578">
        <v>1284.0409999999999</v>
      </c>
    </row>
    <row r="579" spans="1:4" x14ac:dyDescent="0.25">
      <c r="A579" t="s">
        <v>4</v>
      </c>
      <c r="B579" t="s">
        <v>6</v>
      </c>
      <c r="C579">
        <v>120</v>
      </c>
      <c r="D579">
        <v>1267.93</v>
      </c>
    </row>
    <row r="580" spans="1:4" x14ac:dyDescent="0.25">
      <c r="A580" t="s">
        <v>4</v>
      </c>
      <c r="B580" t="s">
        <v>6</v>
      </c>
      <c r="C580">
        <v>120</v>
      </c>
      <c r="D580">
        <v>1368.6010000000001</v>
      </c>
    </row>
    <row r="581" spans="1:4" x14ac:dyDescent="0.25">
      <c r="A581" t="s">
        <v>4</v>
      </c>
      <c r="B581" t="s">
        <v>6</v>
      </c>
      <c r="C581">
        <v>120</v>
      </c>
      <c r="D581">
        <v>1337.0060000000001</v>
      </c>
    </row>
    <row r="582" spans="1:4" x14ac:dyDescent="0.25">
      <c r="A582" t="s">
        <v>4</v>
      </c>
      <c r="B582" t="s">
        <v>6</v>
      </c>
      <c r="C582">
        <v>120</v>
      </c>
      <c r="D582">
        <v>1238.3699999999999</v>
      </c>
    </row>
    <row r="583" spans="1:4" x14ac:dyDescent="0.25">
      <c r="A583" t="s">
        <v>4</v>
      </c>
      <c r="B583" t="s">
        <v>6</v>
      </c>
      <c r="C583">
        <v>120</v>
      </c>
      <c r="D583">
        <v>1274.2819999999999</v>
      </c>
    </row>
    <row r="584" spans="1:4" x14ac:dyDescent="0.25">
      <c r="A584" t="s">
        <v>4</v>
      </c>
      <c r="B584" t="s">
        <v>6</v>
      </c>
      <c r="C584">
        <v>120</v>
      </c>
      <c r="D584">
        <v>1305.79</v>
      </c>
    </row>
    <row r="585" spans="1:4" x14ac:dyDescent="0.25">
      <c r="A585" t="s">
        <v>4</v>
      </c>
      <c r="B585" t="s">
        <v>6</v>
      </c>
      <c r="C585">
        <v>120</v>
      </c>
      <c r="D585">
        <v>1324.4010000000001</v>
      </c>
    </row>
    <row r="586" spans="1:4" x14ac:dyDescent="0.25">
      <c r="A586" t="s">
        <v>4</v>
      </c>
      <c r="B586" t="s">
        <v>6</v>
      </c>
      <c r="C586">
        <v>120</v>
      </c>
      <c r="D586">
        <v>1348.258</v>
      </c>
    </row>
    <row r="587" spans="1:4" x14ac:dyDescent="0.25">
      <c r="A587" t="s">
        <v>4</v>
      </c>
      <c r="B587" t="s">
        <v>6</v>
      </c>
      <c r="C587">
        <v>120</v>
      </c>
      <c r="D587">
        <v>1375.173</v>
      </c>
    </row>
    <row r="588" spans="1:4" x14ac:dyDescent="0.25">
      <c r="A588" t="s">
        <v>4</v>
      </c>
      <c r="B588" t="s">
        <v>6</v>
      </c>
      <c r="C588">
        <v>120</v>
      </c>
      <c r="D588">
        <v>1331.8889999999999</v>
      </c>
    </row>
    <row r="589" spans="1:4" x14ac:dyDescent="0.25">
      <c r="A589" t="s">
        <v>4</v>
      </c>
      <c r="B589" t="s">
        <v>6</v>
      </c>
      <c r="C589">
        <v>120</v>
      </c>
      <c r="D589">
        <v>1310.078</v>
      </c>
    </row>
    <row r="590" spans="1:4" x14ac:dyDescent="0.25">
      <c r="A590" t="s">
        <v>4</v>
      </c>
      <c r="B590" t="s">
        <v>6</v>
      </c>
      <c r="C590">
        <v>120</v>
      </c>
      <c r="D590">
        <v>1319.98</v>
      </c>
    </row>
    <row r="591" spans="1:4" x14ac:dyDescent="0.25">
      <c r="A591" t="s">
        <v>4</v>
      </c>
      <c r="B591" t="s">
        <v>6</v>
      </c>
      <c r="C591">
        <v>120</v>
      </c>
      <c r="D591">
        <v>1320.595</v>
      </c>
    </row>
    <row r="592" spans="1:4" x14ac:dyDescent="0.25">
      <c r="A592" t="s">
        <v>4</v>
      </c>
      <c r="B592" t="s">
        <v>6</v>
      </c>
      <c r="C592">
        <v>120</v>
      </c>
      <c r="D592">
        <v>1399.9469999999999</v>
      </c>
    </row>
    <row r="593" spans="1:4" x14ac:dyDescent="0.25">
      <c r="A593" t="s">
        <v>4</v>
      </c>
      <c r="B593" t="s">
        <v>6</v>
      </c>
      <c r="C593">
        <v>120</v>
      </c>
      <c r="D593">
        <v>1362.5550000000001</v>
      </c>
    </row>
    <row r="594" spans="1:4" x14ac:dyDescent="0.25">
      <c r="A594" t="s">
        <v>4</v>
      </c>
      <c r="B594" t="s">
        <v>6</v>
      </c>
      <c r="C594">
        <v>120</v>
      </c>
      <c r="D594">
        <v>1384.972</v>
      </c>
    </row>
    <row r="595" spans="1:4" x14ac:dyDescent="0.25">
      <c r="A595" t="s">
        <v>4</v>
      </c>
      <c r="B595" t="s">
        <v>6</v>
      </c>
      <c r="C595">
        <v>120</v>
      </c>
      <c r="D595">
        <v>1315.307</v>
      </c>
    </row>
    <row r="596" spans="1:4" x14ac:dyDescent="0.25">
      <c r="A596" t="s">
        <v>4</v>
      </c>
      <c r="B596" t="s">
        <v>6</v>
      </c>
      <c r="C596">
        <v>120</v>
      </c>
      <c r="D596">
        <v>1355.231</v>
      </c>
    </row>
    <row r="597" spans="1:4" x14ac:dyDescent="0.25">
      <c r="A597" t="s">
        <v>4</v>
      </c>
      <c r="B597" t="s">
        <v>6</v>
      </c>
      <c r="C597">
        <v>120</v>
      </c>
      <c r="D597">
        <v>1267.7560000000001</v>
      </c>
    </row>
    <row r="598" spans="1:4" x14ac:dyDescent="0.25">
      <c r="A598" t="s">
        <v>4</v>
      </c>
      <c r="B598" t="s">
        <v>6</v>
      </c>
      <c r="C598">
        <v>120</v>
      </c>
      <c r="D598">
        <v>1255.9380000000001</v>
      </c>
    </row>
    <row r="599" spans="1:4" x14ac:dyDescent="0.25">
      <c r="A599" t="s">
        <v>4</v>
      </c>
      <c r="B599" t="s">
        <v>6</v>
      </c>
      <c r="C599">
        <v>120</v>
      </c>
      <c r="D599">
        <v>1346.4449999999999</v>
      </c>
    </row>
    <row r="600" spans="1:4" x14ac:dyDescent="0.25">
      <c r="A600" t="s">
        <v>4</v>
      </c>
      <c r="B600" t="s">
        <v>6</v>
      </c>
      <c r="C600">
        <v>120</v>
      </c>
      <c r="D600">
        <v>1359.3979999999999</v>
      </c>
    </row>
    <row r="601" spans="1:4" x14ac:dyDescent="0.25">
      <c r="A601" t="s">
        <v>4</v>
      </c>
      <c r="B601" t="s">
        <v>6</v>
      </c>
      <c r="C601">
        <v>120</v>
      </c>
      <c r="D601">
        <v>1291.771</v>
      </c>
    </row>
    <row r="602" spans="1:4" x14ac:dyDescent="0.25">
      <c r="A602" t="s">
        <v>4</v>
      </c>
      <c r="B602" t="s">
        <v>5</v>
      </c>
      <c r="C602">
        <v>20</v>
      </c>
      <c r="D602">
        <v>50.805999999999997</v>
      </c>
    </row>
    <row r="603" spans="1:4" x14ac:dyDescent="0.25">
      <c r="A603" t="s">
        <v>4</v>
      </c>
      <c r="B603" t="s">
        <v>5</v>
      </c>
      <c r="C603">
        <v>20</v>
      </c>
      <c r="D603">
        <v>51.805999999999997</v>
      </c>
    </row>
    <row r="604" spans="1:4" x14ac:dyDescent="0.25">
      <c r="A604" t="s">
        <v>4</v>
      </c>
      <c r="B604" t="s">
        <v>5</v>
      </c>
      <c r="C604">
        <v>20</v>
      </c>
      <c r="D604">
        <v>50.805999999999997</v>
      </c>
    </row>
    <row r="605" spans="1:4" x14ac:dyDescent="0.25">
      <c r="A605" t="s">
        <v>4</v>
      </c>
      <c r="B605" t="s">
        <v>5</v>
      </c>
      <c r="C605">
        <v>20</v>
      </c>
      <c r="D605">
        <v>51.805999999999997</v>
      </c>
    </row>
    <row r="606" spans="1:4" x14ac:dyDescent="0.25">
      <c r="A606" t="s">
        <v>4</v>
      </c>
      <c r="B606" t="s">
        <v>5</v>
      </c>
      <c r="C606">
        <v>20</v>
      </c>
      <c r="D606">
        <v>49.805999999999997</v>
      </c>
    </row>
    <row r="607" spans="1:4" x14ac:dyDescent="0.25">
      <c r="A607" t="s">
        <v>4</v>
      </c>
      <c r="B607" t="s">
        <v>5</v>
      </c>
      <c r="C607">
        <v>20</v>
      </c>
      <c r="D607">
        <v>52.805999999999997</v>
      </c>
    </row>
    <row r="608" spans="1:4" x14ac:dyDescent="0.25">
      <c r="A608" t="s">
        <v>4</v>
      </c>
      <c r="B608" t="s">
        <v>5</v>
      </c>
      <c r="C608">
        <v>20</v>
      </c>
      <c r="D608">
        <v>51.805999999999997</v>
      </c>
    </row>
    <row r="609" spans="1:4" x14ac:dyDescent="0.25">
      <c r="A609" t="s">
        <v>4</v>
      </c>
      <c r="B609" t="s">
        <v>5</v>
      </c>
      <c r="C609">
        <v>20</v>
      </c>
      <c r="D609">
        <v>51.805999999999997</v>
      </c>
    </row>
    <row r="610" spans="1:4" x14ac:dyDescent="0.25">
      <c r="A610" t="s">
        <v>4</v>
      </c>
      <c r="B610" t="s">
        <v>5</v>
      </c>
      <c r="C610">
        <v>20</v>
      </c>
      <c r="D610">
        <v>51.805999999999997</v>
      </c>
    </row>
    <row r="611" spans="1:4" x14ac:dyDescent="0.25">
      <c r="A611" t="s">
        <v>4</v>
      </c>
      <c r="B611" t="s">
        <v>5</v>
      </c>
      <c r="C611">
        <v>20</v>
      </c>
      <c r="D611">
        <v>51.805999999999997</v>
      </c>
    </row>
    <row r="612" spans="1:4" x14ac:dyDescent="0.25">
      <c r="A612" t="s">
        <v>4</v>
      </c>
      <c r="B612" t="s">
        <v>5</v>
      </c>
      <c r="C612">
        <v>20</v>
      </c>
      <c r="D612">
        <v>50.805999999999997</v>
      </c>
    </row>
    <row r="613" spans="1:4" x14ac:dyDescent="0.25">
      <c r="A613" t="s">
        <v>4</v>
      </c>
      <c r="B613" t="s">
        <v>5</v>
      </c>
      <c r="C613">
        <v>20</v>
      </c>
      <c r="D613">
        <v>52.805999999999997</v>
      </c>
    </row>
    <row r="614" spans="1:4" x14ac:dyDescent="0.25">
      <c r="A614" t="s">
        <v>4</v>
      </c>
      <c r="B614" t="s">
        <v>5</v>
      </c>
      <c r="C614">
        <v>20</v>
      </c>
      <c r="D614">
        <v>51.805999999999997</v>
      </c>
    </row>
    <row r="615" spans="1:4" x14ac:dyDescent="0.25">
      <c r="A615" t="s">
        <v>4</v>
      </c>
      <c r="B615" t="s">
        <v>5</v>
      </c>
      <c r="C615">
        <v>20</v>
      </c>
      <c r="D615">
        <v>52.805999999999997</v>
      </c>
    </row>
    <row r="616" spans="1:4" x14ac:dyDescent="0.25">
      <c r="A616" t="s">
        <v>4</v>
      </c>
      <c r="B616" t="s">
        <v>5</v>
      </c>
      <c r="C616">
        <v>20</v>
      </c>
      <c r="D616">
        <v>50.805999999999997</v>
      </c>
    </row>
    <row r="617" spans="1:4" x14ac:dyDescent="0.25">
      <c r="A617" t="s">
        <v>4</v>
      </c>
      <c r="B617" t="s">
        <v>5</v>
      </c>
      <c r="C617">
        <v>20</v>
      </c>
      <c r="D617">
        <v>52.805999999999997</v>
      </c>
    </row>
    <row r="618" spans="1:4" x14ac:dyDescent="0.25">
      <c r="A618" t="s">
        <v>4</v>
      </c>
      <c r="B618" t="s">
        <v>5</v>
      </c>
      <c r="C618">
        <v>20</v>
      </c>
      <c r="D618">
        <v>49.805999999999997</v>
      </c>
    </row>
    <row r="619" spans="1:4" x14ac:dyDescent="0.25">
      <c r="A619" t="s">
        <v>4</v>
      </c>
      <c r="B619" t="s">
        <v>5</v>
      </c>
      <c r="C619">
        <v>20</v>
      </c>
      <c r="D619">
        <v>51.805999999999997</v>
      </c>
    </row>
    <row r="620" spans="1:4" x14ac:dyDescent="0.25">
      <c r="A620" t="s">
        <v>4</v>
      </c>
      <c r="B620" t="s">
        <v>5</v>
      </c>
      <c r="C620">
        <v>20</v>
      </c>
      <c r="D620">
        <v>50.805999999999997</v>
      </c>
    </row>
    <row r="621" spans="1:4" x14ac:dyDescent="0.25">
      <c r="A621" t="s">
        <v>4</v>
      </c>
      <c r="B621" t="s">
        <v>5</v>
      </c>
      <c r="C621">
        <v>20</v>
      </c>
      <c r="D621">
        <v>51.805999999999997</v>
      </c>
    </row>
    <row r="622" spans="1:4" x14ac:dyDescent="0.25">
      <c r="A622" t="s">
        <v>4</v>
      </c>
      <c r="B622" t="s">
        <v>5</v>
      </c>
      <c r="C622">
        <v>20</v>
      </c>
      <c r="D622">
        <v>51.805999999999997</v>
      </c>
    </row>
    <row r="623" spans="1:4" x14ac:dyDescent="0.25">
      <c r="A623" t="s">
        <v>4</v>
      </c>
      <c r="B623" t="s">
        <v>5</v>
      </c>
      <c r="C623">
        <v>20</v>
      </c>
      <c r="D623">
        <v>51.805999999999997</v>
      </c>
    </row>
    <row r="624" spans="1:4" x14ac:dyDescent="0.25">
      <c r="A624" t="s">
        <v>4</v>
      </c>
      <c r="B624" t="s">
        <v>5</v>
      </c>
      <c r="C624">
        <v>20</v>
      </c>
      <c r="D624">
        <v>52.805999999999997</v>
      </c>
    </row>
    <row r="625" spans="1:4" x14ac:dyDescent="0.25">
      <c r="A625" t="s">
        <v>4</v>
      </c>
      <c r="B625" t="s">
        <v>5</v>
      </c>
      <c r="C625">
        <v>20</v>
      </c>
      <c r="D625">
        <v>52.805999999999997</v>
      </c>
    </row>
    <row r="626" spans="1:4" x14ac:dyDescent="0.25">
      <c r="A626" t="s">
        <v>4</v>
      </c>
      <c r="B626" t="s">
        <v>5</v>
      </c>
      <c r="C626">
        <v>20</v>
      </c>
      <c r="D626">
        <v>51.805999999999997</v>
      </c>
    </row>
    <row r="627" spans="1:4" x14ac:dyDescent="0.25">
      <c r="A627" t="s">
        <v>4</v>
      </c>
      <c r="B627" t="s">
        <v>5</v>
      </c>
      <c r="C627">
        <v>20</v>
      </c>
      <c r="D627">
        <v>52.805999999999997</v>
      </c>
    </row>
    <row r="628" spans="1:4" x14ac:dyDescent="0.25">
      <c r="A628" t="s">
        <v>4</v>
      </c>
      <c r="B628" t="s">
        <v>5</v>
      </c>
      <c r="C628">
        <v>20</v>
      </c>
      <c r="D628">
        <v>52.805999999999997</v>
      </c>
    </row>
    <row r="629" spans="1:4" x14ac:dyDescent="0.25">
      <c r="A629" t="s">
        <v>4</v>
      </c>
      <c r="B629" t="s">
        <v>5</v>
      </c>
      <c r="C629">
        <v>20</v>
      </c>
      <c r="D629">
        <v>50.805999999999997</v>
      </c>
    </row>
    <row r="630" spans="1:4" x14ac:dyDescent="0.25">
      <c r="A630" t="s">
        <v>4</v>
      </c>
      <c r="B630" t="s">
        <v>5</v>
      </c>
      <c r="C630">
        <v>20</v>
      </c>
      <c r="D630">
        <v>50.805999999999997</v>
      </c>
    </row>
    <row r="631" spans="1:4" x14ac:dyDescent="0.25">
      <c r="A631" t="s">
        <v>4</v>
      </c>
      <c r="B631" t="s">
        <v>5</v>
      </c>
      <c r="C631">
        <v>20</v>
      </c>
      <c r="D631">
        <v>51.805999999999997</v>
      </c>
    </row>
    <row r="632" spans="1:4" x14ac:dyDescent="0.25">
      <c r="A632" t="s">
        <v>4</v>
      </c>
      <c r="B632" t="s">
        <v>5</v>
      </c>
      <c r="C632">
        <v>20</v>
      </c>
      <c r="D632">
        <v>51.805999999999997</v>
      </c>
    </row>
    <row r="633" spans="1:4" x14ac:dyDescent="0.25">
      <c r="A633" t="s">
        <v>4</v>
      </c>
      <c r="B633" t="s">
        <v>5</v>
      </c>
      <c r="C633">
        <v>20</v>
      </c>
      <c r="D633">
        <v>51.805999999999997</v>
      </c>
    </row>
    <row r="634" spans="1:4" x14ac:dyDescent="0.25">
      <c r="A634" t="s">
        <v>4</v>
      </c>
      <c r="B634" t="s">
        <v>5</v>
      </c>
      <c r="C634">
        <v>20</v>
      </c>
      <c r="D634">
        <v>51.805999999999997</v>
      </c>
    </row>
    <row r="635" spans="1:4" x14ac:dyDescent="0.25">
      <c r="A635" t="s">
        <v>4</v>
      </c>
      <c r="B635" t="s">
        <v>5</v>
      </c>
      <c r="C635">
        <v>20</v>
      </c>
      <c r="D635">
        <v>51.805999999999997</v>
      </c>
    </row>
    <row r="636" spans="1:4" x14ac:dyDescent="0.25">
      <c r="A636" t="s">
        <v>4</v>
      </c>
      <c r="B636" t="s">
        <v>5</v>
      </c>
      <c r="C636">
        <v>20</v>
      </c>
      <c r="D636">
        <v>49.805999999999997</v>
      </c>
    </row>
    <row r="637" spans="1:4" x14ac:dyDescent="0.25">
      <c r="A637" t="s">
        <v>4</v>
      </c>
      <c r="B637" t="s">
        <v>5</v>
      </c>
      <c r="C637">
        <v>20</v>
      </c>
      <c r="D637">
        <v>50.805999999999997</v>
      </c>
    </row>
    <row r="638" spans="1:4" x14ac:dyDescent="0.25">
      <c r="A638" t="s">
        <v>4</v>
      </c>
      <c r="B638" t="s">
        <v>5</v>
      </c>
      <c r="C638">
        <v>20</v>
      </c>
      <c r="D638">
        <v>51.805999999999997</v>
      </c>
    </row>
    <row r="639" spans="1:4" x14ac:dyDescent="0.25">
      <c r="A639" t="s">
        <v>4</v>
      </c>
      <c r="B639" t="s">
        <v>5</v>
      </c>
      <c r="C639">
        <v>20</v>
      </c>
      <c r="D639">
        <v>49.805999999999997</v>
      </c>
    </row>
    <row r="640" spans="1:4" x14ac:dyDescent="0.25">
      <c r="A640" t="s">
        <v>4</v>
      </c>
      <c r="B640" t="s">
        <v>5</v>
      </c>
      <c r="C640">
        <v>20</v>
      </c>
      <c r="D640">
        <v>51.805999999999997</v>
      </c>
    </row>
    <row r="641" spans="1:4" x14ac:dyDescent="0.25">
      <c r="A641" t="s">
        <v>4</v>
      </c>
      <c r="B641" t="s">
        <v>5</v>
      </c>
      <c r="C641">
        <v>20</v>
      </c>
      <c r="D641">
        <v>51.805999999999997</v>
      </c>
    </row>
    <row r="642" spans="1:4" x14ac:dyDescent="0.25">
      <c r="A642" t="s">
        <v>4</v>
      </c>
      <c r="B642" t="s">
        <v>5</v>
      </c>
      <c r="C642">
        <v>20</v>
      </c>
      <c r="D642">
        <v>51.805999999999997</v>
      </c>
    </row>
    <row r="643" spans="1:4" x14ac:dyDescent="0.25">
      <c r="A643" t="s">
        <v>4</v>
      </c>
      <c r="B643" t="s">
        <v>5</v>
      </c>
      <c r="C643">
        <v>20</v>
      </c>
      <c r="D643">
        <v>51.805999999999997</v>
      </c>
    </row>
    <row r="644" spans="1:4" x14ac:dyDescent="0.25">
      <c r="A644" t="s">
        <v>4</v>
      </c>
      <c r="B644" t="s">
        <v>5</v>
      </c>
      <c r="C644">
        <v>20</v>
      </c>
      <c r="D644">
        <v>52.805999999999997</v>
      </c>
    </row>
    <row r="645" spans="1:4" x14ac:dyDescent="0.25">
      <c r="A645" t="s">
        <v>4</v>
      </c>
      <c r="B645" t="s">
        <v>5</v>
      </c>
      <c r="C645">
        <v>20</v>
      </c>
      <c r="D645">
        <v>51.805999999999997</v>
      </c>
    </row>
    <row r="646" spans="1:4" x14ac:dyDescent="0.25">
      <c r="A646" t="s">
        <v>4</v>
      </c>
      <c r="B646" t="s">
        <v>5</v>
      </c>
      <c r="C646">
        <v>20</v>
      </c>
      <c r="D646">
        <v>51.805999999999997</v>
      </c>
    </row>
    <row r="647" spans="1:4" x14ac:dyDescent="0.25">
      <c r="A647" t="s">
        <v>4</v>
      </c>
      <c r="B647" t="s">
        <v>5</v>
      </c>
      <c r="C647">
        <v>20</v>
      </c>
      <c r="D647">
        <v>51.805999999999997</v>
      </c>
    </row>
    <row r="648" spans="1:4" x14ac:dyDescent="0.25">
      <c r="A648" t="s">
        <v>4</v>
      </c>
      <c r="B648" t="s">
        <v>5</v>
      </c>
      <c r="C648">
        <v>20</v>
      </c>
      <c r="D648">
        <v>52.805999999999997</v>
      </c>
    </row>
    <row r="649" spans="1:4" x14ac:dyDescent="0.25">
      <c r="A649" t="s">
        <v>4</v>
      </c>
      <c r="B649" t="s">
        <v>5</v>
      </c>
      <c r="C649">
        <v>20</v>
      </c>
      <c r="D649">
        <v>51.805999999999997</v>
      </c>
    </row>
    <row r="650" spans="1:4" x14ac:dyDescent="0.25">
      <c r="A650" t="s">
        <v>4</v>
      </c>
      <c r="B650" t="s">
        <v>5</v>
      </c>
      <c r="C650">
        <v>20</v>
      </c>
      <c r="D650">
        <v>51.805999999999997</v>
      </c>
    </row>
    <row r="651" spans="1:4" x14ac:dyDescent="0.25">
      <c r="A651" t="s">
        <v>4</v>
      </c>
      <c r="B651" t="s">
        <v>5</v>
      </c>
      <c r="C651">
        <v>20</v>
      </c>
      <c r="D651">
        <v>51.805999999999997</v>
      </c>
    </row>
    <row r="652" spans="1:4" x14ac:dyDescent="0.25">
      <c r="A652" t="s">
        <v>4</v>
      </c>
      <c r="B652" t="s">
        <v>5</v>
      </c>
      <c r="C652">
        <v>20</v>
      </c>
      <c r="D652">
        <v>51.805999999999997</v>
      </c>
    </row>
    <row r="653" spans="1:4" x14ac:dyDescent="0.25">
      <c r="A653" t="s">
        <v>4</v>
      </c>
      <c r="B653" t="s">
        <v>5</v>
      </c>
      <c r="C653">
        <v>20</v>
      </c>
      <c r="D653">
        <v>51.805999999999997</v>
      </c>
    </row>
    <row r="654" spans="1:4" x14ac:dyDescent="0.25">
      <c r="A654" t="s">
        <v>4</v>
      </c>
      <c r="B654" t="s">
        <v>5</v>
      </c>
      <c r="C654">
        <v>20</v>
      </c>
      <c r="D654">
        <v>52.805999999999997</v>
      </c>
    </row>
    <row r="655" spans="1:4" x14ac:dyDescent="0.25">
      <c r="A655" t="s">
        <v>4</v>
      </c>
      <c r="B655" t="s">
        <v>5</v>
      </c>
      <c r="C655">
        <v>20</v>
      </c>
      <c r="D655">
        <v>50.805999999999997</v>
      </c>
    </row>
    <row r="656" spans="1:4" x14ac:dyDescent="0.25">
      <c r="A656" t="s">
        <v>4</v>
      </c>
      <c r="B656" t="s">
        <v>5</v>
      </c>
      <c r="C656">
        <v>20</v>
      </c>
      <c r="D656">
        <v>50.805999999999997</v>
      </c>
    </row>
    <row r="657" spans="1:4" x14ac:dyDescent="0.25">
      <c r="A657" t="s">
        <v>4</v>
      </c>
      <c r="B657" t="s">
        <v>5</v>
      </c>
      <c r="C657">
        <v>20</v>
      </c>
      <c r="D657">
        <v>51.805999999999997</v>
      </c>
    </row>
    <row r="658" spans="1:4" x14ac:dyDescent="0.25">
      <c r="A658" t="s">
        <v>4</v>
      </c>
      <c r="B658" t="s">
        <v>5</v>
      </c>
      <c r="C658">
        <v>20</v>
      </c>
      <c r="D658">
        <v>51.805999999999997</v>
      </c>
    </row>
    <row r="659" spans="1:4" x14ac:dyDescent="0.25">
      <c r="A659" t="s">
        <v>4</v>
      </c>
      <c r="B659" t="s">
        <v>5</v>
      </c>
      <c r="C659">
        <v>20</v>
      </c>
      <c r="D659">
        <v>51.805999999999997</v>
      </c>
    </row>
    <row r="660" spans="1:4" x14ac:dyDescent="0.25">
      <c r="A660" t="s">
        <v>4</v>
      </c>
      <c r="B660" t="s">
        <v>5</v>
      </c>
      <c r="C660">
        <v>20</v>
      </c>
      <c r="D660">
        <v>51.805999999999997</v>
      </c>
    </row>
    <row r="661" spans="1:4" x14ac:dyDescent="0.25">
      <c r="A661" t="s">
        <v>4</v>
      </c>
      <c r="B661" t="s">
        <v>5</v>
      </c>
      <c r="C661">
        <v>20</v>
      </c>
      <c r="D661">
        <v>50.805999999999997</v>
      </c>
    </row>
    <row r="662" spans="1:4" x14ac:dyDescent="0.25">
      <c r="A662" t="s">
        <v>4</v>
      </c>
      <c r="B662" t="s">
        <v>5</v>
      </c>
      <c r="C662">
        <v>20</v>
      </c>
      <c r="D662">
        <v>51.805999999999997</v>
      </c>
    </row>
    <row r="663" spans="1:4" x14ac:dyDescent="0.25">
      <c r="A663" t="s">
        <v>4</v>
      </c>
      <c r="B663" t="s">
        <v>5</v>
      </c>
      <c r="C663">
        <v>20</v>
      </c>
      <c r="D663">
        <v>51.805999999999997</v>
      </c>
    </row>
    <row r="664" spans="1:4" x14ac:dyDescent="0.25">
      <c r="A664" t="s">
        <v>4</v>
      </c>
      <c r="B664" t="s">
        <v>5</v>
      </c>
      <c r="C664">
        <v>20</v>
      </c>
      <c r="D664">
        <v>50.805999999999997</v>
      </c>
    </row>
    <row r="665" spans="1:4" x14ac:dyDescent="0.25">
      <c r="A665" t="s">
        <v>4</v>
      </c>
      <c r="B665" t="s">
        <v>5</v>
      </c>
      <c r="C665">
        <v>20</v>
      </c>
      <c r="D665">
        <v>50.805999999999997</v>
      </c>
    </row>
    <row r="666" spans="1:4" x14ac:dyDescent="0.25">
      <c r="A666" t="s">
        <v>4</v>
      </c>
      <c r="B666" t="s">
        <v>5</v>
      </c>
      <c r="C666">
        <v>20</v>
      </c>
      <c r="D666">
        <v>50.805999999999997</v>
      </c>
    </row>
    <row r="667" spans="1:4" x14ac:dyDescent="0.25">
      <c r="A667" t="s">
        <v>4</v>
      </c>
      <c r="B667" t="s">
        <v>5</v>
      </c>
      <c r="C667">
        <v>20</v>
      </c>
      <c r="D667">
        <v>51.805999999999997</v>
      </c>
    </row>
    <row r="668" spans="1:4" x14ac:dyDescent="0.25">
      <c r="A668" t="s">
        <v>4</v>
      </c>
      <c r="B668" t="s">
        <v>5</v>
      </c>
      <c r="C668">
        <v>20</v>
      </c>
      <c r="D668">
        <v>52.805999999999997</v>
      </c>
    </row>
    <row r="669" spans="1:4" x14ac:dyDescent="0.25">
      <c r="A669" t="s">
        <v>4</v>
      </c>
      <c r="B669" t="s">
        <v>5</v>
      </c>
      <c r="C669">
        <v>20</v>
      </c>
      <c r="D669">
        <v>51.805999999999997</v>
      </c>
    </row>
    <row r="670" spans="1:4" x14ac:dyDescent="0.25">
      <c r="A670" t="s">
        <v>4</v>
      </c>
      <c r="B670" t="s">
        <v>5</v>
      </c>
      <c r="C670">
        <v>20</v>
      </c>
      <c r="D670">
        <v>50.805999999999997</v>
      </c>
    </row>
    <row r="671" spans="1:4" x14ac:dyDescent="0.25">
      <c r="A671" t="s">
        <v>4</v>
      </c>
      <c r="B671" t="s">
        <v>5</v>
      </c>
      <c r="C671">
        <v>20</v>
      </c>
      <c r="D671">
        <v>53.805999999999997</v>
      </c>
    </row>
    <row r="672" spans="1:4" x14ac:dyDescent="0.25">
      <c r="A672" t="s">
        <v>4</v>
      </c>
      <c r="B672" t="s">
        <v>5</v>
      </c>
      <c r="C672">
        <v>20</v>
      </c>
      <c r="D672">
        <v>51.805999999999997</v>
      </c>
    </row>
    <row r="673" spans="1:4" x14ac:dyDescent="0.25">
      <c r="A673" t="s">
        <v>4</v>
      </c>
      <c r="B673" t="s">
        <v>5</v>
      </c>
      <c r="C673">
        <v>20</v>
      </c>
      <c r="D673">
        <v>51.805999999999997</v>
      </c>
    </row>
    <row r="674" spans="1:4" x14ac:dyDescent="0.25">
      <c r="A674" t="s">
        <v>4</v>
      </c>
      <c r="B674" t="s">
        <v>5</v>
      </c>
      <c r="C674">
        <v>20</v>
      </c>
      <c r="D674">
        <v>51.805999999999997</v>
      </c>
    </row>
    <row r="675" spans="1:4" x14ac:dyDescent="0.25">
      <c r="A675" t="s">
        <v>4</v>
      </c>
      <c r="B675" t="s">
        <v>5</v>
      </c>
      <c r="C675">
        <v>20</v>
      </c>
      <c r="D675">
        <v>50.805999999999997</v>
      </c>
    </row>
    <row r="676" spans="1:4" x14ac:dyDescent="0.25">
      <c r="A676" t="s">
        <v>4</v>
      </c>
      <c r="B676" t="s">
        <v>5</v>
      </c>
      <c r="C676">
        <v>20</v>
      </c>
      <c r="D676">
        <v>51.805999999999997</v>
      </c>
    </row>
    <row r="677" spans="1:4" x14ac:dyDescent="0.25">
      <c r="A677" t="s">
        <v>4</v>
      </c>
      <c r="B677" t="s">
        <v>5</v>
      </c>
      <c r="C677">
        <v>20</v>
      </c>
      <c r="D677">
        <v>50.805999999999997</v>
      </c>
    </row>
    <row r="678" spans="1:4" x14ac:dyDescent="0.25">
      <c r="A678" t="s">
        <v>4</v>
      </c>
      <c r="B678" t="s">
        <v>5</v>
      </c>
      <c r="C678">
        <v>20</v>
      </c>
      <c r="D678">
        <v>52.805999999999997</v>
      </c>
    </row>
    <row r="679" spans="1:4" x14ac:dyDescent="0.25">
      <c r="A679" t="s">
        <v>4</v>
      </c>
      <c r="B679" t="s">
        <v>5</v>
      </c>
      <c r="C679">
        <v>20</v>
      </c>
      <c r="D679">
        <v>51.805999999999997</v>
      </c>
    </row>
    <row r="680" spans="1:4" x14ac:dyDescent="0.25">
      <c r="A680" t="s">
        <v>4</v>
      </c>
      <c r="B680" t="s">
        <v>5</v>
      </c>
      <c r="C680">
        <v>20</v>
      </c>
      <c r="D680">
        <v>51.805999999999997</v>
      </c>
    </row>
    <row r="681" spans="1:4" x14ac:dyDescent="0.25">
      <c r="A681" t="s">
        <v>4</v>
      </c>
      <c r="B681" t="s">
        <v>5</v>
      </c>
      <c r="C681">
        <v>20</v>
      </c>
      <c r="D681">
        <v>51.805999999999997</v>
      </c>
    </row>
    <row r="682" spans="1:4" x14ac:dyDescent="0.25">
      <c r="A682" t="s">
        <v>4</v>
      </c>
      <c r="B682" t="s">
        <v>5</v>
      </c>
      <c r="C682">
        <v>20</v>
      </c>
      <c r="D682">
        <v>52.805999999999997</v>
      </c>
    </row>
    <row r="683" spans="1:4" x14ac:dyDescent="0.25">
      <c r="A683" t="s">
        <v>4</v>
      </c>
      <c r="B683" t="s">
        <v>5</v>
      </c>
      <c r="C683">
        <v>20</v>
      </c>
      <c r="D683">
        <v>51.805999999999997</v>
      </c>
    </row>
    <row r="684" spans="1:4" x14ac:dyDescent="0.25">
      <c r="A684" t="s">
        <v>4</v>
      </c>
      <c r="B684" t="s">
        <v>5</v>
      </c>
      <c r="C684">
        <v>20</v>
      </c>
      <c r="D684">
        <v>50.805999999999997</v>
      </c>
    </row>
    <row r="685" spans="1:4" x14ac:dyDescent="0.25">
      <c r="A685" t="s">
        <v>4</v>
      </c>
      <c r="B685" t="s">
        <v>5</v>
      </c>
      <c r="C685">
        <v>20</v>
      </c>
      <c r="D685">
        <v>51.805999999999997</v>
      </c>
    </row>
    <row r="686" spans="1:4" x14ac:dyDescent="0.25">
      <c r="A686" t="s">
        <v>4</v>
      </c>
      <c r="B686" t="s">
        <v>5</v>
      </c>
      <c r="C686">
        <v>20</v>
      </c>
      <c r="D686">
        <v>50.805999999999997</v>
      </c>
    </row>
    <row r="687" spans="1:4" x14ac:dyDescent="0.25">
      <c r="A687" t="s">
        <v>4</v>
      </c>
      <c r="B687" t="s">
        <v>5</v>
      </c>
      <c r="C687">
        <v>20</v>
      </c>
      <c r="D687">
        <v>51.805999999999997</v>
      </c>
    </row>
    <row r="688" spans="1:4" x14ac:dyDescent="0.25">
      <c r="A688" t="s">
        <v>4</v>
      </c>
      <c r="B688" t="s">
        <v>5</v>
      </c>
      <c r="C688">
        <v>20</v>
      </c>
      <c r="D688">
        <v>53.805999999999997</v>
      </c>
    </row>
    <row r="689" spans="1:4" x14ac:dyDescent="0.25">
      <c r="A689" t="s">
        <v>4</v>
      </c>
      <c r="B689" t="s">
        <v>5</v>
      </c>
      <c r="C689">
        <v>20</v>
      </c>
      <c r="D689">
        <v>50.805999999999997</v>
      </c>
    </row>
    <row r="690" spans="1:4" x14ac:dyDescent="0.25">
      <c r="A690" t="s">
        <v>4</v>
      </c>
      <c r="B690" t="s">
        <v>5</v>
      </c>
      <c r="C690">
        <v>20</v>
      </c>
      <c r="D690">
        <v>53.805999999999997</v>
      </c>
    </row>
    <row r="691" spans="1:4" x14ac:dyDescent="0.25">
      <c r="A691" t="s">
        <v>4</v>
      </c>
      <c r="B691" t="s">
        <v>5</v>
      </c>
      <c r="C691">
        <v>20</v>
      </c>
      <c r="D691">
        <v>51.805999999999997</v>
      </c>
    </row>
    <row r="692" spans="1:4" x14ac:dyDescent="0.25">
      <c r="A692" t="s">
        <v>4</v>
      </c>
      <c r="B692" t="s">
        <v>5</v>
      </c>
      <c r="C692">
        <v>20</v>
      </c>
      <c r="D692">
        <v>50.805999999999997</v>
      </c>
    </row>
    <row r="693" spans="1:4" x14ac:dyDescent="0.25">
      <c r="A693" t="s">
        <v>4</v>
      </c>
      <c r="B693" t="s">
        <v>5</v>
      </c>
      <c r="C693">
        <v>20</v>
      </c>
      <c r="D693">
        <v>52.805999999999997</v>
      </c>
    </row>
    <row r="694" spans="1:4" x14ac:dyDescent="0.25">
      <c r="A694" t="s">
        <v>4</v>
      </c>
      <c r="B694" t="s">
        <v>5</v>
      </c>
      <c r="C694">
        <v>20</v>
      </c>
      <c r="D694">
        <v>51.805999999999997</v>
      </c>
    </row>
    <row r="695" spans="1:4" x14ac:dyDescent="0.25">
      <c r="A695" t="s">
        <v>4</v>
      </c>
      <c r="B695" t="s">
        <v>5</v>
      </c>
      <c r="C695">
        <v>20</v>
      </c>
      <c r="D695">
        <v>52.805999999999997</v>
      </c>
    </row>
    <row r="696" spans="1:4" x14ac:dyDescent="0.25">
      <c r="A696" t="s">
        <v>4</v>
      </c>
      <c r="B696" t="s">
        <v>5</v>
      </c>
      <c r="C696">
        <v>20</v>
      </c>
      <c r="D696">
        <v>50.805999999999997</v>
      </c>
    </row>
    <row r="697" spans="1:4" x14ac:dyDescent="0.25">
      <c r="A697" t="s">
        <v>4</v>
      </c>
      <c r="B697" t="s">
        <v>5</v>
      </c>
      <c r="C697">
        <v>20</v>
      </c>
      <c r="D697">
        <v>51.805999999999997</v>
      </c>
    </row>
    <row r="698" spans="1:4" x14ac:dyDescent="0.25">
      <c r="A698" t="s">
        <v>4</v>
      </c>
      <c r="B698" t="s">
        <v>5</v>
      </c>
      <c r="C698">
        <v>20</v>
      </c>
      <c r="D698">
        <v>52.805999999999997</v>
      </c>
    </row>
    <row r="699" spans="1:4" x14ac:dyDescent="0.25">
      <c r="A699" t="s">
        <v>4</v>
      </c>
      <c r="B699" t="s">
        <v>5</v>
      </c>
      <c r="C699">
        <v>20</v>
      </c>
      <c r="D699">
        <v>50.805999999999997</v>
      </c>
    </row>
    <row r="700" spans="1:4" x14ac:dyDescent="0.25">
      <c r="A700" t="s">
        <v>4</v>
      </c>
      <c r="B700" t="s">
        <v>5</v>
      </c>
      <c r="C700">
        <v>20</v>
      </c>
      <c r="D700">
        <v>50.805999999999997</v>
      </c>
    </row>
    <row r="701" spans="1:4" x14ac:dyDescent="0.25">
      <c r="A701" t="s">
        <v>4</v>
      </c>
      <c r="B701" t="s">
        <v>5</v>
      </c>
      <c r="C701">
        <v>20</v>
      </c>
      <c r="D701">
        <v>50.805999999999997</v>
      </c>
    </row>
    <row r="702" spans="1:4" x14ac:dyDescent="0.25">
      <c r="A702" t="s">
        <v>4</v>
      </c>
      <c r="B702" t="s">
        <v>5</v>
      </c>
      <c r="C702">
        <v>40</v>
      </c>
      <c r="D702">
        <v>74.828000000000003</v>
      </c>
    </row>
    <row r="703" spans="1:4" x14ac:dyDescent="0.25">
      <c r="A703" t="s">
        <v>4</v>
      </c>
      <c r="B703" t="s">
        <v>5</v>
      </c>
      <c r="C703">
        <v>40</v>
      </c>
      <c r="D703">
        <v>79.265000000000001</v>
      </c>
    </row>
    <row r="704" spans="1:4" x14ac:dyDescent="0.25">
      <c r="A704" t="s">
        <v>4</v>
      </c>
      <c r="B704" t="s">
        <v>5</v>
      </c>
      <c r="C704">
        <v>40</v>
      </c>
      <c r="D704">
        <v>85.775999999999996</v>
      </c>
    </row>
    <row r="705" spans="1:4" x14ac:dyDescent="0.25">
      <c r="A705" t="s">
        <v>4</v>
      </c>
      <c r="B705" t="s">
        <v>5</v>
      </c>
      <c r="C705">
        <v>40</v>
      </c>
      <c r="D705">
        <v>92.141000000000005</v>
      </c>
    </row>
    <row r="706" spans="1:4" x14ac:dyDescent="0.25">
      <c r="A706" t="s">
        <v>4</v>
      </c>
      <c r="B706" t="s">
        <v>5</v>
      </c>
      <c r="C706">
        <v>40</v>
      </c>
      <c r="D706">
        <v>77.337999999999994</v>
      </c>
    </row>
    <row r="707" spans="1:4" x14ac:dyDescent="0.25">
      <c r="A707" t="s">
        <v>4</v>
      </c>
      <c r="B707" t="s">
        <v>5</v>
      </c>
      <c r="C707">
        <v>40</v>
      </c>
      <c r="D707">
        <v>88.921999999999997</v>
      </c>
    </row>
    <row r="708" spans="1:4" x14ac:dyDescent="0.25">
      <c r="A708" t="s">
        <v>4</v>
      </c>
      <c r="B708" t="s">
        <v>5</v>
      </c>
      <c r="C708">
        <v>40</v>
      </c>
      <c r="D708">
        <v>90.141000000000005</v>
      </c>
    </row>
    <row r="709" spans="1:4" x14ac:dyDescent="0.25">
      <c r="A709" t="s">
        <v>4</v>
      </c>
      <c r="B709" t="s">
        <v>5</v>
      </c>
      <c r="C709">
        <v>40</v>
      </c>
      <c r="D709">
        <v>85.558000000000007</v>
      </c>
    </row>
    <row r="710" spans="1:4" x14ac:dyDescent="0.25">
      <c r="A710" t="s">
        <v>4</v>
      </c>
      <c r="B710" t="s">
        <v>5</v>
      </c>
      <c r="C710">
        <v>40</v>
      </c>
      <c r="D710">
        <v>76.046999999999997</v>
      </c>
    </row>
    <row r="711" spans="1:4" x14ac:dyDescent="0.25">
      <c r="A711" t="s">
        <v>4</v>
      </c>
      <c r="B711" t="s">
        <v>5</v>
      </c>
      <c r="C711">
        <v>40</v>
      </c>
      <c r="D711">
        <v>84.775999999999996</v>
      </c>
    </row>
    <row r="712" spans="1:4" x14ac:dyDescent="0.25">
      <c r="A712" t="s">
        <v>4</v>
      </c>
      <c r="B712" t="s">
        <v>5</v>
      </c>
      <c r="C712">
        <v>40</v>
      </c>
      <c r="D712">
        <v>82.483999999999995</v>
      </c>
    </row>
    <row r="713" spans="1:4" x14ac:dyDescent="0.25">
      <c r="A713" t="s">
        <v>4</v>
      </c>
      <c r="B713" t="s">
        <v>5</v>
      </c>
      <c r="C713">
        <v>40</v>
      </c>
      <c r="D713">
        <v>84.557000000000002</v>
      </c>
    </row>
    <row r="714" spans="1:4" x14ac:dyDescent="0.25">
      <c r="A714" t="s">
        <v>4</v>
      </c>
      <c r="B714" t="s">
        <v>5</v>
      </c>
      <c r="C714">
        <v>40</v>
      </c>
      <c r="D714">
        <v>82.63</v>
      </c>
    </row>
    <row r="715" spans="1:4" x14ac:dyDescent="0.25">
      <c r="A715" t="s">
        <v>4</v>
      </c>
      <c r="B715" t="s">
        <v>5</v>
      </c>
      <c r="C715">
        <v>40</v>
      </c>
      <c r="D715">
        <v>91.141000000000005</v>
      </c>
    </row>
    <row r="716" spans="1:4" x14ac:dyDescent="0.25">
      <c r="A716" t="s">
        <v>4</v>
      </c>
      <c r="B716" t="s">
        <v>5</v>
      </c>
      <c r="C716">
        <v>40</v>
      </c>
      <c r="D716">
        <v>82.411000000000001</v>
      </c>
    </row>
    <row r="717" spans="1:4" x14ac:dyDescent="0.25">
      <c r="A717" t="s">
        <v>4</v>
      </c>
      <c r="B717" t="s">
        <v>5</v>
      </c>
      <c r="C717">
        <v>40</v>
      </c>
      <c r="D717">
        <v>84.703000000000003</v>
      </c>
    </row>
    <row r="718" spans="1:4" x14ac:dyDescent="0.25">
      <c r="A718" t="s">
        <v>4</v>
      </c>
      <c r="B718" t="s">
        <v>5</v>
      </c>
      <c r="C718">
        <v>40</v>
      </c>
      <c r="D718">
        <v>81.63</v>
      </c>
    </row>
    <row r="719" spans="1:4" x14ac:dyDescent="0.25">
      <c r="A719" t="s">
        <v>4</v>
      </c>
      <c r="B719" t="s">
        <v>5</v>
      </c>
      <c r="C719">
        <v>40</v>
      </c>
      <c r="D719">
        <v>91.921999999999997</v>
      </c>
    </row>
    <row r="720" spans="1:4" x14ac:dyDescent="0.25">
      <c r="A720" t="s">
        <v>4</v>
      </c>
      <c r="B720" t="s">
        <v>5</v>
      </c>
      <c r="C720">
        <v>40</v>
      </c>
      <c r="D720">
        <v>89.775999999999996</v>
      </c>
    </row>
    <row r="721" spans="1:4" x14ac:dyDescent="0.25">
      <c r="A721" t="s">
        <v>4</v>
      </c>
      <c r="B721" t="s">
        <v>5</v>
      </c>
      <c r="C721">
        <v>40</v>
      </c>
      <c r="D721">
        <v>85.849000000000004</v>
      </c>
    </row>
    <row r="722" spans="1:4" x14ac:dyDescent="0.25">
      <c r="A722" t="s">
        <v>4</v>
      </c>
      <c r="B722" t="s">
        <v>5</v>
      </c>
      <c r="C722">
        <v>40</v>
      </c>
      <c r="D722">
        <v>85.483999999999995</v>
      </c>
    </row>
    <row r="723" spans="1:4" x14ac:dyDescent="0.25">
      <c r="A723" t="s">
        <v>4</v>
      </c>
      <c r="B723" t="s">
        <v>5</v>
      </c>
      <c r="C723">
        <v>40</v>
      </c>
      <c r="D723">
        <v>83.557000000000002</v>
      </c>
    </row>
    <row r="724" spans="1:4" x14ac:dyDescent="0.25">
      <c r="A724" t="s">
        <v>4</v>
      </c>
      <c r="B724" t="s">
        <v>5</v>
      </c>
      <c r="C724">
        <v>40</v>
      </c>
      <c r="D724">
        <v>85.557000000000002</v>
      </c>
    </row>
    <row r="725" spans="1:4" x14ac:dyDescent="0.25">
      <c r="A725" t="s">
        <v>4</v>
      </c>
      <c r="B725" t="s">
        <v>5</v>
      </c>
      <c r="C725">
        <v>40</v>
      </c>
      <c r="D725">
        <v>85.995000000000005</v>
      </c>
    </row>
    <row r="726" spans="1:4" x14ac:dyDescent="0.25">
      <c r="A726" t="s">
        <v>4</v>
      </c>
      <c r="B726" t="s">
        <v>5</v>
      </c>
      <c r="C726">
        <v>40</v>
      </c>
      <c r="D726">
        <v>87.995000000000005</v>
      </c>
    </row>
    <row r="727" spans="1:4" x14ac:dyDescent="0.25">
      <c r="A727" t="s">
        <v>4</v>
      </c>
      <c r="B727" t="s">
        <v>5</v>
      </c>
      <c r="C727">
        <v>40</v>
      </c>
      <c r="D727">
        <v>80.337999999999994</v>
      </c>
    </row>
    <row r="728" spans="1:4" x14ac:dyDescent="0.25">
      <c r="A728" t="s">
        <v>4</v>
      </c>
      <c r="B728" t="s">
        <v>5</v>
      </c>
      <c r="C728">
        <v>40</v>
      </c>
      <c r="D728">
        <v>78.974000000000004</v>
      </c>
    </row>
    <row r="729" spans="1:4" x14ac:dyDescent="0.25">
      <c r="A729" t="s">
        <v>4</v>
      </c>
      <c r="B729" t="s">
        <v>5</v>
      </c>
      <c r="C729">
        <v>40</v>
      </c>
      <c r="D729">
        <v>80.265000000000001</v>
      </c>
    </row>
    <row r="730" spans="1:4" x14ac:dyDescent="0.25">
      <c r="A730" t="s">
        <v>4</v>
      </c>
      <c r="B730" t="s">
        <v>5</v>
      </c>
      <c r="C730">
        <v>40</v>
      </c>
      <c r="D730">
        <v>77.411000000000001</v>
      </c>
    </row>
    <row r="731" spans="1:4" x14ac:dyDescent="0.25">
      <c r="A731" t="s">
        <v>4</v>
      </c>
      <c r="B731" t="s">
        <v>5</v>
      </c>
      <c r="C731">
        <v>40</v>
      </c>
      <c r="D731">
        <v>90.213999999999999</v>
      </c>
    </row>
    <row r="732" spans="1:4" x14ac:dyDescent="0.25">
      <c r="A732" t="s">
        <v>4</v>
      </c>
      <c r="B732" t="s">
        <v>5</v>
      </c>
      <c r="C732">
        <v>40</v>
      </c>
      <c r="D732">
        <v>86.63</v>
      </c>
    </row>
    <row r="733" spans="1:4" x14ac:dyDescent="0.25">
      <c r="A733" t="s">
        <v>4</v>
      </c>
      <c r="B733" t="s">
        <v>5</v>
      </c>
      <c r="C733">
        <v>40</v>
      </c>
      <c r="D733">
        <v>84.995000000000005</v>
      </c>
    </row>
    <row r="734" spans="1:4" x14ac:dyDescent="0.25">
      <c r="A734" t="s">
        <v>4</v>
      </c>
      <c r="B734" t="s">
        <v>5</v>
      </c>
      <c r="C734">
        <v>40</v>
      </c>
      <c r="D734">
        <v>82.484999999999999</v>
      </c>
    </row>
    <row r="735" spans="1:4" x14ac:dyDescent="0.25">
      <c r="A735" t="s">
        <v>4</v>
      </c>
      <c r="B735" t="s">
        <v>5</v>
      </c>
      <c r="C735">
        <v>40</v>
      </c>
      <c r="D735">
        <v>88.849000000000004</v>
      </c>
    </row>
    <row r="736" spans="1:4" x14ac:dyDescent="0.25">
      <c r="A736" t="s">
        <v>4</v>
      </c>
      <c r="B736" t="s">
        <v>5</v>
      </c>
      <c r="C736">
        <v>40</v>
      </c>
      <c r="D736">
        <v>77.046999999999997</v>
      </c>
    </row>
    <row r="737" spans="1:4" x14ac:dyDescent="0.25">
      <c r="A737" t="s">
        <v>4</v>
      </c>
      <c r="B737" t="s">
        <v>5</v>
      </c>
      <c r="C737">
        <v>40</v>
      </c>
      <c r="D737">
        <v>78.265000000000001</v>
      </c>
    </row>
    <row r="738" spans="1:4" x14ac:dyDescent="0.25">
      <c r="A738" t="s">
        <v>4</v>
      </c>
      <c r="B738" t="s">
        <v>5</v>
      </c>
      <c r="C738">
        <v>40</v>
      </c>
      <c r="D738">
        <v>75.974000000000004</v>
      </c>
    </row>
    <row r="739" spans="1:4" x14ac:dyDescent="0.25">
      <c r="A739" t="s">
        <v>4</v>
      </c>
      <c r="B739" t="s">
        <v>5</v>
      </c>
      <c r="C739">
        <v>40</v>
      </c>
      <c r="D739">
        <v>90.995000000000005</v>
      </c>
    </row>
    <row r="740" spans="1:4" x14ac:dyDescent="0.25">
      <c r="A740" t="s">
        <v>4</v>
      </c>
      <c r="B740" t="s">
        <v>5</v>
      </c>
      <c r="C740">
        <v>40</v>
      </c>
      <c r="D740">
        <v>86.849000000000004</v>
      </c>
    </row>
    <row r="741" spans="1:4" x14ac:dyDescent="0.25">
      <c r="A741" t="s">
        <v>4</v>
      </c>
      <c r="B741" t="s">
        <v>5</v>
      </c>
      <c r="C741">
        <v>40</v>
      </c>
      <c r="D741">
        <v>93.213999999999999</v>
      </c>
    </row>
    <row r="742" spans="1:4" x14ac:dyDescent="0.25">
      <c r="A742" t="s">
        <v>4</v>
      </c>
      <c r="B742" t="s">
        <v>5</v>
      </c>
      <c r="C742">
        <v>40</v>
      </c>
      <c r="D742">
        <v>87.63</v>
      </c>
    </row>
    <row r="743" spans="1:4" x14ac:dyDescent="0.25">
      <c r="A743" t="s">
        <v>4</v>
      </c>
      <c r="B743" t="s">
        <v>5</v>
      </c>
      <c r="C743">
        <v>40</v>
      </c>
      <c r="D743">
        <v>79.63</v>
      </c>
    </row>
    <row r="744" spans="1:4" x14ac:dyDescent="0.25">
      <c r="A744" t="s">
        <v>4</v>
      </c>
      <c r="B744" t="s">
        <v>5</v>
      </c>
      <c r="C744">
        <v>40</v>
      </c>
      <c r="D744">
        <v>83.483999999999995</v>
      </c>
    </row>
    <row r="745" spans="1:4" x14ac:dyDescent="0.25">
      <c r="A745" t="s">
        <v>4</v>
      </c>
      <c r="B745" t="s">
        <v>5</v>
      </c>
      <c r="C745">
        <v>40</v>
      </c>
      <c r="D745">
        <v>80.557000000000002</v>
      </c>
    </row>
    <row r="746" spans="1:4" x14ac:dyDescent="0.25">
      <c r="A746" t="s">
        <v>4</v>
      </c>
      <c r="B746" t="s">
        <v>5</v>
      </c>
      <c r="C746">
        <v>40</v>
      </c>
      <c r="D746">
        <v>83.483999999999995</v>
      </c>
    </row>
    <row r="747" spans="1:4" x14ac:dyDescent="0.25">
      <c r="A747" t="s">
        <v>4</v>
      </c>
      <c r="B747" t="s">
        <v>5</v>
      </c>
      <c r="C747">
        <v>40</v>
      </c>
      <c r="D747">
        <v>82.337999999999994</v>
      </c>
    </row>
    <row r="748" spans="1:4" x14ac:dyDescent="0.25">
      <c r="A748" t="s">
        <v>4</v>
      </c>
      <c r="B748" t="s">
        <v>5</v>
      </c>
      <c r="C748">
        <v>40</v>
      </c>
      <c r="D748">
        <v>80.411000000000001</v>
      </c>
    </row>
    <row r="749" spans="1:4" x14ac:dyDescent="0.25">
      <c r="A749" t="s">
        <v>4</v>
      </c>
      <c r="B749" t="s">
        <v>5</v>
      </c>
      <c r="C749">
        <v>40</v>
      </c>
      <c r="D749">
        <v>75.046000000000006</v>
      </c>
    </row>
    <row r="750" spans="1:4" x14ac:dyDescent="0.25">
      <c r="A750" t="s">
        <v>4</v>
      </c>
      <c r="B750" t="s">
        <v>5</v>
      </c>
      <c r="C750">
        <v>40</v>
      </c>
      <c r="D750">
        <v>78.337999999999994</v>
      </c>
    </row>
    <row r="751" spans="1:4" x14ac:dyDescent="0.25">
      <c r="A751" t="s">
        <v>4</v>
      </c>
      <c r="B751" t="s">
        <v>5</v>
      </c>
      <c r="C751">
        <v>40</v>
      </c>
      <c r="D751">
        <v>79.337999999999994</v>
      </c>
    </row>
    <row r="752" spans="1:4" x14ac:dyDescent="0.25">
      <c r="A752" t="s">
        <v>4</v>
      </c>
      <c r="B752" t="s">
        <v>5</v>
      </c>
      <c r="C752">
        <v>40</v>
      </c>
      <c r="D752">
        <v>81.411000000000001</v>
      </c>
    </row>
    <row r="753" spans="1:4" x14ac:dyDescent="0.25">
      <c r="A753" t="s">
        <v>4</v>
      </c>
      <c r="B753" t="s">
        <v>5</v>
      </c>
      <c r="C753">
        <v>40</v>
      </c>
      <c r="D753">
        <v>76.974000000000004</v>
      </c>
    </row>
    <row r="754" spans="1:4" x14ac:dyDescent="0.25">
      <c r="A754" t="s">
        <v>4</v>
      </c>
      <c r="B754" t="s">
        <v>5</v>
      </c>
      <c r="C754">
        <v>40</v>
      </c>
      <c r="D754">
        <v>80.191999999999993</v>
      </c>
    </row>
    <row r="755" spans="1:4" x14ac:dyDescent="0.25">
      <c r="A755" t="s">
        <v>4</v>
      </c>
      <c r="B755" t="s">
        <v>5</v>
      </c>
      <c r="C755">
        <v>40</v>
      </c>
      <c r="D755">
        <v>83.849000000000004</v>
      </c>
    </row>
    <row r="756" spans="1:4" x14ac:dyDescent="0.25">
      <c r="A756" t="s">
        <v>4</v>
      </c>
      <c r="B756" t="s">
        <v>5</v>
      </c>
      <c r="C756">
        <v>40</v>
      </c>
      <c r="D756">
        <v>95.36</v>
      </c>
    </row>
    <row r="757" spans="1:4" x14ac:dyDescent="0.25">
      <c r="A757" t="s">
        <v>4</v>
      </c>
      <c r="B757" t="s">
        <v>5</v>
      </c>
      <c r="C757">
        <v>40</v>
      </c>
      <c r="D757">
        <v>81.265000000000001</v>
      </c>
    </row>
    <row r="758" spans="1:4" x14ac:dyDescent="0.25">
      <c r="A758" t="s">
        <v>4</v>
      </c>
      <c r="B758" t="s">
        <v>5</v>
      </c>
      <c r="C758">
        <v>40</v>
      </c>
      <c r="D758">
        <v>81.411000000000001</v>
      </c>
    </row>
    <row r="759" spans="1:4" x14ac:dyDescent="0.25">
      <c r="A759" t="s">
        <v>4</v>
      </c>
      <c r="B759" t="s">
        <v>5</v>
      </c>
      <c r="C759">
        <v>40</v>
      </c>
      <c r="D759">
        <v>85.703000000000003</v>
      </c>
    </row>
    <row r="760" spans="1:4" x14ac:dyDescent="0.25">
      <c r="A760" t="s">
        <v>4</v>
      </c>
      <c r="B760" t="s">
        <v>5</v>
      </c>
      <c r="C760">
        <v>40</v>
      </c>
      <c r="D760">
        <v>83.849000000000004</v>
      </c>
    </row>
    <row r="761" spans="1:4" x14ac:dyDescent="0.25">
      <c r="A761" t="s">
        <v>4</v>
      </c>
      <c r="B761" t="s">
        <v>5</v>
      </c>
      <c r="C761">
        <v>40</v>
      </c>
      <c r="D761">
        <v>90.921999999999997</v>
      </c>
    </row>
    <row r="762" spans="1:4" x14ac:dyDescent="0.25">
      <c r="A762" t="s">
        <v>4</v>
      </c>
      <c r="B762" t="s">
        <v>5</v>
      </c>
      <c r="C762">
        <v>40</v>
      </c>
      <c r="D762">
        <v>82.483999999999995</v>
      </c>
    </row>
    <row r="763" spans="1:4" x14ac:dyDescent="0.25">
      <c r="A763" t="s">
        <v>4</v>
      </c>
      <c r="B763" t="s">
        <v>5</v>
      </c>
      <c r="C763">
        <v>40</v>
      </c>
      <c r="D763">
        <v>80.703000000000003</v>
      </c>
    </row>
    <row r="764" spans="1:4" x14ac:dyDescent="0.25">
      <c r="A764" t="s">
        <v>4</v>
      </c>
      <c r="B764" t="s">
        <v>5</v>
      </c>
      <c r="C764">
        <v>40</v>
      </c>
      <c r="D764">
        <v>86.775999999999996</v>
      </c>
    </row>
    <row r="765" spans="1:4" x14ac:dyDescent="0.25">
      <c r="A765" t="s">
        <v>4</v>
      </c>
      <c r="B765" t="s">
        <v>5</v>
      </c>
      <c r="C765">
        <v>40</v>
      </c>
      <c r="D765">
        <v>89.849000000000004</v>
      </c>
    </row>
    <row r="766" spans="1:4" x14ac:dyDescent="0.25">
      <c r="A766" t="s">
        <v>4</v>
      </c>
      <c r="B766" t="s">
        <v>5</v>
      </c>
      <c r="C766">
        <v>40</v>
      </c>
      <c r="D766">
        <v>83.63</v>
      </c>
    </row>
    <row r="767" spans="1:4" x14ac:dyDescent="0.25">
      <c r="A767" t="s">
        <v>4</v>
      </c>
      <c r="B767" t="s">
        <v>5</v>
      </c>
      <c r="C767">
        <v>40</v>
      </c>
      <c r="D767">
        <v>86.703000000000003</v>
      </c>
    </row>
    <row r="768" spans="1:4" x14ac:dyDescent="0.25">
      <c r="A768" t="s">
        <v>4</v>
      </c>
      <c r="B768" t="s">
        <v>5</v>
      </c>
      <c r="C768">
        <v>40</v>
      </c>
      <c r="D768">
        <v>79.192999999999998</v>
      </c>
    </row>
    <row r="769" spans="1:4" x14ac:dyDescent="0.25">
      <c r="A769" t="s">
        <v>4</v>
      </c>
      <c r="B769" t="s">
        <v>5</v>
      </c>
      <c r="C769">
        <v>40</v>
      </c>
      <c r="D769">
        <v>76.411000000000001</v>
      </c>
    </row>
    <row r="770" spans="1:4" x14ac:dyDescent="0.25">
      <c r="A770" t="s">
        <v>4</v>
      </c>
      <c r="B770" t="s">
        <v>5</v>
      </c>
      <c r="C770">
        <v>40</v>
      </c>
      <c r="D770">
        <v>91.141000000000005</v>
      </c>
    </row>
    <row r="771" spans="1:4" x14ac:dyDescent="0.25">
      <c r="A771" t="s">
        <v>4</v>
      </c>
      <c r="B771" t="s">
        <v>5</v>
      </c>
      <c r="C771">
        <v>40</v>
      </c>
      <c r="D771">
        <v>76.191999999999993</v>
      </c>
    </row>
    <row r="772" spans="1:4" x14ac:dyDescent="0.25">
      <c r="A772" t="s">
        <v>4</v>
      </c>
      <c r="B772" t="s">
        <v>5</v>
      </c>
      <c r="C772">
        <v>40</v>
      </c>
      <c r="D772">
        <v>78.557000000000002</v>
      </c>
    </row>
    <row r="773" spans="1:4" x14ac:dyDescent="0.25">
      <c r="A773" t="s">
        <v>4</v>
      </c>
      <c r="B773" t="s">
        <v>5</v>
      </c>
      <c r="C773">
        <v>40</v>
      </c>
      <c r="D773">
        <v>88.995000000000005</v>
      </c>
    </row>
    <row r="774" spans="1:4" x14ac:dyDescent="0.25">
      <c r="A774" t="s">
        <v>4</v>
      </c>
      <c r="B774" t="s">
        <v>5</v>
      </c>
      <c r="C774">
        <v>40</v>
      </c>
      <c r="D774">
        <v>80.337999999999994</v>
      </c>
    </row>
    <row r="775" spans="1:4" x14ac:dyDescent="0.25">
      <c r="A775" t="s">
        <v>4</v>
      </c>
      <c r="B775" t="s">
        <v>5</v>
      </c>
      <c r="C775">
        <v>40</v>
      </c>
      <c r="D775">
        <v>81.557000000000002</v>
      </c>
    </row>
    <row r="776" spans="1:4" x14ac:dyDescent="0.25">
      <c r="A776" t="s">
        <v>4</v>
      </c>
      <c r="B776" t="s">
        <v>5</v>
      </c>
      <c r="C776">
        <v>40</v>
      </c>
      <c r="D776">
        <v>90.921999999999997</v>
      </c>
    </row>
    <row r="777" spans="1:4" x14ac:dyDescent="0.25">
      <c r="A777" t="s">
        <v>4</v>
      </c>
      <c r="B777" t="s">
        <v>5</v>
      </c>
      <c r="C777">
        <v>40</v>
      </c>
      <c r="D777">
        <v>96.287000000000006</v>
      </c>
    </row>
    <row r="778" spans="1:4" x14ac:dyDescent="0.25">
      <c r="A778" t="s">
        <v>4</v>
      </c>
      <c r="B778" t="s">
        <v>5</v>
      </c>
      <c r="C778">
        <v>40</v>
      </c>
      <c r="D778">
        <v>77.411000000000001</v>
      </c>
    </row>
    <row r="779" spans="1:4" x14ac:dyDescent="0.25">
      <c r="A779" t="s">
        <v>4</v>
      </c>
      <c r="B779" t="s">
        <v>5</v>
      </c>
      <c r="C779">
        <v>40</v>
      </c>
      <c r="D779">
        <v>81.483999999999995</v>
      </c>
    </row>
    <row r="780" spans="1:4" x14ac:dyDescent="0.25">
      <c r="A780" t="s">
        <v>4</v>
      </c>
      <c r="B780" t="s">
        <v>5</v>
      </c>
      <c r="C780">
        <v>40</v>
      </c>
      <c r="D780">
        <v>82.775999999999996</v>
      </c>
    </row>
    <row r="781" spans="1:4" x14ac:dyDescent="0.25">
      <c r="A781" t="s">
        <v>4</v>
      </c>
      <c r="B781" t="s">
        <v>5</v>
      </c>
      <c r="C781">
        <v>40</v>
      </c>
      <c r="D781">
        <v>80.411000000000001</v>
      </c>
    </row>
    <row r="782" spans="1:4" x14ac:dyDescent="0.25">
      <c r="A782" t="s">
        <v>4</v>
      </c>
      <c r="B782" t="s">
        <v>5</v>
      </c>
      <c r="C782">
        <v>40</v>
      </c>
      <c r="D782">
        <v>84.849000000000004</v>
      </c>
    </row>
    <row r="783" spans="1:4" x14ac:dyDescent="0.25">
      <c r="A783" t="s">
        <v>4</v>
      </c>
      <c r="B783" t="s">
        <v>5</v>
      </c>
      <c r="C783">
        <v>40</v>
      </c>
      <c r="D783">
        <v>80.483999999999995</v>
      </c>
    </row>
    <row r="784" spans="1:4" x14ac:dyDescent="0.25">
      <c r="A784" t="s">
        <v>4</v>
      </c>
      <c r="B784" t="s">
        <v>5</v>
      </c>
      <c r="C784">
        <v>40</v>
      </c>
      <c r="D784">
        <v>89.995000000000005</v>
      </c>
    </row>
    <row r="785" spans="1:4" x14ac:dyDescent="0.25">
      <c r="A785" t="s">
        <v>4</v>
      </c>
      <c r="B785" t="s">
        <v>5</v>
      </c>
      <c r="C785">
        <v>40</v>
      </c>
      <c r="D785">
        <v>90.849000000000004</v>
      </c>
    </row>
    <row r="786" spans="1:4" x14ac:dyDescent="0.25">
      <c r="A786" t="s">
        <v>4</v>
      </c>
      <c r="B786" t="s">
        <v>5</v>
      </c>
      <c r="C786">
        <v>40</v>
      </c>
      <c r="D786">
        <v>91.921999999999997</v>
      </c>
    </row>
    <row r="787" spans="1:4" x14ac:dyDescent="0.25">
      <c r="A787" t="s">
        <v>4</v>
      </c>
      <c r="B787" t="s">
        <v>5</v>
      </c>
      <c r="C787">
        <v>40</v>
      </c>
      <c r="D787">
        <v>87.995000000000005</v>
      </c>
    </row>
    <row r="788" spans="1:4" x14ac:dyDescent="0.25">
      <c r="A788" t="s">
        <v>4</v>
      </c>
      <c r="B788" t="s">
        <v>5</v>
      </c>
      <c r="C788">
        <v>40</v>
      </c>
      <c r="D788">
        <v>84.849000000000004</v>
      </c>
    </row>
    <row r="789" spans="1:4" x14ac:dyDescent="0.25">
      <c r="A789" t="s">
        <v>4</v>
      </c>
      <c r="B789" t="s">
        <v>5</v>
      </c>
      <c r="C789">
        <v>40</v>
      </c>
      <c r="D789">
        <v>67.39</v>
      </c>
    </row>
    <row r="790" spans="1:4" x14ac:dyDescent="0.25">
      <c r="A790" t="s">
        <v>4</v>
      </c>
      <c r="B790" t="s">
        <v>5</v>
      </c>
      <c r="C790">
        <v>40</v>
      </c>
      <c r="D790">
        <v>90.995000000000005</v>
      </c>
    </row>
    <row r="791" spans="1:4" x14ac:dyDescent="0.25">
      <c r="A791" t="s">
        <v>4</v>
      </c>
      <c r="B791" t="s">
        <v>5</v>
      </c>
      <c r="C791">
        <v>40</v>
      </c>
      <c r="D791">
        <v>84.411000000000001</v>
      </c>
    </row>
    <row r="792" spans="1:4" x14ac:dyDescent="0.25">
      <c r="A792" t="s">
        <v>4</v>
      </c>
      <c r="B792" t="s">
        <v>5</v>
      </c>
      <c r="C792">
        <v>40</v>
      </c>
      <c r="D792">
        <v>84.557000000000002</v>
      </c>
    </row>
    <row r="793" spans="1:4" x14ac:dyDescent="0.25">
      <c r="A793" t="s">
        <v>4</v>
      </c>
      <c r="B793" t="s">
        <v>5</v>
      </c>
      <c r="C793">
        <v>40</v>
      </c>
      <c r="D793">
        <v>92.287000000000006</v>
      </c>
    </row>
    <row r="794" spans="1:4" x14ac:dyDescent="0.25">
      <c r="A794" t="s">
        <v>4</v>
      </c>
      <c r="B794" t="s">
        <v>5</v>
      </c>
      <c r="C794">
        <v>40</v>
      </c>
      <c r="D794">
        <v>78.12</v>
      </c>
    </row>
    <row r="795" spans="1:4" x14ac:dyDescent="0.25">
      <c r="A795" t="s">
        <v>4</v>
      </c>
      <c r="B795" t="s">
        <v>5</v>
      </c>
      <c r="C795">
        <v>40</v>
      </c>
      <c r="D795">
        <v>82.703000000000003</v>
      </c>
    </row>
    <row r="796" spans="1:4" x14ac:dyDescent="0.25">
      <c r="A796" t="s">
        <v>4</v>
      </c>
      <c r="B796" t="s">
        <v>5</v>
      </c>
      <c r="C796">
        <v>40</v>
      </c>
      <c r="D796">
        <v>85.483999999999995</v>
      </c>
    </row>
    <row r="797" spans="1:4" x14ac:dyDescent="0.25">
      <c r="A797" t="s">
        <v>4</v>
      </c>
      <c r="B797" t="s">
        <v>5</v>
      </c>
      <c r="C797">
        <v>40</v>
      </c>
      <c r="D797">
        <v>80.63</v>
      </c>
    </row>
    <row r="798" spans="1:4" x14ac:dyDescent="0.25">
      <c r="A798" t="s">
        <v>4</v>
      </c>
      <c r="B798" t="s">
        <v>5</v>
      </c>
      <c r="C798">
        <v>40</v>
      </c>
      <c r="D798">
        <v>79.046999999999997</v>
      </c>
    </row>
    <row r="799" spans="1:4" x14ac:dyDescent="0.25">
      <c r="A799" t="s">
        <v>4</v>
      </c>
      <c r="B799" t="s">
        <v>5</v>
      </c>
      <c r="C799">
        <v>40</v>
      </c>
      <c r="D799">
        <v>70.900999999999996</v>
      </c>
    </row>
    <row r="800" spans="1:4" x14ac:dyDescent="0.25">
      <c r="A800" t="s">
        <v>4</v>
      </c>
      <c r="B800" t="s">
        <v>5</v>
      </c>
      <c r="C800">
        <v>40</v>
      </c>
      <c r="D800">
        <v>89.775999999999996</v>
      </c>
    </row>
    <row r="801" spans="1:4" x14ac:dyDescent="0.25">
      <c r="A801" t="s">
        <v>4</v>
      </c>
      <c r="B801" t="s">
        <v>5</v>
      </c>
      <c r="C801">
        <v>40</v>
      </c>
      <c r="D801">
        <v>93.067999999999998</v>
      </c>
    </row>
    <row r="802" spans="1:4" x14ac:dyDescent="0.25">
      <c r="A802" t="s">
        <v>4</v>
      </c>
      <c r="B802" t="s">
        <v>5</v>
      </c>
      <c r="C802">
        <v>60</v>
      </c>
      <c r="D802">
        <v>110.57899999999999</v>
      </c>
    </row>
    <row r="803" spans="1:4" x14ac:dyDescent="0.25">
      <c r="A803" t="s">
        <v>4</v>
      </c>
      <c r="B803" t="s">
        <v>5</v>
      </c>
      <c r="C803">
        <v>60</v>
      </c>
      <c r="D803">
        <v>122.747</v>
      </c>
    </row>
    <row r="804" spans="1:4" x14ac:dyDescent="0.25">
      <c r="A804" t="s">
        <v>4</v>
      </c>
      <c r="B804" t="s">
        <v>5</v>
      </c>
      <c r="C804">
        <v>60</v>
      </c>
      <c r="D804">
        <v>113.309</v>
      </c>
    </row>
    <row r="805" spans="1:4" x14ac:dyDescent="0.25">
      <c r="A805" t="s">
        <v>4</v>
      </c>
      <c r="B805" t="s">
        <v>5</v>
      </c>
      <c r="C805">
        <v>60</v>
      </c>
      <c r="D805">
        <v>113.309</v>
      </c>
    </row>
    <row r="806" spans="1:4" x14ac:dyDescent="0.25">
      <c r="A806" t="s">
        <v>4</v>
      </c>
      <c r="B806" t="s">
        <v>5</v>
      </c>
      <c r="C806">
        <v>60</v>
      </c>
      <c r="D806">
        <v>114.017</v>
      </c>
    </row>
    <row r="807" spans="1:4" x14ac:dyDescent="0.25">
      <c r="A807" t="s">
        <v>4</v>
      </c>
      <c r="B807" t="s">
        <v>5</v>
      </c>
      <c r="C807">
        <v>60</v>
      </c>
      <c r="D807">
        <v>104.72499999999999</v>
      </c>
    </row>
    <row r="808" spans="1:4" x14ac:dyDescent="0.25">
      <c r="A808" t="s">
        <v>4</v>
      </c>
      <c r="B808" t="s">
        <v>5</v>
      </c>
      <c r="C808">
        <v>60</v>
      </c>
      <c r="D808">
        <v>115.309</v>
      </c>
    </row>
    <row r="809" spans="1:4" x14ac:dyDescent="0.25">
      <c r="A809" t="s">
        <v>4</v>
      </c>
      <c r="B809" t="s">
        <v>5</v>
      </c>
      <c r="C809">
        <v>60</v>
      </c>
      <c r="D809">
        <v>126.331</v>
      </c>
    </row>
    <row r="810" spans="1:4" x14ac:dyDescent="0.25">
      <c r="A810" t="s">
        <v>4</v>
      </c>
      <c r="B810" t="s">
        <v>5</v>
      </c>
      <c r="C810">
        <v>60</v>
      </c>
      <c r="D810">
        <v>111.309</v>
      </c>
    </row>
    <row r="811" spans="1:4" x14ac:dyDescent="0.25">
      <c r="A811" t="s">
        <v>4</v>
      </c>
      <c r="B811" t="s">
        <v>5</v>
      </c>
      <c r="C811">
        <v>60</v>
      </c>
      <c r="D811">
        <v>118.38200000000001</v>
      </c>
    </row>
    <row r="812" spans="1:4" x14ac:dyDescent="0.25">
      <c r="A812" t="s">
        <v>4</v>
      </c>
      <c r="B812" t="s">
        <v>5</v>
      </c>
      <c r="C812">
        <v>60</v>
      </c>
      <c r="D812">
        <v>100.43300000000001</v>
      </c>
    </row>
    <row r="813" spans="1:4" x14ac:dyDescent="0.25">
      <c r="A813" t="s">
        <v>4</v>
      </c>
      <c r="B813" t="s">
        <v>5</v>
      </c>
      <c r="C813">
        <v>60</v>
      </c>
      <c r="D813">
        <v>118.38200000000001</v>
      </c>
    </row>
    <row r="814" spans="1:4" x14ac:dyDescent="0.25">
      <c r="A814" t="s">
        <v>4</v>
      </c>
      <c r="B814" t="s">
        <v>5</v>
      </c>
      <c r="C814">
        <v>60</v>
      </c>
      <c r="D814">
        <v>124.747</v>
      </c>
    </row>
    <row r="815" spans="1:4" x14ac:dyDescent="0.25">
      <c r="A815" t="s">
        <v>4</v>
      </c>
      <c r="B815" t="s">
        <v>5</v>
      </c>
      <c r="C815">
        <v>60</v>
      </c>
      <c r="D815">
        <v>114.38200000000001</v>
      </c>
    </row>
    <row r="816" spans="1:4" x14ac:dyDescent="0.25">
      <c r="A816" t="s">
        <v>4</v>
      </c>
      <c r="B816" t="s">
        <v>5</v>
      </c>
      <c r="C816">
        <v>60</v>
      </c>
      <c r="D816">
        <v>120.309</v>
      </c>
    </row>
    <row r="817" spans="1:4" x14ac:dyDescent="0.25">
      <c r="A817" t="s">
        <v>4</v>
      </c>
      <c r="B817" t="s">
        <v>5</v>
      </c>
      <c r="C817">
        <v>60</v>
      </c>
      <c r="D817">
        <v>106.017</v>
      </c>
    </row>
    <row r="818" spans="1:4" x14ac:dyDescent="0.25">
      <c r="A818" t="s">
        <v>4</v>
      </c>
      <c r="B818" t="s">
        <v>5</v>
      </c>
      <c r="C818">
        <v>60</v>
      </c>
      <c r="D818">
        <v>112.236</v>
      </c>
    </row>
    <row r="819" spans="1:4" x14ac:dyDescent="0.25">
      <c r="A819" t="s">
        <v>4</v>
      </c>
      <c r="B819" t="s">
        <v>5</v>
      </c>
      <c r="C819">
        <v>60</v>
      </c>
      <c r="D819">
        <v>109.652</v>
      </c>
    </row>
    <row r="820" spans="1:4" x14ac:dyDescent="0.25">
      <c r="A820" t="s">
        <v>4</v>
      </c>
      <c r="B820" t="s">
        <v>5</v>
      </c>
      <c r="C820">
        <v>60</v>
      </c>
      <c r="D820">
        <v>111.09</v>
      </c>
    </row>
    <row r="821" spans="1:4" x14ac:dyDescent="0.25">
      <c r="A821" t="s">
        <v>4</v>
      </c>
      <c r="B821" t="s">
        <v>5</v>
      </c>
      <c r="C821">
        <v>60</v>
      </c>
      <c r="D821">
        <v>117.309</v>
      </c>
    </row>
    <row r="822" spans="1:4" x14ac:dyDescent="0.25">
      <c r="A822" t="s">
        <v>4</v>
      </c>
      <c r="B822" t="s">
        <v>5</v>
      </c>
      <c r="C822">
        <v>60</v>
      </c>
      <c r="D822">
        <v>107.652</v>
      </c>
    </row>
    <row r="823" spans="1:4" x14ac:dyDescent="0.25">
      <c r="A823" t="s">
        <v>4</v>
      </c>
      <c r="B823" t="s">
        <v>5</v>
      </c>
      <c r="C823">
        <v>60</v>
      </c>
      <c r="D823">
        <v>114.163</v>
      </c>
    </row>
    <row r="824" spans="1:4" x14ac:dyDescent="0.25">
      <c r="A824" t="s">
        <v>4</v>
      </c>
      <c r="B824" t="s">
        <v>5</v>
      </c>
      <c r="C824">
        <v>60</v>
      </c>
      <c r="D824">
        <v>123.601</v>
      </c>
    </row>
    <row r="825" spans="1:4" x14ac:dyDescent="0.25">
      <c r="A825" t="s">
        <v>4</v>
      </c>
      <c r="B825" t="s">
        <v>5</v>
      </c>
      <c r="C825">
        <v>60</v>
      </c>
      <c r="D825">
        <v>135.33099999999999</v>
      </c>
    </row>
    <row r="826" spans="1:4" x14ac:dyDescent="0.25">
      <c r="A826" t="s">
        <v>4</v>
      </c>
      <c r="B826" t="s">
        <v>5</v>
      </c>
      <c r="C826">
        <v>60</v>
      </c>
      <c r="D826">
        <v>106.28700000000001</v>
      </c>
    </row>
    <row r="827" spans="1:4" x14ac:dyDescent="0.25">
      <c r="A827" t="s">
        <v>4</v>
      </c>
      <c r="B827" t="s">
        <v>5</v>
      </c>
      <c r="C827">
        <v>60</v>
      </c>
      <c r="D827">
        <v>123.82</v>
      </c>
    </row>
    <row r="828" spans="1:4" x14ac:dyDescent="0.25">
      <c r="A828" t="s">
        <v>4</v>
      </c>
      <c r="B828" t="s">
        <v>5</v>
      </c>
      <c r="C828">
        <v>60</v>
      </c>
      <c r="D828">
        <v>122.67400000000001</v>
      </c>
    </row>
    <row r="829" spans="1:4" x14ac:dyDescent="0.25">
      <c r="A829" t="s">
        <v>4</v>
      </c>
      <c r="B829" t="s">
        <v>5</v>
      </c>
      <c r="C829">
        <v>60</v>
      </c>
      <c r="D829">
        <v>111.871</v>
      </c>
    </row>
    <row r="830" spans="1:4" x14ac:dyDescent="0.25">
      <c r="A830" t="s">
        <v>4</v>
      </c>
      <c r="B830" t="s">
        <v>5</v>
      </c>
      <c r="C830">
        <v>60</v>
      </c>
      <c r="D830">
        <v>116.67400000000001</v>
      </c>
    </row>
    <row r="831" spans="1:4" x14ac:dyDescent="0.25">
      <c r="A831" t="s">
        <v>4</v>
      </c>
      <c r="B831" t="s">
        <v>5</v>
      </c>
      <c r="C831">
        <v>60</v>
      </c>
      <c r="D831">
        <v>108.652</v>
      </c>
    </row>
    <row r="832" spans="1:4" x14ac:dyDescent="0.25">
      <c r="A832" t="s">
        <v>4</v>
      </c>
      <c r="B832" t="s">
        <v>5</v>
      </c>
      <c r="C832">
        <v>60</v>
      </c>
      <c r="D832">
        <v>116.944</v>
      </c>
    </row>
    <row r="833" spans="1:4" x14ac:dyDescent="0.25">
      <c r="A833" t="s">
        <v>4</v>
      </c>
      <c r="B833" t="s">
        <v>5</v>
      </c>
      <c r="C833">
        <v>60</v>
      </c>
      <c r="D833">
        <v>112.017</v>
      </c>
    </row>
    <row r="834" spans="1:4" x14ac:dyDescent="0.25">
      <c r="A834" t="s">
        <v>4</v>
      </c>
      <c r="B834" t="s">
        <v>5</v>
      </c>
      <c r="C834">
        <v>60</v>
      </c>
      <c r="D834">
        <v>130.96600000000001</v>
      </c>
    </row>
    <row r="835" spans="1:4" x14ac:dyDescent="0.25">
      <c r="A835" t="s">
        <v>4</v>
      </c>
      <c r="B835" t="s">
        <v>5</v>
      </c>
      <c r="C835">
        <v>60</v>
      </c>
      <c r="D835">
        <v>128.03899999999999</v>
      </c>
    </row>
    <row r="836" spans="1:4" x14ac:dyDescent="0.25">
      <c r="A836" t="s">
        <v>4</v>
      </c>
      <c r="B836" t="s">
        <v>5</v>
      </c>
      <c r="C836">
        <v>60</v>
      </c>
      <c r="D836">
        <v>123.82</v>
      </c>
    </row>
    <row r="837" spans="1:4" x14ac:dyDescent="0.25">
      <c r="A837" t="s">
        <v>4</v>
      </c>
      <c r="B837" t="s">
        <v>5</v>
      </c>
      <c r="C837">
        <v>60</v>
      </c>
      <c r="D837">
        <v>133.55000000000001</v>
      </c>
    </row>
    <row r="838" spans="1:4" x14ac:dyDescent="0.25">
      <c r="A838" t="s">
        <v>4</v>
      </c>
      <c r="B838" t="s">
        <v>5</v>
      </c>
      <c r="C838">
        <v>60</v>
      </c>
      <c r="D838">
        <v>124.82</v>
      </c>
    </row>
    <row r="839" spans="1:4" x14ac:dyDescent="0.25">
      <c r="A839" t="s">
        <v>4</v>
      </c>
      <c r="B839" t="s">
        <v>5</v>
      </c>
      <c r="C839">
        <v>60</v>
      </c>
      <c r="D839">
        <v>130.11199999999999</v>
      </c>
    </row>
    <row r="840" spans="1:4" x14ac:dyDescent="0.25">
      <c r="A840" t="s">
        <v>4</v>
      </c>
      <c r="B840" t="s">
        <v>5</v>
      </c>
      <c r="C840">
        <v>60</v>
      </c>
      <c r="D840">
        <v>108.57899999999999</v>
      </c>
    </row>
    <row r="841" spans="1:4" x14ac:dyDescent="0.25">
      <c r="A841" t="s">
        <v>4</v>
      </c>
      <c r="B841" t="s">
        <v>5</v>
      </c>
      <c r="C841">
        <v>60</v>
      </c>
      <c r="D841">
        <v>111.09</v>
      </c>
    </row>
    <row r="842" spans="1:4" x14ac:dyDescent="0.25">
      <c r="A842" t="s">
        <v>4</v>
      </c>
      <c r="B842" t="s">
        <v>5</v>
      </c>
      <c r="C842">
        <v>60</v>
      </c>
      <c r="D842">
        <v>115.38200000000001</v>
      </c>
    </row>
    <row r="843" spans="1:4" x14ac:dyDescent="0.25">
      <c r="A843" t="s">
        <v>4</v>
      </c>
      <c r="B843" t="s">
        <v>5</v>
      </c>
      <c r="C843">
        <v>60</v>
      </c>
      <c r="D843">
        <v>112.163</v>
      </c>
    </row>
    <row r="844" spans="1:4" x14ac:dyDescent="0.25">
      <c r="A844" t="s">
        <v>4</v>
      </c>
      <c r="B844" t="s">
        <v>5</v>
      </c>
      <c r="C844">
        <v>60</v>
      </c>
      <c r="D844">
        <v>117.601</v>
      </c>
    </row>
    <row r="845" spans="1:4" x14ac:dyDescent="0.25">
      <c r="A845" t="s">
        <v>4</v>
      </c>
      <c r="B845" t="s">
        <v>5</v>
      </c>
      <c r="C845">
        <v>60</v>
      </c>
      <c r="D845">
        <v>122.52800000000001</v>
      </c>
    </row>
    <row r="846" spans="1:4" x14ac:dyDescent="0.25">
      <c r="A846" t="s">
        <v>4</v>
      </c>
      <c r="B846" t="s">
        <v>5</v>
      </c>
      <c r="C846">
        <v>60</v>
      </c>
      <c r="D846">
        <v>111.017</v>
      </c>
    </row>
    <row r="847" spans="1:4" x14ac:dyDescent="0.25">
      <c r="A847" t="s">
        <v>4</v>
      </c>
      <c r="B847" t="s">
        <v>5</v>
      </c>
      <c r="C847">
        <v>60</v>
      </c>
      <c r="D847">
        <v>120.309</v>
      </c>
    </row>
    <row r="848" spans="1:4" x14ac:dyDescent="0.25">
      <c r="A848" t="s">
        <v>4</v>
      </c>
      <c r="B848" t="s">
        <v>5</v>
      </c>
      <c r="C848">
        <v>60</v>
      </c>
      <c r="D848">
        <v>118.163</v>
      </c>
    </row>
    <row r="849" spans="1:4" x14ac:dyDescent="0.25">
      <c r="A849" t="s">
        <v>4</v>
      </c>
      <c r="B849" t="s">
        <v>5</v>
      </c>
      <c r="C849">
        <v>60</v>
      </c>
      <c r="D849">
        <v>119.67400000000001</v>
      </c>
    </row>
    <row r="850" spans="1:4" x14ac:dyDescent="0.25">
      <c r="A850" t="s">
        <v>4</v>
      </c>
      <c r="B850" t="s">
        <v>5</v>
      </c>
      <c r="C850">
        <v>60</v>
      </c>
      <c r="D850">
        <v>118.309</v>
      </c>
    </row>
    <row r="851" spans="1:4" x14ac:dyDescent="0.25">
      <c r="A851" t="s">
        <v>4</v>
      </c>
      <c r="B851" t="s">
        <v>5</v>
      </c>
      <c r="C851">
        <v>60</v>
      </c>
      <c r="D851">
        <v>114.09</v>
      </c>
    </row>
    <row r="852" spans="1:4" x14ac:dyDescent="0.25">
      <c r="A852" t="s">
        <v>4</v>
      </c>
      <c r="B852" t="s">
        <v>5</v>
      </c>
      <c r="C852">
        <v>60</v>
      </c>
      <c r="D852">
        <v>122.09</v>
      </c>
    </row>
    <row r="853" spans="1:4" x14ac:dyDescent="0.25">
      <c r="A853" t="s">
        <v>4</v>
      </c>
      <c r="B853" t="s">
        <v>5</v>
      </c>
      <c r="C853">
        <v>60</v>
      </c>
      <c r="D853">
        <v>115.52800000000001</v>
      </c>
    </row>
    <row r="854" spans="1:4" x14ac:dyDescent="0.25">
      <c r="A854" t="s">
        <v>4</v>
      </c>
      <c r="B854" t="s">
        <v>5</v>
      </c>
      <c r="C854">
        <v>60</v>
      </c>
      <c r="D854">
        <v>119.601</v>
      </c>
    </row>
    <row r="855" spans="1:4" x14ac:dyDescent="0.25">
      <c r="A855" t="s">
        <v>4</v>
      </c>
      <c r="B855" t="s">
        <v>5</v>
      </c>
      <c r="C855">
        <v>60</v>
      </c>
      <c r="D855">
        <v>110.163</v>
      </c>
    </row>
    <row r="856" spans="1:4" x14ac:dyDescent="0.25">
      <c r="A856" t="s">
        <v>4</v>
      </c>
      <c r="B856" t="s">
        <v>5</v>
      </c>
      <c r="C856">
        <v>60</v>
      </c>
      <c r="D856">
        <v>117.52800000000001</v>
      </c>
    </row>
    <row r="857" spans="1:4" x14ac:dyDescent="0.25">
      <c r="A857" t="s">
        <v>4</v>
      </c>
      <c r="B857" t="s">
        <v>5</v>
      </c>
      <c r="C857">
        <v>60</v>
      </c>
      <c r="D857">
        <v>116.236</v>
      </c>
    </row>
    <row r="858" spans="1:4" x14ac:dyDescent="0.25">
      <c r="A858" t="s">
        <v>4</v>
      </c>
      <c r="B858" t="s">
        <v>5</v>
      </c>
      <c r="C858">
        <v>60</v>
      </c>
      <c r="D858">
        <v>136.185</v>
      </c>
    </row>
    <row r="859" spans="1:4" x14ac:dyDescent="0.25">
      <c r="A859" t="s">
        <v>4</v>
      </c>
      <c r="B859" t="s">
        <v>5</v>
      </c>
      <c r="C859">
        <v>60</v>
      </c>
      <c r="D859">
        <v>124.893</v>
      </c>
    </row>
    <row r="860" spans="1:4" x14ac:dyDescent="0.25">
      <c r="A860" t="s">
        <v>4</v>
      </c>
      <c r="B860" t="s">
        <v>5</v>
      </c>
      <c r="C860">
        <v>60</v>
      </c>
      <c r="D860">
        <v>103.36</v>
      </c>
    </row>
    <row r="861" spans="1:4" x14ac:dyDescent="0.25">
      <c r="A861" t="s">
        <v>4</v>
      </c>
      <c r="B861" t="s">
        <v>5</v>
      </c>
      <c r="C861">
        <v>60</v>
      </c>
      <c r="D861">
        <v>129.03899999999999</v>
      </c>
    </row>
    <row r="862" spans="1:4" x14ac:dyDescent="0.25">
      <c r="A862" t="s">
        <v>4</v>
      </c>
      <c r="B862" t="s">
        <v>5</v>
      </c>
      <c r="C862">
        <v>60</v>
      </c>
      <c r="D862">
        <v>104.57899999999999</v>
      </c>
    </row>
    <row r="863" spans="1:4" x14ac:dyDescent="0.25">
      <c r="A863" t="s">
        <v>4</v>
      </c>
      <c r="B863" t="s">
        <v>5</v>
      </c>
      <c r="C863">
        <v>60</v>
      </c>
      <c r="D863">
        <v>121.455</v>
      </c>
    </row>
    <row r="864" spans="1:4" x14ac:dyDescent="0.25">
      <c r="A864" t="s">
        <v>4</v>
      </c>
      <c r="B864" t="s">
        <v>5</v>
      </c>
      <c r="C864">
        <v>60</v>
      </c>
      <c r="D864">
        <v>125.11199999999999</v>
      </c>
    </row>
    <row r="865" spans="1:4" x14ac:dyDescent="0.25">
      <c r="A865" t="s">
        <v>4</v>
      </c>
      <c r="B865" t="s">
        <v>5</v>
      </c>
      <c r="C865">
        <v>60</v>
      </c>
      <c r="D865">
        <v>109.09</v>
      </c>
    </row>
    <row r="866" spans="1:4" x14ac:dyDescent="0.25">
      <c r="A866" t="s">
        <v>4</v>
      </c>
      <c r="B866" t="s">
        <v>5</v>
      </c>
      <c r="C866">
        <v>60</v>
      </c>
      <c r="D866">
        <v>131.452</v>
      </c>
    </row>
    <row r="867" spans="1:4" x14ac:dyDescent="0.25">
      <c r="A867" t="s">
        <v>4</v>
      </c>
      <c r="B867" t="s">
        <v>5</v>
      </c>
      <c r="C867">
        <v>60</v>
      </c>
      <c r="D867">
        <v>123.601</v>
      </c>
    </row>
    <row r="868" spans="1:4" x14ac:dyDescent="0.25">
      <c r="A868" t="s">
        <v>4</v>
      </c>
      <c r="B868" t="s">
        <v>5</v>
      </c>
      <c r="C868">
        <v>60</v>
      </c>
      <c r="D868">
        <v>112.017</v>
      </c>
    </row>
    <row r="869" spans="1:4" x14ac:dyDescent="0.25">
      <c r="A869" t="s">
        <v>4</v>
      </c>
      <c r="B869" t="s">
        <v>5</v>
      </c>
      <c r="C869">
        <v>60</v>
      </c>
      <c r="D869">
        <v>123.67400000000001</v>
      </c>
    </row>
    <row r="870" spans="1:4" x14ac:dyDescent="0.25">
      <c r="A870" t="s">
        <v>4</v>
      </c>
      <c r="B870" t="s">
        <v>5</v>
      </c>
      <c r="C870">
        <v>60</v>
      </c>
      <c r="D870">
        <v>124.039</v>
      </c>
    </row>
    <row r="871" spans="1:4" x14ac:dyDescent="0.25">
      <c r="A871" t="s">
        <v>4</v>
      </c>
      <c r="B871" t="s">
        <v>5</v>
      </c>
      <c r="C871">
        <v>60</v>
      </c>
      <c r="D871">
        <v>119.38200000000001</v>
      </c>
    </row>
    <row r="872" spans="1:4" x14ac:dyDescent="0.25">
      <c r="A872" t="s">
        <v>4</v>
      </c>
      <c r="B872" t="s">
        <v>5</v>
      </c>
      <c r="C872">
        <v>60</v>
      </c>
      <c r="D872">
        <v>115.09</v>
      </c>
    </row>
    <row r="873" spans="1:4" x14ac:dyDescent="0.25">
      <c r="A873" t="s">
        <v>4</v>
      </c>
      <c r="B873" t="s">
        <v>5</v>
      </c>
      <c r="C873">
        <v>60</v>
      </c>
      <c r="D873">
        <v>110.017</v>
      </c>
    </row>
    <row r="874" spans="1:4" x14ac:dyDescent="0.25">
      <c r="A874" t="s">
        <v>4</v>
      </c>
      <c r="B874" t="s">
        <v>5</v>
      </c>
      <c r="C874">
        <v>60</v>
      </c>
      <c r="D874">
        <v>115.455</v>
      </c>
    </row>
    <row r="875" spans="1:4" x14ac:dyDescent="0.25">
      <c r="A875" t="s">
        <v>4</v>
      </c>
      <c r="B875" t="s">
        <v>5</v>
      </c>
      <c r="C875">
        <v>60</v>
      </c>
      <c r="D875">
        <v>115.017</v>
      </c>
    </row>
    <row r="876" spans="1:4" x14ac:dyDescent="0.25">
      <c r="A876" t="s">
        <v>4</v>
      </c>
      <c r="B876" t="s">
        <v>5</v>
      </c>
      <c r="C876">
        <v>60</v>
      </c>
      <c r="D876">
        <v>120.747</v>
      </c>
    </row>
    <row r="877" spans="1:4" x14ac:dyDescent="0.25">
      <c r="A877" t="s">
        <v>4</v>
      </c>
      <c r="B877" t="s">
        <v>5</v>
      </c>
      <c r="C877">
        <v>60</v>
      </c>
      <c r="D877">
        <v>145.20699999999999</v>
      </c>
    </row>
    <row r="878" spans="1:4" x14ac:dyDescent="0.25">
      <c r="A878" t="s">
        <v>4</v>
      </c>
      <c r="B878" t="s">
        <v>5</v>
      </c>
      <c r="C878">
        <v>60</v>
      </c>
      <c r="D878">
        <v>106.28700000000001</v>
      </c>
    </row>
    <row r="879" spans="1:4" x14ac:dyDescent="0.25">
      <c r="A879" t="s">
        <v>4</v>
      </c>
      <c r="B879" t="s">
        <v>5</v>
      </c>
      <c r="C879">
        <v>60</v>
      </c>
      <c r="D879">
        <v>113.236</v>
      </c>
    </row>
    <row r="880" spans="1:4" x14ac:dyDescent="0.25">
      <c r="A880" t="s">
        <v>4</v>
      </c>
      <c r="B880" t="s">
        <v>5</v>
      </c>
      <c r="C880">
        <v>60</v>
      </c>
      <c r="D880">
        <v>116.309</v>
      </c>
    </row>
    <row r="881" spans="1:4" x14ac:dyDescent="0.25">
      <c r="A881" t="s">
        <v>4</v>
      </c>
      <c r="B881" t="s">
        <v>5</v>
      </c>
      <c r="C881">
        <v>60</v>
      </c>
      <c r="D881">
        <v>120.67400000000001</v>
      </c>
    </row>
    <row r="882" spans="1:4" x14ac:dyDescent="0.25">
      <c r="A882" t="s">
        <v>4</v>
      </c>
      <c r="B882" t="s">
        <v>5</v>
      </c>
      <c r="C882">
        <v>60</v>
      </c>
      <c r="D882">
        <v>133.477</v>
      </c>
    </row>
    <row r="883" spans="1:4" x14ac:dyDescent="0.25">
      <c r="A883" t="s">
        <v>4</v>
      </c>
      <c r="B883" t="s">
        <v>5</v>
      </c>
      <c r="C883">
        <v>60</v>
      </c>
      <c r="D883">
        <v>119.163</v>
      </c>
    </row>
    <row r="884" spans="1:4" x14ac:dyDescent="0.25">
      <c r="A884" t="s">
        <v>4</v>
      </c>
      <c r="B884" t="s">
        <v>5</v>
      </c>
      <c r="C884">
        <v>60</v>
      </c>
      <c r="D884">
        <v>118.52800000000001</v>
      </c>
    </row>
    <row r="885" spans="1:4" x14ac:dyDescent="0.25">
      <c r="A885" t="s">
        <v>4</v>
      </c>
      <c r="B885" t="s">
        <v>5</v>
      </c>
      <c r="C885">
        <v>60</v>
      </c>
      <c r="D885">
        <v>133.74700000000001</v>
      </c>
    </row>
    <row r="886" spans="1:4" x14ac:dyDescent="0.25">
      <c r="A886" t="s">
        <v>4</v>
      </c>
      <c r="B886" t="s">
        <v>5</v>
      </c>
      <c r="C886">
        <v>60</v>
      </c>
      <c r="D886">
        <v>135.404</v>
      </c>
    </row>
    <row r="887" spans="1:4" x14ac:dyDescent="0.25">
      <c r="A887" t="s">
        <v>4</v>
      </c>
      <c r="B887" t="s">
        <v>5</v>
      </c>
      <c r="C887">
        <v>60</v>
      </c>
      <c r="D887">
        <v>112.236</v>
      </c>
    </row>
    <row r="888" spans="1:4" x14ac:dyDescent="0.25">
      <c r="A888" t="s">
        <v>4</v>
      </c>
      <c r="B888" t="s">
        <v>5</v>
      </c>
      <c r="C888">
        <v>60</v>
      </c>
      <c r="D888">
        <v>109.72499999999999</v>
      </c>
    </row>
    <row r="889" spans="1:4" x14ac:dyDescent="0.25">
      <c r="A889" t="s">
        <v>4</v>
      </c>
      <c r="B889" t="s">
        <v>5</v>
      </c>
      <c r="C889">
        <v>60</v>
      </c>
      <c r="D889">
        <v>110.798</v>
      </c>
    </row>
    <row r="890" spans="1:4" x14ac:dyDescent="0.25">
      <c r="A890" t="s">
        <v>4</v>
      </c>
      <c r="B890" t="s">
        <v>5</v>
      </c>
      <c r="C890">
        <v>60</v>
      </c>
      <c r="D890">
        <v>105.72499999999999</v>
      </c>
    </row>
    <row r="891" spans="1:4" x14ac:dyDescent="0.25">
      <c r="A891" t="s">
        <v>4</v>
      </c>
      <c r="B891" t="s">
        <v>5</v>
      </c>
      <c r="C891">
        <v>60</v>
      </c>
      <c r="D891">
        <v>107.43300000000001</v>
      </c>
    </row>
    <row r="892" spans="1:4" x14ac:dyDescent="0.25">
      <c r="A892" t="s">
        <v>4</v>
      </c>
      <c r="B892" t="s">
        <v>5</v>
      </c>
      <c r="C892">
        <v>60</v>
      </c>
      <c r="D892">
        <v>102.36</v>
      </c>
    </row>
    <row r="893" spans="1:4" x14ac:dyDescent="0.25">
      <c r="A893" t="s">
        <v>4</v>
      </c>
      <c r="B893" t="s">
        <v>5</v>
      </c>
      <c r="C893">
        <v>60</v>
      </c>
      <c r="D893">
        <v>112.163</v>
      </c>
    </row>
    <row r="894" spans="1:4" x14ac:dyDescent="0.25">
      <c r="A894" t="s">
        <v>4</v>
      </c>
      <c r="B894" t="s">
        <v>5</v>
      </c>
      <c r="C894">
        <v>60</v>
      </c>
      <c r="D894">
        <v>111.871</v>
      </c>
    </row>
    <row r="895" spans="1:4" x14ac:dyDescent="0.25">
      <c r="A895" t="s">
        <v>4</v>
      </c>
      <c r="B895" t="s">
        <v>5</v>
      </c>
      <c r="C895">
        <v>60</v>
      </c>
      <c r="D895">
        <v>111.52800000000001</v>
      </c>
    </row>
    <row r="896" spans="1:4" x14ac:dyDescent="0.25">
      <c r="A896" t="s">
        <v>4</v>
      </c>
      <c r="B896" t="s">
        <v>5</v>
      </c>
      <c r="C896">
        <v>60</v>
      </c>
      <c r="D896">
        <v>120.67400000000001</v>
      </c>
    </row>
    <row r="897" spans="1:4" x14ac:dyDescent="0.25">
      <c r="A897" t="s">
        <v>4</v>
      </c>
      <c r="B897" t="s">
        <v>5</v>
      </c>
      <c r="C897">
        <v>60</v>
      </c>
      <c r="D897">
        <v>119.944</v>
      </c>
    </row>
    <row r="898" spans="1:4" x14ac:dyDescent="0.25">
      <c r="A898" t="s">
        <v>4</v>
      </c>
      <c r="B898" t="s">
        <v>5</v>
      </c>
      <c r="C898">
        <v>60</v>
      </c>
      <c r="D898">
        <v>102.506</v>
      </c>
    </row>
    <row r="899" spans="1:4" x14ac:dyDescent="0.25">
      <c r="A899" t="s">
        <v>4</v>
      </c>
      <c r="B899" t="s">
        <v>5</v>
      </c>
      <c r="C899">
        <v>60</v>
      </c>
      <c r="D899">
        <v>103.43300000000001</v>
      </c>
    </row>
    <row r="900" spans="1:4" x14ac:dyDescent="0.25">
      <c r="A900" t="s">
        <v>4</v>
      </c>
      <c r="B900" t="s">
        <v>5</v>
      </c>
      <c r="C900">
        <v>60</v>
      </c>
      <c r="D900">
        <v>120.52800000000001</v>
      </c>
    </row>
    <row r="901" spans="1:4" x14ac:dyDescent="0.25">
      <c r="A901" t="s">
        <v>4</v>
      </c>
      <c r="B901" t="s">
        <v>5</v>
      </c>
      <c r="C901">
        <v>60</v>
      </c>
      <c r="D901">
        <v>108.944</v>
      </c>
    </row>
    <row r="902" spans="1:4" x14ac:dyDescent="0.25">
      <c r="A902" t="s">
        <v>4</v>
      </c>
      <c r="B902" t="s">
        <v>5</v>
      </c>
      <c r="C902">
        <v>80</v>
      </c>
      <c r="D902">
        <v>132.16</v>
      </c>
    </row>
    <row r="903" spans="1:4" x14ac:dyDescent="0.25">
      <c r="A903" t="s">
        <v>4</v>
      </c>
      <c r="B903" t="s">
        <v>5</v>
      </c>
      <c r="C903">
        <v>80</v>
      </c>
      <c r="D903">
        <v>156.00800000000001</v>
      </c>
    </row>
    <row r="904" spans="1:4" x14ac:dyDescent="0.25">
      <c r="A904" t="s">
        <v>4</v>
      </c>
      <c r="B904" t="s">
        <v>5</v>
      </c>
      <c r="C904">
        <v>80</v>
      </c>
      <c r="D904">
        <v>144.59800000000001</v>
      </c>
    </row>
    <row r="905" spans="1:4" x14ac:dyDescent="0.25">
      <c r="A905" t="s">
        <v>4</v>
      </c>
      <c r="B905" t="s">
        <v>5</v>
      </c>
      <c r="C905">
        <v>80</v>
      </c>
      <c r="D905">
        <v>134.55000000000001</v>
      </c>
    </row>
    <row r="906" spans="1:4" x14ac:dyDescent="0.25">
      <c r="A906" t="s">
        <v>4</v>
      </c>
      <c r="B906" t="s">
        <v>5</v>
      </c>
      <c r="C906">
        <v>80</v>
      </c>
      <c r="D906">
        <v>136.185</v>
      </c>
    </row>
    <row r="907" spans="1:4" x14ac:dyDescent="0.25">
      <c r="A907" t="s">
        <v>4</v>
      </c>
      <c r="B907" t="s">
        <v>5</v>
      </c>
      <c r="C907">
        <v>80</v>
      </c>
      <c r="D907">
        <v>158.40100000000001</v>
      </c>
    </row>
    <row r="908" spans="1:4" x14ac:dyDescent="0.25">
      <c r="A908" t="s">
        <v>4</v>
      </c>
      <c r="B908" t="s">
        <v>5</v>
      </c>
      <c r="C908">
        <v>80</v>
      </c>
      <c r="D908">
        <v>146.84100000000001</v>
      </c>
    </row>
    <row r="909" spans="1:4" x14ac:dyDescent="0.25">
      <c r="A909" t="s">
        <v>4</v>
      </c>
      <c r="B909" t="s">
        <v>5</v>
      </c>
      <c r="C909">
        <v>80</v>
      </c>
      <c r="D909">
        <v>148.54599999999999</v>
      </c>
    </row>
    <row r="910" spans="1:4" x14ac:dyDescent="0.25">
      <c r="A910" t="s">
        <v>4</v>
      </c>
      <c r="B910" t="s">
        <v>5</v>
      </c>
      <c r="C910">
        <v>80</v>
      </c>
      <c r="D910">
        <v>141.62299999999999</v>
      </c>
    </row>
    <row r="911" spans="1:4" x14ac:dyDescent="0.25">
      <c r="A911" t="s">
        <v>4</v>
      </c>
      <c r="B911" t="s">
        <v>5</v>
      </c>
      <c r="C911">
        <v>80</v>
      </c>
      <c r="D911">
        <v>138.03899999999999</v>
      </c>
    </row>
    <row r="912" spans="1:4" x14ac:dyDescent="0.25">
      <c r="A912" t="s">
        <v>4</v>
      </c>
      <c r="B912" t="s">
        <v>5</v>
      </c>
      <c r="C912">
        <v>80</v>
      </c>
      <c r="D912">
        <v>151.42500000000001</v>
      </c>
    </row>
    <row r="913" spans="1:4" x14ac:dyDescent="0.25">
      <c r="A913" t="s">
        <v>4</v>
      </c>
      <c r="B913" t="s">
        <v>5</v>
      </c>
      <c r="C913">
        <v>80</v>
      </c>
      <c r="D913">
        <v>143.67099999999999</v>
      </c>
    </row>
    <row r="914" spans="1:4" x14ac:dyDescent="0.25">
      <c r="A914" t="s">
        <v>4</v>
      </c>
      <c r="B914" t="s">
        <v>5</v>
      </c>
      <c r="C914">
        <v>80</v>
      </c>
      <c r="D914">
        <v>144.47300000000001</v>
      </c>
    </row>
    <row r="915" spans="1:4" x14ac:dyDescent="0.25">
      <c r="A915" t="s">
        <v>4</v>
      </c>
      <c r="B915" t="s">
        <v>5</v>
      </c>
      <c r="C915">
        <v>80</v>
      </c>
      <c r="D915">
        <v>145.37899999999999</v>
      </c>
    </row>
    <row r="916" spans="1:4" x14ac:dyDescent="0.25">
      <c r="A916" t="s">
        <v>4</v>
      </c>
      <c r="B916" t="s">
        <v>5</v>
      </c>
      <c r="C916">
        <v>80</v>
      </c>
      <c r="D916">
        <v>148.84200000000001</v>
      </c>
    </row>
    <row r="917" spans="1:4" x14ac:dyDescent="0.25">
      <c r="A917" t="s">
        <v>4</v>
      </c>
      <c r="B917" t="s">
        <v>5</v>
      </c>
      <c r="C917">
        <v>80</v>
      </c>
      <c r="D917">
        <v>133.84200000000001</v>
      </c>
    </row>
    <row r="918" spans="1:4" x14ac:dyDescent="0.25">
      <c r="A918" t="s">
        <v>4</v>
      </c>
      <c r="B918" t="s">
        <v>5</v>
      </c>
      <c r="C918">
        <v>80</v>
      </c>
      <c r="D918">
        <v>136.16</v>
      </c>
    </row>
    <row r="919" spans="1:4" x14ac:dyDescent="0.25">
      <c r="A919" t="s">
        <v>4</v>
      </c>
      <c r="B919" t="s">
        <v>5</v>
      </c>
      <c r="C919">
        <v>80</v>
      </c>
      <c r="D919">
        <v>127.82</v>
      </c>
    </row>
    <row r="920" spans="1:4" x14ac:dyDescent="0.25">
      <c r="A920" t="s">
        <v>4</v>
      </c>
      <c r="B920" t="s">
        <v>5</v>
      </c>
      <c r="C920">
        <v>80</v>
      </c>
      <c r="D920">
        <v>164.00899999999999</v>
      </c>
    </row>
    <row r="921" spans="1:4" x14ac:dyDescent="0.25">
      <c r="A921" t="s">
        <v>4</v>
      </c>
      <c r="B921" t="s">
        <v>5</v>
      </c>
      <c r="C921">
        <v>80</v>
      </c>
      <c r="D921">
        <v>157.352</v>
      </c>
    </row>
    <row r="922" spans="1:4" x14ac:dyDescent="0.25">
      <c r="A922" t="s">
        <v>4</v>
      </c>
      <c r="B922" t="s">
        <v>5</v>
      </c>
      <c r="C922">
        <v>80</v>
      </c>
      <c r="D922">
        <v>157.44900000000001</v>
      </c>
    </row>
    <row r="923" spans="1:4" x14ac:dyDescent="0.25">
      <c r="A923" t="s">
        <v>4</v>
      </c>
      <c r="B923" t="s">
        <v>5</v>
      </c>
      <c r="C923">
        <v>80</v>
      </c>
      <c r="D923">
        <v>158.47300000000001</v>
      </c>
    </row>
    <row r="924" spans="1:4" x14ac:dyDescent="0.25">
      <c r="A924" t="s">
        <v>4</v>
      </c>
      <c r="B924" t="s">
        <v>5</v>
      </c>
      <c r="C924">
        <v>80</v>
      </c>
      <c r="D924">
        <v>143.816</v>
      </c>
    </row>
    <row r="925" spans="1:4" x14ac:dyDescent="0.25">
      <c r="A925" t="s">
        <v>4</v>
      </c>
      <c r="B925" t="s">
        <v>5</v>
      </c>
      <c r="C925">
        <v>80</v>
      </c>
      <c r="D925">
        <v>149.327</v>
      </c>
    </row>
    <row r="926" spans="1:4" x14ac:dyDescent="0.25">
      <c r="A926" t="s">
        <v>4</v>
      </c>
      <c r="B926" t="s">
        <v>5</v>
      </c>
      <c r="C926">
        <v>80</v>
      </c>
      <c r="D926">
        <v>160.98400000000001</v>
      </c>
    </row>
    <row r="927" spans="1:4" x14ac:dyDescent="0.25">
      <c r="A927" t="s">
        <v>4</v>
      </c>
      <c r="B927" t="s">
        <v>5</v>
      </c>
      <c r="C927">
        <v>80</v>
      </c>
      <c r="D927">
        <v>142.81700000000001</v>
      </c>
    </row>
    <row r="928" spans="1:4" x14ac:dyDescent="0.25">
      <c r="A928" t="s">
        <v>4</v>
      </c>
      <c r="B928" t="s">
        <v>5</v>
      </c>
      <c r="C928">
        <v>80</v>
      </c>
      <c r="D928">
        <v>153.20599999999999</v>
      </c>
    </row>
    <row r="929" spans="1:4" x14ac:dyDescent="0.25">
      <c r="A929" t="s">
        <v>4</v>
      </c>
      <c r="B929" t="s">
        <v>5</v>
      </c>
      <c r="C929">
        <v>80</v>
      </c>
      <c r="D929">
        <v>145.59800000000001</v>
      </c>
    </row>
    <row r="930" spans="1:4" x14ac:dyDescent="0.25">
      <c r="A930" t="s">
        <v>4</v>
      </c>
      <c r="B930" t="s">
        <v>5</v>
      </c>
      <c r="C930">
        <v>80</v>
      </c>
      <c r="D930">
        <v>137.76900000000001</v>
      </c>
    </row>
    <row r="931" spans="1:4" x14ac:dyDescent="0.25">
      <c r="A931" t="s">
        <v>4</v>
      </c>
      <c r="B931" t="s">
        <v>5</v>
      </c>
      <c r="C931">
        <v>80</v>
      </c>
      <c r="D931">
        <v>143.404</v>
      </c>
    </row>
    <row r="932" spans="1:4" x14ac:dyDescent="0.25">
      <c r="A932" t="s">
        <v>4</v>
      </c>
      <c r="B932" t="s">
        <v>5</v>
      </c>
      <c r="C932">
        <v>80</v>
      </c>
      <c r="D932">
        <v>136.452</v>
      </c>
    </row>
    <row r="933" spans="1:4" x14ac:dyDescent="0.25">
      <c r="A933" t="s">
        <v>4</v>
      </c>
      <c r="B933" t="s">
        <v>5</v>
      </c>
      <c r="C933">
        <v>80</v>
      </c>
      <c r="D933">
        <v>167.08199999999999</v>
      </c>
    </row>
    <row r="934" spans="1:4" x14ac:dyDescent="0.25">
      <c r="A934" t="s">
        <v>4</v>
      </c>
      <c r="B934" t="s">
        <v>5</v>
      </c>
      <c r="C934">
        <v>80</v>
      </c>
      <c r="D934">
        <v>161.71700000000001</v>
      </c>
    </row>
    <row r="935" spans="1:4" x14ac:dyDescent="0.25">
      <c r="A935" t="s">
        <v>4</v>
      </c>
      <c r="B935" t="s">
        <v>5</v>
      </c>
      <c r="C935">
        <v>80</v>
      </c>
      <c r="D935">
        <v>142.76900000000001</v>
      </c>
    </row>
    <row r="936" spans="1:4" x14ac:dyDescent="0.25">
      <c r="A936" t="s">
        <v>4</v>
      </c>
      <c r="B936" t="s">
        <v>5</v>
      </c>
      <c r="C936">
        <v>80</v>
      </c>
      <c r="D936">
        <v>144.59800000000001</v>
      </c>
    </row>
    <row r="937" spans="1:4" x14ac:dyDescent="0.25">
      <c r="A937" t="s">
        <v>4</v>
      </c>
      <c r="B937" t="s">
        <v>5</v>
      </c>
      <c r="C937">
        <v>80</v>
      </c>
      <c r="D937">
        <v>162.46899999999999</v>
      </c>
    </row>
    <row r="938" spans="1:4" x14ac:dyDescent="0.25">
      <c r="A938" t="s">
        <v>4</v>
      </c>
      <c r="B938" t="s">
        <v>5</v>
      </c>
      <c r="C938">
        <v>80</v>
      </c>
      <c r="D938">
        <v>155.86199999999999</v>
      </c>
    </row>
    <row r="939" spans="1:4" x14ac:dyDescent="0.25">
      <c r="A939" t="s">
        <v>4</v>
      </c>
      <c r="B939" t="s">
        <v>5</v>
      </c>
      <c r="C939">
        <v>80</v>
      </c>
      <c r="D939">
        <v>153.49799999999999</v>
      </c>
    </row>
    <row r="940" spans="1:4" x14ac:dyDescent="0.25">
      <c r="A940" t="s">
        <v>4</v>
      </c>
      <c r="B940" t="s">
        <v>5</v>
      </c>
      <c r="C940">
        <v>80</v>
      </c>
      <c r="D940">
        <v>139.477</v>
      </c>
    </row>
    <row r="941" spans="1:4" x14ac:dyDescent="0.25">
      <c r="A941" t="s">
        <v>4</v>
      </c>
      <c r="B941" t="s">
        <v>5</v>
      </c>
      <c r="C941">
        <v>80</v>
      </c>
      <c r="D941">
        <v>153.25399999999999</v>
      </c>
    </row>
    <row r="942" spans="1:4" x14ac:dyDescent="0.25">
      <c r="A942" t="s">
        <v>4</v>
      </c>
      <c r="B942" t="s">
        <v>5</v>
      </c>
      <c r="C942">
        <v>80</v>
      </c>
      <c r="D942">
        <v>161.571</v>
      </c>
    </row>
    <row r="943" spans="1:4" x14ac:dyDescent="0.25">
      <c r="A943" t="s">
        <v>4</v>
      </c>
      <c r="B943" t="s">
        <v>5</v>
      </c>
      <c r="C943">
        <v>80</v>
      </c>
      <c r="D943">
        <v>141.91399999999999</v>
      </c>
    </row>
    <row r="944" spans="1:4" x14ac:dyDescent="0.25">
      <c r="A944" t="s">
        <v>4</v>
      </c>
      <c r="B944" t="s">
        <v>5</v>
      </c>
      <c r="C944">
        <v>80</v>
      </c>
      <c r="D944">
        <v>141.45099999999999</v>
      </c>
    </row>
    <row r="945" spans="1:4" x14ac:dyDescent="0.25">
      <c r="A945" t="s">
        <v>4</v>
      </c>
      <c r="B945" t="s">
        <v>5</v>
      </c>
      <c r="C945">
        <v>80</v>
      </c>
      <c r="D945">
        <v>137.62299999999999</v>
      </c>
    </row>
    <row r="946" spans="1:4" x14ac:dyDescent="0.25">
      <c r="A946" t="s">
        <v>4</v>
      </c>
      <c r="B946" t="s">
        <v>5</v>
      </c>
      <c r="C946">
        <v>80</v>
      </c>
      <c r="D946">
        <v>154.352</v>
      </c>
    </row>
    <row r="947" spans="1:4" x14ac:dyDescent="0.25">
      <c r="A947" t="s">
        <v>4</v>
      </c>
      <c r="B947" t="s">
        <v>5</v>
      </c>
      <c r="C947">
        <v>80</v>
      </c>
      <c r="D947">
        <v>157.13399999999999</v>
      </c>
    </row>
    <row r="948" spans="1:4" x14ac:dyDescent="0.25">
      <c r="A948" t="s">
        <v>4</v>
      </c>
      <c r="B948" t="s">
        <v>5</v>
      </c>
      <c r="C948">
        <v>80</v>
      </c>
      <c r="D948">
        <v>138.404</v>
      </c>
    </row>
    <row r="949" spans="1:4" x14ac:dyDescent="0.25">
      <c r="A949" t="s">
        <v>4</v>
      </c>
      <c r="B949" t="s">
        <v>5</v>
      </c>
      <c r="C949">
        <v>80</v>
      </c>
      <c r="D949">
        <v>139.88999999999999</v>
      </c>
    </row>
    <row r="950" spans="1:4" x14ac:dyDescent="0.25">
      <c r="A950" t="s">
        <v>4</v>
      </c>
      <c r="B950" t="s">
        <v>5</v>
      </c>
      <c r="C950">
        <v>80</v>
      </c>
      <c r="D950">
        <v>140.18100000000001</v>
      </c>
    </row>
    <row r="951" spans="1:4" x14ac:dyDescent="0.25">
      <c r="A951" t="s">
        <v>4</v>
      </c>
      <c r="B951" t="s">
        <v>5</v>
      </c>
      <c r="C951">
        <v>80</v>
      </c>
      <c r="D951">
        <v>157.547</v>
      </c>
    </row>
    <row r="952" spans="1:4" x14ac:dyDescent="0.25">
      <c r="A952" t="s">
        <v>4</v>
      </c>
      <c r="B952" t="s">
        <v>5</v>
      </c>
      <c r="C952">
        <v>80</v>
      </c>
      <c r="D952">
        <v>138.33099999999999</v>
      </c>
    </row>
    <row r="953" spans="1:4" x14ac:dyDescent="0.25">
      <c r="A953" t="s">
        <v>4</v>
      </c>
      <c r="B953" t="s">
        <v>5</v>
      </c>
      <c r="C953">
        <v>80</v>
      </c>
      <c r="D953">
        <v>138.816</v>
      </c>
    </row>
    <row r="954" spans="1:4" x14ac:dyDescent="0.25">
      <c r="A954" t="s">
        <v>4</v>
      </c>
      <c r="B954" t="s">
        <v>5</v>
      </c>
      <c r="C954">
        <v>80</v>
      </c>
      <c r="D954">
        <v>134.03899999999999</v>
      </c>
    </row>
    <row r="955" spans="1:4" x14ac:dyDescent="0.25">
      <c r="A955" t="s">
        <v>4</v>
      </c>
      <c r="B955" t="s">
        <v>5</v>
      </c>
      <c r="C955">
        <v>80</v>
      </c>
      <c r="D955">
        <v>141.67099999999999</v>
      </c>
    </row>
    <row r="956" spans="1:4" x14ac:dyDescent="0.25">
      <c r="A956" t="s">
        <v>4</v>
      </c>
      <c r="B956" t="s">
        <v>5</v>
      </c>
      <c r="C956">
        <v>80</v>
      </c>
      <c r="D956">
        <v>135.768</v>
      </c>
    </row>
    <row r="957" spans="1:4" x14ac:dyDescent="0.25">
      <c r="A957" t="s">
        <v>4</v>
      </c>
      <c r="B957" t="s">
        <v>5</v>
      </c>
      <c r="C957">
        <v>80</v>
      </c>
      <c r="D957">
        <v>165.05799999999999</v>
      </c>
    </row>
    <row r="958" spans="1:4" x14ac:dyDescent="0.25">
      <c r="A958" t="s">
        <v>4</v>
      </c>
      <c r="B958" t="s">
        <v>5</v>
      </c>
      <c r="C958">
        <v>80</v>
      </c>
      <c r="D958">
        <v>157.47300000000001</v>
      </c>
    </row>
    <row r="959" spans="1:4" x14ac:dyDescent="0.25">
      <c r="A959" t="s">
        <v>4</v>
      </c>
      <c r="B959" t="s">
        <v>5</v>
      </c>
      <c r="C959">
        <v>80</v>
      </c>
      <c r="D959">
        <v>154.13399999999999</v>
      </c>
    </row>
    <row r="960" spans="1:4" x14ac:dyDescent="0.25">
      <c r="A960" t="s">
        <v>4</v>
      </c>
      <c r="B960" t="s">
        <v>5</v>
      </c>
      <c r="C960">
        <v>80</v>
      </c>
      <c r="D960">
        <v>167.27600000000001</v>
      </c>
    </row>
    <row r="961" spans="1:4" x14ac:dyDescent="0.25">
      <c r="A961" t="s">
        <v>4</v>
      </c>
      <c r="B961" t="s">
        <v>5</v>
      </c>
      <c r="C961">
        <v>80</v>
      </c>
      <c r="D961">
        <v>121.309</v>
      </c>
    </row>
    <row r="962" spans="1:4" x14ac:dyDescent="0.25">
      <c r="A962" t="s">
        <v>4</v>
      </c>
      <c r="B962" t="s">
        <v>5</v>
      </c>
      <c r="C962">
        <v>80</v>
      </c>
      <c r="D962">
        <v>129.601</v>
      </c>
    </row>
    <row r="963" spans="1:4" x14ac:dyDescent="0.25">
      <c r="A963" t="s">
        <v>4</v>
      </c>
      <c r="B963" t="s">
        <v>5</v>
      </c>
      <c r="C963">
        <v>80</v>
      </c>
      <c r="D963">
        <v>172.227</v>
      </c>
    </row>
    <row r="964" spans="1:4" x14ac:dyDescent="0.25">
      <c r="A964" t="s">
        <v>4</v>
      </c>
      <c r="B964" t="s">
        <v>5</v>
      </c>
      <c r="C964">
        <v>80</v>
      </c>
      <c r="D964">
        <v>125.67400000000001</v>
      </c>
    </row>
    <row r="965" spans="1:4" x14ac:dyDescent="0.25">
      <c r="A965" t="s">
        <v>4</v>
      </c>
      <c r="B965" t="s">
        <v>5</v>
      </c>
      <c r="C965">
        <v>80</v>
      </c>
      <c r="D965">
        <v>133.11199999999999</v>
      </c>
    </row>
    <row r="966" spans="1:4" x14ac:dyDescent="0.25">
      <c r="A966" t="s">
        <v>4</v>
      </c>
      <c r="B966" t="s">
        <v>5</v>
      </c>
      <c r="C966">
        <v>80</v>
      </c>
      <c r="D966">
        <v>153.47300000000001</v>
      </c>
    </row>
    <row r="967" spans="1:4" x14ac:dyDescent="0.25">
      <c r="A967" t="s">
        <v>4</v>
      </c>
      <c r="B967" t="s">
        <v>5</v>
      </c>
      <c r="C967">
        <v>80</v>
      </c>
      <c r="D967">
        <v>141.477</v>
      </c>
    </row>
    <row r="968" spans="1:4" x14ac:dyDescent="0.25">
      <c r="A968" t="s">
        <v>4</v>
      </c>
      <c r="B968" t="s">
        <v>5</v>
      </c>
      <c r="C968">
        <v>80</v>
      </c>
      <c r="D968">
        <v>136.67099999999999</v>
      </c>
    </row>
    <row r="969" spans="1:4" x14ac:dyDescent="0.25">
      <c r="A969" t="s">
        <v>4</v>
      </c>
      <c r="B969" t="s">
        <v>5</v>
      </c>
      <c r="C969">
        <v>80</v>
      </c>
      <c r="D969">
        <v>163.571</v>
      </c>
    </row>
    <row r="970" spans="1:4" x14ac:dyDescent="0.25">
      <c r="A970" t="s">
        <v>4</v>
      </c>
      <c r="B970" t="s">
        <v>5</v>
      </c>
      <c r="C970">
        <v>80</v>
      </c>
      <c r="D970">
        <v>156.571</v>
      </c>
    </row>
    <row r="971" spans="1:4" x14ac:dyDescent="0.25">
      <c r="A971" t="s">
        <v>4</v>
      </c>
      <c r="B971" t="s">
        <v>5</v>
      </c>
      <c r="C971">
        <v>80</v>
      </c>
      <c r="D971">
        <v>155.54599999999999</v>
      </c>
    </row>
    <row r="972" spans="1:4" x14ac:dyDescent="0.25">
      <c r="A972" t="s">
        <v>4</v>
      </c>
      <c r="B972" t="s">
        <v>5</v>
      </c>
      <c r="C972">
        <v>80</v>
      </c>
      <c r="D972">
        <v>171.499</v>
      </c>
    </row>
    <row r="973" spans="1:4" x14ac:dyDescent="0.25">
      <c r="A973" t="s">
        <v>4</v>
      </c>
      <c r="B973" t="s">
        <v>5</v>
      </c>
      <c r="C973">
        <v>80</v>
      </c>
      <c r="D973">
        <v>136.208</v>
      </c>
    </row>
    <row r="974" spans="1:4" x14ac:dyDescent="0.25">
      <c r="A974" t="s">
        <v>4</v>
      </c>
      <c r="B974" t="s">
        <v>5</v>
      </c>
      <c r="C974">
        <v>80</v>
      </c>
      <c r="D974">
        <v>156.279</v>
      </c>
    </row>
    <row r="975" spans="1:4" x14ac:dyDescent="0.25">
      <c r="A975" t="s">
        <v>4</v>
      </c>
      <c r="B975" t="s">
        <v>5</v>
      </c>
      <c r="C975">
        <v>80</v>
      </c>
      <c r="D975">
        <v>134.67400000000001</v>
      </c>
    </row>
    <row r="976" spans="1:4" x14ac:dyDescent="0.25">
      <c r="A976" t="s">
        <v>4</v>
      </c>
      <c r="B976" t="s">
        <v>5</v>
      </c>
      <c r="C976">
        <v>80</v>
      </c>
      <c r="D976">
        <v>127.67400000000001</v>
      </c>
    </row>
    <row r="977" spans="1:4" x14ac:dyDescent="0.25">
      <c r="A977" t="s">
        <v>4</v>
      </c>
      <c r="B977" t="s">
        <v>5</v>
      </c>
      <c r="C977">
        <v>80</v>
      </c>
      <c r="D977">
        <v>136.185</v>
      </c>
    </row>
    <row r="978" spans="1:4" x14ac:dyDescent="0.25">
      <c r="A978" t="s">
        <v>4</v>
      </c>
      <c r="B978" t="s">
        <v>5</v>
      </c>
      <c r="C978">
        <v>80</v>
      </c>
      <c r="D978">
        <v>134.11199999999999</v>
      </c>
    </row>
    <row r="979" spans="1:4" x14ac:dyDescent="0.25">
      <c r="A979" t="s">
        <v>4</v>
      </c>
      <c r="B979" t="s">
        <v>5</v>
      </c>
      <c r="C979">
        <v>80</v>
      </c>
      <c r="D979">
        <v>165.12899999999999</v>
      </c>
    </row>
    <row r="980" spans="1:4" x14ac:dyDescent="0.25">
      <c r="A980" t="s">
        <v>4</v>
      </c>
      <c r="B980" t="s">
        <v>5</v>
      </c>
      <c r="C980">
        <v>80</v>
      </c>
      <c r="D980">
        <v>155.18199999999999</v>
      </c>
    </row>
    <row r="981" spans="1:4" x14ac:dyDescent="0.25">
      <c r="A981" t="s">
        <v>4</v>
      </c>
      <c r="B981" t="s">
        <v>5</v>
      </c>
      <c r="C981">
        <v>80</v>
      </c>
      <c r="D981">
        <v>159.44800000000001</v>
      </c>
    </row>
    <row r="982" spans="1:4" x14ac:dyDescent="0.25">
      <c r="A982" t="s">
        <v>4</v>
      </c>
      <c r="B982" t="s">
        <v>5</v>
      </c>
      <c r="C982">
        <v>80</v>
      </c>
      <c r="D982">
        <v>160.71700000000001</v>
      </c>
    </row>
    <row r="983" spans="1:4" x14ac:dyDescent="0.25">
      <c r="A983" t="s">
        <v>4</v>
      </c>
      <c r="B983" t="s">
        <v>5</v>
      </c>
      <c r="C983">
        <v>80</v>
      </c>
      <c r="D983">
        <v>132.404</v>
      </c>
    </row>
    <row r="984" spans="1:4" x14ac:dyDescent="0.25">
      <c r="A984" t="s">
        <v>4</v>
      </c>
      <c r="B984" t="s">
        <v>5</v>
      </c>
      <c r="C984">
        <v>80</v>
      </c>
      <c r="D984">
        <v>164.46899999999999</v>
      </c>
    </row>
    <row r="985" spans="1:4" x14ac:dyDescent="0.25">
      <c r="A985" t="s">
        <v>4</v>
      </c>
      <c r="B985" t="s">
        <v>5</v>
      </c>
      <c r="C985">
        <v>80</v>
      </c>
      <c r="D985">
        <v>150.84100000000001</v>
      </c>
    </row>
    <row r="986" spans="1:4" x14ac:dyDescent="0.25">
      <c r="A986" t="s">
        <v>4</v>
      </c>
      <c r="B986" t="s">
        <v>5</v>
      </c>
      <c r="C986">
        <v>80</v>
      </c>
      <c r="D986">
        <v>131.25700000000001</v>
      </c>
    </row>
    <row r="987" spans="1:4" x14ac:dyDescent="0.25">
      <c r="A987" t="s">
        <v>4</v>
      </c>
      <c r="B987" t="s">
        <v>5</v>
      </c>
      <c r="C987">
        <v>80</v>
      </c>
      <c r="D987">
        <v>154.20699999999999</v>
      </c>
    </row>
    <row r="988" spans="1:4" x14ac:dyDescent="0.25">
      <c r="A988" t="s">
        <v>4</v>
      </c>
      <c r="B988" t="s">
        <v>5</v>
      </c>
      <c r="C988">
        <v>80</v>
      </c>
      <c r="D988">
        <v>122.455</v>
      </c>
    </row>
    <row r="989" spans="1:4" x14ac:dyDescent="0.25">
      <c r="A989" t="s">
        <v>4</v>
      </c>
      <c r="B989" t="s">
        <v>5</v>
      </c>
      <c r="C989">
        <v>80</v>
      </c>
      <c r="D989">
        <v>118.38200000000001</v>
      </c>
    </row>
    <row r="990" spans="1:4" x14ac:dyDescent="0.25">
      <c r="A990" t="s">
        <v>4</v>
      </c>
      <c r="B990" t="s">
        <v>5</v>
      </c>
      <c r="C990">
        <v>80</v>
      </c>
      <c r="D990">
        <v>148.011</v>
      </c>
    </row>
    <row r="991" spans="1:4" x14ac:dyDescent="0.25">
      <c r="A991" t="s">
        <v>4</v>
      </c>
      <c r="B991" t="s">
        <v>5</v>
      </c>
      <c r="C991">
        <v>80</v>
      </c>
      <c r="D991">
        <v>164.83799999999999</v>
      </c>
    </row>
    <row r="992" spans="1:4" x14ac:dyDescent="0.25">
      <c r="A992" t="s">
        <v>4</v>
      </c>
      <c r="B992" t="s">
        <v>5</v>
      </c>
      <c r="C992">
        <v>80</v>
      </c>
      <c r="D992">
        <v>143.84200000000001</v>
      </c>
    </row>
    <row r="993" spans="1:4" x14ac:dyDescent="0.25">
      <c r="A993" t="s">
        <v>4</v>
      </c>
      <c r="B993" t="s">
        <v>5</v>
      </c>
      <c r="C993">
        <v>80</v>
      </c>
      <c r="D993">
        <v>153.69200000000001</v>
      </c>
    </row>
    <row r="994" spans="1:4" x14ac:dyDescent="0.25">
      <c r="A994" t="s">
        <v>4</v>
      </c>
      <c r="B994" t="s">
        <v>5</v>
      </c>
      <c r="C994">
        <v>80</v>
      </c>
      <c r="D994">
        <v>120.455</v>
      </c>
    </row>
    <row r="995" spans="1:4" x14ac:dyDescent="0.25">
      <c r="A995" t="s">
        <v>4</v>
      </c>
      <c r="B995" t="s">
        <v>5</v>
      </c>
      <c r="C995">
        <v>80</v>
      </c>
      <c r="D995">
        <v>152.327</v>
      </c>
    </row>
    <row r="996" spans="1:4" x14ac:dyDescent="0.25">
      <c r="A996" t="s">
        <v>4</v>
      </c>
      <c r="B996" t="s">
        <v>5</v>
      </c>
      <c r="C996">
        <v>80</v>
      </c>
      <c r="D996">
        <v>149.83699999999999</v>
      </c>
    </row>
    <row r="997" spans="1:4" x14ac:dyDescent="0.25">
      <c r="A997" t="s">
        <v>4</v>
      </c>
      <c r="B997" t="s">
        <v>5</v>
      </c>
      <c r="C997">
        <v>80</v>
      </c>
      <c r="D997">
        <v>160.13</v>
      </c>
    </row>
    <row r="998" spans="1:4" x14ac:dyDescent="0.25">
      <c r="A998" t="s">
        <v>4</v>
      </c>
      <c r="B998" t="s">
        <v>5</v>
      </c>
      <c r="C998">
        <v>80</v>
      </c>
      <c r="D998">
        <v>144.54900000000001</v>
      </c>
    </row>
    <row r="999" spans="1:4" x14ac:dyDescent="0.25">
      <c r="A999" t="s">
        <v>4</v>
      </c>
      <c r="B999" t="s">
        <v>5</v>
      </c>
      <c r="C999">
        <v>80</v>
      </c>
      <c r="D999">
        <v>119.38200000000001</v>
      </c>
    </row>
    <row r="1000" spans="1:4" x14ac:dyDescent="0.25">
      <c r="A1000" t="s">
        <v>4</v>
      </c>
      <c r="B1000" t="s">
        <v>5</v>
      </c>
      <c r="C1000">
        <v>80</v>
      </c>
      <c r="D1000">
        <v>144.81700000000001</v>
      </c>
    </row>
    <row r="1001" spans="1:4" x14ac:dyDescent="0.25">
      <c r="A1001" t="s">
        <v>4</v>
      </c>
      <c r="B1001" t="s">
        <v>5</v>
      </c>
      <c r="C1001">
        <v>80</v>
      </c>
      <c r="D1001">
        <v>162.76499999999999</v>
      </c>
    </row>
    <row r="1002" spans="1:4" x14ac:dyDescent="0.25">
      <c r="A1002" t="s">
        <v>4</v>
      </c>
      <c r="B1002" t="s">
        <v>5</v>
      </c>
      <c r="C1002">
        <v>100</v>
      </c>
      <c r="D1002">
        <v>169.46899999999999</v>
      </c>
    </row>
    <row r="1003" spans="1:4" x14ac:dyDescent="0.25">
      <c r="A1003" t="s">
        <v>4</v>
      </c>
      <c r="B1003" t="s">
        <v>5</v>
      </c>
      <c r="C1003">
        <v>100</v>
      </c>
      <c r="D1003">
        <v>175.34800000000001</v>
      </c>
    </row>
    <row r="1004" spans="1:4" x14ac:dyDescent="0.25">
      <c r="A1004" t="s">
        <v>4</v>
      </c>
      <c r="B1004" t="s">
        <v>5</v>
      </c>
      <c r="C1004">
        <v>100</v>
      </c>
      <c r="D1004">
        <v>188.86</v>
      </c>
    </row>
    <row r="1005" spans="1:4" x14ac:dyDescent="0.25">
      <c r="A1005" t="s">
        <v>4</v>
      </c>
      <c r="B1005" t="s">
        <v>5</v>
      </c>
      <c r="C1005">
        <v>100</v>
      </c>
      <c r="D1005">
        <v>173.053</v>
      </c>
    </row>
    <row r="1006" spans="1:4" x14ac:dyDescent="0.25">
      <c r="A1006" t="s">
        <v>4</v>
      </c>
      <c r="B1006" t="s">
        <v>5</v>
      </c>
      <c r="C1006">
        <v>100</v>
      </c>
      <c r="D1006">
        <v>166.761</v>
      </c>
    </row>
    <row r="1007" spans="1:4" x14ac:dyDescent="0.25">
      <c r="A1007" t="s">
        <v>4</v>
      </c>
      <c r="B1007" t="s">
        <v>5</v>
      </c>
      <c r="C1007">
        <v>100</v>
      </c>
      <c r="D1007">
        <v>183.345</v>
      </c>
    </row>
    <row r="1008" spans="1:4" x14ac:dyDescent="0.25">
      <c r="A1008" t="s">
        <v>4</v>
      </c>
      <c r="B1008" t="s">
        <v>5</v>
      </c>
      <c r="C1008">
        <v>100</v>
      </c>
      <c r="D1008">
        <v>182.84200000000001</v>
      </c>
    </row>
    <row r="1009" spans="1:4" x14ac:dyDescent="0.25">
      <c r="A1009" t="s">
        <v>4</v>
      </c>
      <c r="B1009" t="s">
        <v>5</v>
      </c>
      <c r="C1009">
        <v>100</v>
      </c>
      <c r="D1009">
        <v>163.98400000000001</v>
      </c>
    </row>
    <row r="1010" spans="1:4" x14ac:dyDescent="0.25">
      <c r="A1010" t="s">
        <v>4</v>
      </c>
      <c r="B1010" t="s">
        <v>5</v>
      </c>
      <c r="C1010">
        <v>100</v>
      </c>
      <c r="D1010">
        <v>176.203</v>
      </c>
    </row>
    <row r="1011" spans="1:4" x14ac:dyDescent="0.25">
      <c r="A1011" t="s">
        <v>4</v>
      </c>
      <c r="B1011" t="s">
        <v>5</v>
      </c>
      <c r="C1011">
        <v>100</v>
      </c>
      <c r="D1011">
        <v>169.619</v>
      </c>
    </row>
    <row r="1012" spans="1:4" x14ac:dyDescent="0.25">
      <c r="A1012" t="s">
        <v>4</v>
      </c>
      <c r="B1012" t="s">
        <v>5</v>
      </c>
      <c r="C1012">
        <v>100</v>
      </c>
      <c r="D1012">
        <v>198.56399999999999</v>
      </c>
    </row>
    <row r="1013" spans="1:4" x14ac:dyDescent="0.25">
      <c r="A1013" t="s">
        <v>4</v>
      </c>
      <c r="B1013" t="s">
        <v>5</v>
      </c>
      <c r="C1013">
        <v>100</v>
      </c>
      <c r="D1013">
        <v>198.85599999999999</v>
      </c>
    </row>
    <row r="1014" spans="1:4" x14ac:dyDescent="0.25">
      <c r="A1014" t="s">
        <v>4</v>
      </c>
      <c r="B1014" t="s">
        <v>5</v>
      </c>
      <c r="C1014">
        <v>100</v>
      </c>
      <c r="D1014">
        <v>165.79</v>
      </c>
    </row>
    <row r="1015" spans="1:4" x14ac:dyDescent="0.25">
      <c r="A1015" t="s">
        <v>4</v>
      </c>
      <c r="B1015" t="s">
        <v>5</v>
      </c>
      <c r="C1015">
        <v>100</v>
      </c>
      <c r="D1015">
        <v>182.273</v>
      </c>
    </row>
    <row r="1016" spans="1:4" x14ac:dyDescent="0.25">
      <c r="A1016" t="s">
        <v>4</v>
      </c>
      <c r="B1016" t="s">
        <v>5</v>
      </c>
      <c r="C1016">
        <v>100</v>
      </c>
      <c r="D1016">
        <v>179.68899999999999</v>
      </c>
    </row>
    <row r="1017" spans="1:4" x14ac:dyDescent="0.25">
      <c r="A1017" t="s">
        <v>4</v>
      </c>
      <c r="B1017" t="s">
        <v>5</v>
      </c>
      <c r="C1017">
        <v>100</v>
      </c>
      <c r="D1017">
        <v>147.91399999999999</v>
      </c>
    </row>
    <row r="1018" spans="1:4" x14ac:dyDescent="0.25">
      <c r="A1018" t="s">
        <v>4</v>
      </c>
      <c r="B1018" t="s">
        <v>5</v>
      </c>
      <c r="C1018">
        <v>100</v>
      </c>
      <c r="D1018">
        <v>190.63800000000001</v>
      </c>
    </row>
    <row r="1019" spans="1:4" x14ac:dyDescent="0.25">
      <c r="A1019" t="s">
        <v>4</v>
      </c>
      <c r="B1019" t="s">
        <v>5</v>
      </c>
      <c r="C1019">
        <v>100</v>
      </c>
      <c r="D1019">
        <v>175.98</v>
      </c>
    </row>
    <row r="1020" spans="1:4" x14ac:dyDescent="0.25">
      <c r="A1020" t="s">
        <v>4</v>
      </c>
      <c r="B1020" t="s">
        <v>5</v>
      </c>
      <c r="C1020">
        <v>100</v>
      </c>
      <c r="D1020">
        <v>196.839</v>
      </c>
    </row>
    <row r="1021" spans="1:4" x14ac:dyDescent="0.25">
      <c r="A1021" t="s">
        <v>4</v>
      </c>
      <c r="B1021" t="s">
        <v>5</v>
      </c>
      <c r="C1021">
        <v>100</v>
      </c>
      <c r="D1021">
        <v>205.148</v>
      </c>
    </row>
    <row r="1022" spans="1:4" x14ac:dyDescent="0.25">
      <c r="A1022" t="s">
        <v>4</v>
      </c>
      <c r="B1022" t="s">
        <v>5</v>
      </c>
      <c r="C1022">
        <v>100</v>
      </c>
      <c r="D1022">
        <v>184.328</v>
      </c>
    </row>
    <row r="1023" spans="1:4" x14ac:dyDescent="0.25">
      <c r="A1023" t="s">
        <v>4</v>
      </c>
      <c r="B1023" t="s">
        <v>5</v>
      </c>
      <c r="C1023">
        <v>100</v>
      </c>
      <c r="D1023">
        <v>180.34899999999999</v>
      </c>
    </row>
    <row r="1024" spans="1:4" x14ac:dyDescent="0.25">
      <c r="A1024" t="s">
        <v>4</v>
      </c>
      <c r="B1024" t="s">
        <v>5</v>
      </c>
      <c r="C1024">
        <v>100</v>
      </c>
      <c r="D1024">
        <v>163.83799999999999</v>
      </c>
    </row>
    <row r="1025" spans="1:4" x14ac:dyDescent="0.25">
      <c r="A1025" t="s">
        <v>4</v>
      </c>
      <c r="B1025" t="s">
        <v>5</v>
      </c>
      <c r="C1025">
        <v>100</v>
      </c>
      <c r="D1025">
        <v>166.81399999999999</v>
      </c>
    </row>
    <row r="1026" spans="1:4" x14ac:dyDescent="0.25">
      <c r="A1026" t="s">
        <v>4</v>
      </c>
      <c r="B1026" t="s">
        <v>5</v>
      </c>
      <c r="C1026">
        <v>100</v>
      </c>
      <c r="D1026">
        <v>168.71700000000001</v>
      </c>
    </row>
    <row r="1027" spans="1:4" x14ac:dyDescent="0.25">
      <c r="A1027" t="s">
        <v>4</v>
      </c>
      <c r="B1027" t="s">
        <v>5</v>
      </c>
      <c r="C1027">
        <v>100</v>
      </c>
      <c r="D1027">
        <v>177.54300000000001</v>
      </c>
    </row>
    <row r="1028" spans="1:4" x14ac:dyDescent="0.25">
      <c r="A1028" t="s">
        <v>4</v>
      </c>
      <c r="B1028" t="s">
        <v>5</v>
      </c>
      <c r="C1028">
        <v>100</v>
      </c>
      <c r="D1028">
        <v>174.054</v>
      </c>
    </row>
    <row r="1029" spans="1:4" x14ac:dyDescent="0.25">
      <c r="A1029" t="s">
        <v>4</v>
      </c>
      <c r="B1029" t="s">
        <v>5</v>
      </c>
      <c r="C1029">
        <v>100</v>
      </c>
      <c r="D1029">
        <v>195.07499999999999</v>
      </c>
    </row>
    <row r="1030" spans="1:4" x14ac:dyDescent="0.25">
      <c r="A1030" t="s">
        <v>4</v>
      </c>
      <c r="B1030" t="s">
        <v>5</v>
      </c>
      <c r="C1030">
        <v>100</v>
      </c>
      <c r="D1030">
        <v>168.83799999999999</v>
      </c>
    </row>
    <row r="1031" spans="1:4" x14ac:dyDescent="0.25">
      <c r="A1031" t="s">
        <v>4</v>
      </c>
      <c r="B1031" t="s">
        <v>5</v>
      </c>
      <c r="C1031">
        <v>100</v>
      </c>
      <c r="D1031">
        <v>142.62299999999999</v>
      </c>
    </row>
    <row r="1032" spans="1:4" x14ac:dyDescent="0.25">
      <c r="A1032" t="s">
        <v>4</v>
      </c>
      <c r="B1032" t="s">
        <v>5</v>
      </c>
      <c r="C1032">
        <v>100</v>
      </c>
      <c r="D1032">
        <v>221.12799999999999</v>
      </c>
    </row>
    <row r="1033" spans="1:4" x14ac:dyDescent="0.25">
      <c r="A1033" t="s">
        <v>4</v>
      </c>
      <c r="B1033" t="s">
        <v>5</v>
      </c>
      <c r="C1033">
        <v>100</v>
      </c>
      <c r="D1033">
        <v>201.44</v>
      </c>
    </row>
    <row r="1034" spans="1:4" x14ac:dyDescent="0.25">
      <c r="A1034" t="s">
        <v>4</v>
      </c>
      <c r="B1034" t="s">
        <v>5</v>
      </c>
      <c r="C1034">
        <v>100</v>
      </c>
      <c r="D1034">
        <v>179.98099999999999</v>
      </c>
    </row>
    <row r="1035" spans="1:4" x14ac:dyDescent="0.25">
      <c r="A1035" t="s">
        <v>4</v>
      </c>
      <c r="B1035" t="s">
        <v>5</v>
      </c>
      <c r="C1035">
        <v>100</v>
      </c>
      <c r="D1035">
        <v>151.667</v>
      </c>
    </row>
    <row r="1036" spans="1:4" x14ac:dyDescent="0.25">
      <c r="A1036" t="s">
        <v>4</v>
      </c>
      <c r="B1036" t="s">
        <v>5</v>
      </c>
      <c r="C1036">
        <v>100</v>
      </c>
      <c r="D1036">
        <v>172.08199999999999</v>
      </c>
    </row>
    <row r="1037" spans="1:4" x14ac:dyDescent="0.25">
      <c r="A1037" t="s">
        <v>4</v>
      </c>
      <c r="B1037" t="s">
        <v>5</v>
      </c>
      <c r="C1037">
        <v>100</v>
      </c>
      <c r="D1037">
        <v>174.27600000000001</v>
      </c>
    </row>
    <row r="1038" spans="1:4" x14ac:dyDescent="0.25">
      <c r="A1038" t="s">
        <v>4</v>
      </c>
      <c r="B1038" t="s">
        <v>5</v>
      </c>
      <c r="C1038">
        <v>100</v>
      </c>
      <c r="D1038">
        <v>161.643</v>
      </c>
    </row>
    <row r="1039" spans="1:4" x14ac:dyDescent="0.25">
      <c r="A1039" t="s">
        <v>4</v>
      </c>
      <c r="B1039" t="s">
        <v>5</v>
      </c>
      <c r="C1039">
        <v>100</v>
      </c>
      <c r="D1039">
        <v>193.35</v>
      </c>
    </row>
    <row r="1040" spans="1:4" x14ac:dyDescent="0.25">
      <c r="A1040" t="s">
        <v>4</v>
      </c>
      <c r="B1040" t="s">
        <v>5</v>
      </c>
      <c r="C1040">
        <v>100</v>
      </c>
      <c r="D1040">
        <v>169.786</v>
      </c>
    </row>
    <row r="1041" spans="1:4" x14ac:dyDescent="0.25">
      <c r="A1041" t="s">
        <v>4</v>
      </c>
      <c r="B1041" t="s">
        <v>5</v>
      </c>
      <c r="C1041">
        <v>100</v>
      </c>
      <c r="D1041">
        <v>167.10499999999999</v>
      </c>
    </row>
    <row r="1042" spans="1:4" x14ac:dyDescent="0.25">
      <c r="A1042" t="s">
        <v>4</v>
      </c>
      <c r="B1042" t="s">
        <v>5</v>
      </c>
      <c r="C1042">
        <v>100</v>
      </c>
      <c r="D1042">
        <v>173.911</v>
      </c>
    </row>
    <row r="1043" spans="1:4" x14ac:dyDescent="0.25">
      <c r="A1043" t="s">
        <v>4</v>
      </c>
      <c r="B1043" t="s">
        <v>5</v>
      </c>
      <c r="C1043">
        <v>100</v>
      </c>
      <c r="D1043">
        <v>183.126</v>
      </c>
    </row>
    <row r="1044" spans="1:4" x14ac:dyDescent="0.25">
      <c r="A1044" t="s">
        <v>4</v>
      </c>
      <c r="B1044" t="s">
        <v>5</v>
      </c>
      <c r="C1044">
        <v>100</v>
      </c>
      <c r="D1044">
        <v>191.00200000000001</v>
      </c>
    </row>
    <row r="1045" spans="1:4" x14ac:dyDescent="0.25">
      <c r="A1045" t="s">
        <v>4</v>
      </c>
      <c r="B1045" t="s">
        <v>5</v>
      </c>
      <c r="C1045">
        <v>100</v>
      </c>
      <c r="D1045">
        <v>188.126</v>
      </c>
    </row>
    <row r="1046" spans="1:4" x14ac:dyDescent="0.25">
      <c r="A1046" t="s">
        <v>4</v>
      </c>
      <c r="B1046" t="s">
        <v>5</v>
      </c>
      <c r="C1046">
        <v>100</v>
      </c>
      <c r="D1046">
        <v>184.345</v>
      </c>
    </row>
    <row r="1047" spans="1:4" x14ac:dyDescent="0.25">
      <c r="A1047" t="s">
        <v>4</v>
      </c>
      <c r="B1047" t="s">
        <v>5</v>
      </c>
      <c r="C1047">
        <v>100</v>
      </c>
      <c r="D1047">
        <v>182.78299999999999</v>
      </c>
    </row>
    <row r="1048" spans="1:4" x14ac:dyDescent="0.25">
      <c r="A1048" t="s">
        <v>4</v>
      </c>
      <c r="B1048" t="s">
        <v>5</v>
      </c>
      <c r="C1048">
        <v>100</v>
      </c>
      <c r="D1048">
        <v>164.18199999999999</v>
      </c>
    </row>
    <row r="1049" spans="1:4" x14ac:dyDescent="0.25">
      <c r="A1049" t="s">
        <v>4</v>
      </c>
      <c r="B1049" t="s">
        <v>5</v>
      </c>
      <c r="C1049">
        <v>100</v>
      </c>
      <c r="D1049">
        <v>193.20400000000001</v>
      </c>
    </row>
    <row r="1050" spans="1:4" x14ac:dyDescent="0.25">
      <c r="A1050" t="s">
        <v>4</v>
      </c>
      <c r="B1050" t="s">
        <v>5</v>
      </c>
      <c r="C1050">
        <v>100</v>
      </c>
      <c r="D1050">
        <v>150.036</v>
      </c>
    </row>
    <row r="1051" spans="1:4" x14ac:dyDescent="0.25">
      <c r="A1051" t="s">
        <v>4</v>
      </c>
      <c r="B1051" t="s">
        <v>5</v>
      </c>
      <c r="C1051">
        <v>100</v>
      </c>
      <c r="D1051">
        <v>189.37</v>
      </c>
    </row>
    <row r="1052" spans="1:4" x14ac:dyDescent="0.25">
      <c r="A1052" t="s">
        <v>4</v>
      </c>
      <c r="B1052" t="s">
        <v>5</v>
      </c>
      <c r="C1052">
        <v>100</v>
      </c>
      <c r="D1052">
        <v>162.34800000000001</v>
      </c>
    </row>
    <row r="1053" spans="1:4" x14ac:dyDescent="0.25">
      <c r="A1053" t="s">
        <v>4</v>
      </c>
      <c r="B1053" t="s">
        <v>5</v>
      </c>
      <c r="C1053">
        <v>100</v>
      </c>
      <c r="D1053">
        <v>186.71</v>
      </c>
    </row>
    <row r="1054" spans="1:4" x14ac:dyDescent="0.25">
      <c r="A1054" t="s">
        <v>4</v>
      </c>
      <c r="B1054" t="s">
        <v>5</v>
      </c>
      <c r="C1054">
        <v>100</v>
      </c>
      <c r="D1054">
        <v>180.71299999999999</v>
      </c>
    </row>
    <row r="1055" spans="1:4" x14ac:dyDescent="0.25">
      <c r="A1055" t="s">
        <v>4</v>
      </c>
      <c r="B1055" t="s">
        <v>5</v>
      </c>
      <c r="C1055">
        <v>100</v>
      </c>
      <c r="D1055">
        <v>176.06100000000001</v>
      </c>
    </row>
    <row r="1056" spans="1:4" x14ac:dyDescent="0.25">
      <c r="A1056" t="s">
        <v>4</v>
      </c>
      <c r="B1056" t="s">
        <v>5</v>
      </c>
      <c r="C1056">
        <v>100</v>
      </c>
      <c r="D1056">
        <v>171.178</v>
      </c>
    </row>
    <row r="1057" spans="1:4" x14ac:dyDescent="0.25">
      <c r="A1057" t="s">
        <v>4</v>
      </c>
      <c r="B1057" t="s">
        <v>5</v>
      </c>
      <c r="C1057">
        <v>100</v>
      </c>
      <c r="D1057">
        <v>166.12899999999999</v>
      </c>
    </row>
    <row r="1058" spans="1:4" x14ac:dyDescent="0.25">
      <c r="A1058" t="s">
        <v>4</v>
      </c>
      <c r="B1058" t="s">
        <v>5</v>
      </c>
      <c r="C1058">
        <v>100</v>
      </c>
      <c r="D1058">
        <v>183.053</v>
      </c>
    </row>
    <row r="1059" spans="1:4" x14ac:dyDescent="0.25">
      <c r="A1059" t="s">
        <v>4</v>
      </c>
      <c r="B1059" t="s">
        <v>5</v>
      </c>
      <c r="C1059">
        <v>100</v>
      </c>
      <c r="D1059">
        <v>195.19900000000001</v>
      </c>
    </row>
    <row r="1060" spans="1:4" x14ac:dyDescent="0.25">
      <c r="A1060" t="s">
        <v>4</v>
      </c>
      <c r="B1060" t="s">
        <v>5</v>
      </c>
      <c r="C1060">
        <v>100</v>
      </c>
      <c r="D1060">
        <v>178.30099999999999</v>
      </c>
    </row>
    <row r="1061" spans="1:4" x14ac:dyDescent="0.25">
      <c r="A1061" t="s">
        <v>4</v>
      </c>
      <c r="B1061" t="s">
        <v>5</v>
      </c>
      <c r="C1061">
        <v>100</v>
      </c>
      <c r="D1061">
        <v>163.46899999999999</v>
      </c>
    </row>
    <row r="1062" spans="1:4" x14ac:dyDescent="0.25">
      <c r="A1062" t="s">
        <v>4</v>
      </c>
      <c r="B1062" t="s">
        <v>5</v>
      </c>
      <c r="C1062">
        <v>100</v>
      </c>
      <c r="D1062">
        <v>179.12700000000001</v>
      </c>
    </row>
    <row r="1063" spans="1:4" x14ac:dyDescent="0.25">
      <c r="A1063" t="s">
        <v>4</v>
      </c>
      <c r="B1063" t="s">
        <v>5</v>
      </c>
      <c r="C1063">
        <v>100</v>
      </c>
      <c r="D1063">
        <v>192.85599999999999</v>
      </c>
    </row>
    <row r="1064" spans="1:4" x14ac:dyDescent="0.25">
      <c r="A1064" t="s">
        <v>4</v>
      </c>
      <c r="B1064" t="s">
        <v>5</v>
      </c>
      <c r="C1064">
        <v>100</v>
      </c>
      <c r="D1064">
        <v>177.08199999999999</v>
      </c>
    </row>
    <row r="1065" spans="1:4" x14ac:dyDescent="0.25">
      <c r="A1065" t="s">
        <v>4</v>
      </c>
      <c r="B1065" t="s">
        <v>5</v>
      </c>
      <c r="C1065">
        <v>100</v>
      </c>
      <c r="D1065">
        <v>171.32400000000001</v>
      </c>
    </row>
    <row r="1066" spans="1:4" x14ac:dyDescent="0.25">
      <c r="A1066" t="s">
        <v>4</v>
      </c>
      <c r="B1066" t="s">
        <v>5</v>
      </c>
      <c r="C1066">
        <v>100</v>
      </c>
      <c r="D1066">
        <v>173.68899999999999</v>
      </c>
    </row>
    <row r="1067" spans="1:4" x14ac:dyDescent="0.25">
      <c r="A1067" t="s">
        <v>4</v>
      </c>
      <c r="B1067" t="s">
        <v>5</v>
      </c>
      <c r="C1067">
        <v>100</v>
      </c>
      <c r="D1067">
        <v>172.61600000000001</v>
      </c>
    </row>
    <row r="1068" spans="1:4" x14ac:dyDescent="0.25">
      <c r="A1068" t="s">
        <v>4</v>
      </c>
      <c r="B1068" t="s">
        <v>5</v>
      </c>
      <c r="C1068">
        <v>100</v>
      </c>
      <c r="D1068">
        <v>183.91499999999999</v>
      </c>
    </row>
    <row r="1069" spans="1:4" x14ac:dyDescent="0.25">
      <c r="A1069" t="s">
        <v>4</v>
      </c>
      <c r="B1069" t="s">
        <v>5</v>
      </c>
      <c r="C1069">
        <v>100</v>
      </c>
      <c r="D1069">
        <v>188.15199999999999</v>
      </c>
    </row>
    <row r="1070" spans="1:4" x14ac:dyDescent="0.25">
      <c r="A1070" t="s">
        <v>4</v>
      </c>
      <c r="B1070" t="s">
        <v>5</v>
      </c>
      <c r="C1070">
        <v>100</v>
      </c>
      <c r="D1070">
        <v>186.053</v>
      </c>
    </row>
    <row r="1071" spans="1:4" x14ac:dyDescent="0.25">
      <c r="A1071" t="s">
        <v>4</v>
      </c>
      <c r="B1071" t="s">
        <v>5</v>
      </c>
      <c r="C1071">
        <v>100</v>
      </c>
      <c r="D1071">
        <v>191.78299999999999</v>
      </c>
    </row>
    <row r="1072" spans="1:4" x14ac:dyDescent="0.25">
      <c r="A1072" t="s">
        <v>4</v>
      </c>
      <c r="B1072" t="s">
        <v>5</v>
      </c>
      <c r="C1072">
        <v>100</v>
      </c>
      <c r="D1072">
        <v>196.904</v>
      </c>
    </row>
    <row r="1073" spans="1:4" x14ac:dyDescent="0.25">
      <c r="A1073" t="s">
        <v>4</v>
      </c>
      <c r="B1073" t="s">
        <v>5</v>
      </c>
      <c r="C1073">
        <v>100</v>
      </c>
      <c r="D1073">
        <v>187.27199999999999</v>
      </c>
    </row>
    <row r="1074" spans="1:4" x14ac:dyDescent="0.25">
      <c r="A1074" t="s">
        <v>4</v>
      </c>
      <c r="B1074" t="s">
        <v>5</v>
      </c>
      <c r="C1074">
        <v>100</v>
      </c>
      <c r="D1074">
        <v>184.90700000000001</v>
      </c>
    </row>
    <row r="1075" spans="1:4" x14ac:dyDescent="0.25">
      <c r="A1075" t="s">
        <v>4</v>
      </c>
      <c r="B1075" t="s">
        <v>5</v>
      </c>
      <c r="C1075">
        <v>100</v>
      </c>
      <c r="D1075">
        <v>175.98</v>
      </c>
    </row>
    <row r="1076" spans="1:4" x14ac:dyDescent="0.25">
      <c r="A1076" t="s">
        <v>4</v>
      </c>
      <c r="B1076" t="s">
        <v>5</v>
      </c>
      <c r="C1076">
        <v>100</v>
      </c>
      <c r="D1076">
        <v>183.44300000000001</v>
      </c>
    </row>
    <row r="1077" spans="1:4" x14ac:dyDescent="0.25">
      <c r="A1077" t="s">
        <v>4</v>
      </c>
      <c r="B1077" t="s">
        <v>5</v>
      </c>
      <c r="C1077">
        <v>100</v>
      </c>
      <c r="D1077">
        <v>195.19900000000001</v>
      </c>
    </row>
    <row r="1078" spans="1:4" x14ac:dyDescent="0.25">
      <c r="A1078" t="s">
        <v>4</v>
      </c>
      <c r="B1078" t="s">
        <v>5</v>
      </c>
      <c r="C1078">
        <v>100</v>
      </c>
      <c r="D1078">
        <v>178.39599999999999</v>
      </c>
    </row>
    <row r="1079" spans="1:4" x14ac:dyDescent="0.25">
      <c r="A1079" t="s">
        <v>4</v>
      </c>
      <c r="B1079" t="s">
        <v>5</v>
      </c>
      <c r="C1079">
        <v>100</v>
      </c>
      <c r="D1079">
        <v>183.98</v>
      </c>
    </row>
    <row r="1080" spans="1:4" x14ac:dyDescent="0.25">
      <c r="A1080" t="s">
        <v>4</v>
      </c>
      <c r="B1080" t="s">
        <v>5</v>
      </c>
      <c r="C1080">
        <v>100</v>
      </c>
      <c r="D1080">
        <v>202.20500000000001</v>
      </c>
    </row>
    <row r="1081" spans="1:4" x14ac:dyDescent="0.25">
      <c r="A1081" t="s">
        <v>4</v>
      </c>
      <c r="B1081" t="s">
        <v>5</v>
      </c>
      <c r="C1081">
        <v>100</v>
      </c>
      <c r="D1081">
        <v>159.69200000000001</v>
      </c>
    </row>
    <row r="1082" spans="1:4" x14ac:dyDescent="0.25">
      <c r="A1082" t="s">
        <v>4</v>
      </c>
      <c r="B1082" t="s">
        <v>5</v>
      </c>
      <c r="C1082">
        <v>100</v>
      </c>
      <c r="D1082">
        <v>175.834</v>
      </c>
    </row>
    <row r="1083" spans="1:4" x14ac:dyDescent="0.25">
      <c r="A1083" t="s">
        <v>4</v>
      </c>
      <c r="B1083" t="s">
        <v>5</v>
      </c>
      <c r="C1083">
        <v>100</v>
      </c>
      <c r="D1083">
        <v>176.83500000000001</v>
      </c>
    </row>
    <row r="1084" spans="1:4" x14ac:dyDescent="0.25">
      <c r="A1084" t="s">
        <v>4</v>
      </c>
      <c r="B1084" t="s">
        <v>5</v>
      </c>
      <c r="C1084">
        <v>100</v>
      </c>
      <c r="D1084">
        <v>181.346</v>
      </c>
    </row>
    <row r="1085" spans="1:4" x14ac:dyDescent="0.25">
      <c r="A1085" t="s">
        <v>4</v>
      </c>
      <c r="B1085" t="s">
        <v>5</v>
      </c>
      <c r="C1085">
        <v>100</v>
      </c>
      <c r="D1085">
        <v>145.25800000000001</v>
      </c>
    </row>
    <row r="1086" spans="1:4" x14ac:dyDescent="0.25">
      <c r="A1086" t="s">
        <v>4</v>
      </c>
      <c r="B1086" t="s">
        <v>5</v>
      </c>
      <c r="C1086">
        <v>100</v>
      </c>
      <c r="D1086">
        <v>150.06</v>
      </c>
    </row>
    <row r="1087" spans="1:4" x14ac:dyDescent="0.25">
      <c r="A1087" t="s">
        <v>4</v>
      </c>
      <c r="B1087" t="s">
        <v>5</v>
      </c>
      <c r="C1087">
        <v>100</v>
      </c>
      <c r="D1087">
        <v>169.05699999999999</v>
      </c>
    </row>
    <row r="1088" spans="1:4" x14ac:dyDescent="0.25">
      <c r="A1088" t="s">
        <v>4</v>
      </c>
      <c r="B1088" t="s">
        <v>5</v>
      </c>
      <c r="C1088">
        <v>100</v>
      </c>
      <c r="D1088">
        <v>167.64</v>
      </c>
    </row>
    <row r="1089" spans="1:4" x14ac:dyDescent="0.25">
      <c r="A1089" t="s">
        <v>4</v>
      </c>
      <c r="B1089" t="s">
        <v>5</v>
      </c>
      <c r="C1089">
        <v>100</v>
      </c>
      <c r="D1089">
        <v>155.44800000000001</v>
      </c>
    </row>
    <row r="1090" spans="1:4" x14ac:dyDescent="0.25">
      <c r="A1090" t="s">
        <v>4</v>
      </c>
      <c r="B1090" t="s">
        <v>5</v>
      </c>
      <c r="C1090">
        <v>100</v>
      </c>
      <c r="D1090">
        <v>203.613</v>
      </c>
    </row>
    <row r="1091" spans="1:4" x14ac:dyDescent="0.25">
      <c r="A1091" t="s">
        <v>4</v>
      </c>
      <c r="B1091" t="s">
        <v>5</v>
      </c>
      <c r="C1091">
        <v>100</v>
      </c>
      <c r="D1091">
        <v>190.27199999999999</v>
      </c>
    </row>
    <row r="1092" spans="1:4" x14ac:dyDescent="0.25">
      <c r="A1092" t="s">
        <v>4</v>
      </c>
      <c r="B1092" t="s">
        <v>5</v>
      </c>
      <c r="C1092">
        <v>100</v>
      </c>
      <c r="D1092">
        <v>181.053</v>
      </c>
    </row>
    <row r="1093" spans="1:4" x14ac:dyDescent="0.25">
      <c r="A1093" t="s">
        <v>4</v>
      </c>
      <c r="B1093" t="s">
        <v>5</v>
      </c>
      <c r="C1093">
        <v>100</v>
      </c>
      <c r="D1093">
        <v>183.56399999999999</v>
      </c>
    </row>
    <row r="1094" spans="1:4" x14ac:dyDescent="0.25">
      <c r="A1094" t="s">
        <v>4</v>
      </c>
      <c r="B1094" t="s">
        <v>5</v>
      </c>
      <c r="C1094">
        <v>100</v>
      </c>
      <c r="D1094">
        <v>204.732</v>
      </c>
    </row>
    <row r="1095" spans="1:4" x14ac:dyDescent="0.25">
      <c r="A1095" t="s">
        <v>4</v>
      </c>
      <c r="B1095" t="s">
        <v>5</v>
      </c>
      <c r="C1095">
        <v>100</v>
      </c>
      <c r="D1095">
        <v>171.47</v>
      </c>
    </row>
    <row r="1096" spans="1:4" x14ac:dyDescent="0.25">
      <c r="A1096" t="s">
        <v>4</v>
      </c>
      <c r="B1096" t="s">
        <v>5</v>
      </c>
      <c r="C1096">
        <v>100</v>
      </c>
      <c r="D1096">
        <v>182.27600000000001</v>
      </c>
    </row>
    <row r="1097" spans="1:4" x14ac:dyDescent="0.25">
      <c r="A1097" t="s">
        <v>4</v>
      </c>
      <c r="B1097" t="s">
        <v>5</v>
      </c>
      <c r="C1097">
        <v>100</v>
      </c>
      <c r="D1097">
        <v>191.78299999999999</v>
      </c>
    </row>
    <row r="1098" spans="1:4" x14ac:dyDescent="0.25">
      <c r="A1098" t="s">
        <v>4</v>
      </c>
      <c r="B1098" t="s">
        <v>5</v>
      </c>
      <c r="C1098">
        <v>100</v>
      </c>
      <c r="D1098">
        <v>174.42099999999999</v>
      </c>
    </row>
    <row r="1099" spans="1:4" x14ac:dyDescent="0.25">
      <c r="A1099" t="s">
        <v>4</v>
      </c>
      <c r="B1099" t="s">
        <v>5</v>
      </c>
      <c r="C1099">
        <v>100</v>
      </c>
      <c r="D1099">
        <v>162.376</v>
      </c>
    </row>
    <row r="1100" spans="1:4" x14ac:dyDescent="0.25">
      <c r="A1100" t="s">
        <v>4</v>
      </c>
      <c r="B1100" t="s">
        <v>5</v>
      </c>
      <c r="C1100">
        <v>100</v>
      </c>
      <c r="D1100">
        <v>163.69200000000001</v>
      </c>
    </row>
    <row r="1101" spans="1:4" x14ac:dyDescent="0.25">
      <c r="A1101" t="s">
        <v>4</v>
      </c>
      <c r="B1101" t="s">
        <v>5</v>
      </c>
      <c r="C1101">
        <v>100</v>
      </c>
      <c r="D1101">
        <v>156.084</v>
      </c>
    </row>
    <row r="1102" spans="1:4" x14ac:dyDescent="0.25">
      <c r="A1102" t="s">
        <v>4</v>
      </c>
      <c r="B1102" t="s">
        <v>5</v>
      </c>
      <c r="C1102">
        <v>120</v>
      </c>
      <c r="D1102">
        <v>193.16</v>
      </c>
    </row>
    <row r="1103" spans="1:4" x14ac:dyDescent="0.25">
      <c r="A1103" t="s">
        <v>4</v>
      </c>
      <c r="B1103" t="s">
        <v>5</v>
      </c>
      <c r="C1103">
        <v>120</v>
      </c>
      <c r="D1103">
        <v>248.61199999999999</v>
      </c>
    </row>
    <row r="1104" spans="1:4" x14ac:dyDescent="0.25">
      <c r="A1104" t="s">
        <v>4</v>
      </c>
      <c r="B1104" t="s">
        <v>5</v>
      </c>
      <c r="C1104">
        <v>120</v>
      </c>
      <c r="D1104">
        <v>213.34200000000001</v>
      </c>
    </row>
    <row r="1105" spans="1:4" x14ac:dyDescent="0.25">
      <c r="A1105" t="s">
        <v>4</v>
      </c>
      <c r="B1105" t="s">
        <v>5</v>
      </c>
      <c r="C1105">
        <v>120</v>
      </c>
      <c r="D1105">
        <v>230.49199999999999</v>
      </c>
    </row>
    <row r="1106" spans="1:4" x14ac:dyDescent="0.25">
      <c r="A1106" t="s">
        <v>4</v>
      </c>
      <c r="B1106" t="s">
        <v>5</v>
      </c>
      <c r="C1106">
        <v>120</v>
      </c>
      <c r="D1106">
        <v>209.15299999999999</v>
      </c>
    </row>
    <row r="1107" spans="1:4" x14ac:dyDescent="0.25">
      <c r="A1107" t="s">
        <v>4</v>
      </c>
      <c r="B1107" t="s">
        <v>5</v>
      </c>
      <c r="C1107">
        <v>120</v>
      </c>
      <c r="D1107">
        <v>189.71799999999999</v>
      </c>
    </row>
    <row r="1108" spans="1:4" x14ac:dyDescent="0.25">
      <c r="A1108" t="s">
        <v>4</v>
      </c>
      <c r="B1108" t="s">
        <v>5</v>
      </c>
      <c r="C1108">
        <v>120</v>
      </c>
      <c r="D1108">
        <v>190.345</v>
      </c>
    </row>
    <row r="1109" spans="1:4" x14ac:dyDescent="0.25">
      <c r="A1109" t="s">
        <v>4</v>
      </c>
      <c r="B1109" t="s">
        <v>5</v>
      </c>
      <c r="C1109">
        <v>120</v>
      </c>
      <c r="D1109">
        <v>199.977</v>
      </c>
    </row>
    <row r="1110" spans="1:4" x14ac:dyDescent="0.25">
      <c r="A1110" t="s">
        <v>4</v>
      </c>
      <c r="B1110" t="s">
        <v>5</v>
      </c>
      <c r="C1110">
        <v>120</v>
      </c>
      <c r="D1110">
        <v>232.19300000000001</v>
      </c>
    </row>
    <row r="1111" spans="1:4" x14ac:dyDescent="0.25">
      <c r="A1111" t="s">
        <v>4</v>
      </c>
      <c r="B1111" t="s">
        <v>5</v>
      </c>
      <c r="C1111">
        <v>120</v>
      </c>
      <c r="D1111">
        <v>197.27199999999999</v>
      </c>
    </row>
    <row r="1112" spans="1:4" x14ac:dyDescent="0.25">
      <c r="A1112" t="s">
        <v>4</v>
      </c>
      <c r="B1112" t="s">
        <v>5</v>
      </c>
      <c r="C1112">
        <v>120</v>
      </c>
      <c r="D1112">
        <v>188.053</v>
      </c>
    </row>
    <row r="1113" spans="1:4" x14ac:dyDescent="0.25">
      <c r="A1113" t="s">
        <v>4</v>
      </c>
      <c r="B1113" t="s">
        <v>5</v>
      </c>
      <c r="C1113">
        <v>120</v>
      </c>
      <c r="D1113">
        <v>214.44</v>
      </c>
    </row>
    <row r="1114" spans="1:4" x14ac:dyDescent="0.25">
      <c r="A1114" t="s">
        <v>4</v>
      </c>
      <c r="B1114" t="s">
        <v>5</v>
      </c>
      <c r="C1114">
        <v>120</v>
      </c>
      <c r="D1114">
        <v>193.565</v>
      </c>
    </row>
    <row r="1115" spans="1:4" x14ac:dyDescent="0.25">
      <c r="A1115" t="s">
        <v>4</v>
      </c>
      <c r="B1115" t="s">
        <v>5</v>
      </c>
      <c r="C1115">
        <v>120</v>
      </c>
      <c r="D1115">
        <v>189.637</v>
      </c>
    </row>
    <row r="1116" spans="1:4" x14ac:dyDescent="0.25">
      <c r="A1116" t="s">
        <v>4</v>
      </c>
      <c r="B1116" t="s">
        <v>5</v>
      </c>
      <c r="C1116">
        <v>120</v>
      </c>
      <c r="D1116">
        <v>239.541</v>
      </c>
    </row>
    <row r="1117" spans="1:4" x14ac:dyDescent="0.25">
      <c r="A1117" t="s">
        <v>4</v>
      </c>
      <c r="B1117" t="s">
        <v>5</v>
      </c>
      <c r="C1117">
        <v>120</v>
      </c>
      <c r="D1117">
        <v>203.58600000000001</v>
      </c>
    </row>
    <row r="1118" spans="1:4" x14ac:dyDescent="0.25">
      <c r="A1118" t="s">
        <v>4</v>
      </c>
      <c r="B1118" t="s">
        <v>5</v>
      </c>
      <c r="C1118">
        <v>120</v>
      </c>
      <c r="D1118">
        <v>203.85599999999999</v>
      </c>
    </row>
    <row r="1119" spans="1:4" x14ac:dyDescent="0.25">
      <c r="A1119" t="s">
        <v>4</v>
      </c>
      <c r="B1119" t="s">
        <v>5</v>
      </c>
      <c r="C1119">
        <v>120</v>
      </c>
      <c r="D1119">
        <v>206.82900000000001</v>
      </c>
    </row>
    <row r="1120" spans="1:4" x14ac:dyDescent="0.25">
      <c r="A1120" t="s">
        <v>4</v>
      </c>
      <c r="B1120" t="s">
        <v>5</v>
      </c>
      <c r="C1120">
        <v>120</v>
      </c>
      <c r="D1120">
        <v>210.54400000000001</v>
      </c>
    </row>
    <row r="1121" spans="1:4" x14ac:dyDescent="0.25">
      <c r="A1121" t="s">
        <v>4</v>
      </c>
      <c r="B1121" t="s">
        <v>5</v>
      </c>
      <c r="C1121">
        <v>120</v>
      </c>
      <c r="D1121">
        <v>205.66</v>
      </c>
    </row>
    <row r="1122" spans="1:4" x14ac:dyDescent="0.25">
      <c r="A1122" t="s">
        <v>4</v>
      </c>
      <c r="B1122" t="s">
        <v>5</v>
      </c>
      <c r="C1122">
        <v>120</v>
      </c>
      <c r="D1122">
        <v>207.72300000000001</v>
      </c>
    </row>
    <row r="1123" spans="1:4" x14ac:dyDescent="0.25">
      <c r="A1123" t="s">
        <v>4</v>
      </c>
      <c r="B1123" t="s">
        <v>5</v>
      </c>
      <c r="C1123">
        <v>120</v>
      </c>
      <c r="D1123">
        <v>188.989</v>
      </c>
    </row>
    <row r="1124" spans="1:4" x14ac:dyDescent="0.25">
      <c r="A1124" t="s">
        <v>4</v>
      </c>
      <c r="B1124" t="s">
        <v>5</v>
      </c>
      <c r="C1124">
        <v>120</v>
      </c>
      <c r="D1124">
        <v>215.291</v>
      </c>
    </row>
    <row r="1125" spans="1:4" x14ac:dyDescent="0.25">
      <c r="A1125" t="s">
        <v>4</v>
      </c>
      <c r="B1125" t="s">
        <v>5</v>
      </c>
      <c r="C1125">
        <v>120</v>
      </c>
      <c r="D1125">
        <v>220.024</v>
      </c>
    </row>
    <row r="1126" spans="1:4" x14ac:dyDescent="0.25">
      <c r="A1126" t="s">
        <v>4</v>
      </c>
      <c r="B1126" t="s">
        <v>5</v>
      </c>
      <c r="C1126">
        <v>120</v>
      </c>
      <c r="D1126">
        <v>221.28200000000001</v>
      </c>
    </row>
    <row r="1127" spans="1:4" x14ac:dyDescent="0.25">
      <c r="A1127" t="s">
        <v>4</v>
      </c>
      <c r="B1127" t="s">
        <v>5</v>
      </c>
      <c r="C1127">
        <v>120</v>
      </c>
      <c r="D1127">
        <v>187.56399999999999</v>
      </c>
    </row>
    <row r="1128" spans="1:4" x14ac:dyDescent="0.25">
      <c r="A1128" t="s">
        <v>4</v>
      </c>
      <c r="B1128" t="s">
        <v>5</v>
      </c>
      <c r="C1128">
        <v>120</v>
      </c>
      <c r="D1128">
        <v>186.054</v>
      </c>
    </row>
    <row r="1129" spans="1:4" x14ac:dyDescent="0.25">
      <c r="A1129" t="s">
        <v>4</v>
      </c>
      <c r="B1129" t="s">
        <v>5</v>
      </c>
      <c r="C1129">
        <v>120</v>
      </c>
      <c r="D1129">
        <v>211.148</v>
      </c>
    </row>
    <row r="1130" spans="1:4" x14ac:dyDescent="0.25">
      <c r="A1130" t="s">
        <v>4</v>
      </c>
      <c r="B1130" t="s">
        <v>5</v>
      </c>
      <c r="C1130">
        <v>120</v>
      </c>
      <c r="D1130">
        <v>205.63399999999999</v>
      </c>
    </row>
    <row r="1131" spans="1:4" x14ac:dyDescent="0.25">
      <c r="A1131" t="s">
        <v>4</v>
      </c>
      <c r="B1131" t="s">
        <v>5</v>
      </c>
      <c r="C1131">
        <v>120</v>
      </c>
      <c r="D1131">
        <v>204.69</v>
      </c>
    </row>
    <row r="1132" spans="1:4" x14ac:dyDescent="0.25">
      <c r="A1132" t="s">
        <v>4</v>
      </c>
      <c r="B1132" t="s">
        <v>5</v>
      </c>
      <c r="C1132">
        <v>120</v>
      </c>
      <c r="D1132">
        <v>233.80199999999999</v>
      </c>
    </row>
    <row r="1133" spans="1:4" x14ac:dyDescent="0.25">
      <c r="A1133" t="s">
        <v>4</v>
      </c>
      <c r="B1133" t="s">
        <v>5</v>
      </c>
      <c r="C1133">
        <v>120</v>
      </c>
      <c r="D1133">
        <v>217.99799999999999</v>
      </c>
    </row>
    <row r="1134" spans="1:4" x14ac:dyDescent="0.25">
      <c r="A1134" t="s">
        <v>4</v>
      </c>
      <c r="B1134" t="s">
        <v>5</v>
      </c>
      <c r="C1134">
        <v>120</v>
      </c>
      <c r="D1134">
        <v>238.66</v>
      </c>
    </row>
    <row r="1135" spans="1:4" x14ac:dyDescent="0.25">
      <c r="A1135" t="s">
        <v>4</v>
      </c>
      <c r="B1135" t="s">
        <v>5</v>
      </c>
      <c r="C1135">
        <v>120</v>
      </c>
      <c r="D1135">
        <v>232.95500000000001</v>
      </c>
    </row>
    <row r="1136" spans="1:4" x14ac:dyDescent="0.25">
      <c r="A1136" t="s">
        <v>4</v>
      </c>
      <c r="B1136" t="s">
        <v>5</v>
      </c>
      <c r="C1136">
        <v>120</v>
      </c>
      <c r="D1136">
        <v>240.65600000000001</v>
      </c>
    </row>
    <row r="1137" spans="1:4" x14ac:dyDescent="0.25">
      <c r="A1137" t="s">
        <v>4</v>
      </c>
      <c r="B1137" t="s">
        <v>5</v>
      </c>
      <c r="C1137">
        <v>120</v>
      </c>
      <c r="D1137">
        <v>189.126</v>
      </c>
    </row>
    <row r="1138" spans="1:4" x14ac:dyDescent="0.25">
      <c r="A1138" t="s">
        <v>4</v>
      </c>
      <c r="B1138" t="s">
        <v>5</v>
      </c>
      <c r="C1138">
        <v>120</v>
      </c>
      <c r="D1138">
        <v>239.077</v>
      </c>
    </row>
    <row r="1139" spans="1:4" x14ac:dyDescent="0.25">
      <c r="A1139" t="s">
        <v>4</v>
      </c>
      <c r="B1139" t="s">
        <v>5</v>
      </c>
      <c r="C1139">
        <v>120</v>
      </c>
      <c r="D1139">
        <v>197.37100000000001</v>
      </c>
    </row>
    <row r="1140" spans="1:4" x14ac:dyDescent="0.25">
      <c r="A1140" t="s">
        <v>4</v>
      </c>
      <c r="B1140" t="s">
        <v>5</v>
      </c>
      <c r="C1140">
        <v>120</v>
      </c>
      <c r="D1140">
        <v>174.93299999999999</v>
      </c>
    </row>
    <row r="1141" spans="1:4" x14ac:dyDescent="0.25">
      <c r="A1141" t="s">
        <v>4</v>
      </c>
      <c r="B1141" t="s">
        <v>5</v>
      </c>
      <c r="C1141">
        <v>120</v>
      </c>
      <c r="D1141">
        <v>212.59299999999999</v>
      </c>
    </row>
    <row r="1142" spans="1:4" x14ac:dyDescent="0.25">
      <c r="A1142" t="s">
        <v>4</v>
      </c>
      <c r="B1142" t="s">
        <v>5</v>
      </c>
      <c r="C1142">
        <v>120</v>
      </c>
      <c r="D1142">
        <v>211.392</v>
      </c>
    </row>
    <row r="1143" spans="1:4" x14ac:dyDescent="0.25">
      <c r="A1143" t="s">
        <v>4</v>
      </c>
      <c r="B1143" t="s">
        <v>5</v>
      </c>
      <c r="C1143">
        <v>120</v>
      </c>
      <c r="D1143">
        <v>163.42500000000001</v>
      </c>
    </row>
    <row r="1144" spans="1:4" x14ac:dyDescent="0.25">
      <c r="A1144" t="s">
        <v>4</v>
      </c>
      <c r="B1144" t="s">
        <v>5</v>
      </c>
      <c r="C1144">
        <v>120</v>
      </c>
      <c r="D1144">
        <v>213.81299999999999</v>
      </c>
    </row>
    <row r="1145" spans="1:4" x14ac:dyDescent="0.25">
      <c r="A1145" t="s">
        <v>4</v>
      </c>
      <c r="B1145" t="s">
        <v>5</v>
      </c>
      <c r="C1145">
        <v>120</v>
      </c>
      <c r="D1145">
        <v>225.566</v>
      </c>
    </row>
    <row r="1146" spans="1:4" x14ac:dyDescent="0.25">
      <c r="A1146" t="s">
        <v>4</v>
      </c>
      <c r="B1146" t="s">
        <v>5</v>
      </c>
      <c r="C1146">
        <v>120</v>
      </c>
      <c r="D1146">
        <v>223.09700000000001</v>
      </c>
    </row>
    <row r="1147" spans="1:4" x14ac:dyDescent="0.25">
      <c r="A1147" t="s">
        <v>4</v>
      </c>
      <c r="B1147" t="s">
        <v>5</v>
      </c>
      <c r="C1147">
        <v>120</v>
      </c>
      <c r="D1147">
        <v>176.34899999999999</v>
      </c>
    </row>
    <row r="1148" spans="1:4" x14ac:dyDescent="0.25">
      <c r="A1148" t="s">
        <v>4</v>
      </c>
      <c r="B1148" t="s">
        <v>5</v>
      </c>
      <c r="C1148">
        <v>120</v>
      </c>
      <c r="D1148">
        <v>200.328</v>
      </c>
    </row>
    <row r="1149" spans="1:4" x14ac:dyDescent="0.25">
      <c r="A1149" t="s">
        <v>4</v>
      </c>
      <c r="B1149" t="s">
        <v>5</v>
      </c>
      <c r="C1149">
        <v>120</v>
      </c>
      <c r="D1149">
        <v>161.39699999999999</v>
      </c>
    </row>
    <row r="1150" spans="1:4" x14ac:dyDescent="0.25">
      <c r="A1150" t="s">
        <v>4</v>
      </c>
      <c r="B1150" t="s">
        <v>5</v>
      </c>
      <c r="C1150">
        <v>120</v>
      </c>
      <c r="D1150">
        <v>244.22</v>
      </c>
    </row>
    <row r="1151" spans="1:4" x14ac:dyDescent="0.25">
      <c r="A1151" t="s">
        <v>4</v>
      </c>
      <c r="B1151" t="s">
        <v>5</v>
      </c>
      <c r="C1151">
        <v>120</v>
      </c>
      <c r="D1151">
        <v>199.328</v>
      </c>
    </row>
    <row r="1152" spans="1:4" x14ac:dyDescent="0.25">
      <c r="A1152" t="s">
        <v>4</v>
      </c>
      <c r="B1152" t="s">
        <v>5</v>
      </c>
      <c r="C1152">
        <v>120</v>
      </c>
      <c r="D1152">
        <v>184.41900000000001</v>
      </c>
    </row>
    <row r="1153" spans="1:4" x14ac:dyDescent="0.25">
      <c r="A1153" t="s">
        <v>4</v>
      </c>
      <c r="B1153" t="s">
        <v>5</v>
      </c>
      <c r="C1153">
        <v>120</v>
      </c>
      <c r="D1153">
        <v>244.935</v>
      </c>
    </row>
    <row r="1154" spans="1:4" x14ac:dyDescent="0.25">
      <c r="A1154" t="s">
        <v>4</v>
      </c>
      <c r="B1154" t="s">
        <v>5</v>
      </c>
      <c r="C1154">
        <v>120</v>
      </c>
      <c r="D1154">
        <v>204.40600000000001</v>
      </c>
    </row>
    <row r="1155" spans="1:4" x14ac:dyDescent="0.25">
      <c r="A1155" t="s">
        <v>4</v>
      </c>
      <c r="B1155" t="s">
        <v>5</v>
      </c>
      <c r="C1155">
        <v>120</v>
      </c>
      <c r="D1155">
        <v>234.69499999999999</v>
      </c>
    </row>
    <row r="1156" spans="1:4" x14ac:dyDescent="0.25">
      <c r="A1156" t="s">
        <v>4</v>
      </c>
      <c r="B1156" t="s">
        <v>5</v>
      </c>
      <c r="C1156">
        <v>120</v>
      </c>
      <c r="D1156">
        <v>217.93799999999999</v>
      </c>
    </row>
    <row r="1157" spans="1:4" x14ac:dyDescent="0.25">
      <c r="A1157" t="s">
        <v>4</v>
      </c>
      <c r="B1157" t="s">
        <v>5</v>
      </c>
      <c r="C1157">
        <v>120</v>
      </c>
      <c r="D1157">
        <v>234.583</v>
      </c>
    </row>
    <row r="1158" spans="1:4" x14ac:dyDescent="0.25">
      <c r="A1158" t="s">
        <v>4</v>
      </c>
      <c r="B1158" t="s">
        <v>5</v>
      </c>
      <c r="C1158">
        <v>120</v>
      </c>
      <c r="D1158">
        <v>217.642</v>
      </c>
    </row>
    <row r="1159" spans="1:4" x14ac:dyDescent="0.25">
      <c r="A1159" t="s">
        <v>4</v>
      </c>
      <c r="B1159" t="s">
        <v>5</v>
      </c>
      <c r="C1159">
        <v>120</v>
      </c>
      <c r="D1159">
        <v>233.94800000000001</v>
      </c>
    </row>
    <row r="1160" spans="1:4" x14ac:dyDescent="0.25">
      <c r="A1160" t="s">
        <v>4</v>
      </c>
      <c r="B1160" t="s">
        <v>5</v>
      </c>
      <c r="C1160">
        <v>120</v>
      </c>
      <c r="D1160">
        <v>208.51300000000001</v>
      </c>
    </row>
    <row r="1161" spans="1:4" x14ac:dyDescent="0.25">
      <c r="A1161" t="s">
        <v>4</v>
      </c>
      <c r="B1161" t="s">
        <v>5</v>
      </c>
      <c r="C1161">
        <v>120</v>
      </c>
      <c r="D1161">
        <v>220.53399999999999</v>
      </c>
    </row>
    <row r="1162" spans="1:4" x14ac:dyDescent="0.25">
      <c r="A1162" t="s">
        <v>4</v>
      </c>
      <c r="B1162" t="s">
        <v>5</v>
      </c>
      <c r="C1162">
        <v>120</v>
      </c>
      <c r="D1162">
        <v>211.977</v>
      </c>
    </row>
    <row r="1163" spans="1:4" x14ac:dyDescent="0.25">
      <c r="A1163" t="s">
        <v>4</v>
      </c>
      <c r="B1163" t="s">
        <v>5</v>
      </c>
      <c r="C1163">
        <v>120</v>
      </c>
      <c r="D1163">
        <v>216.642</v>
      </c>
    </row>
    <row r="1164" spans="1:4" x14ac:dyDescent="0.25">
      <c r="A1164" t="s">
        <v>4</v>
      </c>
      <c r="B1164" t="s">
        <v>5</v>
      </c>
      <c r="C1164">
        <v>120</v>
      </c>
      <c r="D1164">
        <v>204.44</v>
      </c>
    </row>
    <row r="1165" spans="1:4" x14ac:dyDescent="0.25">
      <c r="A1165" t="s">
        <v>4</v>
      </c>
      <c r="B1165" t="s">
        <v>5</v>
      </c>
      <c r="C1165">
        <v>120</v>
      </c>
      <c r="D1165">
        <v>201.57300000000001</v>
      </c>
    </row>
    <row r="1166" spans="1:4" x14ac:dyDescent="0.25">
      <c r="A1166" t="s">
        <v>4</v>
      </c>
      <c r="B1166" t="s">
        <v>5</v>
      </c>
      <c r="C1166">
        <v>120</v>
      </c>
      <c r="D1166">
        <v>208.56100000000001</v>
      </c>
    </row>
    <row r="1167" spans="1:4" x14ac:dyDescent="0.25">
      <c r="A1167" t="s">
        <v>4</v>
      </c>
      <c r="B1167" t="s">
        <v>5</v>
      </c>
      <c r="C1167">
        <v>120</v>
      </c>
      <c r="D1167">
        <v>202.78299999999999</v>
      </c>
    </row>
    <row r="1168" spans="1:4" x14ac:dyDescent="0.25">
      <c r="A1168" t="s">
        <v>4</v>
      </c>
      <c r="B1168" t="s">
        <v>5</v>
      </c>
      <c r="C1168">
        <v>120</v>
      </c>
      <c r="D1168">
        <v>221.10499999999999</v>
      </c>
    </row>
    <row r="1169" spans="1:4" x14ac:dyDescent="0.25">
      <c r="A1169" t="s">
        <v>4</v>
      </c>
      <c r="B1169" t="s">
        <v>5</v>
      </c>
      <c r="C1169">
        <v>120</v>
      </c>
      <c r="D1169">
        <v>207.47499999999999</v>
      </c>
    </row>
    <row r="1170" spans="1:4" x14ac:dyDescent="0.25">
      <c r="A1170" t="s">
        <v>4</v>
      </c>
      <c r="B1170" t="s">
        <v>5</v>
      </c>
      <c r="C1170">
        <v>120</v>
      </c>
      <c r="D1170">
        <v>233.11799999999999</v>
      </c>
    </row>
    <row r="1171" spans="1:4" x14ac:dyDescent="0.25">
      <c r="A1171" t="s">
        <v>4</v>
      </c>
      <c r="B1171" t="s">
        <v>5</v>
      </c>
      <c r="C1171">
        <v>120</v>
      </c>
      <c r="D1171">
        <v>181.84200000000001</v>
      </c>
    </row>
    <row r="1172" spans="1:4" x14ac:dyDescent="0.25">
      <c r="A1172" t="s">
        <v>4</v>
      </c>
      <c r="B1172" t="s">
        <v>5</v>
      </c>
      <c r="C1172">
        <v>120</v>
      </c>
      <c r="D1172">
        <v>218.92599999999999</v>
      </c>
    </row>
    <row r="1173" spans="1:4" x14ac:dyDescent="0.25">
      <c r="A1173" t="s">
        <v>4</v>
      </c>
      <c r="B1173" t="s">
        <v>5</v>
      </c>
      <c r="C1173">
        <v>120</v>
      </c>
      <c r="D1173">
        <v>211.041</v>
      </c>
    </row>
    <row r="1174" spans="1:4" x14ac:dyDescent="0.25">
      <c r="A1174" t="s">
        <v>4</v>
      </c>
      <c r="B1174" t="s">
        <v>5</v>
      </c>
      <c r="C1174">
        <v>120</v>
      </c>
      <c r="D1174">
        <v>195.98099999999999</v>
      </c>
    </row>
    <row r="1175" spans="1:4" x14ac:dyDescent="0.25">
      <c r="A1175" t="s">
        <v>4</v>
      </c>
      <c r="B1175" t="s">
        <v>5</v>
      </c>
      <c r="C1175">
        <v>120</v>
      </c>
      <c r="D1175">
        <v>240.71899999999999</v>
      </c>
    </row>
    <row r="1176" spans="1:4" x14ac:dyDescent="0.25">
      <c r="A1176" t="s">
        <v>4</v>
      </c>
      <c r="B1176" t="s">
        <v>5</v>
      </c>
      <c r="C1176">
        <v>120</v>
      </c>
      <c r="D1176">
        <v>174.666</v>
      </c>
    </row>
    <row r="1177" spans="1:4" x14ac:dyDescent="0.25">
      <c r="A1177" t="s">
        <v>4</v>
      </c>
      <c r="B1177" t="s">
        <v>5</v>
      </c>
      <c r="C1177">
        <v>120</v>
      </c>
      <c r="D1177">
        <v>198.27799999999999</v>
      </c>
    </row>
    <row r="1178" spans="1:4" x14ac:dyDescent="0.25">
      <c r="A1178" t="s">
        <v>4</v>
      </c>
      <c r="B1178" t="s">
        <v>5</v>
      </c>
      <c r="C1178">
        <v>120</v>
      </c>
      <c r="D1178">
        <v>218.316</v>
      </c>
    </row>
    <row r="1179" spans="1:4" x14ac:dyDescent="0.25">
      <c r="A1179" t="s">
        <v>4</v>
      </c>
      <c r="B1179" t="s">
        <v>5</v>
      </c>
      <c r="C1179">
        <v>120</v>
      </c>
      <c r="D1179">
        <v>170.499</v>
      </c>
    </row>
    <row r="1180" spans="1:4" x14ac:dyDescent="0.25">
      <c r="A1180" t="s">
        <v>4</v>
      </c>
      <c r="B1180" t="s">
        <v>5</v>
      </c>
      <c r="C1180">
        <v>120</v>
      </c>
      <c r="D1180">
        <v>222.87799999999999</v>
      </c>
    </row>
    <row r="1181" spans="1:4" x14ac:dyDescent="0.25">
      <c r="A1181" t="s">
        <v>4</v>
      </c>
      <c r="B1181" t="s">
        <v>5</v>
      </c>
      <c r="C1181">
        <v>120</v>
      </c>
      <c r="D1181">
        <v>208.27699999999999</v>
      </c>
    </row>
    <row r="1182" spans="1:4" x14ac:dyDescent="0.25">
      <c r="A1182" t="s">
        <v>4</v>
      </c>
      <c r="B1182" t="s">
        <v>5</v>
      </c>
      <c r="C1182">
        <v>120</v>
      </c>
      <c r="D1182">
        <v>189.16</v>
      </c>
    </row>
    <row r="1183" spans="1:4" x14ac:dyDescent="0.25">
      <c r="A1183" t="s">
        <v>4</v>
      </c>
      <c r="B1183" t="s">
        <v>5</v>
      </c>
      <c r="C1183">
        <v>120</v>
      </c>
      <c r="D1183">
        <v>240.07599999999999</v>
      </c>
    </row>
    <row r="1184" spans="1:4" x14ac:dyDescent="0.25">
      <c r="A1184" t="s">
        <v>4</v>
      </c>
      <c r="B1184" t="s">
        <v>5</v>
      </c>
      <c r="C1184">
        <v>120</v>
      </c>
      <c r="D1184">
        <v>196.22900000000001</v>
      </c>
    </row>
    <row r="1185" spans="1:4" x14ac:dyDescent="0.25">
      <c r="A1185" t="s">
        <v>4</v>
      </c>
      <c r="B1185" t="s">
        <v>5</v>
      </c>
      <c r="C1185">
        <v>120</v>
      </c>
      <c r="D1185">
        <v>219.732</v>
      </c>
    </row>
    <row r="1186" spans="1:4" x14ac:dyDescent="0.25">
      <c r="A1186" t="s">
        <v>4</v>
      </c>
      <c r="B1186" t="s">
        <v>5</v>
      </c>
      <c r="C1186">
        <v>120</v>
      </c>
      <c r="D1186">
        <v>258.34199999999998</v>
      </c>
    </row>
    <row r="1187" spans="1:4" x14ac:dyDescent="0.25">
      <c r="A1187" t="s">
        <v>4</v>
      </c>
      <c r="B1187" t="s">
        <v>5</v>
      </c>
      <c r="C1187">
        <v>120</v>
      </c>
      <c r="D1187">
        <v>208.26900000000001</v>
      </c>
    </row>
    <row r="1188" spans="1:4" x14ac:dyDescent="0.25">
      <c r="A1188" t="s">
        <v>4</v>
      </c>
      <c r="B1188" t="s">
        <v>5</v>
      </c>
      <c r="C1188">
        <v>120</v>
      </c>
      <c r="D1188">
        <v>203.13200000000001</v>
      </c>
    </row>
    <row r="1189" spans="1:4" x14ac:dyDescent="0.25">
      <c r="A1189" t="s">
        <v>4</v>
      </c>
      <c r="B1189" t="s">
        <v>5</v>
      </c>
      <c r="C1189">
        <v>120</v>
      </c>
      <c r="D1189">
        <v>202.929</v>
      </c>
    </row>
    <row r="1190" spans="1:4" x14ac:dyDescent="0.25">
      <c r="A1190" t="s">
        <v>4</v>
      </c>
      <c r="B1190" t="s">
        <v>5</v>
      </c>
      <c r="C1190">
        <v>120</v>
      </c>
      <c r="D1190">
        <v>213.20099999999999</v>
      </c>
    </row>
    <row r="1191" spans="1:4" x14ac:dyDescent="0.25">
      <c r="A1191" t="s">
        <v>4</v>
      </c>
      <c r="B1191" t="s">
        <v>5</v>
      </c>
      <c r="C1191">
        <v>120</v>
      </c>
      <c r="D1191">
        <v>210.72</v>
      </c>
    </row>
    <row r="1192" spans="1:4" x14ac:dyDescent="0.25">
      <c r="A1192" t="s">
        <v>4</v>
      </c>
      <c r="B1192" t="s">
        <v>5</v>
      </c>
      <c r="C1192">
        <v>120</v>
      </c>
      <c r="D1192">
        <v>199.92599999999999</v>
      </c>
    </row>
    <row r="1193" spans="1:4" x14ac:dyDescent="0.25">
      <c r="A1193" t="s">
        <v>4</v>
      </c>
      <c r="B1193" t="s">
        <v>5</v>
      </c>
      <c r="C1193">
        <v>120</v>
      </c>
      <c r="D1193">
        <v>206.90899999999999</v>
      </c>
    </row>
    <row r="1194" spans="1:4" x14ac:dyDescent="0.25">
      <c r="A1194" t="s">
        <v>4</v>
      </c>
      <c r="B1194" t="s">
        <v>5</v>
      </c>
      <c r="C1194">
        <v>120</v>
      </c>
      <c r="D1194">
        <v>200.32900000000001</v>
      </c>
    </row>
    <row r="1195" spans="1:4" x14ac:dyDescent="0.25">
      <c r="A1195" t="s">
        <v>4</v>
      </c>
      <c r="B1195" t="s">
        <v>5</v>
      </c>
      <c r="C1195">
        <v>120</v>
      </c>
      <c r="D1195">
        <v>184.98099999999999</v>
      </c>
    </row>
    <row r="1196" spans="1:4" x14ac:dyDescent="0.25">
      <c r="A1196" t="s">
        <v>4</v>
      </c>
      <c r="B1196" t="s">
        <v>5</v>
      </c>
      <c r="C1196">
        <v>120</v>
      </c>
      <c r="D1196">
        <v>243.00399999999999</v>
      </c>
    </row>
    <row r="1197" spans="1:4" x14ac:dyDescent="0.25">
      <c r="A1197" t="s">
        <v>4</v>
      </c>
      <c r="B1197" t="s">
        <v>5</v>
      </c>
      <c r="C1197">
        <v>120</v>
      </c>
      <c r="D1197">
        <v>225.715</v>
      </c>
    </row>
    <row r="1198" spans="1:4" x14ac:dyDescent="0.25">
      <c r="A1198" t="s">
        <v>4</v>
      </c>
      <c r="B1198" t="s">
        <v>5</v>
      </c>
      <c r="C1198">
        <v>120</v>
      </c>
      <c r="D1198">
        <v>215.56100000000001</v>
      </c>
    </row>
    <row r="1199" spans="1:4" x14ac:dyDescent="0.25">
      <c r="A1199" t="s">
        <v>4</v>
      </c>
      <c r="B1199" t="s">
        <v>5</v>
      </c>
      <c r="C1199">
        <v>120</v>
      </c>
      <c r="D1199">
        <v>206.22200000000001</v>
      </c>
    </row>
    <row r="1200" spans="1:4" x14ac:dyDescent="0.25">
      <c r="A1200" t="s">
        <v>4</v>
      </c>
      <c r="B1200" t="s">
        <v>5</v>
      </c>
      <c r="C1200">
        <v>120</v>
      </c>
      <c r="D1200">
        <v>195.34200000000001</v>
      </c>
    </row>
    <row r="1201" spans="1:4" x14ac:dyDescent="0.25">
      <c r="A1201" t="s">
        <v>4</v>
      </c>
      <c r="B1201" t="s">
        <v>5</v>
      </c>
      <c r="C1201">
        <v>120</v>
      </c>
      <c r="D1201">
        <v>240.72900000000001</v>
      </c>
    </row>
    <row r="1202" spans="1:4" x14ac:dyDescent="0.25">
      <c r="A1202" t="s">
        <v>4</v>
      </c>
      <c r="B1202" t="s">
        <v>7</v>
      </c>
      <c r="C1202">
        <v>20</v>
      </c>
      <c r="D1202">
        <v>971.82799999999997</v>
      </c>
    </row>
    <row r="1203" spans="1:4" x14ac:dyDescent="0.25">
      <c r="A1203" t="s">
        <v>4</v>
      </c>
      <c r="B1203" t="s">
        <v>7</v>
      </c>
      <c r="C1203">
        <v>20</v>
      </c>
      <c r="D1203">
        <v>969.82799999999997</v>
      </c>
    </row>
    <row r="1204" spans="1:4" x14ac:dyDescent="0.25">
      <c r="A1204" t="s">
        <v>4</v>
      </c>
      <c r="B1204" t="s">
        <v>7</v>
      </c>
      <c r="C1204">
        <v>20</v>
      </c>
      <c r="D1204">
        <v>975.82799999999997</v>
      </c>
    </row>
    <row r="1205" spans="1:4" x14ac:dyDescent="0.25">
      <c r="A1205" t="s">
        <v>4</v>
      </c>
      <c r="B1205" t="s">
        <v>7</v>
      </c>
      <c r="C1205">
        <v>20</v>
      </c>
      <c r="D1205">
        <v>972.82799999999997</v>
      </c>
    </row>
    <row r="1206" spans="1:4" x14ac:dyDescent="0.25">
      <c r="A1206" t="s">
        <v>4</v>
      </c>
      <c r="B1206" t="s">
        <v>7</v>
      </c>
      <c r="C1206">
        <v>20</v>
      </c>
      <c r="D1206">
        <v>968.82799999999997</v>
      </c>
    </row>
    <row r="1207" spans="1:4" x14ac:dyDescent="0.25">
      <c r="A1207" t="s">
        <v>4</v>
      </c>
      <c r="B1207" t="s">
        <v>7</v>
      </c>
      <c r="C1207">
        <v>20</v>
      </c>
      <c r="D1207">
        <v>967.82799999999997</v>
      </c>
    </row>
    <row r="1208" spans="1:4" x14ac:dyDescent="0.25">
      <c r="A1208" t="s">
        <v>4</v>
      </c>
      <c r="B1208" t="s">
        <v>7</v>
      </c>
      <c r="C1208">
        <v>20</v>
      </c>
      <c r="D1208">
        <v>970.82799999999997</v>
      </c>
    </row>
    <row r="1209" spans="1:4" x14ac:dyDescent="0.25">
      <c r="A1209" t="s">
        <v>4</v>
      </c>
      <c r="B1209" t="s">
        <v>7</v>
      </c>
      <c r="C1209">
        <v>20</v>
      </c>
      <c r="D1209">
        <v>969.82799999999997</v>
      </c>
    </row>
    <row r="1210" spans="1:4" x14ac:dyDescent="0.25">
      <c r="A1210" t="s">
        <v>4</v>
      </c>
      <c r="B1210" t="s">
        <v>7</v>
      </c>
      <c r="C1210">
        <v>20</v>
      </c>
      <c r="D1210">
        <v>966.82799999999997</v>
      </c>
    </row>
    <row r="1211" spans="1:4" x14ac:dyDescent="0.25">
      <c r="A1211" t="s">
        <v>4</v>
      </c>
      <c r="B1211" t="s">
        <v>7</v>
      </c>
      <c r="C1211">
        <v>20</v>
      </c>
      <c r="D1211">
        <v>970.82799999999997</v>
      </c>
    </row>
    <row r="1212" spans="1:4" x14ac:dyDescent="0.25">
      <c r="A1212" t="s">
        <v>4</v>
      </c>
      <c r="B1212" t="s">
        <v>7</v>
      </c>
      <c r="C1212">
        <v>20</v>
      </c>
      <c r="D1212">
        <v>965.82799999999997</v>
      </c>
    </row>
    <row r="1213" spans="1:4" x14ac:dyDescent="0.25">
      <c r="A1213" t="s">
        <v>4</v>
      </c>
      <c r="B1213" t="s">
        <v>7</v>
      </c>
      <c r="C1213">
        <v>20</v>
      </c>
      <c r="D1213">
        <v>968.82799999999997</v>
      </c>
    </row>
    <row r="1214" spans="1:4" x14ac:dyDescent="0.25">
      <c r="A1214" t="s">
        <v>4</v>
      </c>
      <c r="B1214" t="s">
        <v>7</v>
      </c>
      <c r="C1214">
        <v>20</v>
      </c>
      <c r="D1214">
        <v>971.82799999999997</v>
      </c>
    </row>
    <row r="1215" spans="1:4" x14ac:dyDescent="0.25">
      <c r="A1215" t="s">
        <v>4</v>
      </c>
      <c r="B1215" t="s">
        <v>7</v>
      </c>
      <c r="C1215">
        <v>20</v>
      </c>
      <c r="D1215">
        <v>969.82799999999997</v>
      </c>
    </row>
    <row r="1216" spans="1:4" x14ac:dyDescent="0.25">
      <c r="A1216" t="s">
        <v>4</v>
      </c>
      <c r="B1216" t="s">
        <v>7</v>
      </c>
      <c r="C1216">
        <v>20</v>
      </c>
      <c r="D1216">
        <v>965.82799999999997</v>
      </c>
    </row>
    <row r="1217" spans="1:4" x14ac:dyDescent="0.25">
      <c r="A1217" t="s">
        <v>4</v>
      </c>
      <c r="B1217" t="s">
        <v>7</v>
      </c>
      <c r="C1217">
        <v>20</v>
      </c>
      <c r="D1217">
        <v>964.82799999999997</v>
      </c>
    </row>
    <row r="1218" spans="1:4" x14ac:dyDescent="0.25">
      <c r="A1218" t="s">
        <v>4</v>
      </c>
      <c r="B1218" t="s">
        <v>7</v>
      </c>
      <c r="C1218">
        <v>20</v>
      </c>
      <c r="D1218">
        <v>967.82799999999997</v>
      </c>
    </row>
    <row r="1219" spans="1:4" x14ac:dyDescent="0.25">
      <c r="A1219" t="s">
        <v>4</v>
      </c>
      <c r="B1219" t="s">
        <v>7</v>
      </c>
      <c r="C1219">
        <v>20</v>
      </c>
      <c r="D1219">
        <v>967.82799999999997</v>
      </c>
    </row>
    <row r="1220" spans="1:4" x14ac:dyDescent="0.25">
      <c r="A1220" t="s">
        <v>4</v>
      </c>
      <c r="B1220" t="s">
        <v>7</v>
      </c>
      <c r="C1220">
        <v>20</v>
      </c>
      <c r="D1220">
        <v>966.82799999999997</v>
      </c>
    </row>
    <row r="1221" spans="1:4" x14ac:dyDescent="0.25">
      <c r="A1221" t="s">
        <v>4</v>
      </c>
      <c r="B1221" t="s">
        <v>7</v>
      </c>
      <c r="C1221">
        <v>20</v>
      </c>
      <c r="D1221">
        <v>963.82799999999997</v>
      </c>
    </row>
    <row r="1222" spans="1:4" x14ac:dyDescent="0.25">
      <c r="A1222" t="s">
        <v>4</v>
      </c>
      <c r="B1222" t="s">
        <v>7</v>
      </c>
      <c r="C1222">
        <v>20</v>
      </c>
      <c r="D1222">
        <v>965.82799999999997</v>
      </c>
    </row>
    <row r="1223" spans="1:4" x14ac:dyDescent="0.25">
      <c r="A1223" t="s">
        <v>4</v>
      </c>
      <c r="B1223" t="s">
        <v>7</v>
      </c>
      <c r="C1223">
        <v>20</v>
      </c>
      <c r="D1223">
        <v>964.82799999999997</v>
      </c>
    </row>
    <row r="1224" spans="1:4" x14ac:dyDescent="0.25">
      <c r="A1224" t="s">
        <v>4</v>
      </c>
      <c r="B1224" t="s">
        <v>7</v>
      </c>
      <c r="C1224">
        <v>20</v>
      </c>
      <c r="D1224">
        <v>968.82799999999997</v>
      </c>
    </row>
    <row r="1225" spans="1:4" x14ac:dyDescent="0.25">
      <c r="A1225" t="s">
        <v>4</v>
      </c>
      <c r="B1225" t="s">
        <v>7</v>
      </c>
      <c r="C1225">
        <v>20</v>
      </c>
      <c r="D1225">
        <v>963.82799999999997</v>
      </c>
    </row>
    <row r="1226" spans="1:4" x14ac:dyDescent="0.25">
      <c r="A1226" t="s">
        <v>4</v>
      </c>
      <c r="B1226" t="s">
        <v>7</v>
      </c>
      <c r="C1226">
        <v>20</v>
      </c>
      <c r="D1226">
        <v>971.82799999999997</v>
      </c>
    </row>
    <row r="1227" spans="1:4" x14ac:dyDescent="0.25">
      <c r="A1227" t="s">
        <v>4</v>
      </c>
      <c r="B1227" t="s">
        <v>7</v>
      </c>
      <c r="C1227">
        <v>20</v>
      </c>
      <c r="D1227">
        <v>973.82799999999997</v>
      </c>
    </row>
    <row r="1228" spans="1:4" x14ac:dyDescent="0.25">
      <c r="A1228" t="s">
        <v>4</v>
      </c>
      <c r="B1228" t="s">
        <v>7</v>
      </c>
      <c r="C1228">
        <v>20</v>
      </c>
      <c r="D1228">
        <v>969.82799999999997</v>
      </c>
    </row>
    <row r="1229" spans="1:4" x14ac:dyDescent="0.25">
      <c r="A1229" t="s">
        <v>4</v>
      </c>
      <c r="B1229" t="s">
        <v>7</v>
      </c>
      <c r="C1229">
        <v>20</v>
      </c>
      <c r="D1229">
        <v>967.82799999999997</v>
      </c>
    </row>
    <row r="1230" spans="1:4" x14ac:dyDescent="0.25">
      <c r="A1230" t="s">
        <v>4</v>
      </c>
      <c r="B1230" t="s">
        <v>7</v>
      </c>
      <c r="C1230">
        <v>20</v>
      </c>
      <c r="D1230">
        <v>969.82799999999997</v>
      </c>
    </row>
    <row r="1231" spans="1:4" x14ac:dyDescent="0.25">
      <c r="A1231" t="s">
        <v>4</v>
      </c>
      <c r="B1231" t="s">
        <v>7</v>
      </c>
      <c r="C1231">
        <v>20</v>
      </c>
      <c r="D1231">
        <v>974.82799999999997</v>
      </c>
    </row>
    <row r="1232" spans="1:4" x14ac:dyDescent="0.25">
      <c r="A1232" t="s">
        <v>4</v>
      </c>
      <c r="B1232" t="s">
        <v>7</v>
      </c>
      <c r="C1232">
        <v>20</v>
      </c>
      <c r="D1232">
        <v>967.82799999999997</v>
      </c>
    </row>
    <row r="1233" spans="1:4" x14ac:dyDescent="0.25">
      <c r="A1233" t="s">
        <v>4</v>
      </c>
      <c r="B1233" t="s">
        <v>7</v>
      </c>
      <c r="C1233">
        <v>20</v>
      </c>
      <c r="D1233">
        <v>967.82799999999997</v>
      </c>
    </row>
    <row r="1234" spans="1:4" x14ac:dyDescent="0.25">
      <c r="A1234" t="s">
        <v>4</v>
      </c>
      <c r="B1234" t="s">
        <v>7</v>
      </c>
      <c r="C1234">
        <v>20</v>
      </c>
      <c r="D1234">
        <v>968.82799999999997</v>
      </c>
    </row>
    <row r="1235" spans="1:4" x14ac:dyDescent="0.25">
      <c r="A1235" t="s">
        <v>4</v>
      </c>
      <c r="B1235" t="s">
        <v>7</v>
      </c>
      <c r="C1235">
        <v>20</v>
      </c>
      <c r="D1235">
        <v>972.82799999999997</v>
      </c>
    </row>
    <row r="1236" spans="1:4" x14ac:dyDescent="0.25">
      <c r="A1236" t="s">
        <v>4</v>
      </c>
      <c r="B1236" t="s">
        <v>7</v>
      </c>
      <c r="C1236">
        <v>20</v>
      </c>
      <c r="D1236">
        <v>976.82799999999997</v>
      </c>
    </row>
    <row r="1237" spans="1:4" x14ac:dyDescent="0.25">
      <c r="A1237" t="s">
        <v>4</v>
      </c>
      <c r="B1237" t="s">
        <v>7</v>
      </c>
      <c r="C1237">
        <v>20</v>
      </c>
      <c r="D1237">
        <v>975.82799999999997</v>
      </c>
    </row>
    <row r="1238" spans="1:4" x14ac:dyDescent="0.25">
      <c r="A1238" t="s">
        <v>4</v>
      </c>
      <c r="B1238" t="s">
        <v>7</v>
      </c>
      <c r="C1238">
        <v>20</v>
      </c>
      <c r="D1238">
        <v>977.82799999999997</v>
      </c>
    </row>
    <row r="1239" spans="1:4" x14ac:dyDescent="0.25">
      <c r="A1239" t="s">
        <v>4</v>
      </c>
      <c r="B1239" t="s">
        <v>7</v>
      </c>
      <c r="C1239">
        <v>20</v>
      </c>
      <c r="D1239">
        <v>967.82799999999997</v>
      </c>
    </row>
    <row r="1240" spans="1:4" x14ac:dyDescent="0.25">
      <c r="A1240" t="s">
        <v>4</v>
      </c>
      <c r="B1240" t="s">
        <v>7</v>
      </c>
      <c r="C1240">
        <v>20</v>
      </c>
      <c r="D1240">
        <v>967.82799999999997</v>
      </c>
    </row>
    <row r="1241" spans="1:4" x14ac:dyDescent="0.25">
      <c r="A1241" t="s">
        <v>4</v>
      </c>
      <c r="B1241" t="s">
        <v>7</v>
      </c>
      <c r="C1241">
        <v>20</v>
      </c>
      <c r="D1241">
        <v>968.82799999999997</v>
      </c>
    </row>
    <row r="1242" spans="1:4" x14ac:dyDescent="0.25">
      <c r="A1242" t="s">
        <v>4</v>
      </c>
      <c r="B1242" t="s">
        <v>7</v>
      </c>
      <c r="C1242">
        <v>20</v>
      </c>
      <c r="D1242">
        <v>968.82799999999997</v>
      </c>
    </row>
    <row r="1243" spans="1:4" x14ac:dyDescent="0.25">
      <c r="A1243" t="s">
        <v>4</v>
      </c>
      <c r="B1243" t="s">
        <v>7</v>
      </c>
      <c r="C1243">
        <v>20</v>
      </c>
      <c r="D1243">
        <v>971.82799999999997</v>
      </c>
    </row>
    <row r="1244" spans="1:4" x14ac:dyDescent="0.25">
      <c r="A1244" t="s">
        <v>4</v>
      </c>
      <c r="B1244" t="s">
        <v>7</v>
      </c>
      <c r="C1244">
        <v>20</v>
      </c>
      <c r="D1244">
        <v>968.82799999999997</v>
      </c>
    </row>
    <row r="1245" spans="1:4" x14ac:dyDescent="0.25">
      <c r="A1245" t="s">
        <v>4</v>
      </c>
      <c r="B1245" t="s">
        <v>7</v>
      </c>
      <c r="C1245">
        <v>20</v>
      </c>
      <c r="D1245">
        <v>969.82799999999997</v>
      </c>
    </row>
    <row r="1246" spans="1:4" x14ac:dyDescent="0.25">
      <c r="A1246" t="s">
        <v>4</v>
      </c>
      <c r="B1246" t="s">
        <v>7</v>
      </c>
      <c r="C1246">
        <v>20</v>
      </c>
      <c r="D1246">
        <v>963.82799999999997</v>
      </c>
    </row>
    <row r="1247" spans="1:4" x14ac:dyDescent="0.25">
      <c r="A1247" t="s">
        <v>4</v>
      </c>
      <c r="B1247" t="s">
        <v>7</v>
      </c>
      <c r="C1247">
        <v>20</v>
      </c>
      <c r="D1247">
        <v>974.82799999999997</v>
      </c>
    </row>
    <row r="1248" spans="1:4" x14ac:dyDescent="0.25">
      <c r="A1248" t="s">
        <v>4</v>
      </c>
      <c r="B1248" t="s">
        <v>7</v>
      </c>
      <c r="C1248">
        <v>20</v>
      </c>
      <c r="D1248">
        <v>973.82799999999997</v>
      </c>
    </row>
    <row r="1249" spans="1:4" x14ac:dyDescent="0.25">
      <c r="A1249" t="s">
        <v>4</v>
      </c>
      <c r="B1249" t="s">
        <v>7</v>
      </c>
      <c r="C1249">
        <v>20</v>
      </c>
      <c r="D1249">
        <v>968.82799999999997</v>
      </c>
    </row>
    <row r="1250" spans="1:4" x14ac:dyDescent="0.25">
      <c r="A1250" t="s">
        <v>4</v>
      </c>
      <c r="B1250" t="s">
        <v>7</v>
      </c>
      <c r="C1250">
        <v>20</v>
      </c>
      <c r="D1250">
        <v>959.82799999999997</v>
      </c>
    </row>
    <row r="1251" spans="1:4" x14ac:dyDescent="0.25">
      <c r="A1251" t="s">
        <v>4</v>
      </c>
      <c r="B1251" t="s">
        <v>7</v>
      </c>
      <c r="C1251">
        <v>20</v>
      </c>
      <c r="D1251">
        <v>970.82799999999997</v>
      </c>
    </row>
    <row r="1252" spans="1:4" x14ac:dyDescent="0.25">
      <c r="A1252" t="s">
        <v>4</v>
      </c>
      <c r="B1252" t="s">
        <v>7</v>
      </c>
      <c r="C1252">
        <v>20</v>
      </c>
      <c r="D1252">
        <v>968.82799999999997</v>
      </c>
    </row>
    <row r="1253" spans="1:4" x14ac:dyDescent="0.25">
      <c r="A1253" t="s">
        <v>4</v>
      </c>
      <c r="B1253" t="s">
        <v>7</v>
      </c>
      <c r="C1253">
        <v>20</v>
      </c>
      <c r="D1253">
        <v>969.82799999999997</v>
      </c>
    </row>
    <row r="1254" spans="1:4" x14ac:dyDescent="0.25">
      <c r="A1254" t="s">
        <v>4</v>
      </c>
      <c r="B1254" t="s">
        <v>7</v>
      </c>
      <c r="C1254">
        <v>20</v>
      </c>
      <c r="D1254">
        <v>967.82799999999997</v>
      </c>
    </row>
    <row r="1255" spans="1:4" x14ac:dyDescent="0.25">
      <c r="A1255" t="s">
        <v>4</v>
      </c>
      <c r="B1255" t="s">
        <v>7</v>
      </c>
      <c r="C1255">
        <v>20</v>
      </c>
      <c r="D1255">
        <v>969.82799999999997</v>
      </c>
    </row>
    <row r="1256" spans="1:4" x14ac:dyDescent="0.25">
      <c r="A1256" t="s">
        <v>4</v>
      </c>
      <c r="B1256" t="s">
        <v>7</v>
      </c>
      <c r="C1256">
        <v>20</v>
      </c>
      <c r="D1256">
        <v>968.82799999999997</v>
      </c>
    </row>
    <row r="1257" spans="1:4" x14ac:dyDescent="0.25">
      <c r="A1257" t="s">
        <v>4</v>
      </c>
      <c r="B1257" t="s">
        <v>7</v>
      </c>
      <c r="C1257">
        <v>20</v>
      </c>
      <c r="D1257">
        <v>969.82799999999997</v>
      </c>
    </row>
    <row r="1258" spans="1:4" x14ac:dyDescent="0.25">
      <c r="A1258" t="s">
        <v>4</v>
      </c>
      <c r="B1258" t="s">
        <v>7</v>
      </c>
      <c r="C1258">
        <v>20</v>
      </c>
      <c r="D1258">
        <v>967.82799999999997</v>
      </c>
    </row>
    <row r="1259" spans="1:4" x14ac:dyDescent="0.25">
      <c r="A1259" t="s">
        <v>4</v>
      </c>
      <c r="B1259" t="s">
        <v>7</v>
      </c>
      <c r="C1259">
        <v>20</v>
      </c>
      <c r="D1259">
        <v>967.82799999999997</v>
      </c>
    </row>
    <row r="1260" spans="1:4" x14ac:dyDescent="0.25">
      <c r="A1260" t="s">
        <v>4</v>
      </c>
      <c r="B1260" t="s">
        <v>7</v>
      </c>
      <c r="C1260">
        <v>20</v>
      </c>
      <c r="D1260">
        <v>973.82799999999997</v>
      </c>
    </row>
    <row r="1261" spans="1:4" x14ac:dyDescent="0.25">
      <c r="A1261" t="s">
        <v>4</v>
      </c>
      <c r="B1261" t="s">
        <v>7</v>
      </c>
      <c r="C1261">
        <v>20</v>
      </c>
      <c r="D1261">
        <v>965.82799999999997</v>
      </c>
    </row>
    <row r="1262" spans="1:4" x14ac:dyDescent="0.25">
      <c r="A1262" t="s">
        <v>4</v>
      </c>
      <c r="B1262" t="s">
        <v>7</v>
      </c>
      <c r="C1262">
        <v>20</v>
      </c>
      <c r="D1262">
        <v>971.82799999999997</v>
      </c>
    </row>
    <row r="1263" spans="1:4" x14ac:dyDescent="0.25">
      <c r="A1263" t="s">
        <v>4</v>
      </c>
      <c r="B1263" t="s">
        <v>7</v>
      </c>
      <c r="C1263">
        <v>20</v>
      </c>
      <c r="D1263">
        <v>967.82799999999997</v>
      </c>
    </row>
    <row r="1264" spans="1:4" x14ac:dyDescent="0.25">
      <c r="A1264" t="s">
        <v>4</v>
      </c>
      <c r="B1264" t="s">
        <v>7</v>
      </c>
      <c r="C1264">
        <v>20</v>
      </c>
      <c r="D1264">
        <v>970.82799999999997</v>
      </c>
    </row>
    <row r="1265" spans="1:4" x14ac:dyDescent="0.25">
      <c r="A1265" t="s">
        <v>4</v>
      </c>
      <c r="B1265" t="s">
        <v>7</v>
      </c>
      <c r="C1265">
        <v>20</v>
      </c>
      <c r="D1265">
        <v>970.82799999999997</v>
      </c>
    </row>
    <row r="1266" spans="1:4" x14ac:dyDescent="0.25">
      <c r="A1266" t="s">
        <v>4</v>
      </c>
      <c r="B1266" t="s">
        <v>7</v>
      </c>
      <c r="C1266">
        <v>20</v>
      </c>
      <c r="D1266">
        <v>970.82799999999997</v>
      </c>
    </row>
    <row r="1267" spans="1:4" x14ac:dyDescent="0.25">
      <c r="A1267" t="s">
        <v>4</v>
      </c>
      <c r="B1267" t="s">
        <v>7</v>
      </c>
      <c r="C1267">
        <v>20</v>
      </c>
      <c r="D1267">
        <v>966.82799999999997</v>
      </c>
    </row>
    <row r="1268" spans="1:4" x14ac:dyDescent="0.25">
      <c r="A1268" t="s">
        <v>4</v>
      </c>
      <c r="B1268" t="s">
        <v>7</v>
      </c>
      <c r="C1268">
        <v>20</v>
      </c>
      <c r="D1268">
        <v>966.82799999999997</v>
      </c>
    </row>
    <row r="1269" spans="1:4" x14ac:dyDescent="0.25">
      <c r="A1269" t="s">
        <v>4</v>
      </c>
      <c r="B1269" t="s">
        <v>7</v>
      </c>
      <c r="C1269">
        <v>20</v>
      </c>
      <c r="D1269">
        <v>972.82799999999997</v>
      </c>
    </row>
    <row r="1270" spans="1:4" x14ac:dyDescent="0.25">
      <c r="A1270" t="s">
        <v>4</v>
      </c>
      <c r="B1270" t="s">
        <v>7</v>
      </c>
      <c r="C1270">
        <v>20</v>
      </c>
      <c r="D1270">
        <v>966.82799999999997</v>
      </c>
    </row>
    <row r="1271" spans="1:4" x14ac:dyDescent="0.25">
      <c r="A1271" t="s">
        <v>4</v>
      </c>
      <c r="B1271" t="s">
        <v>7</v>
      </c>
      <c r="C1271">
        <v>20</v>
      </c>
      <c r="D1271">
        <v>970.82799999999997</v>
      </c>
    </row>
    <row r="1272" spans="1:4" x14ac:dyDescent="0.25">
      <c r="A1272" t="s">
        <v>4</v>
      </c>
      <c r="B1272" t="s">
        <v>7</v>
      </c>
      <c r="C1272">
        <v>20</v>
      </c>
      <c r="D1272">
        <v>971.82799999999997</v>
      </c>
    </row>
    <row r="1273" spans="1:4" x14ac:dyDescent="0.25">
      <c r="A1273" t="s">
        <v>4</v>
      </c>
      <c r="B1273" t="s">
        <v>7</v>
      </c>
      <c r="C1273">
        <v>20</v>
      </c>
      <c r="D1273">
        <v>969.82799999999997</v>
      </c>
    </row>
    <row r="1274" spans="1:4" x14ac:dyDescent="0.25">
      <c r="A1274" t="s">
        <v>4</v>
      </c>
      <c r="B1274" t="s">
        <v>7</v>
      </c>
      <c r="C1274">
        <v>20</v>
      </c>
      <c r="D1274">
        <v>967.82799999999997</v>
      </c>
    </row>
    <row r="1275" spans="1:4" x14ac:dyDescent="0.25">
      <c r="A1275" t="s">
        <v>4</v>
      </c>
      <c r="B1275" t="s">
        <v>7</v>
      </c>
      <c r="C1275">
        <v>20</v>
      </c>
      <c r="D1275">
        <v>969.82799999999997</v>
      </c>
    </row>
    <row r="1276" spans="1:4" x14ac:dyDescent="0.25">
      <c r="A1276" t="s">
        <v>4</v>
      </c>
      <c r="B1276" t="s">
        <v>7</v>
      </c>
      <c r="C1276">
        <v>20</v>
      </c>
      <c r="D1276">
        <v>970.82799999999997</v>
      </c>
    </row>
    <row r="1277" spans="1:4" x14ac:dyDescent="0.25">
      <c r="A1277" t="s">
        <v>4</v>
      </c>
      <c r="B1277" t="s">
        <v>7</v>
      </c>
      <c r="C1277">
        <v>20</v>
      </c>
      <c r="D1277">
        <v>961.82799999999997</v>
      </c>
    </row>
    <row r="1278" spans="1:4" x14ac:dyDescent="0.25">
      <c r="A1278" t="s">
        <v>4</v>
      </c>
      <c r="B1278" t="s">
        <v>7</v>
      </c>
      <c r="C1278">
        <v>20</v>
      </c>
      <c r="D1278">
        <v>967.82799999999997</v>
      </c>
    </row>
    <row r="1279" spans="1:4" x14ac:dyDescent="0.25">
      <c r="A1279" t="s">
        <v>4</v>
      </c>
      <c r="B1279" t="s">
        <v>7</v>
      </c>
      <c r="C1279">
        <v>20</v>
      </c>
      <c r="D1279">
        <v>967.82799999999997</v>
      </c>
    </row>
    <row r="1280" spans="1:4" x14ac:dyDescent="0.25">
      <c r="A1280" t="s">
        <v>4</v>
      </c>
      <c r="B1280" t="s">
        <v>7</v>
      </c>
      <c r="C1280">
        <v>20</v>
      </c>
      <c r="D1280">
        <v>969.82799999999997</v>
      </c>
    </row>
    <row r="1281" spans="1:4" x14ac:dyDescent="0.25">
      <c r="A1281" t="s">
        <v>4</v>
      </c>
      <c r="B1281" t="s">
        <v>7</v>
      </c>
      <c r="C1281">
        <v>20</v>
      </c>
      <c r="D1281">
        <v>964.82799999999997</v>
      </c>
    </row>
    <row r="1282" spans="1:4" x14ac:dyDescent="0.25">
      <c r="A1282" t="s">
        <v>4</v>
      </c>
      <c r="B1282" t="s">
        <v>7</v>
      </c>
      <c r="C1282">
        <v>20</v>
      </c>
      <c r="D1282">
        <v>974.82799999999997</v>
      </c>
    </row>
    <row r="1283" spans="1:4" x14ac:dyDescent="0.25">
      <c r="A1283" t="s">
        <v>4</v>
      </c>
      <c r="B1283" t="s">
        <v>7</v>
      </c>
      <c r="C1283">
        <v>20</v>
      </c>
      <c r="D1283">
        <v>970.82799999999997</v>
      </c>
    </row>
    <row r="1284" spans="1:4" x14ac:dyDescent="0.25">
      <c r="A1284" t="s">
        <v>4</v>
      </c>
      <c r="B1284" t="s">
        <v>7</v>
      </c>
      <c r="C1284">
        <v>20</v>
      </c>
      <c r="D1284">
        <v>968.82799999999997</v>
      </c>
    </row>
    <row r="1285" spans="1:4" x14ac:dyDescent="0.25">
      <c r="A1285" t="s">
        <v>4</v>
      </c>
      <c r="B1285" t="s">
        <v>7</v>
      </c>
      <c r="C1285">
        <v>20</v>
      </c>
      <c r="D1285">
        <v>972.82799999999997</v>
      </c>
    </row>
    <row r="1286" spans="1:4" x14ac:dyDescent="0.25">
      <c r="A1286" t="s">
        <v>4</v>
      </c>
      <c r="B1286" t="s">
        <v>7</v>
      </c>
      <c r="C1286">
        <v>20</v>
      </c>
      <c r="D1286">
        <v>972.82799999999997</v>
      </c>
    </row>
    <row r="1287" spans="1:4" x14ac:dyDescent="0.25">
      <c r="A1287" t="s">
        <v>4</v>
      </c>
      <c r="B1287" t="s">
        <v>7</v>
      </c>
      <c r="C1287">
        <v>20</v>
      </c>
      <c r="D1287">
        <v>966.82799999999997</v>
      </c>
    </row>
    <row r="1288" spans="1:4" x14ac:dyDescent="0.25">
      <c r="A1288" t="s">
        <v>4</v>
      </c>
      <c r="B1288" t="s">
        <v>7</v>
      </c>
      <c r="C1288">
        <v>20</v>
      </c>
      <c r="D1288">
        <v>974.82799999999997</v>
      </c>
    </row>
    <row r="1289" spans="1:4" x14ac:dyDescent="0.25">
      <c r="A1289" t="s">
        <v>4</v>
      </c>
      <c r="B1289" t="s">
        <v>7</v>
      </c>
      <c r="C1289">
        <v>20</v>
      </c>
      <c r="D1289">
        <v>962.82799999999997</v>
      </c>
    </row>
    <row r="1290" spans="1:4" x14ac:dyDescent="0.25">
      <c r="A1290" t="s">
        <v>4</v>
      </c>
      <c r="B1290" t="s">
        <v>7</v>
      </c>
      <c r="C1290">
        <v>20</v>
      </c>
      <c r="D1290">
        <v>967.82799999999997</v>
      </c>
    </row>
    <row r="1291" spans="1:4" x14ac:dyDescent="0.25">
      <c r="A1291" t="s">
        <v>4</v>
      </c>
      <c r="B1291" t="s">
        <v>7</v>
      </c>
      <c r="C1291">
        <v>20</v>
      </c>
      <c r="D1291">
        <v>964.82799999999997</v>
      </c>
    </row>
    <row r="1292" spans="1:4" x14ac:dyDescent="0.25">
      <c r="A1292" t="s">
        <v>4</v>
      </c>
      <c r="B1292" t="s">
        <v>7</v>
      </c>
      <c r="C1292">
        <v>20</v>
      </c>
      <c r="D1292">
        <v>968.82799999999997</v>
      </c>
    </row>
    <row r="1293" spans="1:4" x14ac:dyDescent="0.25">
      <c r="A1293" t="s">
        <v>4</v>
      </c>
      <c r="B1293" t="s">
        <v>7</v>
      </c>
      <c r="C1293">
        <v>20</v>
      </c>
      <c r="D1293">
        <v>965.82799999999997</v>
      </c>
    </row>
    <row r="1294" spans="1:4" x14ac:dyDescent="0.25">
      <c r="A1294" t="s">
        <v>4</v>
      </c>
      <c r="B1294" t="s">
        <v>7</v>
      </c>
      <c r="C1294">
        <v>20</v>
      </c>
      <c r="D1294">
        <v>966.82799999999997</v>
      </c>
    </row>
    <row r="1295" spans="1:4" x14ac:dyDescent="0.25">
      <c r="A1295" t="s">
        <v>4</v>
      </c>
      <c r="B1295" t="s">
        <v>7</v>
      </c>
      <c r="C1295">
        <v>20</v>
      </c>
      <c r="D1295">
        <v>968.82799999999997</v>
      </c>
    </row>
    <row r="1296" spans="1:4" x14ac:dyDescent="0.25">
      <c r="A1296" t="s">
        <v>4</v>
      </c>
      <c r="B1296" t="s">
        <v>7</v>
      </c>
      <c r="C1296">
        <v>20</v>
      </c>
      <c r="D1296">
        <v>965.82799999999997</v>
      </c>
    </row>
    <row r="1297" spans="1:4" x14ac:dyDescent="0.25">
      <c r="A1297" t="s">
        <v>4</v>
      </c>
      <c r="B1297" t="s">
        <v>7</v>
      </c>
      <c r="C1297">
        <v>20</v>
      </c>
      <c r="D1297">
        <v>973.82799999999997</v>
      </c>
    </row>
    <row r="1298" spans="1:4" x14ac:dyDescent="0.25">
      <c r="A1298" t="s">
        <v>4</v>
      </c>
      <c r="B1298" t="s">
        <v>7</v>
      </c>
      <c r="C1298">
        <v>20</v>
      </c>
      <c r="D1298">
        <v>968.82799999999997</v>
      </c>
    </row>
    <row r="1299" spans="1:4" x14ac:dyDescent="0.25">
      <c r="A1299" t="s">
        <v>4</v>
      </c>
      <c r="B1299" t="s">
        <v>7</v>
      </c>
      <c r="C1299">
        <v>20</v>
      </c>
      <c r="D1299">
        <v>970.82799999999997</v>
      </c>
    </row>
    <row r="1300" spans="1:4" x14ac:dyDescent="0.25">
      <c r="A1300" t="s">
        <v>4</v>
      </c>
      <c r="B1300" t="s">
        <v>7</v>
      </c>
      <c r="C1300">
        <v>20</v>
      </c>
      <c r="D1300">
        <v>964.82799999999997</v>
      </c>
    </row>
    <row r="1301" spans="1:4" x14ac:dyDescent="0.25">
      <c r="A1301" t="s">
        <v>4</v>
      </c>
      <c r="B1301" t="s">
        <v>7</v>
      </c>
      <c r="C1301">
        <v>20</v>
      </c>
      <c r="D1301">
        <v>967.82799999999997</v>
      </c>
    </row>
    <row r="1302" spans="1:4" x14ac:dyDescent="0.25">
      <c r="A1302" t="s">
        <v>4</v>
      </c>
      <c r="B1302" t="s">
        <v>7</v>
      </c>
      <c r="C1302">
        <v>40</v>
      </c>
      <c r="D1302">
        <v>1583.5450000000001</v>
      </c>
    </row>
    <row r="1303" spans="1:4" x14ac:dyDescent="0.25">
      <c r="A1303" t="s">
        <v>4</v>
      </c>
      <c r="B1303" t="s">
        <v>7</v>
      </c>
      <c r="C1303">
        <v>40</v>
      </c>
      <c r="D1303">
        <v>1605.586</v>
      </c>
    </row>
    <row r="1304" spans="1:4" x14ac:dyDescent="0.25">
      <c r="A1304" t="s">
        <v>4</v>
      </c>
      <c r="B1304" t="s">
        <v>7</v>
      </c>
      <c r="C1304">
        <v>40</v>
      </c>
      <c r="D1304">
        <v>1571.1590000000001</v>
      </c>
    </row>
    <row r="1305" spans="1:4" x14ac:dyDescent="0.25">
      <c r="A1305" t="s">
        <v>4</v>
      </c>
      <c r="B1305" t="s">
        <v>7</v>
      </c>
      <c r="C1305">
        <v>40</v>
      </c>
      <c r="D1305">
        <v>1614.2470000000001</v>
      </c>
    </row>
    <row r="1306" spans="1:4" x14ac:dyDescent="0.25">
      <c r="A1306" t="s">
        <v>4</v>
      </c>
      <c r="B1306" t="s">
        <v>7</v>
      </c>
      <c r="C1306">
        <v>40</v>
      </c>
      <c r="D1306">
        <v>1602.6079999999999</v>
      </c>
    </row>
    <row r="1307" spans="1:4" x14ac:dyDescent="0.25">
      <c r="A1307" t="s">
        <v>4</v>
      </c>
      <c r="B1307" t="s">
        <v>7</v>
      </c>
      <c r="C1307">
        <v>40</v>
      </c>
      <c r="D1307">
        <v>1559.0740000000001</v>
      </c>
    </row>
    <row r="1308" spans="1:4" x14ac:dyDescent="0.25">
      <c r="A1308" t="s">
        <v>4</v>
      </c>
      <c r="B1308" t="s">
        <v>7</v>
      </c>
      <c r="C1308">
        <v>40</v>
      </c>
      <c r="D1308">
        <v>1582.675</v>
      </c>
    </row>
    <row r="1309" spans="1:4" x14ac:dyDescent="0.25">
      <c r="A1309" t="s">
        <v>4</v>
      </c>
      <c r="B1309" t="s">
        <v>7</v>
      </c>
      <c r="C1309">
        <v>40</v>
      </c>
      <c r="D1309">
        <v>1556.954</v>
      </c>
    </row>
    <row r="1310" spans="1:4" x14ac:dyDescent="0.25">
      <c r="A1310" t="s">
        <v>4</v>
      </c>
      <c r="B1310" t="s">
        <v>7</v>
      </c>
      <c r="C1310">
        <v>40</v>
      </c>
      <c r="D1310">
        <v>1561.335</v>
      </c>
    </row>
    <row r="1311" spans="1:4" x14ac:dyDescent="0.25">
      <c r="A1311" t="s">
        <v>4</v>
      </c>
      <c r="B1311" t="s">
        <v>7</v>
      </c>
      <c r="C1311">
        <v>40</v>
      </c>
      <c r="D1311">
        <v>1603.9870000000001</v>
      </c>
    </row>
    <row r="1312" spans="1:4" x14ac:dyDescent="0.25">
      <c r="A1312" t="s">
        <v>4</v>
      </c>
      <c r="B1312" t="s">
        <v>7</v>
      </c>
      <c r="C1312">
        <v>40</v>
      </c>
      <c r="D1312">
        <v>1569.7429999999999</v>
      </c>
    </row>
    <row r="1313" spans="1:4" x14ac:dyDescent="0.25">
      <c r="A1313" t="s">
        <v>4</v>
      </c>
      <c r="B1313" t="s">
        <v>7</v>
      </c>
      <c r="C1313">
        <v>40</v>
      </c>
      <c r="D1313">
        <v>1567.5909999999999</v>
      </c>
    </row>
    <row r="1314" spans="1:4" x14ac:dyDescent="0.25">
      <c r="A1314" t="s">
        <v>4</v>
      </c>
      <c r="B1314" t="s">
        <v>7</v>
      </c>
      <c r="C1314">
        <v>40</v>
      </c>
      <c r="D1314">
        <v>1572.0640000000001</v>
      </c>
    </row>
    <row r="1315" spans="1:4" x14ac:dyDescent="0.25">
      <c r="A1315" t="s">
        <v>4</v>
      </c>
      <c r="B1315" t="s">
        <v>7</v>
      </c>
      <c r="C1315">
        <v>40</v>
      </c>
      <c r="D1315">
        <v>1568.519</v>
      </c>
    </row>
    <row r="1316" spans="1:4" x14ac:dyDescent="0.25">
      <c r="A1316" t="s">
        <v>4</v>
      </c>
      <c r="B1316" t="s">
        <v>7</v>
      </c>
      <c r="C1316">
        <v>40</v>
      </c>
      <c r="D1316">
        <v>1576.799</v>
      </c>
    </row>
    <row r="1317" spans="1:4" x14ac:dyDescent="0.25">
      <c r="A1317" t="s">
        <v>4</v>
      </c>
      <c r="B1317" t="s">
        <v>7</v>
      </c>
      <c r="C1317">
        <v>40</v>
      </c>
      <c r="D1317">
        <v>1571.5239999999999</v>
      </c>
    </row>
    <row r="1318" spans="1:4" x14ac:dyDescent="0.25">
      <c r="A1318" t="s">
        <v>4</v>
      </c>
      <c r="B1318" t="s">
        <v>7</v>
      </c>
      <c r="C1318">
        <v>40</v>
      </c>
      <c r="D1318">
        <v>1600.6759999999999</v>
      </c>
    </row>
    <row r="1319" spans="1:4" x14ac:dyDescent="0.25">
      <c r="A1319" t="s">
        <v>4</v>
      </c>
      <c r="B1319" t="s">
        <v>7</v>
      </c>
      <c r="C1319">
        <v>40</v>
      </c>
      <c r="D1319">
        <v>1551.1959999999999</v>
      </c>
    </row>
    <row r="1320" spans="1:4" x14ac:dyDescent="0.25">
      <c r="A1320" t="s">
        <v>4</v>
      </c>
      <c r="B1320" t="s">
        <v>7</v>
      </c>
      <c r="C1320">
        <v>40</v>
      </c>
      <c r="D1320">
        <v>1590.192</v>
      </c>
    </row>
    <row r="1321" spans="1:4" x14ac:dyDescent="0.25">
      <c r="A1321" t="s">
        <v>4</v>
      </c>
      <c r="B1321" t="s">
        <v>7</v>
      </c>
      <c r="C1321">
        <v>40</v>
      </c>
      <c r="D1321">
        <v>1578.249</v>
      </c>
    </row>
    <row r="1322" spans="1:4" x14ac:dyDescent="0.25">
      <c r="A1322" t="s">
        <v>4</v>
      </c>
      <c r="B1322" t="s">
        <v>7</v>
      </c>
      <c r="C1322">
        <v>40</v>
      </c>
      <c r="D1322">
        <v>1539.922</v>
      </c>
    </row>
    <row r="1323" spans="1:4" x14ac:dyDescent="0.25">
      <c r="A1323" t="s">
        <v>4</v>
      </c>
      <c r="B1323" t="s">
        <v>7</v>
      </c>
      <c r="C1323">
        <v>40</v>
      </c>
      <c r="D1323">
        <v>1570.0150000000001</v>
      </c>
    </row>
    <row r="1324" spans="1:4" x14ac:dyDescent="0.25">
      <c r="A1324" t="s">
        <v>4</v>
      </c>
      <c r="B1324" t="s">
        <v>7</v>
      </c>
      <c r="C1324">
        <v>40</v>
      </c>
      <c r="D1324">
        <v>1616.5319999999999</v>
      </c>
    </row>
    <row r="1325" spans="1:4" x14ac:dyDescent="0.25">
      <c r="A1325" t="s">
        <v>4</v>
      </c>
      <c r="B1325" t="s">
        <v>7</v>
      </c>
      <c r="C1325">
        <v>40</v>
      </c>
      <c r="D1325">
        <v>1591.2950000000001</v>
      </c>
    </row>
    <row r="1326" spans="1:4" x14ac:dyDescent="0.25">
      <c r="A1326" t="s">
        <v>4</v>
      </c>
      <c r="B1326" t="s">
        <v>7</v>
      </c>
      <c r="C1326">
        <v>40</v>
      </c>
      <c r="D1326">
        <v>1592.9090000000001</v>
      </c>
    </row>
    <row r="1327" spans="1:4" x14ac:dyDescent="0.25">
      <c r="A1327" t="s">
        <v>4</v>
      </c>
      <c r="B1327" t="s">
        <v>7</v>
      </c>
      <c r="C1327">
        <v>40</v>
      </c>
      <c r="D1327">
        <v>1590.098</v>
      </c>
    </row>
    <row r="1328" spans="1:4" x14ac:dyDescent="0.25">
      <c r="A1328" t="s">
        <v>4</v>
      </c>
      <c r="B1328" t="s">
        <v>7</v>
      </c>
      <c r="C1328">
        <v>40</v>
      </c>
      <c r="D1328">
        <v>1544.413</v>
      </c>
    </row>
    <row r="1329" spans="1:4" x14ac:dyDescent="0.25">
      <c r="A1329" t="s">
        <v>4</v>
      </c>
      <c r="B1329" t="s">
        <v>7</v>
      </c>
      <c r="C1329">
        <v>40</v>
      </c>
      <c r="D1329">
        <v>1592.336</v>
      </c>
    </row>
    <row r="1330" spans="1:4" x14ac:dyDescent="0.25">
      <c r="A1330" t="s">
        <v>4</v>
      </c>
      <c r="B1330" t="s">
        <v>7</v>
      </c>
      <c r="C1330">
        <v>40</v>
      </c>
      <c r="D1330">
        <v>1593.288</v>
      </c>
    </row>
    <row r="1331" spans="1:4" x14ac:dyDescent="0.25">
      <c r="A1331" t="s">
        <v>4</v>
      </c>
      <c r="B1331" t="s">
        <v>7</v>
      </c>
      <c r="C1331">
        <v>40</v>
      </c>
      <c r="D1331">
        <v>1591.0630000000001</v>
      </c>
    </row>
    <row r="1332" spans="1:4" x14ac:dyDescent="0.25">
      <c r="A1332" t="s">
        <v>4</v>
      </c>
      <c r="B1332" t="s">
        <v>7</v>
      </c>
      <c r="C1332">
        <v>40</v>
      </c>
      <c r="D1332">
        <v>1612.579</v>
      </c>
    </row>
    <row r="1333" spans="1:4" x14ac:dyDescent="0.25">
      <c r="A1333" t="s">
        <v>4</v>
      </c>
      <c r="B1333" t="s">
        <v>7</v>
      </c>
      <c r="C1333">
        <v>40</v>
      </c>
      <c r="D1333">
        <v>1593.9680000000001</v>
      </c>
    </row>
    <row r="1334" spans="1:4" x14ac:dyDescent="0.25">
      <c r="A1334" t="s">
        <v>4</v>
      </c>
      <c r="B1334" t="s">
        <v>7</v>
      </c>
      <c r="C1334">
        <v>40</v>
      </c>
      <c r="D1334">
        <v>1583.6679999999999</v>
      </c>
    </row>
    <row r="1335" spans="1:4" x14ac:dyDescent="0.25">
      <c r="A1335" t="s">
        <v>4</v>
      </c>
      <c r="B1335" t="s">
        <v>7</v>
      </c>
      <c r="C1335">
        <v>40</v>
      </c>
      <c r="D1335">
        <v>1558.001</v>
      </c>
    </row>
    <row r="1336" spans="1:4" x14ac:dyDescent="0.25">
      <c r="A1336" t="s">
        <v>4</v>
      </c>
      <c r="B1336" t="s">
        <v>7</v>
      </c>
      <c r="C1336">
        <v>40</v>
      </c>
      <c r="D1336">
        <v>1597.76</v>
      </c>
    </row>
    <row r="1337" spans="1:4" x14ac:dyDescent="0.25">
      <c r="A1337" t="s">
        <v>4</v>
      </c>
      <c r="B1337" t="s">
        <v>7</v>
      </c>
      <c r="C1337">
        <v>40</v>
      </c>
      <c r="D1337">
        <v>1592.528</v>
      </c>
    </row>
    <row r="1338" spans="1:4" x14ac:dyDescent="0.25">
      <c r="A1338" t="s">
        <v>4</v>
      </c>
      <c r="B1338" t="s">
        <v>7</v>
      </c>
      <c r="C1338">
        <v>40</v>
      </c>
      <c r="D1338">
        <v>1600.2260000000001</v>
      </c>
    </row>
    <row r="1339" spans="1:4" x14ac:dyDescent="0.25">
      <c r="A1339" t="s">
        <v>4</v>
      </c>
      <c r="B1339" t="s">
        <v>7</v>
      </c>
      <c r="C1339">
        <v>40</v>
      </c>
      <c r="D1339">
        <v>1553.4880000000001</v>
      </c>
    </row>
    <row r="1340" spans="1:4" x14ac:dyDescent="0.25">
      <c r="A1340" t="s">
        <v>4</v>
      </c>
      <c r="B1340" t="s">
        <v>7</v>
      </c>
      <c r="C1340">
        <v>40</v>
      </c>
      <c r="D1340">
        <v>1613.3320000000001</v>
      </c>
    </row>
    <row r="1341" spans="1:4" x14ac:dyDescent="0.25">
      <c r="A1341" t="s">
        <v>4</v>
      </c>
      <c r="B1341" t="s">
        <v>7</v>
      </c>
      <c r="C1341">
        <v>40</v>
      </c>
      <c r="D1341">
        <v>1640.9110000000001</v>
      </c>
    </row>
    <row r="1342" spans="1:4" x14ac:dyDescent="0.25">
      <c r="A1342" t="s">
        <v>4</v>
      </c>
      <c r="B1342" t="s">
        <v>7</v>
      </c>
      <c r="C1342">
        <v>40</v>
      </c>
      <c r="D1342">
        <v>1577.45</v>
      </c>
    </row>
    <row r="1343" spans="1:4" x14ac:dyDescent="0.25">
      <c r="A1343" t="s">
        <v>4</v>
      </c>
      <c r="B1343" t="s">
        <v>7</v>
      </c>
      <c r="C1343">
        <v>40</v>
      </c>
      <c r="D1343">
        <v>1571.1890000000001</v>
      </c>
    </row>
    <row r="1344" spans="1:4" x14ac:dyDescent="0.25">
      <c r="A1344" t="s">
        <v>4</v>
      </c>
      <c r="B1344" t="s">
        <v>7</v>
      </c>
      <c r="C1344">
        <v>40</v>
      </c>
      <c r="D1344">
        <v>1593.9739999999999</v>
      </c>
    </row>
    <row r="1345" spans="1:4" x14ac:dyDescent="0.25">
      <c r="A1345" t="s">
        <v>4</v>
      </c>
      <c r="B1345" t="s">
        <v>7</v>
      </c>
      <c r="C1345">
        <v>40</v>
      </c>
      <c r="D1345">
        <v>1619.0719999999999</v>
      </c>
    </row>
    <row r="1346" spans="1:4" x14ac:dyDescent="0.25">
      <c r="A1346" t="s">
        <v>4</v>
      </c>
      <c r="B1346" t="s">
        <v>7</v>
      </c>
      <c r="C1346">
        <v>40</v>
      </c>
      <c r="D1346">
        <v>1568.8240000000001</v>
      </c>
    </row>
    <row r="1347" spans="1:4" x14ac:dyDescent="0.25">
      <c r="A1347" t="s">
        <v>4</v>
      </c>
      <c r="B1347" t="s">
        <v>7</v>
      </c>
      <c r="C1347">
        <v>40</v>
      </c>
      <c r="D1347">
        <v>1580.2059999999999</v>
      </c>
    </row>
    <row r="1348" spans="1:4" x14ac:dyDescent="0.25">
      <c r="A1348" t="s">
        <v>4</v>
      </c>
      <c r="B1348" t="s">
        <v>7</v>
      </c>
      <c r="C1348">
        <v>40</v>
      </c>
      <c r="D1348">
        <v>1581.3879999999999</v>
      </c>
    </row>
    <row r="1349" spans="1:4" x14ac:dyDescent="0.25">
      <c r="A1349" t="s">
        <v>4</v>
      </c>
      <c r="B1349" t="s">
        <v>7</v>
      </c>
      <c r="C1349">
        <v>40</v>
      </c>
      <c r="D1349">
        <v>1604.0709999999999</v>
      </c>
    </row>
    <row r="1350" spans="1:4" x14ac:dyDescent="0.25">
      <c r="A1350" t="s">
        <v>4</v>
      </c>
      <c r="B1350" t="s">
        <v>7</v>
      </c>
      <c r="C1350">
        <v>40</v>
      </c>
      <c r="D1350">
        <v>1552.915</v>
      </c>
    </row>
    <row r="1351" spans="1:4" x14ac:dyDescent="0.25">
      <c r="A1351" t="s">
        <v>4</v>
      </c>
      <c r="B1351" t="s">
        <v>7</v>
      </c>
      <c r="C1351">
        <v>40</v>
      </c>
      <c r="D1351">
        <v>1582.8810000000001</v>
      </c>
    </row>
    <row r="1352" spans="1:4" x14ac:dyDescent="0.25">
      <c r="A1352" t="s">
        <v>4</v>
      </c>
      <c r="B1352" t="s">
        <v>7</v>
      </c>
      <c r="C1352">
        <v>40</v>
      </c>
      <c r="D1352">
        <v>1546.05</v>
      </c>
    </row>
    <row r="1353" spans="1:4" x14ac:dyDescent="0.25">
      <c r="A1353" t="s">
        <v>4</v>
      </c>
      <c r="B1353" t="s">
        <v>7</v>
      </c>
      <c r="C1353">
        <v>40</v>
      </c>
      <c r="D1353">
        <v>1543.7</v>
      </c>
    </row>
    <row r="1354" spans="1:4" x14ac:dyDescent="0.25">
      <c r="A1354" t="s">
        <v>4</v>
      </c>
      <c r="B1354" t="s">
        <v>7</v>
      </c>
      <c r="C1354">
        <v>40</v>
      </c>
      <c r="D1354">
        <v>1620.6759999999999</v>
      </c>
    </row>
    <row r="1355" spans="1:4" x14ac:dyDescent="0.25">
      <c r="A1355" t="s">
        <v>4</v>
      </c>
      <c r="B1355" t="s">
        <v>7</v>
      </c>
      <c r="C1355">
        <v>40</v>
      </c>
      <c r="D1355">
        <v>1564.5070000000001</v>
      </c>
    </row>
    <row r="1356" spans="1:4" x14ac:dyDescent="0.25">
      <c r="A1356" t="s">
        <v>4</v>
      </c>
      <c r="B1356" t="s">
        <v>7</v>
      </c>
      <c r="C1356">
        <v>40</v>
      </c>
      <c r="D1356">
        <v>1582.729</v>
      </c>
    </row>
    <row r="1357" spans="1:4" x14ac:dyDescent="0.25">
      <c r="A1357" t="s">
        <v>4</v>
      </c>
      <c r="B1357" t="s">
        <v>7</v>
      </c>
      <c r="C1357">
        <v>40</v>
      </c>
      <c r="D1357">
        <v>1603.09</v>
      </c>
    </row>
    <row r="1358" spans="1:4" x14ac:dyDescent="0.25">
      <c r="A1358" t="s">
        <v>4</v>
      </c>
      <c r="B1358" t="s">
        <v>7</v>
      </c>
      <c r="C1358">
        <v>40</v>
      </c>
      <c r="D1358">
        <v>1622.6089999999999</v>
      </c>
    </row>
    <row r="1359" spans="1:4" x14ac:dyDescent="0.25">
      <c r="A1359" t="s">
        <v>4</v>
      </c>
      <c r="B1359" t="s">
        <v>7</v>
      </c>
      <c r="C1359">
        <v>40</v>
      </c>
      <c r="D1359">
        <v>1568.8240000000001</v>
      </c>
    </row>
    <row r="1360" spans="1:4" x14ac:dyDescent="0.25">
      <c r="A1360" t="s">
        <v>4</v>
      </c>
      <c r="B1360" t="s">
        <v>7</v>
      </c>
      <c r="C1360">
        <v>40</v>
      </c>
      <c r="D1360">
        <v>1594.3320000000001</v>
      </c>
    </row>
    <row r="1361" spans="1:4" x14ac:dyDescent="0.25">
      <c r="A1361" t="s">
        <v>4</v>
      </c>
      <c r="B1361" t="s">
        <v>7</v>
      </c>
      <c r="C1361">
        <v>40</v>
      </c>
      <c r="D1361">
        <v>1584.394</v>
      </c>
    </row>
    <row r="1362" spans="1:4" x14ac:dyDescent="0.25">
      <c r="A1362" t="s">
        <v>4</v>
      </c>
      <c r="B1362" t="s">
        <v>7</v>
      </c>
      <c r="C1362">
        <v>40</v>
      </c>
      <c r="D1362">
        <v>1574.1410000000001</v>
      </c>
    </row>
    <row r="1363" spans="1:4" x14ac:dyDescent="0.25">
      <c r="A1363" t="s">
        <v>4</v>
      </c>
      <c r="B1363" t="s">
        <v>7</v>
      </c>
      <c r="C1363">
        <v>40</v>
      </c>
      <c r="D1363">
        <v>1583.277</v>
      </c>
    </row>
    <row r="1364" spans="1:4" x14ac:dyDescent="0.25">
      <c r="A1364" t="s">
        <v>4</v>
      </c>
      <c r="B1364" t="s">
        <v>7</v>
      </c>
      <c r="C1364">
        <v>40</v>
      </c>
      <c r="D1364">
        <v>1570.1079999999999</v>
      </c>
    </row>
    <row r="1365" spans="1:4" x14ac:dyDescent="0.25">
      <c r="A1365" t="s">
        <v>4</v>
      </c>
      <c r="B1365" t="s">
        <v>7</v>
      </c>
      <c r="C1365">
        <v>40</v>
      </c>
      <c r="D1365">
        <v>1585.057</v>
      </c>
    </row>
    <row r="1366" spans="1:4" x14ac:dyDescent="0.25">
      <c r="A1366" t="s">
        <v>4</v>
      </c>
      <c r="B1366" t="s">
        <v>7</v>
      </c>
      <c r="C1366">
        <v>40</v>
      </c>
      <c r="D1366">
        <v>1595.8019999999999</v>
      </c>
    </row>
    <row r="1367" spans="1:4" x14ac:dyDescent="0.25">
      <c r="A1367" t="s">
        <v>4</v>
      </c>
      <c r="B1367" t="s">
        <v>7</v>
      </c>
      <c r="C1367">
        <v>40</v>
      </c>
      <c r="D1367">
        <v>1557.0530000000001</v>
      </c>
    </row>
    <row r="1368" spans="1:4" x14ac:dyDescent="0.25">
      <c r="A1368" t="s">
        <v>4</v>
      </c>
      <c r="B1368" t="s">
        <v>7</v>
      </c>
      <c r="C1368">
        <v>40</v>
      </c>
      <c r="D1368">
        <v>1545.2739999999999</v>
      </c>
    </row>
    <row r="1369" spans="1:4" x14ac:dyDescent="0.25">
      <c r="A1369" t="s">
        <v>4</v>
      </c>
      <c r="B1369" t="s">
        <v>7</v>
      </c>
      <c r="C1369">
        <v>40</v>
      </c>
      <c r="D1369">
        <v>1575.567</v>
      </c>
    </row>
    <row r="1370" spans="1:4" x14ac:dyDescent="0.25">
      <c r="A1370" t="s">
        <v>4</v>
      </c>
      <c r="B1370" t="s">
        <v>7</v>
      </c>
      <c r="C1370">
        <v>40</v>
      </c>
      <c r="D1370">
        <v>1570.789</v>
      </c>
    </row>
    <row r="1371" spans="1:4" x14ac:dyDescent="0.25">
      <c r="A1371" t="s">
        <v>4</v>
      </c>
      <c r="B1371" t="s">
        <v>7</v>
      </c>
      <c r="C1371">
        <v>40</v>
      </c>
      <c r="D1371">
        <v>1559.3309999999999</v>
      </c>
    </row>
    <row r="1372" spans="1:4" x14ac:dyDescent="0.25">
      <c r="A1372" t="s">
        <v>4</v>
      </c>
      <c r="B1372" t="s">
        <v>7</v>
      </c>
      <c r="C1372">
        <v>40</v>
      </c>
      <c r="D1372">
        <v>1552.962</v>
      </c>
    </row>
    <row r="1373" spans="1:4" x14ac:dyDescent="0.25">
      <c r="A1373" t="s">
        <v>4</v>
      </c>
      <c r="B1373" t="s">
        <v>7</v>
      </c>
      <c r="C1373">
        <v>40</v>
      </c>
      <c r="D1373">
        <v>1603.335</v>
      </c>
    </row>
    <row r="1374" spans="1:4" x14ac:dyDescent="0.25">
      <c r="A1374" t="s">
        <v>4</v>
      </c>
      <c r="B1374" t="s">
        <v>7</v>
      </c>
      <c r="C1374">
        <v>40</v>
      </c>
      <c r="D1374">
        <v>1589.434</v>
      </c>
    </row>
    <row r="1375" spans="1:4" x14ac:dyDescent="0.25">
      <c r="A1375" t="s">
        <v>4</v>
      </c>
      <c r="B1375" t="s">
        <v>7</v>
      </c>
      <c r="C1375">
        <v>40</v>
      </c>
      <c r="D1375">
        <v>1550.346</v>
      </c>
    </row>
    <row r="1376" spans="1:4" x14ac:dyDescent="0.25">
      <c r="A1376" t="s">
        <v>4</v>
      </c>
      <c r="B1376" t="s">
        <v>7</v>
      </c>
      <c r="C1376">
        <v>40</v>
      </c>
      <c r="D1376">
        <v>1576.4760000000001</v>
      </c>
    </row>
    <row r="1377" spans="1:4" x14ac:dyDescent="0.25">
      <c r="A1377" t="s">
        <v>4</v>
      </c>
      <c r="B1377" t="s">
        <v>7</v>
      </c>
      <c r="C1377">
        <v>40</v>
      </c>
      <c r="D1377">
        <v>1596.9949999999999</v>
      </c>
    </row>
    <row r="1378" spans="1:4" x14ac:dyDescent="0.25">
      <c r="A1378" t="s">
        <v>4</v>
      </c>
      <c r="B1378" t="s">
        <v>7</v>
      </c>
      <c r="C1378">
        <v>40</v>
      </c>
      <c r="D1378">
        <v>1620.758</v>
      </c>
    </row>
    <row r="1379" spans="1:4" x14ac:dyDescent="0.25">
      <c r="A1379" t="s">
        <v>4</v>
      </c>
      <c r="B1379" t="s">
        <v>7</v>
      </c>
      <c r="C1379">
        <v>40</v>
      </c>
      <c r="D1379">
        <v>1574.8019999999999</v>
      </c>
    </row>
    <row r="1380" spans="1:4" x14ac:dyDescent="0.25">
      <c r="A1380" t="s">
        <v>4</v>
      </c>
      <c r="B1380" t="s">
        <v>7</v>
      </c>
      <c r="C1380">
        <v>40</v>
      </c>
      <c r="D1380">
        <v>1594.548</v>
      </c>
    </row>
    <row r="1381" spans="1:4" x14ac:dyDescent="0.25">
      <c r="A1381" t="s">
        <v>4</v>
      </c>
      <c r="B1381" t="s">
        <v>7</v>
      </c>
      <c r="C1381">
        <v>40</v>
      </c>
      <c r="D1381">
        <v>1560.087</v>
      </c>
    </row>
    <row r="1382" spans="1:4" x14ac:dyDescent="0.25">
      <c r="A1382" t="s">
        <v>4</v>
      </c>
      <c r="B1382" t="s">
        <v>7</v>
      </c>
      <c r="C1382">
        <v>40</v>
      </c>
      <c r="D1382">
        <v>1577.4290000000001</v>
      </c>
    </row>
    <row r="1383" spans="1:4" x14ac:dyDescent="0.25">
      <c r="A1383" t="s">
        <v>4</v>
      </c>
      <c r="B1383" t="s">
        <v>7</v>
      </c>
      <c r="C1383">
        <v>40</v>
      </c>
      <c r="D1383">
        <v>1597.3320000000001</v>
      </c>
    </row>
    <row r="1384" spans="1:4" x14ac:dyDescent="0.25">
      <c r="A1384" t="s">
        <v>4</v>
      </c>
      <c r="B1384" t="s">
        <v>7</v>
      </c>
      <c r="C1384">
        <v>40</v>
      </c>
      <c r="D1384">
        <v>1608.769</v>
      </c>
    </row>
    <row r="1385" spans="1:4" x14ac:dyDescent="0.25">
      <c r="A1385" t="s">
        <v>4</v>
      </c>
      <c r="B1385" t="s">
        <v>7</v>
      </c>
      <c r="C1385">
        <v>40</v>
      </c>
      <c r="D1385">
        <v>1628.3710000000001</v>
      </c>
    </row>
    <row r="1386" spans="1:4" x14ac:dyDescent="0.25">
      <c r="A1386" t="s">
        <v>4</v>
      </c>
      <c r="B1386" t="s">
        <v>7</v>
      </c>
      <c r="C1386">
        <v>40</v>
      </c>
      <c r="D1386">
        <v>1579.028</v>
      </c>
    </row>
    <row r="1387" spans="1:4" x14ac:dyDescent="0.25">
      <c r="A1387" t="s">
        <v>4</v>
      </c>
      <c r="B1387" t="s">
        <v>7</v>
      </c>
      <c r="C1387">
        <v>40</v>
      </c>
      <c r="D1387">
        <v>1566.837</v>
      </c>
    </row>
    <row r="1388" spans="1:4" x14ac:dyDescent="0.25">
      <c r="A1388" t="s">
        <v>4</v>
      </c>
      <c r="B1388" t="s">
        <v>7</v>
      </c>
      <c r="C1388">
        <v>40</v>
      </c>
      <c r="D1388">
        <v>1629.703</v>
      </c>
    </row>
    <row r="1389" spans="1:4" x14ac:dyDescent="0.25">
      <c r="A1389" t="s">
        <v>4</v>
      </c>
      <c r="B1389" t="s">
        <v>7</v>
      </c>
      <c r="C1389">
        <v>40</v>
      </c>
      <c r="D1389">
        <v>1571.145</v>
      </c>
    </row>
    <row r="1390" spans="1:4" x14ac:dyDescent="0.25">
      <c r="A1390" t="s">
        <v>4</v>
      </c>
      <c r="B1390" t="s">
        <v>7</v>
      </c>
      <c r="C1390">
        <v>40</v>
      </c>
      <c r="D1390">
        <v>1590.8130000000001</v>
      </c>
    </row>
    <row r="1391" spans="1:4" x14ac:dyDescent="0.25">
      <c r="A1391" t="s">
        <v>4</v>
      </c>
      <c r="B1391" t="s">
        <v>7</v>
      </c>
      <c r="C1391">
        <v>40</v>
      </c>
      <c r="D1391">
        <v>1575.9259999999999</v>
      </c>
    </row>
    <row r="1392" spans="1:4" x14ac:dyDescent="0.25">
      <c r="A1392" t="s">
        <v>4</v>
      </c>
      <c r="B1392" t="s">
        <v>7</v>
      </c>
      <c r="C1392">
        <v>40</v>
      </c>
      <c r="D1392">
        <v>1559.6279999999999</v>
      </c>
    </row>
    <row r="1393" spans="1:4" x14ac:dyDescent="0.25">
      <c r="A1393" t="s">
        <v>4</v>
      </c>
      <c r="B1393" t="s">
        <v>7</v>
      </c>
      <c r="C1393">
        <v>40</v>
      </c>
      <c r="D1393">
        <v>1573.9090000000001</v>
      </c>
    </row>
    <row r="1394" spans="1:4" x14ac:dyDescent="0.25">
      <c r="A1394" t="s">
        <v>4</v>
      </c>
      <c r="B1394" t="s">
        <v>7</v>
      </c>
      <c r="C1394">
        <v>40</v>
      </c>
      <c r="D1394">
        <v>1600.7550000000001</v>
      </c>
    </row>
    <row r="1395" spans="1:4" x14ac:dyDescent="0.25">
      <c r="A1395" t="s">
        <v>4</v>
      </c>
      <c r="B1395" t="s">
        <v>7</v>
      </c>
      <c r="C1395">
        <v>40</v>
      </c>
      <c r="D1395">
        <v>1591.84</v>
      </c>
    </row>
    <row r="1396" spans="1:4" x14ac:dyDescent="0.25">
      <c r="A1396" t="s">
        <v>4</v>
      </c>
      <c r="B1396" t="s">
        <v>7</v>
      </c>
      <c r="C1396">
        <v>40</v>
      </c>
      <c r="D1396">
        <v>1609.577</v>
      </c>
    </row>
    <row r="1397" spans="1:4" x14ac:dyDescent="0.25">
      <c r="A1397" t="s">
        <v>4</v>
      </c>
      <c r="B1397" t="s">
        <v>7</v>
      </c>
      <c r="C1397">
        <v>40</v>
      </c>
      <c r="D1397">
        <v>1582.287</v>
      </c>
    </row>
    <row r="1398" spans="1:4" x14ac:dyDescent="0.25">
      <c r="A1398" t="s">
        <v>4</v>
      </c>
      <c r="B1398" t="s">
        <v>7</v>
      </c>
      <c r="C1398">
        <v>40</v>
      </c>
      <c r="D1398">
        <v>1588.472</v>
      </c>
    </row>
    <row r="1399" spans="1:4" x14ac:dyDescent="0.25">
      <c r="A1399" t="s">
        <v>4</v>
      </c>
      <c r="B1399" t="s">
        <v>7</v>
      </c>
      <c r="C1399">
        <v>40</v>
      </c>
      <c r="D1399">
        <v>1597.374</v>
      </c>
    </row>
    <row r="1400" spans="1:4" x14ac:dyDescent="0.25">
      <c r="A1400" t="s">
        <v>4</v>
      </c>
      <c r="B1400" t="s">
        <v>7</v>
      </c>
      <c r="C1400">
        <v>40</v>
      </c>
      <c r="D1400">
        <v>1582.9649999999999</v>
      </c>
    </row>
    <row r="1401" spans="1:4" x14ac:dyDescent="0.25">
      <c r="A1401" t="s">
        <v>4</v>
      </c>
      <c r="B1401" t="s">
        <v>7</v>
      </c>
      <c r="C1401">
        <v>40</v>
      </c>
      <c r="D1401">
        <v>1551.7170000000001</v>
      </c>
    </row>
    <row r="1402" spans="1:4" x14ac:dyDescent="0.25">
      <c r="A1402" t="s">
        <v>4</v>
      </c>
      <c r="B1402" t="s">
        <v>7</v>
      </c>
      <c r="C1402">
        <v>60</v>
      </c>
      <c r="D1402">
        <v>2219.34</v>
      </c>
    </row>
    <row r="1403" spans="1:4" x14ac:dyDescent="0.25">
      <c r="A1403" t="s">
        <v>4</v>
      </c>
      <c r="B1403" t="s">
        <v>7</v>
      </c>
      <c r="C1403">
        <v>60</v>
      </c>
      <c r="D1403">
        <v>2265.0369999999998</v>
      </c>
    </row>
    <row r="1404" spans="1:4" x14ac:dyDescent="0.25">
      <c r="A1404" t="s">
        <v>4</v>
      </c>
      <c r="B1404" t="s">
        <v>7</v>
      </c>
      <c r="C1404">
        <v>60</v>
      </c>
      <c r="D1404">
        <v>2148.3539999999998</v>
      </c>
    </row>
    <row r="1405" spans="1:4" x14ac:dyDescent="0.25">
      <c r="A1405" t="s">
        <v>4</v>
      </c>
      <c r="B1405" t="s">
        <v>7</v>
      </c>
      <c r="C1405">
        <v>60</v>
      </c>
      <c r="D1405">
        <v>2204.4989999999998</v>
      </c>
    </row>
    <row r="1406" spans="1:4" x14ac:dyDescent="0.25">
      <c r="A1406" t="s">
        <v>4</v>
      </c>
      <c r="B1406" t="s">
        <v>7</v>
      </c>
      <c r="C1406">
        <v>60</v>
      </c>
      <c r="D1406">
        <v>2227.0720000000001</v>
      </c>
    </row>
    <row r="1407" spans="1:4" x14ac:dyDescent="0.25">
      <c r="A1407" t="s">
        <v>4</v>
      </c>
      <c r="B1407" t="s">
        <v>7</v>
      </c>
      <c r="C1407">
        <v>60</v>
      </c>
      <c r="D1407">
        <v>2243.1950000000002</v>
      </c>
    </row>
    <row r="1408" spans="1:4" x14ac:dyDescent="0.25">
      <c r="A1408" t="s">
        <v>4</v>
      </c>
      <c r="B1408" t="s">
        <v>7</v>
      </c>
      <c r="C1408">
        <v>60</v>
      </c>
      <c r="D1408">
        <v>2137.962</v>
      </c>
    </row>
    <row r="1409" spans="1:4" x14ac:dyDescent="0.25">
      <c r="A1409" t="s">
        <v>4</v>
      </c>
      <c r="B1409" t="s">
        <v>7</v>
      </c>
      <c r="C1409">
        <v>60</v>
      </c>
      <c r="D1409">
        <v>2202.4699999999998</v>
      </c>
    </row>
    <row r="1410" spans="1:4" x14ac:dyDescent="0.25">
      <c r="A1410" t="s">
        <v>4</v>
      </c>
      <c r="B1410" t="s">
        <v>7</v>
      </c>
      <c r="C1410">
        <v>60</v>
      </c>
      <c r="D1410">
        <v>2252.9299999999998</v>
      </c>
    </row>
    <row r="1411" spans="1:4" x14ac:dyDescent="0.25">
      <c r="A1411" t="s">
        <v>4</v>
      </c>
      <c r="B1411" t="s">
        <v>7</v>
      </c>
      <c r="C1411">
        <v>60</v>
      </c>
      <c r="D1411">
        <v>2246.6840000000002</v>
      </c>
    </row>
    <row r="1412" spans="1:4" x14ac:dyDescent="0.25">
      <c r="A1412" t="s">
        <v>4</v>
      </c>
      <c r="B1412" t="s">
        <v>7</v>
      </c>
      <c r="C1412">
        <v>60</v>
      </c>
      <c r="D1412">
        <v>2186.13</v>
      </c>
    </row>
    <row r="1413" spans="1:4" x14ac:dyDescent="0.25">
      <c r="A1413" t="s">
        <v>4</v>
      </c>
      <c r="B1413" t="s">
        <v>7</v>
      </c>
      <c r="C1413">
        <v>60</v>
      </c>
      <c r="D1413">
        <v>2238.011</v>
      </c>
    </row>
    <row r="1414" spans="1:4" x14ac:dyDescent="0.25">
      <c r="A1414" t="s">
        <v>4</v>
      </c>
      <c r="B1414" t="s">
        <v>7</v>
      </c>
      <c r="C1414">
        <v>60</v>
      </c>
      <c r="D1414">
        <v>2230.518</v>
      </c>
    </row>
    <row r="1415" spans="1:4" x14ac:dyDescent="0.25">
      <c r="A1415" t="s">
        <v>4</v>
      </c>
      <c r="B1415" t="s">
        <v>7</v>
      </c>
      <c r="C1415">
        <v>60</v>
      </c>
      <c r="D1415">
        <v>2240.4259999999999</v>
      </c>
    </row>
    <row r="1416" spans="1:4" x14ac:dyDescent="0.25">
      <c r="A1416" t="s">
        <v>4</v>
      </c>
      <c r="B1416" t="s">
        <v>7</v>
      </c>
      <c r="C1416">
        <v>60</v>
      </c>
      <c r="D1416">
        <v>2212.2730000000001</v>
      </c>
    </row>
    <row r="1417" spans="1:4" x14ac:dyDescent="0.25">
      <c r="A1417" t="s">
        <v>4</v>
      </c>
      <c r="B1417" t="s">
        <v>7</v>
      </c>
      <c r="C1417">
        <v>60</v>
      </c>
      <c r="D1417">
        <v>2221.8319999999999</v>
      </c>
    </row>
    <row r="1418" spans="1:4" x14ac:dyDescent="0.25">
      <c r="A1418" t="s">
        <v>4</v>
      </c>
      <c r="B1418" t="s">
        <v>7</v>
      </c>
      <c r="C1418">
        <v>60</v>
      </c>
      <c r="D1418">
        <v>2264.7950000000001</v>
      </c>
    </row>
    <row r="1419" spans="1:4" x14ac:dyDescent="0.25">
      <c r="A1419" t="s">
        <v>4</v>
      </c>
      <c r="B1419" t="s">
        <v>7</v>
      </c>
      <c r="C1419">
        <v>60</v>
      </c>
      <c r="D1419">
        <v>2207.6930000000002</v>
      </c>
    </row>
    <row r="1420" spans="1:4" x14ac:dyDescent="0.25">
      <c r="A1420" t="s">
        <v>4</v>
      </c>
      <c r="B1420" t="s">
        <v>7</v>
      </c>
      <c r="C1420">
        <v>60</v>
      </c>
      <c r="D1420">
        <v>2148.7020000000002</v>
      </c>
    </row>
    <row r="1421" spans="1:4" x14ac:dyDescent="0.25">
      <c r="A1421" t="s">
        <v>4</v>
      </c>
      <c r="B1421" t="s">
        <v>7</v>
      </c>
      <c r="C1421">
        <v>60</v>
      </c>
      <c r="D1421">
        <v>2196.924</v>
      </c>
    </row>
    <row r="1422" spans="1:4" x14ac:dyDescent="0.25">
      <c r="A1422" t="s">
        <v>4</v>
      </c>
      <c r="B1422" t="s">
        <v>7</v>
      </c>
      <c r="C1422">
        <v>60</v>
      </c>
      <c r="D1422">
        <v>2270.703</v>
      </c>
    </row>
    <row r="1423" spans="1:4" x14ac:dyDescent="0.25">
      <c r="A1423" t="s">
        <v>4</v>
      </c>
      <c r="B1423" t="s">
        <v>7</v>
      </c>
      <c r="C1423">
        <v>60</v>
      </c>
      <c r="D1423">
        <v>2147.4580000000001</v>
      </c>
    </row>
    <row r="1424" spans="1:4" x14ac:dyDescent="0.25">
      <c r="A1424" t="s">
        <v>4</v>
      </c>
      <c r="B1424" t="s">
        <v>7</v>
      </c>
      <c r="C1424">
        <v>60</v>
      </c>
      <c r="D1424">
        <v>2202.8910000000001</v>
      </c>
    </row>
    <row r="1425" spans="1:4" x14ac:dyDescent="0.25">
      <c r="A1425" t="s">
        <v>4</v>
      </c>
      <c r="B1425" t="s">
        <v>7</v>
      </c>
      <c r="C1425">
        <v>60</v>
      </c>
      <c r="D1425">
        <v>2191.8780000000002</v>
      </c>
    </row>
    <row r="1426" spans="1:4" x14ac:dyDescent="0.25">
      <c r="A1426" t="s">
        <v>4</v>
      </c>
      <c r="B1426" t="s">
        <v>7</v>
      </c>
      <c r="C1426">
        <v>60</v>
      </c>
      <c r="D1426">
        <v>2189.8690000000001</v>
      </c>
    </row>
    <row r="1427" spans="1:4" x14ac:dyDescent="0.25">
      <c r="A1427" t="s">
        <v>4</v>
      </c>
      <c r="B1427" t="s">
        <v>7</v>
      </c>
      <c r="C1427">
        <v>60</v>
      </c>
      <c r="D1427">
        <v>2159.636</v>
      </c>
    </row>
    <row r="1428" spans="1:4" x14ac:dyDescent="0.25">
      <c r="A1428" t="s">
        <v>4</v>
      </c>
      <c r="B1428" t="s">
        <v>7</v>
      </c>
      <c r="C1428">
        <v>60</v>
      </c>
      <c r="D1428">
        <v>2225.3180000000002</v>
      </c>
    </row>
    <row r="1429" spans="1:4" x14ac:dyDescent="0.25">
      <c r="A1429" t="s">
        <v>4</v>
      </c>
      <c r="B1429" t="s">
        <v>7</v>
      </c>
      <c r="C1429">
        <v>60</v>
      </c>
      <c r="D1429">
        <v>2219.5810000000001</v>
      </c>
    </row>
    <row r="1430" spans="1:4" x14ac:dyDescent="0.25">
      <c r="A1430" t="s">
        <v>4</v>
      </c>
      <c r="B1430" t="s">
        <v>7</v>
      </c>
      <c r="C1430">
        <v>60</v>
      </c>
      <c r="D1430">
        <v>2194.3690000000001</v>
      </c>
    </row>
    <row r="1431" spans="1:4" x14ac:dyDescent="0.25">
      <c r="A1431" t="s">
        <v>4</v>
      </c>
      <c r="B1431" t="s">
        <v>7</v>
      </c>
      <c r="C1431">
        <v>60</v>
      </c>
      <c r="D1431">
        <v>2221.8000000000002</v>
      </c>
    </row>
    <row r="1432" spans="1:4" x14ac:dyDescent="0.25">
      <c r="A1432" t="s">
        <v>4</v>
      </c>
      <c r="B1432" t="s">
        <v>7</v>
      </c>
      <c r="C1432">
        <v>60</v>
      </c>
      <c r="D1432">
        <v>2150.962</v>
      </c>
    </row>
    <row r="1433" spans="1:4" x14ac:dyDescent="0.25">
      <c r="A1433" t="s">
        <v>4</v>
      </c>
      <c r="B1433" t="s">
        <v>7</v>
      </c>
      <c r="C1433">
        <v>60</v>
      </c>
      <c r="D1433">
        <v>2186.096</v>
      </c>
    </row>
    <row r="1434" spans="1:4" x14ac:dyDescent="0.25">
      <c r="A1434" t="s">
        <v>4</v>
      </c>
      <c r="B1434" t="s">
        <v>7</v>
      </c>
      <c r="C1434">
        <v>60</v>
      </c>
      <c r="D1434">
        <v>2168.7350000000001</v>
      </c>
    </row>
    <row r="1435" spans="1:4" x14ac:dyDescent="0.25">
      <c r="A1435" t="s">
        <v>4</v>
      </c>
      <c r="B1435" t="s">
        <v>7</v>
      </c>
      <c r="C1435">
        <v>60</v>
      </c>
      <c r="D1435">
        <v>2238.98</v>
      </c>
    </row>
    <row r="1436" spans="1:4" x14ac:dyDescent="0.25">
      <c r="A1436" t="s">
        <v>4</v>
      </c>
      <c r="B1436" t="s">
        <v>7</v>
      </c>
      <c r="C1436">
        <v>60</v>
      </c>
      <c r="D1436">
        <v>2286.1680000000001</v>
      </c>
    </row>
    <row r="1437" spans="1:4" x14ac:dyDescent="0.25">
      <c r="A1437" t="s">
        <v>4</v>
      </c>
      <c r="B1437" t="s">
        <v>7</v>
      </c>
      <c r="C1437">
        <v>60</v>
      </c>
      <c r="D1437">
        <v>2226.3270000000002</v>
      </c>
    </row>
    <row r="1438" spans="1:4" x14ac:dyDescent="0.25">
      <c r="A1438" t="s">
        <v>4</v>
      </c>
      <c r="B1438" t="s">
        <v>7</v>
      </c>
      <c r="C1438">
        <v>60</v>
      </c>
      <c r="D1438">
        <v>2192.7399999999998</v>
      </c>
    </row>
    <row r="1439" spans="1:4" x14ac:dyDescent="0.25">
      <c r="A1439" t="s">
        <v>4</v>
      </c>
      <c r="B1439" t="s">
        <v>7</v>
      </c>
      <c r="C1439">
        <v>60</v>
      </c>
      <c r="D1439">
        <v>2078.0039999999999</v>
      </c>
    </row>
    <row r="1440" spans="1:4" x14ac:dyDescent="0.25">
      <c r="A1440" t="s">
        <v>4</v>
      </c>
      <c r="B1440" t="s">
        <v>7</v>
      </c>
      <c r="C1440">
        <v>60</v>
      </c>
      <c r="D1440">
        <v>2278.1179999999999</v>
      </c>
    </row>
    <row r="1441" spans="1:4" x14ac:dyDescent="0.25">
      <c r="A1441" t="s">
        <v>4</v>
      </c>
      <c r="B1441" t="s">
        <v>7</v>
      </c>
      <c r="C1441">
        <v>60</v>
      </c>
      <c r="D1441">
        <v>2157.567</v>
      </c>
    </row>
    <row r="1442" spans="1:4" x14ac:dyDescent="0.25">
      <c r="A1442" t="s">
        <v>4</v>
      </c>
      <c r="B1442" t="s">
        <v>7</v>
      </c>
      <c r="C1442">
        <v>60</v>
      </c>
      <c r="D1442">
        <v>2124.3429999999998</v>
      </c>
    </row>
    <row r="1443" spans="1:4" x14ac:dyDescent="0.25">
      <c r="A1443" t="s">
        <v>4</v>
      </c>
      <c r="B1443" t="s">
        <v>7</v>
      </c>
      <c r="C1443">
        <v>60</v>
      </c>
      <c r="D1443">
        <v>2139.846</v>
      </c>
    </row>
    <row r="1444" spans="1:4" x14ac:dyDescent="0.25">
      <c r="A1444" t="s">
        <v>4</v>
      </c>
      <c r="B1444" t="s">
        <v>7</v>
      </c>
      <c r="C1444">
        <v>60</v>
      </c>
      <c r="D1444">
        <v>2237.181</v>
      </c>
    </row>
    <row r="1445" spans="1:4" x14ac:dyDescent="0.25">
      <c r="A1445" t="s">
        <v>4</v>
      </c>
      <c r="B1445" t="s">
        <v>7</v>
      </c>
      <c r="C1445">
        <v>60</v>
      </c>
      <c r="D1445">
        <v>2220.3829999999998</v>
      </c>
    </row>
    <row r="1446" spans="1:4" x14ac:dyDescent="0.25">
      <c r="A1446" t="s">
        <v>4</v>
      </c>
      <c r="B1446" t="s">
        <v>7</v>
      </c>
      <c r="C1446">
        <v>60</v>
      </c>
      <c r="D1446">
        <v>2232.3910000000001</v>
      </c>
    </row>
    <row r="1447" spans="1:4" x14ac:dyDescent="0.25">
      <c r="A1447" t="s">
        <v>4</v>
      </c>
      <c r="B1447" t="s">
        <v>7</v>
      </c>
      <c r="C1447">
        <v>60</v>
      </c>
      <c r="D1447">
        <v>2209.4059999999999</v>
      </c>
    </row>
    <row r="1448" spans="1:4" x14ac:dyDescent="0.25">
      <c r="A1448" t="s">
        <v>4</v>
      </c>
      <c r="B1448" t="s">
        <v>7</v>
      </c>
      <c r="C1448">
        <v>60</v>
      </c>
      <c r="D1448">
        <v>2217.9189999999999</v>
      </c>
    </row>
    <row r="1449" spans="1:4" x14ac:dyDescent="0.25">
      <c r="A1449" t="s">
        <v>4</v>
      </c>
      <c r="B1449" t="s">
        <v>7</v>
      </c>
      <c r="C1449">
        <v>60</v>
      </c>
      <c r="D1449">
        <v>2223.433</v>
      </c>
    </row>
    <row r="1450" spans="1:4" x14ac:dyDescent="0.25">
      <c r="A1450" t="s">
        <v>4</v>
      </c>
      <c r="B1450" t="s">
        <v>7</v>
      </c>
      <c r="C1450">
        <v>60</v>
      </c>
      <c r="D1450">
        <v>2237.8649999999998</v>
      </c>
    </row>
    <row r="1451" spans="1:4" x14ac:dyDescent="0.25">
      <c r="A1451" t="s">
        <v>4</v>
      </c>
      <c r="B1451" t="s">
        <v>7</v>
      </c>
      <c r="C1451">
        <v>60</v>
      </c>
      <c r="D1451">
        <v>2231.77</v>
      </c>
    </row>
    <row r="1452" spans="1:4" x14ac:dyDescent="0.25">
      <c r="A1452" t="s">
        <v>4</v>
      </c>
      <c r="B1452" t="s">
        <v>7</v>
      </c>
      <c r="C1452">
        <v>60</v>
      </c>
      <c r="D1452">
        <v>2197.5540000000001</v>
      </c>
    </row>
    <row r="1453" spans="1:4" x14ac:dyDescent="0.25">
      <c r="A1453" t="s">
        <v>4</v>
      </c>
      <c r="B1453" t="s">
        <v>7</v>
      </c>
      <c r="C1453">
        <v>60</v>
      </c>
      <c r="D1453">
        <v>2290.9340000000002</v>
      </c>
    </row>
    <row r="1454" spans="1:4" x14ac:dyDescent="0.25">
      <c r="A1454" t="s">
        <v>4</v>
      </c>
      <c r="B1454" t="s">
        <v>7</v>
      </c>
      <c r="C1454">
        <v>60</v>
      </c>
      <c r="D1454">
        <v>2138.4</v>
      </c>
    </row>
    <row r="1455" spans="1:4" x14ac:dyDescent="0.25">
      <c r="A1455" t="s">
        <v>4</v>
      </c>
      <c r="B1455" t="s">
        <v>7</v>
      </c>
      <c r="C1455">
        <v>60</v>
      </c>
      <c r="D1455">
        <v>2247.9459999999999</v>
      </c>
    </row>
    <row r="1456" spans="1:4" x14ac:dyDescent="0.25">
      <c r="A1456" t="s">
        <v>4</v>
      </c>
      <c r="B1456" t="s">
        <v>7</v>
      </c>
      <c r="C1456">
        <v>60</v>
      </c>
      <c r="D1456">
        <v>2226.4009999999998</v>
      </c>
    </row>
    <row r="1457" spans="1:4" x14ac:dyDescent="0.25">
      <c r="A1457" t="s">
        <v>4</v>
      </c>
      <c r="B1457" t="s">
        <v>7</v>
      </c>
      <c r="C1457">
        <v>60</v>
      </c>
      <c r="D1457">
        <v>2221.0990000000002</v>
      </c>
    </row>
    <row r="1458" spans="1:4" x14ac:dyDescent="0.25">
      <c r="A1458" t="s">
        <v>4</v>
      </c>
      <c r="B1458" t="s">
        <v>7</v>
      </c>
      <c r="C1458">
        <v>60</v>
      </c>
      <c r="D1458">
        <v>2120.3020000000001</v>
      </c>
    </row>
    <row r="1459" spans="1:4" x14ac:dyDescent="0.25">
      <c r="A1459" t="s">
        <v>4</v>
      </c>
      <c r="B1459" t="s">
        <v>7</v>
      </c>
      <c r="C1459">
        <v>60</v>
      </c>
      <c r="D1459">
        <v>2238.9140000000002</v>
      </c>
    </row>
    <row r="1460" spans="1:4" x14ac:dyDescent="0.25">
      <c r="A1460" t="s">
        <v>4</v>
      </c>
      <c r="B1460" t="s">
        <v>7</v>
      </c>
      <c r="C1460">
        <v>60</v>
      </c>
      <c r="D1460">
        <v>2234.4050000000002</v>
      </c>
    </row>
    <row r="1461" spans="1:4" x14ac:dyDescent="0.25">
      <c r="A1461" t="s">
        <v>4</v>
      </c>
      <c r="B1461" t="s">
        <v>7</v>
      </c>
      <c r="C1461">
        <v>60</v>
      </c>
      <c r="D1461">
        <v>2233.9899999999998</v>
      </c>
    </row>
    <row r="1462" spans="1:4" x14ac:dyDescent="0.25">
      <c r="A1462" t="s">
        <v>4</v>
      </c>
      <c r="B1462" t="s">
        <v>7</v>
      </c>
      <c r="C1462">
        <v>60</v>
      </c>
      <c r="D1462">
        <v>2220.4180000000001</v>
      </c>
    </row>
    <row r="1463" spans="1:4" x14ac:dyDescent="0.25">
      <c r="A1463" t="s">
        <v>4</v>
      </c>
      <c r="B1463" t="s">
        <v>7</v>
      </c>
      <c r="C1463">
        <v>60</v>
      </c>
      <c r="D1463">
        <v>2272.319</v>
      </c>
    </row>
    <row r="1464" spans="1:4" x14ac:dyDescent="0.25">
      <c r="A1464" t="s">
        <v>4</v>
      </c>
      <c r="B1464" t="s">
        <v>7</v>
      </c>
      <c r="C1464">
        <v>60</v>
      </c>
      <c r="D1464">
        <v>2237.578</v>
      </c>
    </row>
    <row r="1465" spans="1:4" x14ac:dyDescent="0.25">
      <c r="A1465" t="s">
        <v>4</v>
      </c>
      <c r="B1465" t="s">
        <v>7</v>
      </c>
      <c r="C1465">
        <v>60</v>
      </c>
      <c r="D1465">
        <v>2219.1309999999999</v>
      </c>
    </row>
    <row r="1466" spans="1:4" x14ac:dyDescent="0.25">
      <c r="A1466" t="s">
        <v>4</v>
      </c>
      <c r="B1466" t="s">
        <v>7</v>
      </c>
      <c r="C1466">
        <v>60</v>
      </c>
      <c r="D1466">
        <v>2214.0749999999998</v>
      </c>
    </row>
    <row r="1467" spans="1:4" x14ac:dyDescent="0.25">
      <c r="A1467" t="s">
        <v>4</v>
      </c>
      <c r="B1467" t="s">
        <v>7</v>
      </c>
      <c r="C1467">
        <v>60</v>
      </c>
      <c r="D1467">
        <v>2216.9839999999999</v>
      </c>
    </row>
    <row r="1468" spans="1:4" x14ac:dyDescent="0.25">
      <c r="A1468" t="s">
        <v>4</v>
      </c>
      <c r="B1468" t="s">
        <v>7</v>
      </c>
      <c r="C1468">
        <v>60</v>
      </c>
      <c r="D1468">
        <v>2238.06</v>
      </c>
    </row>
    <row r="1469" spans="1:4" x14ac:dyDescent="0.25">
      <c r="A1469" t="s">
        <v>4</v>
      </c>
      <c r="B1469" t="s">
        <v>7</v>
      </c>
      <c r="C1469">
        <v>60</v>
      </c>
      <c r="D1469">
        <v>2199.2840000000001</v>
      </c>
    </row>
    <row r="1470" spans="1:4" x14ac:dyDescent="0.25">
      <c r="A1470" t="s">
        <v>4</v>
      </c>
      <c r="B1470" t="s">
        <v>7</v>
      </c>
      <c r="C1470">
        <v>60</v>
      </c>
      <c r="D1470">
        <v>2198.7179999999998</v>
      </c>
    </row>
    <row r="1471" spans="1:4" x14ac:dyDescent="0.25">
      <c r="A1471" t="s">
        <v>4</v>
      </c>
      <c r="B1471" t="s">
        <v>7</v>
      </c>
      <c r="C1471">
        <v>60</v>
      </c>
      <c r="D1471">
        <v>2149.41</v>
      </c>
    </row>
    <row r="1472" spans="1:4" x14ac:dyDescent="0.25">
      <c r="A1472" t="s">
        <v>4</v>
      </c>
      <c r="B1472" t="s">
        <v>7</v>
      </c>
      <c r="C1472">
        <v>60</v>
      </c>
      <c r="D1472">
        <v>2158.8130000000001</v>
      </c>
    </row>
    <row r="1473" spans="1:4" x14ac:dyDescent="0.25">
      <c r="A1473" t="s">
        <v>4</v>
      </c>
      <c r="B1473" t="s">
        <v>7</v>
      </c>
      <c r="C1473">
        <v>60</v>
      </c>
      <c r="D1473">
        <v>2167.1770000000001</v>
      </c>
    </row>
    <row r="1474" spans="1:4" x14ac:dyDescent="0.25">
      <c r="A1474" t="s">
        <v>4</v>
      </c>
      <c r="B1474" t="s">
        <v>7</v>
      </c>
      <c r="C1474">
        <v>60</v>
      </c>
      <c r="D1474">
        <v>2136.902</v>
      </c>
    </row>
    <row r="1475" spans="1:4" x14ac:dyDescent="0.25">
      <c r="A1475" t="s">
        <v>4</v>
      </c>
      <c r="B1475" t="s">
        <v>7</v>
      </c>
      <c r="C1475">
        <v>60</v>
      </c>
      <c r="D1475">
        <v>2144.0250000000001</v>
      </c>
    </row>
    <row r="1476" spans="1:4" x14ac:dyDescent="0.25">
      <c r="A1476" t="s">
        <v>4</v>
      </c>
      <c r="B1476" t="s">
        <v>7</v>
      </c>
      <c r="C1476">
        <v>60</v>
      </c>
      <c r="D1476">
        <v>2080.6640000000002</v>
      </c>
    </row>
    <row r="1477" spans="1:4" x14ac:dyDescent="0.25">
      <c r="A1477" t="s">
        <v>4</v>
      </c>
      <c r="B1477" t="s">
        <v>7</v>
      </c>
      <c r="C1477">
        <v>60</v>
      </c>
      <c r="D1477">
        <v>2226.8960000000002</v>
      </c>
    </row>
    <row r="1478" spans="1:4" x14ac:dyDescent="0.25">
      <c r="A1478" t="s">
        <v>4</v>
      </c>
      <c r="B1478" t="s">
        <v>7</v>
      </c>
      <c r="C1478">
        <v>60</v>
      </c>
      <c r="D1478">
        <v>2196.5700000000002</v>
      </c>
    </row>
    <row r="1479" spans="1:4" x14ac:dyDescent="0.25">
      <c r="A1479" t="s">
        <v>4</v>
      </c>
      <c r="B1479" t="s">
        <v>7</v>
      </c>
      <c r="C1479">
        <v>60</v>
      </c>
      <c r="D1479">
        <v>2246.652</v>
      </c>
    </row>
    <row r="1480" spans="1:4" x14ac:dyDescent="0.25">
      <c r="A1480" t="s">
        <v>4</v>
      </c>
      <c r="B1480" t="s">
        <v>7</v>
      </c>
      <c r="C1480">
        <v>60</v>
      </c>
      <c r="D1480">
        <v>2137.7510000000002</v>
      </c>
    </row>
    <row r="1481" spans="1:4" x14ac:dyDescent="0.25">
      <c r="A1481" t="s">
        <v>4</v>
      </c>
      <c r="B1481" t="s">
        <v>7</v>
      </c>
      <c r="C1481">
        <v>60</v>
      </c>
      <c r="D1481">
        <v>2148.654</v>
      </c>
    </row>
    <row r="1482" spans="1:4" x14ac:dyDescent="0.25">
      <c r="A1482" t="s">
        <v>4</v>
      </c>
      <c r="B1482" t="s">
        <v>7</v>
      </c>
      <c r="C1482">
        <v>60</v>
      </c>
      <c r="D1482">
        <v>2162.654</v>
      </c>
    </row>
    <row r="1483" spans="1:4" x14ac:dyDescent="0.25">
      <c r="A1483" t="s">
        <v>4</v>
      </c>
      <c r="B1483" t="s">
        <v>7</v>
      </c>
      <c r="C1483">
        <v>60</v>
      </c>
      <c r="D1483">
        <v>2159.9259999999999</v>
      </c>
    </row>
    <row r="1484" spans="1:4" x14ac:dyDescent="0.25">
      <c r="A1484" t="s">
        <v>4</v>
      </c>
      <c r="B1484" t="s">
        <v>7</v>
      </c>
      <c r="C1484">
        <v>60</v>
      </c>
      <c r="D1484">
        <v>2264.3969999999999</v>
      </c>
    </row>
    <row r="1485" spans="1:4" x14ac:dyDescent="0.25">
      <c r="A1485" t="s">
        <v>4</v>
      </c>
      <c r="B1485" t="s">
        <v>7</v>
      </c>
      <c r="C1485">
        <v>60</v>
      </c>
      <c r="D1485">
        <v>2199.5639999999999</v>
      </c>
    </row>
    <row r="1486" spans="1:4" x14ac:dyDescent="0.25">
      <c r="A1486" t="s">
        <v>4</v>
      </c>
      <c r="B1486" t="s">
        <v>7</v>
      </c>
      <c r="C1486">
        <v>60</v>
      </c>
      <c r="D1486">
        <v>2206.9209999999998</v>
      </c>
    </row>
    <row r="1487" spans="1:4" x14ac:dyDescent="0.25">
      <c r="A1487" t="s">
        <v>4</v>
      </c>
      <c r="B1487" t="s">
        <v>7</v>
      </c>
      <c r="C1487">
        <v>60</v>
      </c>
      <c r="D1487">
        <v>2173.9050000000002</v>
      </c>
    </row>
    <row r="1488" spans="1:4" x14ac:dyDescent="0.25">
      <c r="A1488" t="s">
        <v>4</v>
      </c>
      <c r="B1488" t="s">
        <v>7</v>
      </c>
      <c r="C1488">
        <v>60</v>
      </c>
      <c r="D1488">
        <v>2255.279</v>
      </c>
    </row>
    <row r="1489" spans="1:4" x14ac:dyDescent="0.25">
      <c r="A1489" t="s">
        <v>4</v>
      </c>
      <c r="B1489" t="s">
        <v>7</v>
      </c>
      <c r="C1489">
        <v>60</v>
      </c>
      <c r="D1489">
        <v>2254.0529999999999</v>
      </c>
    </row>
    <row r="1490" spans="1:4" x14ac:dyDescent="0.25">
      <c r="A1490" t="s">
        <v>4</v>
      </c>
      <c r="B1490" t="s">
        <v>7</v>
      </c>
      <c r="C1490">
        <v>60</v>
      </c>
      <c r="D1490">
        <v>2176.3180000000002</v>
      </c>
    </row>
    <row r="1491" spans="1:4" x14ac:dyDescent="0.25">
      <c r="A1491" t="s">
        <v>4</v>
      </c>
      <c r="B1491" t="s">
        <v>7</v>
      </c>
      <c r="C1491">
        <v>60</v>
      </c>
      <c r="D1491">
        <v>2137.6509999999998</v>
      </c>
    </row>
    <row r="1492" spans="1:4" x14ac:dyDescent="0.25">
      <c r="A1492" t="s">
        <v>4</v>
      </c>
      <c r="B1492" t="s">
        <v>7</v>
      </c>
      <c r="C1492">
        <v>60</v>
      </c>
      <c r="D1492">
        <v>2172.8029999999999</v>
      </c>
    </row>
    <row r="1493" spans="1:4" x14ac:dyDescent="0.25">
      <c r="A1493" t="s">
        <v>4</v>
      </c>
      <c r="B1493" t="s">
        <v>7</v>
      </c>
      <c r="C1493">
        <v>60</v>
      </c>
      <c r="D1493">
        <v>2207.5309999999999</v>
      </c>
    </row>
    <row r="1494" spans="1:4" x14ac:dyDescent="0.25">
      <c r="A1494" t="s">
        <v>4</v>
      </c>
      <c r="B1494" t="s">
        <v>7</v>
      </c>
      <c r="C1494">
        <v>60</v>
      </c>
      <c r="D1494">
        <v>2226.5709999999999</v>
      </c>
    </row>
    <row r="1495" spans="1:4" x14ac:dyDescent="0.25">
      <c r="A1495" t="s">
        <v>4</v>
      </c>
      <c r="B1495" t="s">
        <v>7</v>
      </c>
      <c r="C1495">
        <v>60</v>
      </c>
      <c r="D1495">
        <v>2228.326</v>
      </c>
    </row>
    <row r="1496" spans="1:4" x14ac:dyDescent="0.25">
      <c r="A1496" t="s">
        <v>4</v>
      </c>
      <c r="B1496" t="s">
        <v>7</v>
      </c>
      <c r="C1496">
        <v>60</v>
      </c>
      <c r="D1496">
        <v>2134.8620000000001</v>
      </c>
    </row>
    <row r="1497" spans="1:4" x14ac:dyDescent="0.25">
      <c r="A1497" t="s">
        <v>4</v>
      </c>
      <c r="B1497" t="s">
        <v>7</v>
      </c>
      <c r="C1497">
        <v>60</v>
      </c>
      <c r="D1497">
        <v>2221.337</v>
      </c>
    </row>
    <row r="1498" spans="1:4" x14ac:dyDescent="0.25">
      <c r="A1498" t="s">
        <v>4</v>
      </c>
      <c r="B1498" t="s">
        <v>7</v>
      </c>
      <c r="C1498">
        <v>60</v>
      </c>
      <c r="D1498">
        <v>2155.8310000000001</v>
      </c>
    </row>
    <row r="1499" spans="1:4" x14ac:dyDescent="0.25">
      <c r="A1499" t="s">
        <v>4</v>
      </c>
      <c r="B1499" t="s">
        <v>7</v>
      </c>
      <c r="C1499">
        <v>60</v>
      </c>
      <c r="D1499">
        <v>2199.0459999999998</v>
      </c>
    </row>
    <row r="1500" spans="1:4" x14ac:dyDescent="0.25">
      <c r="A1500" t="s">
        <v>4</v>
      </c>
      <c r="B1500" t="s">
        <v>7</v>
      </c>
      <c r="C1500">
        <v>60</v>
      </c>
      <c r="D1500">
        <v>2207.9540000000002</v>
      </c>
    </row>
    <row r="1501" spans="1:4" x14ac:dyDescent="0.25">
      <c r="A1501" t="s">
        <v>4</v>
      </c>
      <c r="B1501" t="s">
        <v>7</v>
      </c>
      <c r="C1501">
        <v>60</v>
      </c>
      <c r="D1501">
        <v>2210.7710000000002</v>
      </c>
    </row>
    <row r="1502" spans="1:4" x14ac:dyDescent="0.25">
      <c r="A1502" t="s">
        <v>4</v>
      </c>
      <c r="B1502" t="s">
        <v>7</v>
      </c>
      <c r="C1502">
        <v>80</v>
      </c>
      <c r="D1502">
        <v>2855.42</v>
      </c>
    </row>
    <row r="1503" spans="1:4" x14ac:dyDescent="0.25">
      <c r="A1503" t="s">
        <v>4</v>
      </c>
      <c r="B1503" t="s">
        <v>7</v>
      </c>
      <c r="C1503">
        <v>80</v>
      </c>
      <c r="D1503">
        <v>2871.45</v>
      </c>
    </row>
    <row r="1504" spans="1:4" x14ac:dyDescent="0.25">
      <c r="A1504" t="s">
        <v>4</v>
      </c>
      <c r="B1504" t="s">
        <v>7</v>
      </c>
      <c r="C1504">
        <v>80</v>
      </c>
      <c r="D1504">
        <v>2873.3850000000002</v>
      </c>
    </row>
    <row r="1505" spans="1:4" x14ac:dyDescent="0.25">
      <c r="A1505" t="s">
        <v>4</v>
      </c>
      <c r="B1505" t="s">
        <v>7</v>
      </c>
      <c r="C1505">
        <v>80</v>
      </c>
      <c r="D1505">
        <v>2847.7719999999999</v>
      </c>
    </row>
    <row r="1506" spans="1:4" x14ac:dyDescent="0.25">
      <c r="A1506" t="s">
        <v>4</v>
      </c>
      <c r="B1506" t="s">
        <v>7</v>
      </c>
      <c r="C1506">
        <v>80</v>
      </c>
      <c r="D1506">
        <v>2780.8510000000001</v>
      </c>
    </row>
    <row r="1507" spans="1:4" x14ac:dyDescent="0.25">
      <c r="A1507" t="s">
        <v>4</v>
      </c>
      <c r="B1507" t="s">
        <v>7</v>
      </c>
      <c r="C1507">
        <v>80</v>
      </c>
      <c r="D1507">
        <v>2842.25</v>
      </c>
    </row>
    <row r="1508" spans="1:4" x14ac:dyDescent="0.25">
      <c r="A1508" t="s">
        <v>4</v>
      </c>
      <c r="B1508" t="s">
        <v>7</v>
      </c>
      <c r="C1508">
        <v>80</v>
      </c>
      <c r="D1508">
        <v>2849.326</v>
      </c>
    </row>
    <row r="1509" spans="1:4" x14ac:dyDescent="0.25">
      <c r="A1509" t="s">
        <v>4</v>
      </c>
      <c r="B1509" t="s">
        <v>7</v>
      </c>
      <c r="C1509">
        <v>80</v>
      </c>
      <c r="D1509">
        <v>2782.8939999999998</v>
      </c>
    </row>
    <row r="1510" spans="1:4" x14ac:dyDescent="0.25">
      <c r="A1510" t="s">
        <v>4</v>
      </c>
      <c r="B1510" t="s">
        <v>7</v>
      </c>
      <c r="C1510">
        <v>80</v>
      </c>
      <c r="D1510">
        <v>2806.944</v>
      </c>
    </row>
    <row r="1511" spans="1:4" x14ac:dyDescent="0.25">
      <c r="A1511" t="s">
        <v>4</v>
      </c>
      <c r="B1511" t="s">
        <v>7</v>
      </c>
      <c r="C1511">
        <v>80</v>
      </c>
      <c r="D1511">
        <v>2913.797</v>
      </c>
    </row>
    <row r="1512" spans="1:4" x14ac:dyDescent="0.25">
      <c r="A1512" t="s">
        <v>4</v>
      </c>
      <c r="B1512" t="s">
        <v>7</v>
      </c>
      <c r="C1512">
        <v>80</v>
      </c>
      <c r="D1512">
        <v>2830.0920000000001</v>
      </c>
    </row>
    <row r="1513" spans="1:4" x14ac:dyDescent="0.25">
      <c r="A1513" t="s">
        <v>4</v>
      </c>
      <c r="B1513" t="s">
        <v>7</v>
      </c>
      <c r="C1513">
        <v>80</v>
      </c>
      <c r="D1513">
        <v>2738.221</v>
      </c>
    </row>
    <row r="1514" spans="1:4" x14ac:dyDescent="0.25">
      <c r="A1514" t="s">
        <v>4</v>
      </c>
      <c r="B1514" t="s">
        <v>7</v>
      </c>
      <c r="C1514">
        <v>80</v>
      </c>
      <c r="D1514">
        <v>2749.1190000000001</v>
      </c>
    </row>
    <row r="1515" spans="1:4" x14ac:dyDescent="0.25">
      <c r="A1515" t="s">
        <v>4</v>
      </c>
      <c r="B1515" t="s">
        <v>7</v>
      </c>
      <c r="C1515">
        <v>80</v>
      </c>
      <c r="D1515">
        <v>2725.0569999999998</v>
      </c>
    </row>
    <row r="1516" spans="1:4" x14ac:dyDescent="0.25">
      <c r="A1516" t="s">
        <v>4</v>
      </c>
      <c r="B1516" t="s">
        <v>7</v>
      </c>
      <c r="C1516">
        <v>80</v>
      </c>
      <c r="D1516">
        <v>2677.5709999999999</v>
      </c>
    </row>
    <row r="1517" spans="1:4" x14ac:dyDescent="0.25">
      <c r="A1517" t="s">
        <v>4</v>
      </c>
      <c r="B1517" t="s">
        <v>7</v>
      </c>
      <c r="C1517">
        <v>80</v>
      </c>
      <c r="D1517">
        <v>2805.6170000000002</v>
      </c>
    </row>
    <row r="1518" spans="1:4" x14ac:dyDescent="0.25">
      <c r="A1518" t="s">
        <v>4</v>
      </c>
      <c r="B1518" t="s">
        <v>7</v>
      </c>
      <c r="C1518">
        <v>80</v>
      </c>
      <c r="D1518">
        <v>2875.6970000000001</v>
      </c>
    </row>
    <row r="1519" spans="1:4" x14ac:dyDescent="0.25">
      <c r="A1519" t="s">
        <v>4</v>
      </c>
      <c r="B1519" t="s">
        <v>7</v>
      </c>
      <c r="C1519">
        <v>80</v>
      </c>
      <c r="D1519">
        <v>2855.0079999999998</v>
      </c>
    </row>
    <row r="1520" spans="1:4" x14ac:dyDescent="0.25">
      <c r="A1520" t="s">
        <v>4</v>
      </c>
      <c r="B1520" t="s">
        <v>7</v>
      </c>
      <c r="C1520">
        <v>80</v>
      </c>
      <c r="D1520">
        <v>2798.08</v>
      </c>
    </row>
    <row r="1521" spans="1:4" x14ac:dyDescent="0.25">
      <c r="A1521" t="s">
        <v>4</v>
      </c>
      <c r="B1521" t="s">
        <v>7</v>
      </c>
      <c r="C1521">
        <v>80</v>
      </c>
      <c r="D1521">
        <v>2840.0529999999999</v>
      </c>
    </row>
    <row r="1522" spans="1:4" x14ac:dyDescent="0.25">
      <c r="A1522" t="s">
        <v>4</v>
      </c>
      <c r="B1522" t="s">
        <v>7</v>
      </c>
      <c r="C1522">
        <v>80</v>
      </c>
      <c r="D1522">
        <v>2793.12</v>
      </c>
    </row>
    <row r="1523" spans="1:4" x14ac:dyDescent="0.25">
      <c r="A1523" t="s">
        <v>4</v>
      </c>
      <c r="B1523" t="s">
        <v>7</v>
      </c>
      <c r="C1523">
        <v>80</v>
      </c>
      <c r="D1523">
        <v>2768.1480000000001</v>
      </c>
    </row>
    <row r="1524" spans="1:4" x14ac:dyDescent="0.25">
      <c r="A1524" t="s">
        <v>4</v>
      </c>
      <c r="B1524" t="s">
        <v>7</v>
      </c>
      <c r="C1524">
        <v>80</v>
      </c>
      <c r="D1524">
        <v>2781.6019999999999</v>
      </c>
    </row>
    <row r="1525" spans="1:4" x14ac:dyDescent="0.25">
      <c r="A1525" t="s">
        <v>4</v>
      </c>
      <c r="B1525" t="s">
        <v>7</v>
      </c>
      <c r="C1525">
        <v>80</v>
      </c>
      <c r="D1525">
        <v>2768.7910000000002</v>
      </c>
    </row>
    <row r="1526" spans="1:4" x14ac:dyDescent="0.25">
      <c r="A1526" t="s">
        <v>4</v>
      </c>
      <c r="B1526" t="s">
        <v>7</v>
      </c>
      <c r="C1526">
        <v>80</v>
      </c>
      <c r="D1526">
        <v>2801.5</v>
      </c>
    </row>
    <row r="1527" spans="1:4" x14ac:dyDescent="0.25">
      <c r="A1527" t="s">
        <v>4</v>
      </c>
      <c r="B1527" t="s">
        <v>7</v>
      </c>
      <c r="C1527">
        <v>80</v>
      </c>
      <c r="D1527">
        <v>2760.598</v>
      </c>
    </row>
    <row r="1528" spans="1:4" x14ac:dyDescent="0.25">
      <c r="A1528" t="s">
        <v>4</v>
      </c>
      <c r="B1528" t="s">
        <v>7</v>
      </c>
      <c r="C1528">
        <v>80</v>
      </c>
      <c r="D1528">
        <v>2881.3670000000002</v>
      </c>
    </row>
    <row r="1529" spans="1:4" x14ac:dyDescent="0.25">
      <c r="A1529" t="s">
        <v>4</v>
      </c>
      <c r="B1529" t="s">
        <v>7</v>
      </c>
      <c r="C1529">
        <v>80</v>
      </c>
      <c r="D1529">
        <v>2787.364</v>
      </c>
    </row>
    <row r="1530" spans="1:4" x14ac:dyDescent="0.25">
      <c r="A1530" t="s">
        <v>4</v>
      </c>
      <c r="B1530" t="s">
        <v>7</v>
      </c>
      <c r="C1530">
        <v>80</v>
      </c>
      <c r="D1530">
        <v>2847.7640000000001</v>
      </c>
    </row>
    <row r="1531" spans="1:4" x14ac:dyDescent="0.25">
      <c r="A1531" t="s">
        <v>4</v>
      </c>
      <c r="B1531" t="s">
        <v>7</v>
      </c>
      <c r="C1531">
        <v>80</v>
      </c>
      <c r="D1531">
        <v>2789.5430000000001</v>
      </c>
    </row>
    <row r="1532" spans="1:4" x14ac:dyDescent="0.25">
      <c r="A1532" t="s">
        <v>4</v>
      </c>
      <c r="B1532" t="s">
        <v>7</v>
      </c>
      <c r="C1532">
        <v>80</v>
      </c>
      <c r="D1532">
        <v>2870.06</v>
      </c>
    </row>
    <row r="1533" spans="1:4" x14ac:dyDescent="0.25">
      <c r="A1533" t="s">
        <v>4</v>
      </c>
      <c r="B1533" t="s">
        <v>7</v>
      </c>
      <c r="C1533">
        <v>80</v>
      </c>
      <c r="D1533">
        <v>2843.2719999999999</v>
      </c>
    </row>
    <row r="1534" spans="1:4" x14ac:dyDescent="0.25">
      <c r="A1534" t="s">
        <v>4</v>
      </c>
      <c r="B1534" t="s">
        <v>7</v>
      </c>
      <c r="C1534">
        <v>80</v>
      </c>
      <c r="D1534">
        <v>2935.404</v>
      </c>
    </row>
    <row r="1535" spans="1:4" x14ac:dyDescent="0.25">
      <c r="A1535" t="s">
        <v>4</v>
      </c>
      <c r="B1535" t="s">
        <v>7</v>
      </c>
      <c r="C1535">
        <v>80</v>
      </c>
      <c r="D1535">
        <v>2799.931</v>
      </c>
    </row>
    <row r="1536" spans="1:4" x14ac:dyDescent="0.25">
      <c r="A1536" t="s">
        <v>4</v>
      </c>
      <c r="B1536" t="s">
        <v>7</v>
      </c>
      <c r="C1536">
        <v>80</v>
      </c>
      <c r="D1536">
        <v>2782.9119999999998</v>
      </c>
    </row>
    <row r="1537" spans="1:4" x14ac:dyDescent="0.25">
      <c r="A1537" t="s">
        <v>4</v>
      </c>
      <c r="B1537" t="s">
        <v>7</v>
      </c>
      <c r="C1537">
        <v>80</v>
      </c>
      <c r="D1537">
        <v>2841.0149999999999</v>
      </c>
    </row>
    <row r="1538" spans="1:4" x14ac:dyDescent="0.25">
      <c r="A1538" t="s">
        <v>4</v>
      </c>
      <c r="B1538" t="s">
        <v>7</v>
      </c>
      <c r="C1538">
        <v>80</v>
      </c>
      <c r="D1538">
        <v>2759.41</v>
      </c>
    </row>
    <row r="1539" spans="1:4" x14ac:dyDescent="0.25">
      <c r="A1539" t="s">
        <v>4</v>
      </c>
      <c r="B1539" t="s">
        <v>7</v>
      </c>
      <c r="C1539">
        <v>80</v>
      </c>
      <c r="D1539">
        <v>2886.6280000000002</v>
      </c>
    </row>
    <row r="1540" spans="1:4" x14ac:dyDescent="0.25">
      <c r="A1540" t="s">
        <v>4</v>
      </c>
      <c r="B1540" t="s">
        <v>7</v>
      </c>
      <c r="C1540">
        <v>80</v>
      </c>
      <c r="D1540">
        <v>2753.855</v>
      </c>
    </row>
    <row r="1541" spans="1:4" x14ac:dyDescent="0.25">
      <c r="A1541" t="s">
        <v>4</v>
      </c>
      <c r="B1541" t="s">
        <v>7</v>
      </c>
      <c r="C1541">
        <v>80</v>
      </c>
      <c r="D1541">
        <v>2862.7339999999999</v>
      </c>
    </row>
    <row r="1542" spans="1:4" x14ac:dyDescent="0.25">
      <c r="A1542" t="s">
        <v>4</v>
      </c>
      <c r="B1542" t="s">
        <v>7</v>
      </c>
      <c r="C1542">
        <v>80</v>
      </c>
      <c r="D1542">
        <v>2937.59</v>
      </c>
    </row>
    <row r="1543" spans="1:4" x14ac:dyDescent="0.25">
      <c r="A1543" t="s">
        <v>4</v>
      </c>
      <c r="B1543" t="s">
        <v>7</v>
      </c>
      <c r="C1543">
        <v>80</v>
      </c>
      <c r="D1543">
        <v>2761.0039999999999</v>
      </c>
    </row>
    <row r="1544" spans="1:4" x14ac:dyDescent="0.25">
      <c r="A1544" t="s">
        <v>4</v>
      </c>
      <c r="B1544" t="s">
        <v>7</v>
      </c>
      <c r="C1544">
        <v>80</v>
      </c>
      <c r="D1544">
        <v>2727.1840000000002</v>
      </c>
    </row>
    <row r="1545" spans="1:4" x14ac:dyDescent="0.25">
      <c r="A1545" t="s">
        <v>4</v>
      </c>
      <c r="B1545" t="s">
        <v>7</v>
      </c>
      <c r="C1545">
        <v>80</v>
      </c>
      <c r="D1545">
        <v>2830.2020000000002</v>
      </c>
    </row>
    <row r="1546" spans="1:4" x14ac:dyDescent="0.25">
      <c r="A1546" t="s">
        <v>4</v>
      </c>
      <c r="B1546" t="s">
        <v>7</v>
      </c>
      <c r="C1546">
        <v>80</v>
      </c>
      <c r="D1546">
        <v>2813.73</v>
      </c>
    </row>
    <row r="1547" spans="1:4" x14ac:dyDescent="0.25">
      <c r="A1547" t="s">
        <v>4</v>
      </c>
      <c r="B1547" t="s">
        <v>7</v>
      </c>
      <c r="C1547">
        <v>80</v>
      </c>
      <c r="D1547">
        <v>2896.4369999999999</v>
      </c>
    </row>
    <row r="1548" spans="1:4" x14ac:dyDescent="0.25">
      <c r="A1548" t="s">
        <v>4</v>
      </c>
      <c r="B1548" t="s">
        <v>7</v>
      </c>
      <c r="C1548">
        <v>80</v>
      </c>
      <c r="D1548">
        <v>2754.0329999999999</v>
      </c>
    </row>
    <row r="1549" spans="1:4" x14ac:dyDescent="0.25">
      <c r="A1549" t="s">
        <v>4</v>
      </c>
      <c r="B1549" t="s">
        <v>7</v>
      </c>
      <c r="C1549">
        <v>80</v>
      </c>
      <c r="D1549">
        <v>2845.047</v>
      </c>
    </row>
    <row r="1550" spans="1:4" x14ac:dyDescent="0.25">
      <c r="A1550" t="s">
        <v>4</v>
      </c>
      <c r="B1550" t="s">
        <v>7</v>
      </c>
      <c r="C1550">
        <v>80</v>
      </c>
      <c r="D1550">
        <v>2785.1190000000001</v>
      </c>
    </row>
    <row r="1551" spans="1:4" x14ac:dyDescent="0.25">
      <c r="A1551" t="s">
        <v>4</v>
      </c>
      <c r="B1551" t="s">
        <v>7</v>
      </c>
      <c r="C1551">
        <v>80</v>
      </c>
      <c r="D1551">
        <v>2867.029</v>
      </c>
    </row>
    <row r="1552" spans="1:4" x14ac:dyDescent="0.25">
      <c r="A1552" t="s">
        <v>4</v>
      </c>
      <c r="B1552" t="s">
        <v>7</v>
      </c>
      <c r="C1552">
        <v>80</v>
      </c>
      <c r="D1552">
        <v>2823.3939999999998</v>
      </c>
    </row>
    <row r="1553" spans="1:4" x14ac:dyDescent="0.25">
      <c r="A1553" t="s">
        <v>4</v>
      </c>
      <c r="B1553" t="s">
        <v>7</v>
      </c>
      <c r="C1553">
        <v>80</v>
      </c>
      <c r="D1553">
        <v>2913.4839999999999</v>
      </c>
    </row>
    <row r="1554" spans="1:4" x14ac:dyDescent="0.25">
      <c r="A1554" t="s">
        <v>4</v>
      </c>
      <c r="B1554" t="s">
        <v>7</v>
      </c>
      <c r="C1554">
        <v>80</v>
      </c>
      <c r="D1554">
        <v>2861.989</v>
      </c>
    </row>
    <row r="1555" spans="1:4" x14ac:dyDescent="0.25">
      <c r="A1555" t="s">
        <v>4</v>
      </c>
      <c r="B1555" t="s">
        <v>7</v>
      </c>
      <c r="C1555">
        <v>80</v>
      </c>
      <c r="D1555">
        <v>2883.7260000000001</v>
      </c>
    </row>
    <row r="1556" spans="1:4" x14ac:dyDescent="0.25">
      <c r="A1556" t="s">
        <v>4</v>
      </c>
      <c r="B1556" t="s">
        <v>7</v>
      </c>
      <c r="C1556">
        <v>80</v>
      </c>
      <c r="D1556">
        <v>2910.4479999999999</v>
      </c>
    </row>
    <row r="1557" spans="1:4" x14ac:dyDescent="0.25">
      <c r="A1557" t="s">
        <v>4</v>
      </c>
      <c r="B1557" t="s">
        <v>7</v>
      </c>
      <c r="C1557">
        <v>80</v>
      </c>
      <c r="D1557">
        <v>2767.7449999999999</v>
      </c>
    </row>
    <row r="1558" spans="1:4" x14ac:dyDescent="0.25">
      <c r="A1558" t="s">
        <v>4</v>
      </c>
      <c r="B1558" t="s">
        <v>7</v>
      </c>
      <c r="C1558">
        <v>80</v>
      </c>
      <c r="D1558">
        <v>2759.3159999999998</v>
      </c>
    </row>
    <row r="1559" spans="1:4" x14ac:dyDescent="0.25">
      <c r="A1559" t="s">
        <v>4</v>
      </c>
      <c r="B1559" t="s">
        <v>7</v>
      </c>
      <c r="C1559">
        <v>80</v>
      </c>
      <c r="D1559">
        <v>2792.06</v>
      </c>
    </row>
    <row r="1560" spans="1:4" x14ac:dyDescent="0.25">
      <c r="A1560" t="s">
        <v>4</v>
      </c>
      <c r="B1560" t="s">
        <v>7</v>
      </c>
      <c r="C1560">
        <v>80</v>
      </c>
      <c r="D1560">
        <v>2814.0920000000001</v>
      </c>
    </row>
    <row r="1561" spans="1:4" x14ac:dyDescent="0.25">
      <c r="A1561" t="s">
        <v>4</v>
      </c>
      <c r="B1561" t="s">
        <v>7</v>
      </c>
      <c r="C1561">
        <v>80</v>
      </c>
      <c r="D1561">
        <v>2837.174</v>
      </c>
    </row>
    <row r="1562" spans="1:4" x14ac:dyDescent="0.25">
      <c r="A1562" t="s">
        <v>4</v>
      </c>
      <c r="B1562" t="s">
        <v>7</v>
      </c>
      <c r="C1562">
        <v>80</v>
      </c>
      <c r="D1562">
        <v>2891.1149999999998</v>
      </c>
    </row>
    <row r="1563" spans="1:4" x14ac:dyDescent="0.25">
      <c r="A1563" t="s">
        <v>4</v>
      </c>
      <c r="B1563" t="s">
        <v>7</v>
      </c>
      <c r="C1563">
        <v>80</v>
      </c>
      <c r="D1563">
        <v>2833.444</v>
      </c>
    </row>
    <row r="1564" spans="1:4" x14ac:dyDescent="0.25">
      <c r="A1564" t="s">
        <v>4</v>
      </c>
      <c r="B1564" t="s">
        <v>7</v>
      </c>
      <c r="C1564">
        <v>80</v>
      </c>
      <c r="D1564">
        <v>2743.9879999999998</v>
      </c>
    </row>
    <row r="1565" spans="1:4" x14ac:dyDescent="0.25">
      <c r="A1565" t="s">
        <v>4</v>
      </c>
      <c r="B1565" t="s">
        <v>7</v>
      </c>
      <c r="C1565">
        <v>80</v>
      </c>
      <c r="D1565">
        <v>2761.4859999999999</v>
      </c>
    </row>
    <row r="1566" spans="1:4" x14ac:dyDescent="0.25">
      <c r="A1566" t="s">
        <v>4</v>
      </c>
      <c r="B1566" t="s">
        <v>7</v>
      </c>
      <c r="C1566">
        <v>80</v>
      </c>
      <c r="D1566">
        <v>2771.489</v>
      </c>
    </row>
    <row r="1567" spans="1:4" x14ac:dyDescent="0.25">
      <c r="A1567" t="s">
        <v>4</v>
      </c>
      <c r="B1567" t="s">
        <v>7</v>
      </c>
      <c r="C1567">
        <v>80</v>
      </c>
      <c r="D1567">
        <v>2812.4659999999999</v>
      </c>
    </row>
    <row r="1568" spans="1:4" x14ac:dyDescent="0.25">
      <c r="A1568" t="s">
        <v>4</v>
      </c>
      <c r="B1568" t="s">
        <v>7</v>
      </c>
      <c r="C1568">
        <v>80</v>
      </c>
      <c r="D1568">
        <v>2828.4169999999999</v>
      </c>
    </row>
    <row r="1569" spans="1:4" x14ac:dyDescent="0.25">
      <c r="A1569" t="s">
        <v>4</v>
      </c>
      <c r="B1569" t="s">
        <v>7</v>
      </c>
      <c r="C1569">
        <v>80</v>
      </c>
      <c r="D1569">
        <v>2911.2159999999999</v>
      </c>
    </row>
    <row r="1570" spans="1:4" x14ac:dyDescent="0.25">
      <c r="A1570" t="s">
        <v>4</v>
      </c>
      <c r="B1570" t="s">
        <v>7</v>
      </c>
      <c r="C1570">
        <v>80</v>
      </c>
      <c r="D1570">
        <v>2741.4470000000001</v>
      </c>
    </row>
    <row r="1571" spans="1:4" x14ac:dyDescent="0.25">
      <c r="A1571" t="s">
        <v>4</v>
      </c>
      <c r="B1571" t="s">
        <v>7</v>
      </c>
      <c r="C1571">
        <v>80</v>
      </c>
      <c r="D1571">
        <v>2755.9960000000001</v>
      </c>
    </row>
    <row r="1572" spans="1:4" x14ac:dyDescent="0.25">
      <c r="A1572" t="s">
        <v>4</v>
      </c>
      <c r="B1572" t="s">
        <v>7</v>
      </c>
      <c r="C1572">
        <v>80</v>
      </c>
      <c r="D1572">
        <v>2874.02</v>
      </c>
    </row>
    <row r="1573" spans="1:4" x14ac:dyDescent="0.25">
      <c r="A1573" t="s">
        <v>4</v>
      </c>
      <c r="B1573" t="s">
        <v>7</v>
      </c>
      <c r="C1573">
        <v>80</v>
      </c>
      <c r="D1573">
        <v>2885.1089999999999</v>
      </c>
    </row>
    <row r="1574" spans="1:4" x14ac:dyDescent="0.25">
      <c r="A1574" t="s">
        <v>4</v>
      </c>
      <c r="B1574" t="s">
        <v>7</v>
      </c>
      <c r="C1574">
        <v>80</v>
      </c>
      <c r="D1574">
        <v>2898.114</v>
      </c>
    </row>
    <row r="1575" spans="1:4" x14ac:dyDescent="0.25">
      <c r="A1575" t="s">
        <v>4</v>
      </c>
      <c r="B1575" t="s">
        <v>7</v>
      </c>
      <c r="C1575">
        <v>80</v>
      </c>
      <c r="D1575">
        <v>2829.5259999999998</v>
      </c>
    </row>
    <row r="1576" spans="1:4" x14ac:dyDescent="0.25">
      <c r="A1576" t="s">
        <v>4</v>
      </c>
      <c r="B1576" t="s">
        <v>7</v>
      </c>
      <c r="C1576">
        <v>80</v>
      </c>
      <c r="D1576">
        <v>2749.0540000000001</v>
      </c>
    </row>
    <row r="1577" spans="1:4" x14ac:dyDescent="0.25">
      <c r="A1577" t="s">
        <v>4</v>
      </c>
      <c r="B1577" t="s">
        <v>7</v>
      </c>
      <c r="C1577">
        <v>80</v>
      </c>
      <c r="D1577">
        <v>2815.819</v>
      </c>
    </row>
    <row r="1578" spans="1:4" x14ac:dyDescent="0.25">
      <c r="A1578" t="s">
        <v>4</v>
      </c>
      <c r="B1578" t="s">
        <v>7</v>
      </c>
      <c r="C1578">
        <v>80</v>
      </c>
      <c r="D1578">
        <v>2879.4830000000002</v>
      </c>
    </row>
    <row r="1579" spans="1:4" x14ac:dyDescent="0.25">
      <c r="A1579" t="s">
        <v>4</v>
      </c>
      <c r="B1579" t="s">
        <v>7</v>
      </c>
      <c r="C1579">
        <v>80</v>
      </c>
      <c r="D1579">
        <v>2869.0230000000001</v>
      </c>
    </row>
    <row r="1580" spans="1:4" x14ac:dyDescent="0.25">
      <c r="A1580" t="s">
        <v>4</v>
      </c>
      <c r="B1580" t="s">
        <v>7</v>
      </c>
      <c r="C1580">
        <v>80</v>
      </c>
      <c r="D1580">
        <v>2772.95</v>
      </c>
    </row>
    <row r="1581" spans="1:4" x14ac:dyDescent="0.25">
      <c r="A1581" t="s">
        <v>4</v>
      </c>
      <c r="B1581" t="s">
        <v>7</v>
      </c>
      <c r="C1581">
        <v>80</v>
      </c>
      <c r="D1581">
        <v>2857.5549999999998</v>
      </c>
    </row>
    <row r="1582" spans="1:4" x14ac:dyDescent="0.25">
      <c r="A1582" t="s">
        <v>4</v>
      </c>
      <c r="B1582" t="s">
        <v>7</v>
      </c>
      <c r="C1582">
        <v>80</v>
      </c>
      <c r="D1582">
        <v>2865.6469999999999</v>
      </c>
    </row>
    <row r="1583" spans="1:4" x14ac:dyDescent="0.25">
      <c r="A1583" t="s">
        <v>4</v>
      </c>
      <c r="B1583" t="s">
        <v>7</v>
      </c>
      <c r="C1583">
        <v>80</v>
      </c>
      <c r="D1583">
        <v>2798.5369999999998</v>
      </c>
    </row>
    <row r="1584" spans="1:4" x14ac:dyDescent="0.25">
      <c r="A1584" t="s">
        <v>4</v>
      </c>
      <c r="B1584" t="s">
        <v>7</v>
      </c>
      <c r="C1584">
        <v>80</v>
      </c>
      <c r="D1584">
        <v>2840.165</v>
      </c>
    </row>
    <row r="1585" spans="1:4" x14ac:dyDescent="0.25">
      <c r="A1585" t="s">
        <v>4</v>
      </c>
      <c r="B1585" t="s">
        <v>7</v>
      </c>
      <c r="C1585">
        <v>80</v>
      </c>
      <c r="D1585">
        <v>2852.3490000000002</v>
      </c>
    </row>
    <row r="1586" spans="1:4" x14ac:dyDescent="0.25">
      <c r="A1586" t="s">
        <v>4</v>
      </c>
      <c r="B1586" t="s">
        <v>7</v>
      </c>
      <c r="C1586">
        <v>80</v>
      </c>
      <c r="D1586">
        <v>2918.6990000000001</v>
      </c>
    </row>
    <row r="1587" spans="1:4" x14ac:dyDescent="0.25">
      <c r="A1587" t="s">
        <v>4</v>
      </c>
      <c r="B1587" t="s">
        <v>7</v>
      </c>
      <c r="C1587">
        <v>80</v>
      </c>
      <c r="D1587">
        <v>2816.058</v>
      </c>
    </row>
    <row r="1588" spans="1:4" x14ac:dyDescent="0.25">
      <c r="A1588" t="s">
        <v>4</v>
      </c>
      <c r="B1588" t="s">
        <v>7</v>
      </c>
      <c r="C1588">
        <v>80</v>
      </c>
      <c r="D1588">
        <v>2817.0929999999998</v>
      </c>
    </row>
    <row r="1589" spans="1:4" x14ac:dyDescent="0.25">
      <c r="A1589" t="s">
        <v>4</v>
      </c>
      <c r="B1589" t="s">
        <v>7</v>
      </c>
      <c r="C1589">
        <v>80</v>
      </c>
      <c r="D1589">
        <v>2794.9360000000001</v>
      </c>
    </row>
    <row r="1590" spans="1:4" x14ac:dyDescent="0.25">
      <c r="A1590" t="s">
        <v>4</v>
      </c>
      <c r="B1590" t="s">
        <v>7</v>
      </c>
      <c r="C1590">
        <v>80</v>
      </c>
      <c r="D1590">
        <v>2784.547</v>
      </c>
    </row>
    <row r="1591" spans="1:4" x14ac:dyDescent="0.25">
      <c r="A1591" t="s">
        <v>4</v>
      </c>
      <c r="B1591" t="s">
        <v>7</v>
      </c>
      <c r="C1591">
        <v>80</v>
      </c>
      <c r="D1591">
        <v>2819.0830000000001</v>
      </c>
    </row>
    <row r="1592" spans="1:4" x14ac:dyDescent="0.25">
      <c r="A1592" t="s">
        <v>4</v>
      </c>
      <c r="B1592" t="s">
        <v>7</v>
      </c>
      <c r="C1592">
        <v>80</v>
      </c>
      <c r="D1592">
        <v>2831.1559999999999</v>
      </c>
    </row>
    <row r="1593" spans="1:4" x14ac:dyDescent="0.25">
      <c r="A1593" t="s">
        <v>4</v>
      </c>
      <c r="B1593" t="s">
        <v>7</v>
      </c>
      <c r="C1593">
        <v>80</v>
      </c>
      <c r="D1593">
        <v>2865.7869999999998</v>
      </c>
    </row>
    <row r="1594" spans="1:4" x14ac:dyDescent="0.25">
      <c r="A1594" t="s">
        <v>4</v>
      </c>
      <c r="B1594" t="s">
        <v>7</v>
      </c>
      <c r="C1594">
        <v>80</v>
      </c>
      <c r="D1594">
        <v>2785.6610000000001</v>
      </c>
    </row>
    <row r="1595" spans="1:4" x14ac:dyDescent="0.25">
      <c r="A1595" t="s">
        <v>4</v>
      </c>
      <c r="B1595" t="s">
        <v>7</v>
      </c>
      <c r="C1595">
        <v>80</v>
      </c>
      <c r="D1595">
        <v>2813.5039999999999</v>
      </c>
    </row>
    <row r="1596" spans="1:4" x14ac:dyDescent="0.25">
      <c r="A1596" t="s">
        <v>4</v>
      </c>
      <c r="B1596" t="s">
        <v>7</v>
      </c>
      <c r="C1596">
        <v>80</v>
      </c>
      <c r="D1596">
        <v>2831.4969999999998</v>
      </c>
    </row>
    <row r="1597" spans="1:4" x14ac:dyDescent="0.25">
      <c r="A1597" t="s">
        <v>4</v>
      </c>
      <c r="B1597" t="s">
        <v>7</v>
      </c>
      <c r="C1597">
        <v>80</v>
      </c>
      <c r="D1597">
        <v>2810.7359999999999</v>
      </c>
    </row>
    <row r="1598" spans="1:4" x14ac:dyDescent="0.25">
      <c r="A1598" t="s">
        <v>4</v>
      </c>
      <c r="B1598" t="s">
        <v>7</v>
      </c>
      <c r="C1598">
        <v>80</v>
      </c>
      <c r="D1598">
        <v>2784.7130000000002</v>
      </c>
    </row>
    <row r="1599" spans="1:4" x14ac:dyDescent="0.25">
      <c r="A1599" t="s">
        <v>4</v>
      </c>
      <c r="B1599" t="s">
        <v>7</v>
      </c>
      <c r="C1599">
        <v>80</v>
      </c>
      <c r="D1599">
        <v>2715.982</v>
      </c>
    </row>
    <row r="1600" spans="1:4" x14ac:dyDescent="0.25">
      <c r="A1600" t="s">
        <v>4</v>
      </c>
      <c r="B1600" t="s">
        <v>7</v>
      </c>
      <c r="C1600">
        <v>80</v>
      </c>
      <c r="D1600">
        <v>2810.223</v>
      </c>
    </row>
    <row r="1601" spans="1:4" x14ac:dyDescent="0.25">
      <c r="A1601" t="s">
        <v>4</v>
      </c>
      <c r="B1601" t="s">
        <v>7</v>
      </c>
      <c r="C1601">
        <v>80</v>
      </c>
      <c r="D1601">
        <v>2772.2379999999998</v>
      </c>
    </row>
    <row r="1602" spans="1:4" x14ac:dyDescent="0.25">
      <c r="A1602" t="s">
        <v>4</v>
      </c>
      <c r="B1602" t="s">
        <v>7</v>
      </c>
      <c r="C1602">
        <v>100</v>
      </c>
      <c r="D1602">
        <v>3490.6959999999999</v>
      </c>
    </row>
    <row r="1603" spans="1:4" x14ac:dyDescent="0.25">
      <c r="A1603" t="s">
        <v>4</v>
      </c>
      <c r="B1603" t="s">
        <v>7</v>
      </c>
      <c r="C1603">
        <v>100</v>
      </c>
      <c r="D1603">
        <v>3457.8620000000001</v>
      </c>
    </row>
    <row r="1604" spans="1:4" x14ac:dyDescent="0.25">
      <c r="A1604" t="s">
        <v>4</v>
      </c>
      <c r="B1604" t="s">
        <v>7</v>
      </c>
      <c r="C1604">
        <v>100</v>
      </c>
      <c r="D1604">
        <v>3432.0970000000002</v>
      </c>
    </row>
    <row r="1605" spans="1:4" x14ac:dyDescent="0.25">
      <c r="A1605" t="s">
        <v>4</v>
      </c>
      <c r="B1605" t="s">
        <v>7</v>
      </c>
      <c r="C1605">
        <v>100</v>
      </c>
      <c r="D1605">
        <v>3483.3119999999999</v>
      </c>
    </row>
    <row r="1606" spans="1:4" x14ac:dyDescent="0.25">
      <c r="A1606" t="s">
        <v>4</v>
      </c>
      <c r="B1606" t="s">
        <v>7</v>
      </c>
      <c r="C1606">
        <v>100</v>
      </c>
      <c r="D1606">
        <v>3396.3470000000002</v>
      </c>
    </row>
    <row r="1607" spans="1:4" x14ac:dyDescent="0.25">
      <c r="A1607" t="s">
        <v>4</v>
      </c>
      <c r="B1607" t="s">
        <v>7</v>
      </c>
      <c r="C1607">
        <v>100</v>
      </c>
      <c r="D1607">
        <v>3263.3</v>
      </c>
    </row>
    <row r="1608" spans="1:4" x14ac:dyDescent="0.25">
      <c r="A1608" t="s">
        <v>4</v>
      </c>
      <c r="B1608" t="s">
        <v>7</v>
      </c>
      <c r="C1608">
        <v>100</v>
      </c>
      <c r="D1608">
        <v>3436.9609999999998</v>
      </c>
    </row>
    <row r="1609" spans="1:4" x14ac:dyDescent="0.25">
      <c r="A1609" t="s">
        <v>4</v>
      </c>
      <c r="B1609" t="s">
        <v>7</v>
      </c>
      <c r="C1609">
        <v>100</v>
      </c>
      <c r="D1609">
        <v>3431.4769999999999</v>
      </c>
    </row>
    <row r="1610" spans="1:4" x14ac:dyDescent="0.25">
      <c r="A1610" t="s">
        <v>4</v>
      </c>
      <c r="B1610" t="s">
        <v>7</v>
      </c>
      <c r="C1610">
        <v>100</v>
      </c>
      <c r="D1610">
        <v>3430.32</v>
      </c>
    </row>
    <row r="1611" spans="1:4" x14ac:dyDescent="0.25">
      <c r="A1611" t="s">
        <v>4</v>
      </c>
      <c r="B1611" t="s">
        <v>7</v>
      </c>
      <c r="C1611">
        <v>100</v>
      </c>
      <c r="D1611">
        <v>3362.0720000000001</v>
      </c>
    </row>
    <row r="1612" spans="1:4" x14ac:dyDescent="0.25">
      <c r="A1612" t="s">
        <v>4</v>
      </c>
      <c r="B1612" t="s">
        <v>7</v>
      </c>
      <c r="C1612">
        <v>100</v>
      </c>
      <c r="D1612">
        <v>3394.712</v>
      </c>
    </row>
    <row r="1613" spans="1:4" x14ac:dyDescent="0.25">
      <c r="A1613" t="s">
        <v>4</v>
      </c>
      <c r="B1613" t="s">
        <v>7</v>
      </c>
      <c r="C1613">
        <v>100</v>
      </c>
      <c r="D1613">
        <v>3549.7840000000001</v>
      </c>
    </row>
    <row r="1614" spans="1:4" x14ac:dyDescent="0.25">
      <c r="A1614" t="s">
        <v>4</v>
      </c>
      <c r="B1614" t="s">
        <v>7</v>
      </c>
      <c r="C1614">
        <v>100</v>
      </c>
      <c r="D1614">
        <v>3462.8820000000001</v>
      </c>
    </row>
    <row r="1615" spans="1:4" x14ac:dyDescent="0.25">
      <c r="A1615" t="s">
        <v>4</v>
      </c>
      <c r="B1615" t="s">
        <v>7</v>
      </c>
      <c r="C1615">
        <v>100</v>
      </c>
      <c r="D1615">
        <v>3368.9870000000001</v>
      </c>
    </row>
    <row r="1616" spans="1:4" x14ac:dyDescent="0.25">
      <c r="A1616" t="s">
        <v>4</v>
      </c>
      <c r="B1616" t="s">
        <v>7</v>
      </c>
      <c r="C1616">
        <v>100</v>
      </c>
      <c r="D1616">
        <v>3533.4969999999998</v>
      </c>
    </row>
    <row r="1617" spans="1:4" x14ac:dyDescent="0.25">
      <c r="A1617" t="s">
        <v>4</v>
      </c>
      <c r="B1617" t="s">
        <v>7</v>
      </c>
      <c r="C1617">
        <v>100</v>
      </c>
      <c r="D1617">
        <v>3380.393</v>
      </c>
    </row>
    <row r="1618" spans="1:4" x14ac:dyDescent="0.25">
      <c r="A1618" t="s">
        <v>4</v>
      </c>
      <c r="B1618" t="s">
        <v>7</v>
      </c>
      <c r="C1618">
        <v>100</v>
      </c>
      <c r="D1618">
        <v>3373.3409999999999</v>
      </c>
    </row>
    <row r="1619" spans="1:4" x14ac:dyDescent="0.25">
      <c r="A1619" t="s">
        <v>4</v>
      </c>
      <c r="B1619" t="s">
        <v>7</v>
      </c>
      <c r="C1619">
        <v>100</v>
      </c>
      <c r="D1619">
        <v>3460.5410000000002</v>
      </c>
    </row>
    <row r="1620" spans="1:4" x14ac:dyDescent="0.25">
      <c r="A1620" t="s">
        <v>4</v>
      </c>
      <c r="B1620" t="s">
        <v>7</v>
      </c>
      <c r="C1620">
        <v>100</v>
      </c>
      <c r="D1620">
        <v>3455.7069999999999</v>
      </c>
    </row>
    <row r="1621" spans="1:4" x14ac:dyDescent="0.25">
      <c r="A1621" t="s">
        <v>4</v>
      </c>
      <c r="B1621" t="s">
        <v>7</v>
      </c>
      <c r="C1621">
        <v>100</v>
      </c>
      <c r="D1621">
        <v>3492.0390000000002</v>
      </c>
    </row>
    <row r="1622" spans="1:4" x14ac:dyDescent="0.25">
      <c r="A1622" t="s">
        <v>4</v>
      </c>
      <c r="B1622" t="s">
        <v>7</v>
      </c>
      <c r="C1622">
        <v>100</v>
      </c>
      <c r="D1622">
        <v>3381.2649999999999</v>
      </c>
    </row>
    <row r="1623" spans="1:4" x14ac:dyDescent="0.25">
      <c r="A1623" t="s">
        <v>4</v>
      </c>
      <c r="B1623" t="s">
        <v>7</v>
      </c>
      <c r="C1623">
        <v>100</v>
      </c>
      <c r="D1623">
        <v>3544.3519999999999</v>
      </c>
    </row>
    <row r="1624" spans="1:4" x14ac:dyDescent="0.25">
      <c r="A1624" t="s">
        <v>4</v>
      </c>
      <c r="B1624" t="s">
        <v>7</v>
      </c>
      <c r="C1624">
        <v>100</v>
      </c>
      <c r="D1624">
        <v>3545.3969999999999</v>
      </c>
    </row>
    <row r="1625" spans="1:4" x14ac:dyDescent="0.25">
      <c r="A1625" t="s">
        <v>4</v>
      </c>
      <c r="B1625" t="s">
        <v>7</v>
      </c>
      <c r="C1625">
        <v>100</v>
      </c>
      <c r="D1625">
        <v>3490.7710000000002</v>
      </c>
    </row>
    <row r="1626" spans="1:4" x14ac:dyDescent="0.25">
      <c r="A1626" t="s">
        <v>4</v>
      </c>
      <c r="B1626" t="s">
        <v>7</v>
      </c>
      <c r="C1626">
        <v>100</v>
      </c>
      <c r="D1626">
        <v>3555.6010000000001</v>
      </c>
    </row>
    <row r="1627" spans="1:4" x14ac:dyDescent="0.25">
      <c r="A1627" t="s">
        <v>4</v>
      </c>
      <c r="B1627" t="s">
        <v>7</v>
      </c>
      <c r="C1627">
        <v>100</v>
      </c>
      <c r="D1627">
        <v>3462.1410000000001</v>
      </c>
    </row>
    <row r="1628" spans="1:4" x14ac:dyDescent="0.25">
      <c r="A1628" t="s">
        <v>4</v>
      </c>
      <c r="B1628" t="s">
        <v>7</v>
      </c>
      <c r="C1628">
        <v>100</v>
      </c>
      <c r="D1628">
        <v>3351.9850000000001</v>
      </c>
    </row>
    <row r="1629" spans="1:4" x14ac:dyDescent="0.25">
      <c r="A1629" t="s">
        <v>4</v>
      </c>
      <c r="B1629" t="s">
        <v>7</v>
      </c>
      <c r="C1629">
        <v>100</v>
      </c>
      <c r="D1629">
        <v>3356.058</v>
      </c>
    </row>
    <row r="1630" spans="1:4" x14ac:dyDescent="0.25">
      <c r="A1630" t="s">
        <v>4</v>
      </c>
      <c r="B1630" t="s">
        <v>7</v>
      </c>
      <c r="C1630">
        <v>100</v>
      </c>
      <c r="D1630">
        <v>3358.1030000000001</v>
      </c>
    </row>
    <row r="1631" spans="1:4" x14ac:dyDescent="0.25">
      <c r="A1631" t="s">
        <v>4</v>
      </c>
      <c r="B1631" t="s">
        <v>7</v>
      </c>
      <c r="C1631">
        <v>100</v>
      </c>
      <c r="D1631">
        <v>3369.8519999999999</v>
      </c>
    </row>
    <row r="1632" spans="1:4" x14ac:dyDescent="0.25">
      <c r="A1632" t="s">
        <v>4</v>
      </c>
      <c r="B1632" t="s">
        <v>7</v>
      </c>
      <c r="C1632">
        <v>100</v>
      </c>
      <c r="D1632">
        <v>3272.5369999999998</v>
      </c>
    </row>
    <row r="1633" spans="1:4" x14ac:dyDescent="0.25">
      <c r="A1633" t="s">
        <v>4</v>
      </c>
      <c r="B1633" t="s">
        <v>7</v>
      </c>
      <c r="C1633">
        <v>100</v>
      </c>
      <c r="D1633">
        <v>3483.7350000000001</v>
      </c>
    </row>
    <row r="1634" spans="1:4" x14ac:dyDescent="0.25">
      <c r="A1634" t="s">
        <v>4</v>
      </c>
      <c r="B1634" t="s">
        <v>7</v>
      </c>
      <c r="C1634">
        <v>100</v>
      </c>
      <c r="D1634">
        <v>3520.8150000000001</v>
      </c>
    </row>
    <row r="1635" spans="1:4" x14ac:dyDescent="0.25">
      <c r="A1635" t="s">
        <v>4</v>
      </c>
      <c r="B1635" t="s">
        <v>7</v>
      </c>
      <c r="C1635">
        <v>100</v>
      </c>
      <c r="D1635">
        <v>3425.335</v>
      </c>
    </row>
    <row r="1636" spans="1:4" x14ac:dyDescent="0.25">
      <c r="A1636" t="s">
        <v>4</v>
      </c>
      <c r="B1636" t="s">
        <v>7</v>
      </c>
      <c r="C1636">
        <v>100</v>
      </c>
      <c r="D1636">
        <v>3300.873</v>
      </c>
    </row>
    <row r="1637" spans="1:4" x14ac:dyDescent="0.25">
      <c r="A1637" t="s">
        <v>4</v>
      </c>
      <c r="B1637" t="s">
        <v>7</v>
      </c>
      <c r="C1637">
        <v>100</v>
      </c>
      <c r="D1637">
        <v>3489.96</v>
      </c>
    </row>
    <row r="1638" spans="1:4" x14ac:dyDescent="0.25">
      <c r="A1638" t="s">
        <v>4</v>
      </c>
      <c r="B1638" t="s">
        <v>7</v>
      </c>
      <c r="C1638">
        <v>100</v>
      </c>
      <c r="D1638">
        <v>3311.9659999999999</v>
      </c>
    </row>
    <row r="1639" spans="1:4" x14ac:dyDescent="0.25">
      <c r="A1639" t="s">
        <v>4</v>
      </c>
      <c r="B1639" t="s">
        <v>7</v>
      </c>
      <c r="C1639">
        <v>100</v>
      </c>
      <c r="D1639">
        <v>3500.5360000000001</v>
      </c>
    </row>
    <row r="1640" spans="1:4" x14ac:dyDescent="0.25">
      <c r="A1640" t="s">
        <v>4</v>
      </c>
      <c r="B1640" t="s">
        <v>7</v>
      </c>
      <c r="C1640">
        <v>100</v>
      </c>
      <c r="D1640">
        <v>3218.5749999999998</v>
      </c>
    </row>
    <row r="1641" spans="1:4" x14ac:dyDescent="0.25">
      <c r="A1641" t="s">
        <v>4</v>
      </c>
      <c r="B1641" t="s">
        <v>7</v>
      </c>
      <c r="C1641">
        <v>100</v>
      </c>
      <c r="D1641">
        <v>3562.808</v>
      </c>
    </row>
    <row r="1642" spans="1:4" x14ac:dyDescent="0.25">
      <c r="A1642" t="s">
        <v>4</v>
      </c>
      <c r="B1642" t="s">
        <v>7</v>
      </c>
      <c r="C1642">
        <v>100</v>
      </c>
      <c r="D1642">
        <v>3377.4630000000002</v>
      </c>
    </row>
    <row r="1643" spans="1:4" x14ac:dyDescent="0.25">
      <c r="A1643" t="s">
        <v>4</v>
      </c>
      <c r="B1643" t="s">
        <v>7</v>
      </c>
      <c r="C1643">
        <v>100</v>
      </c>
      <c r="D1643">
        <v>3400.6930000000002</v>
      </c>
    </row>
    <row r="1644" spans="1:4" x14ac:dyDescent="0.25">
      <c r="A1644" t="s">
        <v>4</v>
      </c>
      <c r="B1644" t="s">
        <v>7</v>
      </c>
      <c r="C1644">
        <v>100</v>
      </c>
      <c r="D1644">
        <v>3455.8139999999999</v>
      </c>
    </row>
    <row r="1645" spans="1:4" x14ac:dyDescent="0.25">
      <c r="A1645" t="s">
        <v>4</v>
      </c>
      <c r="B1645" t="s">
        <v>7</v>
      </c>
      <c r="C1645">
        <v>100</v>
      </c>
      <c r="D1645">
        <v>3493.663</v>
      </c>
    </row>
    <row r="1646" spans="1:4" x14ac:dyDescent="0.25">
      <c r="A1646" t="s">
        <v>4</v>
      </c>
      <c r="B1646" t="s">
        <v>7</v>
      </c>
      <c r="C1646">
        <v>100</v>
      </c>
      <c r="D1646">
        <v>3392.7750000000001</v>
      </c>
    </row>
    <row r="1647" spans="1:4" x14ac:dyDescent="0.25">
      <c r="A1647" t="s">
        <v>4</v>
      </c>
      <c r="B1647" t="s">
        <v>7</v>
      </c>
      <c r="C1647">
        <v>100</v>
      </c>
      <c r="D1647">
        <v>3544.2710000000002</v>
      </c>
    </row>
    <row r="1648" spans="1:4" x14ac:dyDescent="0.25">
      <c r="A1648" t="s">
        <v>4</v>
      </c>
      <c r="B1648" t="s">
        <v>7</v>
      </c>
      <c r="C1648">
        <v>100</v>
      </c>
      <c r="D1648">
        <v>3532.489</v>
      </c>
    </row>
    <row r="1649" spans="1:4" x14ac:dyDescent="0.25">
      <c r="A1649" t="s">
        <v>4</v>
      </c>
      <c r="B1649" t="s">
        <v>7</v>
      </c>
      <c r="C1649">
        <v>100</v>
      </c>
      <c r="D1649">
        <v>3458.8389999999999</v>
      </c>
    </row>
    <row r="1650" spans="1:4" x14ac:dyDescent="0.25">
      <c r="A1650" t="s">
        <v>4</v>
      </c>
      <c r="B1650" t="s">
        <v>7</v>
      </c>
      <c r="C1650">
        <v>100</v>
      </c>
      <c r="D1650">
        <v>3329.4780000000001</v>
      </c>
    </row>
    <row r="1651" spans="1:4" x14ac:dyDescent="0.25">
      <c r="A1651" t="s">
        <v>4</v>
      </c>
      <c r="B1651" t="s">
        <v>7</v>
      </c>
      <c r="C1651">
        <v>100</v>
      </c>
      <c r="D1651">
        <v>3398.5639999999999</v>
      </c>
    </row>
    <row r="1652" spans="1:4" x14ac:dyDescent="0.25">
      <c r="A1652" t="s">
        <v>4</v>
      </c>
      <c r="B1652" t="s">
        <v>7</v>
      </c>
      <c r="C1652">
        <v>100</v>
      </c>
      <c r="D1652">
        <v>3506.6590000000001</v>
      </c>
    </row>
    <row r="1653" spans="1:4" x14ac:dyDescent="0.25">
      <c r="A1653" t="s">
        <v>4</v>
      </c>
      <c r="B1653" t="s">
        <v>7</v>
      </c>
      <c r="C1653">
        <v>100</v>
      </c>
      <c r="D1653">
        <v>3300.8710000000001</v>
      </c>
    </row>
    <row r="1654" spans="1:4" x14ac:dyDescent="0.25">
      <c r="A1654" t="s">
        <v>4</v>
      </c>
      <c r="B1654" t="s">
        <v>7</v>
      </c>
      <c r="C1654">
        <v>100</v>
      </c>
      <c r="D1654">
        <v>3464.875</v>
      </c>
    </row>
    <row r="1655" spans="1:4" x14ac:dyDescent="0.25">
      <c r="A1655" t="s">
        <v>4</v>
      </c>
      <c r="B1655" t="s">
        <v>7</v>
      </c>
      <c r="C1655">
        <v>100</v>
      </c>
      <c r="D1655">
        <v>3517.5929999999998</v>
      </c>
    </row>
    <row r="1656" spans="1:4" x14ac:dyDescent="0.25">
      <c r="A1656" t="s">
        <v>4</v>
      </c>
      <c r="B1656" t="s">
        <v>7</v>
      </c>
      <c r="C1656">
        <v>100</v>
      </c>
      <c r="D1656">
        <v>3342.6909999999998</v>
      </c>
    </row>
    <row r="1657" spans="1:4" x14ac:dyDescent="0.25">
      <c r="A1657" t="s">
        <v>4</v>
      </c>
      <c r="B1657" t="s">
        <v>7</v>
      </c>
      <c r="C1657">
        <v>100</v>
      </c>
      <c r="D1657">
        <v>3461.2530000000002</v>
      </c>
    </row>
    <row r="1658" spans="1:4" x14ac:dyDescent="0.25">
      <c r="A1658" t="s">
        <v>4</v>
      </c>
      <c r="B1658" t="s">
        <v>7</v>
      </c>
      <c r="C1658">
        <v>100</v>
      </c>
      <c r="D1658">
        <v>3441.4079999999999</v>
      </c>
    </row>
    <row r="1659" spans="1:4" x14ac:dyDescent="0.25">
      <c r="A1659" t="s">
        <v>4</v>
      </c>
      <c r="B1659" t="s">
        <v>7</v>
      </c>
      <c r="C1659">
        <v>100</v>
      </c>
      <c r="D1659">
        <v>3398.7020000000002</v>
      </c>
    </row>
    <row r="1660" spans="1:4" x14ac:dyDescent="0.25">
      <c r="A1660" t="s">
        <v>4</v>
      </c>
      <c r="B1660" t="s">
        <v>7</v>
      </c>
      <c r="C1660">
        <v>100</v>
      </c>
      <c r="D1660">
        <v>3410.2869999999998</v>
      </c>
    </row>
    <row r="1661" spans="1:4" x14ac:dyDescent="0.25">
      <c r="A1661" t="s">
        <v>4</v>
      </c>
      <c r="B1661" t="s">
        <v>7</v>
      </c>
      <c r="C1661">
        <v>100</v>
      </c>
      <c r="D1661">
        <v>3446.4479999999999</v>
      </c>
    </row>
    <row r="1662" spans="1:4" x14ac:dyDescent="0.25">
      <c r="A1662" t="s">
        <v>4</v>
      </c>
      <c r="B1662" t="s">
        <v>7</v>
      </c>
      <c r="C1662">
        <v>100</v>
      </c>
      <c r="D1662">
        <v>3472.3890000000001</v>
      </c>
    </row>
    <row r="1663" spans="1:4" x14ac:dyDescent="0.25">
      <c r="A1663" t="s">
        <v>4</v>
      </c>
      <c r="B1663" t="s">
        <v>7</v>
      </c>
      <c r="C1663">
        <v>100</v>
      </c>
      <c r="D1663">
        <v>3387.1819999999998</v>
      </c>
    </row>
    <row r="1664" spans="1:4" x14ac:dyDescent="0.25">
      <c r="A1664" t="s">
        <v>4</v>
      </c>
      <c r="B1664" t="s">
        <v>7</v>
      </c>
      <c r="C1664">
        <v>100</v>
      </c>
      <c r="D1664">
        <v>3471.1750000000002</v>
      </c>
    </row>
    <row r="1665" spans="1:4" x14ac:dyDescent="0.25">
      <c r="A1665" t="s">
        <v>4</v>
      </c>
      <c r="B1665" t="s">
        <v>7</v>
      </c>
      <c r="C1665">
        <v>100</v>
      </c>
      <c r="D1665">
        <v>3427.9830000000002</v>
      </c>
    </row>
    <row r="1666" spans="1:4" x14ac:dyDescent="0.25">
      <c r="A1666" t="s">
        <v>4</v>
      </c>
      <c r="B1666" t="s">
        <v>7</v>
      </c>
      <c r="C1666">
        <v>100</v>
      </c>
      <c r="D1666">
        <v>3472.6179999999999</v>
      </c>
    </row>
    <row r="1667" spans="1:4" x14ac:dyDescent="0.25">
      <c r="A1667" t="s">
        <v>4</v>
      </c>
      <c r="B1667" t="s">
        <v>7</v>
      </c>
      <c r="C1667">
        <v>100</v>
      </c>
      <c r="D1667">
        <v>3388.7190000000001</v>
      </c>
    </row>
    <row r="1668" spans="1:4" x14ac:dyDescent="0.25">
      <c r="A1668" t="s">
        <v>4</v>
      </c>
      <c r="B1668" t="s">
        <v>7</v>
      </c>
      <c r="C1668">
        <v>100</v>
      </c>
      <c r="D1668">
        <v>3517.4409999999998</v>
      </c>
    </row>
    <row r="1669" spans="1:4" x14ac:dyDescent="0.25">
      <c r="A1669" t="s">
        <v>4</v>
      </c>
      <c r="B1669" t="s">
        <v>7</v>
      </c>
      <c r="C1669">
        <v>100</v>
      </c>
      <c r="D1669">
        <v>3500.1550000000002</v>
      </c>
    </row>
    <row r="1670" spans="1:4" x14ac:dyDescent="0.25">
      <c r="A1670" t="s">
        <v>4</v>
      </c>
      <c r="B1670" t="s">
        <v>7</v>
      </c>
      <c r="C1670">
        <v>100</v>
      </c>
      <c r="D1670">
        <v>3347.9630000000002</v>
      </c>
    </row>
    <row r="1671" spans="1:4" x14ac:dyDescent="0.25">
      <c r="A1671" t="s">
        <v>4</v>
      </c>
      <c r="B1671" t="s">
        <v>7</v>
      </c>
      <c r="C1671">
        <v>100</v>
      </c>
      <c r="D1671">
        <v>3422.404</v>
      </c>
    </row>
    <row r="1672" spans="1:4" x14ac:dyDescent="0.25">
      <c r="A1672" t="s">
        <v>4</v>
      </c>
      <c r="B1672" t="s">
        <v>7</v>
      </c>
      <c r="C1672">
        <v>100</v>
      </c>
      <c r="D1672">
        <v>3382.1570000000002</v>
      </c>
    </row>
    <row r="1673" spans="1:4" x14ac:dyDescent="0.25">
      <c r="A1673" t="s">
        <v>4</v>
      </c>
      <c r="B1673" t="s">
        <v>7</v>
      </c>
      <c r="C1673">
        <v>100</v>
      </c>
      <c r="D1673">
        <v>3429.9229999999998</v>
      </c>
    </row>
    <row r="1674" spans="1:4" x14ac:dyDescent="0.25">
      <c r="A1674" t="s">
        <v>4</v>
      </c>
      <c r="B1674" t="s">
        <v>7</v>
      </c>
      <c r="C1674">
        <v>100</v>
      </c>
      <c r="D1674">
        <v>3412.3560000000002</v>
      </c>
    </row>
    <row r="1675" spans="1:4" x14ac:dyDescent="0.25">
      <c r="A1675" t="s">
        <v>4</v>
      </c>
      <c r="B1675" t="s">
        <v>7</v>
      </c>
      <c r="C1675">
        <v>100</v>
      </c>
      <c r="D1675">
        <v>3463.8760000000002</v>
      </c>
    </row>
    <row r="1676" spans="1:4" x14ac:dyDescent="0.25">
      <c r="A1676" t="s">
        <v>4</v>
      </c>
      <c r="B1676" t="s">
        <v>7</v>
      </c>
      <c r="C1676">
        <v>100</v>
      </c>
      <c r="D1676">
        <v>3458.4839999999999</v>
      </c>
    </row>
    <row r="1677" spans="1:4" x14ac:dyDescent="0.25">
      <c r="A1677" t="s">
        <v>4</v>
      </c>
      <c r="B1677" t="s">
        <v>7</v>
      </c>
      <c r="C1677">
        <v>100</v>
      </c>
      <c r="D1677">
        <v>3456.8389999999999</v>
      </c>
    </row>
    <row r="1678" spans="1:4" x14ac:dyDescent="0.25">
      <c r="A1678" t="s">
        <v>4</v>
      </c>
      <c r="B1678" t="s">
        <v>7</v>
      </c>
      <c r="C1678">
        <v>100</v>
      </c>
      <c r="D1678">
        <v>3413.84</v>
      </c>
    </row>
    <row r="1679" spans="1:4" x14ac:dyDescent="0.25">
      <c r="A1679" t="s">
        <v>4</v>
      </c>
      <c r="B1679" t="s">
        <v>7</v>
      </c>
      <c r="C1679">
        <v>100</v>
      </c>
      <c r="D1679">
        <v>3405.83</v>
      </c>
    </row>
    <row r="1680" spans="1:4" x14ac:dyDescent="0.25">
      <c r="A1680" t="s">
        <v>4</v>
      </c>
      <c r="B1680" t="s">
        <v>7</v>
      </c>
      <c r="C1680">
        <v>100</v>
      </c>
      <c r="D1680">
        <v>3508.6030000000001</v>
      </c>
    </row>
    <row r="1681" spans="1:4" x14ac:dyDescent="0.25">
      <c r="A1681" t="s">
        <v>4</v>
      </c>
      <c r="B1681" t="s">
        <v>7</v>
      </c>
      <c r="C1681">
        <v>100</v>
      </c>
      <c r="D1681">
        <v>3514.3969999999999</v>
      </c>
    </row>
    <row r="1682" spans="1:4" x14ac:dyDescent="0.25">
      <c r="A1682" t="s">
        <v>4</v>
      </c>
      <c r="B1682" t="s">
        <v>7</v>
      </c>
      <c r="C1682">
        <v>100</v>
      </c>
      <c r="D1682">
        <v>3420.7159999999999</v>
      </c>
    </row>
    <row r="1683" spans="1:4" x14ac:dyDescent="0.25">
      <c r="A1683" t="s">
        <v>4</v>
      </c>
      <c r="B1683" t="s">
        <v>7</v>
      </c>
      <c r="C1683">
        <v>100</v>
      </c>
      <c r="D1683">
        <v>3518.5259999999998</v>
      </c>
    </row>
    <row r="1684" spans="1:4" x14ac:dyDescent="0.25">
      <c r="A1684" t="s">
        <v>4</v>
      </c>
      <c r="B1684" t="s">
        <v>7</v>
      </c>
      <c r="C1684">
        <v>100</v>
      </c>
      <c r="D1684">
        <v>3466.6660000000002</v>
      </c>
    </row>
    <row r="1685" spans="1:4" x14ac:dyDescent="0.25">
      <c r="A1685" t="s">
        <v>4</v>
      </c>
      <c r="B1685" t="s">
        <v>7</v>
      </c>
      <c r="C1685">
        <v>100</v>
      </c>
      <c r="D1685">
        <v>3476.0360000000001</v>
      </c>
    </row>
    <row r="1686" spans="1:4" x14ac:dyDescent="0.25">
      <c r="A1686" t="s">
        <v>4</v>
      </c>
      <c r="B1686" t="s">
        <v>7</v>
      </c>
      <c r="C1686">
        <v>100</v>
      </c>
      <c r="D1686">
        <v>3507.2779999999998</v>
      </c>
    </row>
    <row r="1687" spans="1:4" x14ac:dyDescent="0.25">
      <c r="A1687" t="s">
        <v>4</v>
      </c>
      <c r="B1687" t="s">
        <v>7</v>
      </c>
      <c r="C1687">
        <v>100</v>
      </c>
      <c r="D1687">
        <v>3401.8290000000002</v>
      </c>
    </row>
    <row r="1688" spans="1:4" x14ac:dyDescent="0.25">
      <c r="A1688" t="s">
        <v>4</v>
      </c>
      <c r="B1688" t="s">
        <v>7</v>
      </c>
      <c r="C1688">
        <v>100</v>
      </c>
      <c r="D1688">
        <v>3433.8029999999999</v>
      </c>
    </row>
    <row r="1689" spans="1:4" x14ac:dyDescent="0.25">
      <c r="A1689" t="s">
        <v>4</v>
      </c>
      <c r="B1689" t="s">
        <v>7</v>
      </c>
      <c r="C1689">
        <v>100</v>
      </c>
      <c r="D1689">
        <v>3335.3589999999999</v>
      </c>
    </row>
    <row r="1690" spans="1:4" x14ac:dyDescent="0.25">
      <c r="A1690" t="s">
        <v>4</v>
      </c>
      <c r="B1690" t="s">
        <v>7</v>
      </c>
      <c r="C1690">
        <v>100</v>
      </c>
      <c r="D1690">
        <v>3411.0450000000001</v>
      </c>
    </row>
    <row r="1691" spans="1:4" x14ac:dyDescent="0.25">
      <c r="A1691" t="s">
        <v>4</v>
      </c>
      <c r="B1691" t="s">
        <v>7</v>
      </c>
      <c r="C1691">
        <v>100</v>
      </c>
      <c r="D1691">
        <v>3499.7710000000002</v>
      </c>
    </row>
    <row r="1692" spans="1:4" x14ac:dyDescent="0.25">
      <c r="A1692" t="s">
        <v>4</v>
      </c>
      <c r="B1692" t="s">
        <v>7</v>
      </c>
      <c r="C1692">
        <v>100</v>
      </c>
      <c r="D1692">
        <v>3435.4639999999999</v>
      </c>
    </row>
    <row r="1693" spans="1:4" x14ac:dyDescent="0.25">
      <c r="A1693" t="s">
        <v>4</v>
      </c>
      <c r="B1693" t="s">
        <v>7</v>
      </c>
      <c r="C1693">
        <v>100</v>
      </c>
      <c r="D1693">
        <v>3403.3989999999999</v>
      </c>
    </row>
    <row r="1694" spans="1:4" x14ac:dyDescent="0.25">
      <c r="A1694" t="s">
        <v>4</v>
      </c>
      <c r="B1694" t="s">
        <v>7</v>
      </c>
      <c r="C1694">
        <v>100</v>
      </c>
      <c r="D1694">
        <v>3499.2060000000001</v>
      </c>
    </row>
    <row r="1695" spans="1:4" x14ac:dyDescent="0.25">
      <c r="A1695" t="s">
        <v>4</v>
      </c>
      <c r="B1695" t="s">
        <v>7</v>
      </c>
      <c r="C1695">
        <v>100</v>
      </c>
      <c r="D1695">
        <v>3523.8029999999999</v>
      </c>
    </row>
    <row r="1696" spans="1:4" x14ac:dyDescent="0.25">
      <c r="A1696" t="s">
        <v>4</v>
      </c>
      <c r="B1696" t="s">
        <v>7</v>
      </c>
      <c r="C1696">
        <v>100</v>
      </c>
      <c r="D1696">
        <v>3478.2449999999999</v>
      </c>
    </row>
    <row r="1697" spans="1:4" x14ac:dyDescent="0.25">
      <c r="A1697" t="s">
        <v>4</v>
      </c>
      <c r="B1697" t="s">
        <v>7</v>
      </c>
      <c r="C1697">
        <v>100</v>
      </c>
      <c r="D1697">
        <v>3461.7069999999999</v>
      </c>
    </row>
    <row r="1698" spans="1:4" x14ac:dyDescent="0.25">
      <c r="A1698" t="s">
        <v>4</v>
      </c>
      <c r="B1698" t="s">
        <v>7</v>
      </c>
      <c r="C1698">
        <v>100</v>
      </c>
      <c r="D1698">
        <v>3526.64</v>
      </c>
    </row>
    <row r="1699" spans="1:4" x14ac:dyDescent="0.25">
      <c r="A1699" t="s">
        <v>4</v>
      </c>
      <c r="B1699" t="s">
        <v>7</v>
      </c>
      <c r="C1699">
        <v>100</v>
      </c>
      <c r="D1699">
        <v>3517.308</v>
      </c>
    </row>
    <row r="1700" spans="1:4" x14ac:dyDescent="0.25">
      <c r="A1700" t="s">
        <v>4</v>
      </c>
      <c r="B1700" t="s">
        <v>7</v>
      </c>
      <c r="C1700">
        <v>100</v>
      </c>
      <c r="D1700">
        <v>3476.5239999999999</v>
      </c>
    </row>
    <row r="1701" spans="1:4" x14ac:dyDescent="0.25">
      <c r="A1701" t="s">
        <v>4</v>
      </c>
      <c r="B1701" t="s">
        <v>7</v>
      </c>
      <c r="C1701">
        <v>100</v>
      </c>
      <c r="D1701">
        <v>3419.2919999999999</v>
      </c>
    </row>
    <row r="1702" spans="1:4" x14ac:dyDescent="0.25">
      <c r="A1702" t="s">
        <v>4</v>
      </c>
      <c r="B1702" t="s">
        <v>7</v>
      </c>
      <c r="C1702">
        <v>120</v>
      </c>
      <c r="D1702">
        <v>4096.0929999999998</v>
      </c>
    </row>
    <row r="1703" spans="1:4" x14ac:dyDescent="0.25">
      <c r="A1703" t="s">
        <v>4</v>
      </c>
      <c r="B1703" t="s">
        <v>7</v>
      </c>
      <c r="C1703">
        <v>120</v>
      </c>
      <c r="D1703">
        <v>3984.415</v>
      </c>
    </row>
    <row r="1704" spans="1:4" x14ac:dyDescent="0.25">
      <c r="A1704" t="s">
        <v>4</v>
      </c>
      <c r="B1704" t="s">
        <v>7</v>
      </c>
      <c r="C1704">
        <v>120</v>
      </c>
      <c r="D1704">
        <v>4040.0949999999998</v>
      </c>
    </row>
    <row r="1705" spans="1:4" x14ac:dyDescent="0.25">
      <c r="A1705" t="s">
        <v>4</v>
      </c>
      <c r="B1705" t="s">
        <v>7</v>
      </c>
      <c r="C1705">
        <v>120</v>
      </c>
      <c r="D1705">
        <v>4080.1410000000001</v>
      </c>
    </row>
    <row r="1706" spans="1:4" x14ac:dyDescent="0.25">
      <c r="A1706" t="s">
        <v>4</v>
      </c>
      <c r="B1706" t="s">
        <v>7</v>
      </c>
      <c r="C1706">
        <v>120</v>
      </c>
      <c r="D1706">
        <v>3941.93</v>
      </c>
    </row>
    <row r="1707" spans="1:4" x14ac:dyDescent="0.25">
      <c r="A1707" t="s">
        <v>4</v>
      </c>
      <c r="B1707" t="s">
        <v>7</v>
      </c>
      <c r="C1707">
        <v>120</v>
      </c>
      <c r="D1707">
        <v>4124.3969999999999</v>
      </c>
    </row>
    <row r="1708" spans="1:4" x14ac:dyDescent="0.25">
      <c r="A1708" t="s">
        <v>4</v>
      </c>
      <c r="B1708" t="s">
        <v>7</v>
      </c>
      <c r="C1708">
        <v>120</v>
      </c>
      <c r="D1708">
        <v>3993.1909999999998</v>
      </c>
    </row>
    <row r="1709" spans="1:4" x14ac:dyDescent="0.25">
      <c r="A1709" t="s">
        <v>4</v>
      </c>
      <c r="B1709" t="s">
        <v>7</v>
      </c>
      <c r="C1709">
        <v>120</v>
      </c>
      <c r="D1709">
        <v>4080.4650000000001</v>
      </c>
    </row>
    <row r="1710" spans="1:4" x14ac:dyDescent="0.25">
      <c r="A1710" t="s">
        <v>4</v>
      </c>
      <c r="B1710" t="s">
        <v>7</v>
      </c>
      <c r="C1710">
        <v>120</v>
      </c>
      <c r="D1710">
        <v>4149.3549999999996</v>
      </c>
    </row>
    <row r="1711" spans="1:4" x14ac:dyDescent="0.25">
      <c r="A1711" t="s">
        <v>4</v>
      </c>
      <c r="B1711" t="s">
        <v>7</v>
      </c>
      <c r="C1711">
        <v>120</v>
      </c>
      <c r="D1711">
        <v>4098.9679999999998</v>
      </c>
    </row>
    <row r="1712" spans="1:4" x14ac:dyDescent="0.25">
      <c r="A1712" t="s">
        <v>4</v>
      </c>
      <c r="B1712" t="s">
        <v>7</v>
      </c>
      <c r="C1712">
        <v>120</v>
      </c>
      <c r="D1712">
        <v>3992.5369999999998</v>
      </c>
    </row>
    <row r="1713" spans="1:4" x14ac:dyDescent="0.25">
      <c r="A1713" t="s">
        <v>4</v>
      </c>
      <c r="B1713" t="s">
        <v>7</v>
      </c>
      <c r="C1713">
        <v>120</v>
      </c>
      <c r="D1713">
        <v>3973.6509999999998</v>
      </c>
    </row>
    <row r="1714" spans="1:4" x14ac:dyDescent="0.25">
      <c r="A1714" t="s">
        <v>4</v>
      </c>
      <c r="B1714" t="s">
        <v>7</v>
      </c>
      <c r="C1714">
        <v>120</v>
      </c>
      <c r="D1714">
        <v>3940.6680000000001</v>
      </c>
    </row>
    <row r="1715" spans="1:4" x14ac:dyDescent="0.25">
      <c r="A1715" t="s">
        <v>4</v>
      </c>
      <c r="B1715" t="s">
        <v>7</v>
      </c>
      <c r="C1715">
        <v>120</v>
      </c>
      <c r="D1715">
        <v>4148.5789999999997</v>
      </c>
    </row>
    <row r="1716" spans="1:4" x14ac:dyDescent="0.25">
      <c r="A1716" t="s">
        <v>4</v>
      </c>
      <c r="B1716" t="s">
        <v>7</v>
      </c>
      <c r="C1716">
        <v>120</v>
      </c>
      <c r="D1716">
        <v>4110.1540000000005</v>
      </c>
    </row>
    <row r="1717" spans="1:4" x14ac:dyDescent="0.25">
      <c r="A1717" t="s">
        <v>4</v>
      </c>
      <c r="B1717" t="s">
        <v>7</v>
      </c>
      <c r="C1717">
        <v>120</v>
      </c>
      <c r="D1717">
        <v>4003.6819999999998</v>
      </c>
    </row>
    <row r="1718" spans="1:4" x14ac:dyDescent="0.25">
      <c r="A1718" t="s">
        <v>4</v>
      </c>
      <c r="B1718" t="s">
        <v>7</v>
      </c>
      <c r="C1718">
        <v>120</v>
      </c>
      <c r="D1718">
        <v>4141.942</v>
      </c>
    </row>
    <row r="1719" spans="1:4" x14ac:dyDescent="0.25">
      <c r="A1719" t="s">
        <v>4</v>
      </c>
      <c r="B1719" t="s">
        <v>7</v>
      </c>
      <c r="C1719">
        <v>120</v>
      </c>
      <c r="D1719">
        <v>4052.7429999999999</v>
      </c>
    </row>
    <row r="1720" spans="1:4" x14ac:dyDescent="0.25">
      <c r="A1720" t="s">
        <v>4</v>
      </c>
      <c r="B1720" t="s">
        <v>7</v>
      </c>
      <c r="C1720">
        <v>120</v>
      </c>
      <c r="D1720">
        <v>4122.268</v>
      </c>
    </row>
    <row r="1721" spans="1:4" x14ac:dyDescent="0.25">
      <c r="A1721" t="s">
        <v>4</v>
      </c>
      <c r="B1721" t="s">
        <v>7</v>
      </c>
      <c r="C1721">
        <v>120</v>
      </c>
      <c r="D1721">
        <v>3958.8209999999999</v>
      </c>
    </row>
    <row r="1722" spans="1:4" x14ac:dyDescent="0.25">
      <c r="A1722" t="s">
        <v>4</v>
      </c>
      <c r="B1722" t="s">
        <v>7</v>
      </c>
      <c r="C1722">
        <v>120</v>
      </c>
      <c r="D1722">
        <v>3996.576</v>
      </c>
    </row>
    <row r="1723" spans="1:4" x14ac:dyDescent="0.25">
      <c r="A1723" t="s">
        <v>4</v>
      </c>
      <c r="B1723" t="s">
        <v>7</v>
      </c>
      <c r="C1723">
        <v>120</v>
      </c>
      <c r="D1723">
        <v>4073.2130000000002</v>
      </c>
    </row>
    <row r="1724" spans="1:4" x14ac:dyDescent="0.25">
      <c r="A1724" t="s">
        <v>4</v>
      </c>
      <c r="B1724" t="s">
        <v>7</v>
      </c>
      <c r="C1724">
        <v>120</v>
      </c>
      <c r="D1724">
        <v>4088.828</v>
      </c>
    </row>
    <row r="1725" spans="1:4" x14ac:dyDescent="0.25">
      <c r="A1725" t="s">
        <v>4</v>
      </c>
      <c r="B1725" t="s">
        <v>7</v>
      </c>
      <c r="C1725">
        <v>120</v>
      </c>
      <c r="D1725">
        <v>4010.9409999999998</v>
      </c>
    </row>
    <row r="1726" spans="1:4" x14ac:dyDescent="0.25">
      <c r="A1726" t="s">
        <v>4</v>
      </c>
      <c r="B1726" t="s">
        <v>7</v>
      </c>
      <c r="C1726">
        <v>120</v>
      </c>
      <c r="D1726">
        <v>4007.9380000000001</v>
      </c>
    </row>
    <row r="1727" spans="1:4" x14ac:dyDescent="0.25">
      <c r="A1727" t="s">
        <v>4</v>
      </c>
      <c r="B1727" t="s">
        <v>7</v>
      </c>
      <c r="C1727">
        <v>120</v>
      </c>
      <c r="D1727">
        <v>4113.442</v>
      </c>
    </row>
    <row r="1728" spans="1:4" x14ac:dyDescent="0.25">
      <c r="A1728" t="s">
        <v>4</v>
      </c>
      <c r="B1728" t="s">
        <v>7</v>
      </c>
      <c r="C1728">
        <v>120</v>
      </c>
      <c r="D1728">
        <v>4050.5990000000002</v>
      </c>
    </row>
    <row r="1729" spans="1:4" x14ac:dyDescent="0.25">
      <c r="A1729" t="s">
        <v>4</v>
      </c>
      <c r="B1729" t="s">
        <v>7</v>
      </c>
      <c r="C1729">
        <v>120</v>
      </c>
      <c r="D1729">
        <v>4211.6210000000001</v>
      </c>
    </row>
    <row r="1730" spans="1:4" x14ac:dyDescent="0.25">
      <c r="A1730" t="s">
        <v>4</v>
      </c>
      <c r="B1730" t="s">
        <v>7</v>
      </c>
      <c r="C1730">
        <v>120</v>
      </c>
      <c r="D1730">
        <v>3982.9879999999998</v>
      </c>
    </row>
    <row r="1731" spans="1:4" x14ac:dyDescent="0.25">
      <c r="A1731" t="s">
        <v>4</v>
      </c>
      <c r="B1731" t="s">
        <v>7</v>
      </c>
      <c r="C1731">
        <v>120</v>
      </c>
      <c r="D1731">
        <v>3906.5590000000002</v>
      </c>
    </row>
    <row r="1732" spans="1:4" x14ac:dyDescent="0.25">
      <c r="A1732" t="s">
        <v>4</v>
      </c>
      <c r="B1732" t="s">
        <v>7</v>
      </c>
      <c r="C1732">
        <v>120</v>
      </c>
      <c r="D1732">
        <v>4223.28</v>
      </c>
    </row>
    <row r="1733" spans="1:4" x14ac:dyDescent="0.25">
      <c r="A1733" t="s">
        <v>4</v>
      </c>
      <c r="B1733" t="s">
        <v>7</v>
      </c>
      <c r="C1733">
        <v>120</v>
      </c>
      <c r="D1733">
        <v>4010.3850000000002</v>
      </c>
    </row>
    <row r="1734" spans="1:4" x14ac:dyDescent="0.25">
      <c r="A1734" t="s">
        <v>4</v>
      </c>
      <c r="B1734" t="s">
        <v>7</v>
      </c>
      <c r="C1734">
        <v>120</v>
      </c>
      <c r="D1734">
        <v>4024.52</v>
      </c>
    </row>
    <row r="1735" spans="1:4" x14ac:dyDescent="0.25">
      <c r="A1735" t="s">
        <v>4</v>
      </c>
      <c r="B1735" t="s">
        <v>7</v>
      </c>
      <c r="C1735">
        <v>120</v>
      </c>
      <c r="D1735">
        <v>4051.33</v>
      </c>
    </row>
    <row r="1736" spans="1:4" x14ac:dyDescent="0.25">
      <c r="A1736" t="s">
        <v>4</v>
      </c>
      <c r="B1736" t="s">
        <v>7</v>
      </c>
      <c r="C1736">
        <v>120</v>
      </c>
      <c r="D1736">
        <v>4134.8490000000002</v>
      </c>
    </row>
    <row r="1737" spans="1:4" x14ac:dyDescent="0.25">
      <c r="A1737" t="s">
        <v>4</v>
      </c>
      <c r="B1737" t="s">
        <v>7</v>
      </c>
      <c r="C1737">
        <v>120</v>
      </c>
      <c r="D1737">
        <v>4108.4889999999996</v>
      </c>
    </row>
    <row r="1738" spans="1:4" x14ac:dyDescent="0.25">
      <c r="A1738" t="s">
        <v>4</v>
      </c>
      <c r="B1738" t="s">
        <v>7</v>
      </c>
      <c r="C1738">
        <v>120</v>
      </c>
      <c r="D1738">
        <v>3945.1860000000001</v>
      </c>
    </row>
    <row r="1739" spans="1:4" x14ac:dyDescent="0.25">
      <c r="A1739" t="s">
        <v>4</v>
      </c>
      <c r="B1739" t="s">
        <v>7</v>
      </c>
      <c r="C1739">
        <v>120</v>
      </c>
      <c r="D1739">
        <v>4068.1880000000001</v>
      </c>
    </row>
    <row r="1740" spans="1:4" x14ac:dyDescent="0.25">
      <c r="A1740" t="s">
        <v>4</v>
      </c>
      <c r="B1740" t="s">
        <v>7</v>
      </c>
      <c r="C1740">
        <v>120</v>
      </c>
      <c r="D1740">
        <v>4001.703</v>
      </c>
    </row>
    <row r="1741" spans="1:4" x14ac:dyDescent="0.25">
      <c r="A1741" t="s">
        <v>4</v>
      </c>
      <c r="B1741" t="s">
        <v>7</v>
      </c>
      <c r="C1741">
        <v>120</v>
      </c>
      <c r="D1741">
        <v>4312.8999999999996</v>
      </c>
    </row>
    <row r="1742" spans="1:4" x14ac:dyDescent="0.25">
      <c r="A1742" t="s">
        <v>4</v>
      </c>
      <c r="B1742" t="s">
        <v>7</v>
      </c>
      <c r="C1742">
        <v>120</v>
      </c>
      <c r="D1742">
        <v>3930.4409999999998</v>
      </c>
    </row>
    <row r="1743" spans="1:4" x14ac:dyDescent="0.25">
      <c r="A1743" t="s">
        <v>4</v>
      </c>
      <c r="B1743" t="s">
        <v>7</v>
      </c>
      <c r="C1743">
        <v>120</v>
      </c>
      <c r="D1743">
        <v>4008.8290000000002</v>
      </c>
    </row>
    <row r="1744" spans="1:4" x14ac:dyDescent="0.25">
      <c r="A1744" t="s">
        <v>4</v>
      </c>
      <c r="B1744" t="s">
        <v>7</v>
      </c>
      <c r="C1744">
        <v>120</v>
      </c>
      <c r="D1744">
        <v>4045.52</v>
      </c>
    </row>
    <row r="1745" spans="1:4" x14ac:dyDescent="0.25">
      <c r="A1745" t="s">
        <v>4</v>
      </c>
      <c r="B1745" t="s">
        <v>7</v>
      </c>
      <c r="C1745">
        <v>120</v>
      </c>
      <c r="D1745">
        <v>4065.3159999999998</v>
      </c>
    </row>
    <row r="1746" spans="1:4" x14ac:dyDescent="0.25">
      <c r="A1746" t="s">
        <v>4</v>
      </c>
      <c r="B1746" t="s">
        <v>7</v>
      </c>
      <c r="C1746">
        <v>120</v>
      </c>
      <c r="D1746">
        <v>3908.5509999999999</v>
      </c>
    </row>
    <row r="1747" spans="1:4" x14ac:dyDescent="0.25">
      <c r="A1747" t="s">
        <v>4</v>
      </c>
      <c r="B1747" t="s">
        <v>7</v>
      </c>
      <c r="C1747">
        <v>120</v>
      </c>
      <c r="D1747">
        <v>4105.8410000000003</v>
      </c>
    </row>
    <row r="1748" spans="1:4" x14ac:dyDescent="0.25">
      <c r="A1748" t="s">
        <v>4</v>
      </c>
      <c r="B1748" t="s">
        <v>7</v>
      </c>
      <c r="C1748">
        <v>120</v>
      </c>
      <c r="D1748">
        <v>4081.7829999999999</v>
      </c>
    </row>
    <row r="1749" spans="1:4" x14ac:dyDescent="0.25">
      <c r="A1749" t="s">
        <v>4</v>
      </c>
      <c r="B1749" t="s">
        <v>7</v>
      </c>
      <c r="C1749">
        <v>120</v>
      </c>
      <c r="D1749">
        <v>4014.3710000000001</v>
      </c>
    </row>
    <row r="1750" spans="1:4" x14ac:dyDescent="0.25">
      <c r="A1750" t="s">
        <v>4</v>
      </c>
      <c r="B1750" t="s">
        <v>7</v>
      </c>
      <c r="C1750">
        <v>120</v>
      </c>
      <c r="D1750">
        <v>4111.9780000000001</v>
      </c>
    </row>
    <row r="1751" spans="1:4" x14ac:dyDescent="0.25">
      <c r="A1751" t="s">
        <v>4</v>
      </c>
      <c r="B1751" t="s">
        <v>7</v>
      </c>
      <c r="C1751">
        <v>120</v>
      </c>
      <c r="D1751">
        <v>4144.5540000000001</v>
      </c>
    </row>
    <row r="1752" spans="1:4" x14ac:dyDescent="0.25">
      <c r="A1752" t="s">
        <v>4</v>
      </c>
      <c r="B1752" t="s">
        <v>7</v>
      </c>
      <c r="C1752">
        <v>120</v>
      </c>
      <c r="D1752">
        <v>4168.9380000000001</v>
      </c>
    </row>
    <row r="1753" spans="1:4" x14ac:dyDescent="0.25">
      <c r="A1753" t="s">
        <v>4</v>
      </c>
      <c r="B1753" t="s">
        <v>7</v>
      </c>
      <c r="C1753">
        <v>120</v>
      </c>
      <c r="D1753">
        <v>4219.1819999999998</v>
      </c>
    </row>
    <row r="1754" spans="1:4" x14ac:dyDescent="0.25">
      <c r="A1754" t="s">
        <v>4</v>
      </c>
      <c r="B1754" t="s">
        <v>7</v>
      </c>
      <c r="C1754">
        <v>120</v>
      </c>
      <c r="D1754">
        <v>3942.596</v>
      </c>
    </row>
    <row r="1755" spans="1:4" x14ac:dyDescent="0.25">
      <c r="A1755" t="s">
        <v>4</v>
      </c>
      <c r="B1755" t="s">
        <v>7</v>
      </c>
      <c r="C1755">
        <v>120</v>
      </c>
      <c r="D1755">
        <v>4130.9480000000003</v>
      </c>
    </row>
    <row r="1756" spans="1:4" x14ac:dyDescent="0.25">
      <c r="A1756" t="s">
        <v>4</v>
      </c>
      <c r="B1756" t="s">
        <v>7</v>
      </c>
      <c r="C1756">
        <v>120</v>
      </c>
      <c r="D1756">
        <v>4089.7069999999999</v>
      </c>
    </row>
    <row r="1757" spans="1:4" x14ac:dyDescent="0.25">
      <c r="A1757" t="s">
        <v>4</v>
      </c>
      <c r="B1757" t="s">
        <v>7</v>
      </c>
      <c r="C1757">
        <v>120</v>
      </c>
      <c r="D1757">
        <v>4118.5360000000001</v>
      </c>
    </row>
    <row r="1758" spans="1:4" x14ac:dyDescent="0.25">
      <c r="A1758" t="s">
        <v>4</v>
      </c>
      <c r="B1758" t="s">
        <v>7</v>
      </c>
      <c r="C1758">
        <v>120</v>
      </c>
      <c r="D1758">
        <v>4016.1170000000002</v>
      </c>
    </row>
    <row r="1759" spans="1:4" x14ac:dyDescent="0.25">
      <c r="A1759" t="s">
        <v>4</v>
      </c>
      <c r="B1759" t="s">
        <v>7</v>
      </c>
      <c r="C1759">
        <v>120</v>
      </c>
      <c r="D1759">
        <v>4018.0079999999998</v>
      </c>
    </row>
    <row r="1760" spans="1:4" x14ac:dyDescent="0.25">
      <c r="A1760" t="s">
        <v>4</v>
      </c>
      <c r="B1760" t="s">
        <v>7</v>
      </c>
      <c r="C1760">
        <v>120</v>
      </c>
      <c r="D1760">
        <v>3992.3780000000002</v>
      </c>
    </row>
    <row r="1761" spans="1:4" x14ac:dyDescent="0.25">
      <c r="A1761" t="s">
        <v>4</v>
      </c>
      <c r="B1761" t="s">
        <v>7</v>
      </c>
      <c r="C1761">
        <v>120</v>
      </c>
      <c r="D1761">
        <v>4142.5569999999998</v>
      </c>
    </row>
    <row r="1762" spans="1:4" x14ac:dyDescent="0.25">
      <c r="A1762" t="s">
        <v>4</v>
      </c>
      <c r="B1762" t="s">
        <v>7</v>
      </c>
      <c r="C1762">
        <v>120</v>
      </c>
      <c r="D1762">
        <v>3858.7959999999998</v>
      </c>
    </row>
    <row r="1763" spans="1:4" x14ac:dyDescent="0.25">
      <c r="A1763" t="s">
        <v>4</v>
      </c>
      <c r="B1763" t="s">
        <v>7</v>
      </c>
      <c r="C1763">
        <v>120</v>
      </c>
      <c r="D1763">
        <v>4090.3</v>
      </c>
    </row>
    <row r="1764" spans="1:4" x14ac:dyDescent="0.25">
      <c r="A1764" t="s">
        <v>4</v>
      </c>
      <c r="B1764" t="s">
        <v>7</v>
      </c>
      <c r="C1764">
        <v>120</v>
      </c>
      <c r="D1764">
        <v>4029.759</v>
      </c>
    </row>
    <row r="1765" spans="1:4" x14ac:dyDescent="0.25">
      <c r="A1765" t="s">
        <v>4</v>
      </c>
      <c r="B1765" t="s">
        <v>7</v>
      </c>
      <c r="C1765">
        <v>120</v>
      </c>
      <c r="D1765">
        <v>4001.221</v>
      </c>
    </row>
    <row r="1766" spans="1:4" x14ac:dyDescent="0.25">
      <c r="A1766" t="s">
        <v>4</v>
      </c>
      <c r="B1766" t="s">
        <v>7</v>
      </c>
      <c r="C1766">
        <v>120</v>
      </c>
      <c r="D1766">
        <v>4012.7559999999999</v>
      </c>
    </row>
    <row r="1767" spans="1:4" x14ac:dyDescent="0.25">
      <c r="A1767" t="s">
        <v>4</v>
      </c>
      <c r="B1767" t="s">
        <v>7</v>
      </c>
      <c r="C1767">
        <v>120</v>
      </c>
      <c r="D1767">
        <v>3915.8130000000001</v>
      </c>
    </row>
    <row r="1768" spans="1:4" x14ac:dyDescent="0.25">
      <c r="A1768" t="s">
        <v>4</v>
      </c>
      <c r="B1768" t="s">
        <v>7</v>
      </c>
      <c r="C1768">
        <v>120</v>
      </c>
      <c r="D1768">
        <v>4088.922</v>
      </c>
    </row>
    <row r="1769" spans="1:4" x14ac:dyDescent="0.25">
      <c r="A1769" t="s">
        <v>4</v>
      </c>
      <c r="B1769" t="s">
        <v>7</v>
      </c>
      <c r="C1769">
        <v>120</v>
      </c>
      <c r="D1769">
        <v>3927.66</v>
      </c>
    </row>
    <row r="1770" spans="1:4" x14ac:dyDescent="0.25">
      <c r="A1770" t="s">
        <v>4</v>
      </c>
      <c r="B1770" t="s">
        <v>7</v>
      </c>
      <c r="C1770">
        <v>120</v>
      </c>
      <c r="D1770">
        <v>3983.3820000000001</v>
      </c>
    </row>
    <row r="1771" spans="1:4" x14ac:dyDescent="0.25">
      <c r="A1771" t="s">
        <v>4</v>
      </c>
      <c r="B1771" t="s">
        <v>7</v>
      </c>
      <c r="C1771">
        <v>120</v>
      </c>
      <c r="D1771">
        <v>3999.0250000000001</v>
      </c>
    </row>
    <row r="1772" spans="1:4" x14ac:dyDescent="0.25">
      <c r="A1772" t="s">
        <v>4</v>
      </c>
      <c r="B1772" t="s">
        <v>7</v>
      </c>
      <c r="C1772">
        <v>120</v>
      </c>
      <c r="D1772">
        <v>4043.9279999999999</v>
      </c>
    </row>
    <row r="1773" spans="1:4" x14ac:dyDescent="0.25">
      <c r="A1773" t="s">
        <v>4</v>
      </c>
      <c r="B1773" t="s">
        <v>7</v>
      </c>
      <c r="C1773">
        <v>120</v>
      </c>
      <c r="D1773">
        <v>4005.6239999999998</v>
      </c>
    </row>
    <row r="1774" spans="1:4" x14ac:dyDescent="0.25">
      <c r="A1774" t="s">
        <v>4</v>
      </c>
      <c r="B1774" t="s">
        <v>7</v>
      </c>
      <c r="C1774">
        <v>120</v>
      </c>
      <c r="D1774">
        <v>4073.9960000000001</v>
      </c>
    </row>
    <row r="1775" spans="1:4" x14ac:dyDescent="0.25">
      <c r="A1775" t="s">
        <v>4</v>
      </c>
      <c r="B1775" t="s">
        <v>7</v>
      </c>
      <c r="C1775">
        <v>120</v>
      </c>
      <c r="D1775">
        <v>4121.1120000000001</v>
      </c>
    </row>
    <row r="1776" spans="1:4" x14ac:dyDescent="0.25">
      <c r="A1776" t="s">
        <v>4</v>
      </c>
      <c r="B1776" t="s">
        <v>7</v>
      </c>
      <c r="C1776">
        <v>120</v>
      </c>
      <c r="D1776">
        <v>4052.9290000000001</v>
      </c>
    </row>
    <row r="1777" spans="1:4" x14ac:dyDescent="0.25">
      <c r="A1777" t="s">
        <v>4</v>
      </c>
      <c r="B1777" t="s">
        <v>7</v>
      </c>
      <c r="C1777">
        <v>120</v>
      </c>
      <c r="D1777">
        <v>4002.373</v>
      </c>
    </row>
    <row r="1778" spans="1:4" x14ac:dyDescent="0.25">
      <c r="A1778" t="s">
        <v>4</v>
      </c>
      <c r="B1778" t="s">
        <v>7</v>
      </c>
      <c r="C1778">
        <v>120</v>
      </c>
      <c r="D1778">
        <v>4071.2579999999998</v>
      </c>
    </row>
    <row r="1779" spans="1:4" x14ac:dyDescent="0.25">
      <c r="A1779" t="s">
        <v>4</v>
      </c>
      <c r="B1779" t="s">
        <v>7</v>
      </c>
      <c r="C1779">
        <v>120</v>
      </c>
      <c r="D1779">
        <v>3968.9969999999998</v>
      </c>
    </row>
    <row r="1780" spans="1:4" x14ac:dyDescent="0.25">
      <c r="A1780" t="s">
        <v>4</v>
      </c>
      <c r="B1780" t="s">
        <v>7</v>
      </c>
      <c r="C1780">
        <v>120</v>
      </c>
      <c r="D1780">
        <v>4059.5720000000001</v>
      </c>
    </row>
    <row r="1781" spans="1:4" x14ac:dyDescent="0.25">
      <c r="A1781" t="s">
        <v>4</v>
      </c>
      <c r="B1781" t="s">
        <v>7</v>
      </c>
      <c r="C1781">
        <v>120</v>
      </c>
      <c r="D1781">
        <v>4029.2820000000002</v>
      </c>
    </row>
    <row r="1782" spans="1:4" x14ac:dyDescent="0.25">
      <c r="A1782" t="s">
        <v>4</v>
      </c>
      <c r="B1782" t="s">
        <v>7</v>
      </c>
      <c r="C1782">
        <v>120</v>
      </c>
      <c r="D1782">
        <v>4096.8990000000003</v>
      </c>
    </row>
    <row r="1783" spans="1:4" x14ac:dyDescent="0.25">
      <c r="A1783" t="s">
        <v>4</v>
      </c>
      <c r="B1783" t="s">
        <v>7</v>
      </c>
      <c r="C1783">
        <v>120</v>
      </c>
      <c r="D1783">
        <v>4151.9530000000004</v>
      </c>
    </row>
    <row r="1784" spans="1:4" x14ac:dyDescent="0.25">
      <c r="A1784" t="s">
        <v>4</v>
      </c>
      <c r="B1784" t="s">
        <v>7</v>
      </c>
      <c r="C1784">
        <v>120</v>
      </c>
      <c r="D1784">
        <v>4167.2430000000004</v>
      </c>
    </row>
    <row r="1785" spans="1:4" x14ac:dyDescent="0.25">
      <c r="A1785" t="s">
        <v>4</v>
      </c>
      <c r="B1785" t="s">
        <v>7</v>
      </c>
      <c r="C1785">
        <v>120</v>
      </c>
      <c r="D1785">
        <v>4163.5820000000003</v>
      </c>
    </row>
    <row r="1786" spans="1:4" x14ac:dyDescent="0.25">
      <c r="A1786" t="s">
        <v>4</v>
      </c>
      <c r="B1786" t="s">
        <v>7</v>
      </c>
      <c r="C1786">
        <v>120</v>
      </c>
      <c r="D1786">
        <v>3994.0790000000002</v>
      </c>
    </row>
    <row r="1787" spans="1:4" x14ac:dyDescent="0.25">
      <c r="A1787" t="s">
        <v>4</v>
      </c>
      <c r="B1787" t="s">
        <v>7</v>
      </c>
      <c r="C1787">
        <v>120</v>
      </c>
      <c r="D1787">
        <v>4028.183</v>
      </c>
    </row>
    <row r="1788" spans="1:4" x14ac:dyDescent="0.25">
      <c r="A1788" t="s">
        <v>4</v>
      </c>
      <c r="B1788" t="s">
        <v>7</v>
      </c>
      <c r="C1788">
        <v>120</v>
      </c>
      <c r="D1788">
        <v>4073.297</v>
      </c>
    </row>
    <row r="1789" spans="1:4" x14ac:dyDescent="0.25">
      <c r="A1789" t="s">
        <v>4</v>
      </c>
      <c r="B1789" t="s">
        <v>7</v>
      </c>
      <c r="C1789">
        <v>120</v>
      </c>
      <c r="D1789">
        <v>3886.3090000000002</v>
      </c>
    </row>
    <row r="1790" spans="1:4" x14ac:dyDescent="0.25">
      <c r="A1790" t="s">
        <v>4</v>
      </c>
      <c r="B1790" t="s">
        <v>7</v>
      </c>
      <c r="C1790">
        <v>120</v>
      </c>
      <c r="D1790">
        <v>3946.86</v>
      </c>
    </row>
    <row r="1791" spans="1:4" x14ac:dyDescent="0.25">
      <c r="A1791" t="s">
        <v>4</v>
      </c>
      <c r="B1791" t="s">
        <v>7</v>
      </c>
      <c r="C1791">
        <v>120</v>
      </c>
      <c r="D1791">
        <v>4168.2120000000004</v>
      </c>
    </row>
    <row r="1792" spans="1:4" x14ac:dyDescent="0.25">
      <c r="A1792" t="s">
        <v>4</v>
      </c>
      <c r="B1792" t="s">
        <v>7</v>
      </c>
      <c r="C1792">
        <v>120</v>
      </c>
      <c r="D1792">
        <v>4035.5680000000002</v>
      </c>
    </row>
    <row r="1793" spans="1:4" x14ac:dyDescent="0.25">
      <c r="A1793" t="s">
        <v>4</v>
      </c>
      <c r="B1793" t="s">
        <v>7</v>
      </c>
      <c r="C1793">
        <v>120</v>
      </c>
      <c r="D1793">
        <v>4159.4170000000004</v>
      </c>
    </row>
    <row r="1794" spans="1:4" x14ac:dyDescent="0.25">
      <c r="A1794" t="s">
        <v>4</v>
      </c>
      <c r="B1794" t="s">
        <v>7</v>
      </c>
      <c r="C1794">
        <v>120</v>
      </c>
      <c r="D1794">
        <v>3961.643</v>
      </c>
    </row>
    <row r="1795" spans="1:4" x14ac:dyDescent="0.25">
      <c r="A1795" t="s">
        <v>4</v>
      </c>
      <c r="B1795" t="s">
        <v>7</v>
      </c>
      <c r="C1795">
        <v>120</v>
      </c>
      <c r="D1795">
        <v>4153.8209999999999</v>
      </c>
    </row>
    <row r="1796" spans="1:4" x14ac:dyDescent="0.25">
      <c r="A1796" t="s">
        <v>4</v>
      </c>
      <c r="B1796" t="s">
        <v>7</v>
      </c>
      <c r="C1796">
        <v>120</v>
      </c>
      <c r="D1796">
        <v>4008.4850000000001</v>
      </c>
    </row>
    <row r="1797" spans="1:4" x14ac:dyDescent="0.25">
      <c r="A1797" t="s">
        <v>4</v>
      </c>
      <c r="B1797" t="s">
        <v>7</v>
      </c>
      <c r="C1797">
        <v>120</v>
      </c>
      <c r="D1797">
        <v>4094.2579999999998</v>
      </c>
    </row>
    <row r="1798" spans="1:4" x14ac:dyDescent="0.25">
      <c r="A1798" t="s">
        <v>4</v>
      </c>
      <c r="B1798" t="s">
        <v>7</v>
      </c>
      <c r="C1798">
        <v>120</v>
      </c>
      <c r="D1798">
        <v>4223.7820000000002</v>
      </c>
    </row>
    <row r="1799" spans="1:4" x14ac:dyDescent="0.25">
      <c r="A1799" t="s">
        <v>4</v>
      </c>
      <c r="B1799" t="s">
        <v>7</v>
      </c>
      <c r="C1799">
        <v>120</v>
      </c>
      <c r="D1799">
        <v>4070.9580000000001</v>
      </c>
    </row>
    <row r="1800" spans="1:4" x14ac:dyDescent="0.25">
      <c r="A1800" t="s">
        <v>4</v>
      </c>
      <c r="B1800" t="s">
        <v>7</v>
      </c>
      <c r="C1800">
        <v>120</v>
      </c>
      <c r="D1800">
        <v>4123.5950000000003</v>
      </c>
    </row>
    <row r="1801" spans="1:4" x14ac:dyDescent="0.25">
      <c r="A1801" t="s">
        <v>4</v>
      </c>
      <c r="B1801" t="s">
        <v>7</v>
      </c>
      <c r="C1801">
        <v>120</v>
      </c>
      <c r="D1801">
        <v>3979.7420000000002</v>
      </c>
    </row>
    <row r="1802" spans="1:4" x14ac:dyDescent="0.25">
      <c r="A1802" t="s">
        <v>8</v>
      </c>
      <c r="B1802" t="s">
        <v>6</v>
      </c>
      <c r="C1802">
        <v>20</v>
      </c>
      <c r="D1802">
        <v>316.36799999999999</v>
      </c>
    </row>
    <row r="1803" spans="1:4" x14ac:dyDescent="0.25">
      <c r="A1803" t="s">
        <v>8</v>
      </c>
      <c r="B1803" t="s">
        <v>6</v>
      </c>
      <c r="C1803">
        <v>20</v>
      </c>
      <c r="D1803">
        <v>314.36799999999999</v>
      </c>
    </row>
    <row r="1804" spans="1:4" x14ac:dyDescent="0.25">
      <c r="A1804" t="s">
        <v>8</v>
      </c>
      <c r="B1804" t="s">
        <v>6</v>
      </c>
      <c r="C1804">
        <v>20</v>
      </c>
      <c r="D1804">
        <v>315.36799999999999</v>
      </c>
    </row>
    <row r="1805" spans="1:4" x14ac:dyDescent="0.25">
      <c r="A1805" t="s">
        <v>8</v>
      </c>
      <c r="B1805" t="s">
        <v>6</v>
      </c>
      <c r="C1805">
        <v>20</v>
      </c>
      <c r="D1805">
        <v>314.36799999999999</v>
      </c>
    </row>
    <row r="1806" spans="1:4" x14ac:dyDescent="0.25">
      <c r="A1806" t="s">
        <v>8</v>
      </c>
      <c r="B1806" t="s">
        <v>6</v>
      </c>
      <c r="C1806">
        <v>20</v>
      </c>
      <c r="D1806">
        <v>315.36799999999999</v>
      </c>
    </row>
    <row r="1807" spans="1:4" x14ac:dyDescent="0.25">
      <c r="A1807" t="s">
        <v>8</v>
      </c>
      <c r="B1807" t="s">
        <v>6</v>
      </c>
      <c r="C1807">
        <v>20</v>
      </c>
      <c r="D1807">
        <v>313.36799999999999</v>
      </c>
    </row>
    <row r="1808" spans="1:4" x14ac:dyDescent="0.25">
      <c r="A1808" t="s">
        <v>8</v>
      </c>
      <c r="B1808" t="s">
        <v>6</v>
      </c>
      <c r="C1808">
        <v>20</v>
      </c>
      <c r="D1808">
        <v>315.36799999999999</v>
      </c>
    </row>
    <row r="1809" spans="1:4" x14ac:dyDescent="0.25">
      <c r="A1809" t="s">
        <v>8</v>
      </c>
      <c r="B1809" t="s">
        <v>6</v>
      </c>
      <c r="C1809">
        <v>20</v>
      </c>
      <c r="D1809">
        <v>314.36799999999999</v>
      </c>
    </row>
    <row r="1810" spans="1:4" x14ac:dyDescent="0.25">
      <c r="A1810" t="s">
        <v>8</v>
      </c>
      <c r="B1810" t="s">
        <v>6</v>
      </c>
      <c r="C1810">
        <v>20</v>
      </c>
      <c r="D1810">
        <v>317.36799999999999</v>
      </c>
    </row>
    <row r="1811" spans="1:4" x14ac:dyDescent="0.25">
      <c r="A1811" t="s">
        <v>8</v>
      </c>
      <c r="B1811" t="s">
        <v>6</v>
      </c>
      <c r="C1811">
        <v>20</v>
      </c>
      <c r="D1811">
        <v>314.36799999999999</v>
      </c>
    </row>
    <row r="1812" spans="1:4" x14ac:dyDescent="0.25">
      <c r="A1812" t="s">
        <v>8</v>
      </c>
      <c r="B1812" t="s">
        <v>6</v>
      </c>
      <c r="C1812">
        <v>20</v>
      </c>
      <c r="D1812">
        <v>316.36799999999999</v>
      </c>
    </row>
    <row r="1813" spans="1:4" x14ac:dyDescent="0.25">
      <c r="A1813" t="s">
        <v>8</v>
      </c>
      <c r="B1813" t="s">
        <v>6</v>
      </c>
      <c r="C1813">
        <v>20</v>
      </c>
      <c r="D1813">
        <v>314.36799999999999</v>
      </c>
    </row>
    <row r="1814" spans="1:4" x14ac:dyDescent="0.25">
      <c r="A1814" t="s">
        <v>8</v>
      </c>
      <c r="B1814" t="s">
        <v>6</v>
      </c>
      <c r="C1814">
        <v>20</v>
      </c>
      <c r="D1814">
        <v>313.36799999999999</v>
      </c>
    </row>
    <row r="1815" spans="1:4" x14ac:dyDescent="0.25">
      <c r="A1815" t="s">
        <v>8</v>
      </c>
      <c r="B1815" t="s">
        <v>6</v>
      </c>
      <c r="C1815">
        <v>20</v>
      </c>
      <c r="D1815">
        <v>314.36799999999999</v>
      </c>
    </row>
    <row r="1816" spans="1:4" x14ac:dyDescent="0.25">
      <c r="A1816" t="s">
        <v>8</v>
      </c>
      <c r="B1816" t="s">
        <v>6</v>
      </c>
      <c r="C1816">
        <v>20</v>
      </c>
      <c r="D1816">
        <v>317.36799999999999</v>
      </c>
    </row>
    <row r="1817" spans="1:4" x14ac:dyDescent="0.25">
      <c r="A1817" t="s">
        <v>8</v>
      </c>
      <c r="B1817" t="s">
        <v>6</v>
      </c>
      <c r="C1817">
        <v>20</v>
      </c>
      <c r="D1817">
        <v>316.36799999999999</v>
      </c>
    </row>
    <row r="1818" spans="1:4" x14ac:dyDescent="0.25">
      <c r="A1818" t="s">
        <v>8</v>
      </c>
      <c r="B1818" t="s">
        <v>6</v>
      </c>
      <c r="C1818">
        <v>20</v>
      </c>
      <c r="D1818">
        <v>314.36799999999999</v>
      </c>
    </row>
    <row r="1819" spans="1:4" x14ac:dyDescent="0.25">
      <c r="A1819" t="s">
        <v>8</v>
      </c>
      <c r="B1819" t="s">
        <v>6</v>
      </c>
      <c r="C1819">
        <v>20</v>
      </c>
      <c r="D1819">
        <v>314.36799999999999</v>
      </c>
    </row>
    <row r="1820" spans="1:4" x14ac:dyDescent="0.25">
      <c r="A1820" t="s">
        <v>8</v>
      </c>
      <c r="B1820" t="s">
        <v>6</v>
      </c>
      <c r="C1820">
        <v>20</v>
      </c>
      <c r="D1820">
        <v>313.36799999999999</v>
      </c>
    </row>
    <row r="1821" spans="1:4" x14ac:dyDescent="0.25">
      <c r="A1821" t="s">
        <v>8</v>
      </c>
      <c r="B1821" t="s">
        <v>6</v>
      </c>
      <c r="C1821">
        <v>20</v>
      </c>
      <c r="D1821">
        <v>313.36799999999999</v>
      </c>
    </row>
    <row r="1822" spans="1:4" x14ac:dyDescent="0.25">
      <c r="A1822" t="s">
        <v>8</v>
      </c>
      <c r="B1822" t="s">
        <v>6</v>
      </c>
      <c r="C1822">
        <v>20</v>
      </c>
      <c r="D1822">
        <v>314.36799999999999</v>
      </c>
    </row>
    <row r="1823" spans="1:4" x14ac:dyDescent="0.25">
      <c r="A1823" t="s">
        <v>8</v>
      </c>
      <c r="B1823" t="s">
        <v>6</v>
      </c>
      <c r="C1823">
        <v>20</v>
      </c>
      <c r="D1823">
        <v>315.36799999999999</v>
      </c>
    </row>
    <row r="1824" spans="1:4" x14ac:dyDescent="0.25">
      <c r="A1824" t="s">
        <v>8</v>
      </c>
      <c r="B1824" t="s">
        <v>6</v>
      </c>
      <c r="C1824">
        <v>20</v>
      </c>
      <c r="D1824">
        <v>314.36799999999999</v>
      </c>
    </row>
    <row r="1825" spans="1:4" x14ac:dyDescent="0.25">
      <c r="A1825" t="s">
        <v>8</v>
      </c>
      <c r="B1825" t="s">
        <v>6</v>
      </c>
      <c r="C1825">
        <v>20</v>
      </c>
      <c r="D1825">
        <v>313.36799999999999</v>
      </c>
    </row>
    <row r="1826" spans="1:4" x14ac:dyDescent="0.25">
      <c r="A1826" t="s">
        <v>8</v>
      </c>
      <c r="B1826" t="s">
        <v>6</v>
      </c>
      <c r="C1826">
        <v>20</v>
      </c>
      <c r="D1826">
        <v>315.36799999999999</v>
      </c>
    </row>
    <row r="1827" spans="1:4" x14ac:dyDescent="0.25">
      <c r="A1827" t="s">
        <v>8</v>
      </c>
      <c r="B1827" t="s">
        <v>6</v>
      </c>
      <c r="C1827">
        <v>20</v>
      </c>
      <c r="D1827">
        <v>316.36799999999999</v>
      </c>
    </row>
    <row r="1828" spans="1:4" x14ac:dyDescent="0.25">
      <c r="A1828" t="s">
        <v>8</v>
      </c>
      <c r="B1828" t="s">
        <v>6</v>
      </c>
      <c r="C1828">
        <v>20</v>
      </c>
      <c r="D1828">
        <v>315.36799999999999</v>
      </c>
    </row>
    <row r="1829" spans="1:4" x14ac:dyDescent="0.25">
      <c r="A1829" t="s">
        <v>8</v>
      </c>
      <c r="B1829" t="s">
        <v>6</v>
      </c>
      <c r="C1829">
        <v>20</v>
      </c>
      <c r="D1829">
        <v>317.36799999999999</v>
      </c>
    </row>
    <row r="1830" spans="1:4" x14ac:dyDescent="0.25">
      <c r="A1830" t="s">
        <v>8</v>
      </c>
      <c r="B1830" t="s">
        <v>6</v>
      </c>
      <c r="C1830">
        <v>20</v>
      </c>
      <c r="D1830">
        <v>314.36799999999999</v>
      </c>
    </row>
    <row r="1831" spans="1:4" x14ac:dyDescent="0.25">
      <c r="A1831" t="s">
        <v>8</v>
      </c>
      <c r="B1831" t="s">
        <v>6</v>
      </c>
      <c r="C1831">
        <v>20</v>
      </c>
      <c r="D1831">
        <v>313.36799999999999</v>
      </c>
    </row>
    <row r="1832" spans="1:4" x14ac:dyDescent="0.25">
      <c r="A1832" t="s">
        <v>8</v>
      </c>
      <c r="B1832" t="s">
        <v>6</v>
      </c>
      <c r="C1832">
        <v>20</v>
      </c>
      <c r="D1832">
        <v>313.36799999999999</v>
      </c>
    </row>
    <row r="1833" spans="1:4" x14ac:dyDescent="0.25">
      <c r="A1833" t="s">
        <v>8</v>
      </c>
      <c r="B1833" t="s">
        <v>6</v>
      </c>
      <c r="C1833">
        <v>20</v>
      </c>
      <c r="D1833">
        <v>314.36799999999999</v>
      </c>
    </row>
    <row r="1834" spans="1:4" x14ac:dyDescent="0.25">
      <c r="A1834" t="s">
        <v>8</v>
      </c>
      <c r="B1834" t="s">
        <v>6</v>
      </c>
      <c r="C1834">
        <v>20</v>
      </c>
      <c r="D1834">
        <v>314.36799999999999</v>
      </c>
    </row>
    <row r="1835" spans="1:4" x14ac:dyDescent="0.25">
      <c r="A1835" t="s">
        <v>8</v>
      </c>
      <c r="B1835" t="s">
        <v>6</v>
      </c>
      <c r="C1835">
        <v>20</v>
      </c>
      <c r="D1835">
        <v>316.36799999999999</v>
      </c>
    </row>
    <row r="1836" spans="1:4" x14ac:dyDescent="0.25">
      <c r="A1836" t="s">
        <v>8</v>
      </c>
      <c r="B1836" t="s">
        <v>6</v>
      </c>
      <c r="C1836">
        <v>20</v>
      </c>
      <c r="D1836">
        <v>314.36799999999999</v>
      </c>
    </row>
    <row r="1837" spans="1:4" x14ac:dyDescent="0.25">
      <c r="A1837" t="s">
        <v>8</v>
      </c>
      <c r="B1837" t="s">
        <v>6</v>
      </c>
      <c r="C1837">
        <v>20</v>
      </c>
      <c r="D1837">
        <v>315.36799999999999</v>
      </c>
    </row>
    <row r="1838" spans="1:4" x14ac:dyDescent="0.25">
      <c r="A1838" t="s">
        <v>8</v>
      </c>
      <c r="B1838" t="s">
        <v>6</v>
      </c>
      <c r="C1838">
        <v>20</v>
      </c>
      <c r="D1838">
        <v>313.36799999999999</v>
      </c>
    </row>
    <row r="1839" spans="1:4" x14ac:dyDescent="0.25">
      <c r="A1839" t="s">
        <v>8</v>
      </c>
      <c r="B1839" t="s">
        <v>6</v>
      </c>
      <c r="C1839">
        <v>20</v>
      </c>
      <c r="D1839">
        <v>316.36799999999999</v>
      </c>
    </row>
    <row r="1840" spans="1:4" x14ac:dyDescent="0.25">
      <c r="A1840" t="s">
        <v>8</v>
      </c>
      <c r="B1840" t="s">
        <v>6</v>
      </c>
      <c r="C1840">
        <v>20</v>
      </c>
      <c r="D1840">
        <v>314.36799999999999</v>
      </c>
    </row>
    <row r="1841" spans="1:4" x14ac:dyDescent="0.25">
      <c r="A1841" t="s">
        <v>8</v>
      </c>
      <c r="B1841" t="s">
        <v>6</v>
      </c>
      <c r="C1841">
        <v>20</v>
      </c>
      <c r="D1841">
        <v>314.36799999999999</v>
      </c>
    </row>
    <row r="1842" spans="1:4" x14ac:dyDescent="0.25">
      <c r="A1842" t="s">
        <v>8</v>
      </c>
      <c r="B1842" t="s">
        <v>6</v>
      </c>
      <c r="C1842">
        <v>20</v>
      </c>
      <c r="D1842">
        <v>315.36799999999999</v>
      </c>
    </row>
    <row r="1843" spans="1:4" x14ac:dyDescent="0.25">
      <c r="A1843" t="s">
        <v>8</v>
      </c>
      <c r="B1843" t="s">
        <v>6</v>
      </c>
      <c r="C1843">
        <v>20</v>
      </c>
      <c r="D1843">
        <v>316.36799999999999</v>
      </c>
    </row>
    <row r="1844" spans="1:4" x14ac:dyDescent="0.25">
      <c r="A1844" t="s">
        <v>8</v>
      </c>
      <c r="B1844" t="s">
        <v>6</v>
      </c>
      <c r="C1844">
        <v>20</v>
      </c>
      <c r="D1844">
        <v>314.36799999999999</v>
      </c>
    </row>
    <row r="1845" spans="1:4" x14ac:dyDescent="0.25">
      <c r="A1845" t="s">
        <v>8</v>
      </c>
      <c r="B1845" t="s">
        <v>6</v>
      </c>
      <c r="C1845">
        <v>20</v>
      </c>
      <c r="D1845">
        <v>314.36799999999999</v>
      </c>
    </row>
    <row r="1846" spans="1:4" x14ac:dyDescent="0.25">
      <c r="A1846" t="s">
        <v>8</v>
      </c>
      <c r="B1846" t="s">
        <v>6</v>
      </c>
      <c r="C1846">
        <v>20</v>
      </c>
      <c r="D1846">
        <v>317.36799999999999</v>
      </c>
    </row>
    <row r="1847" spans="1:4" x14ac:dyDescent="0.25">
      <c r="A1847" t="s">
        <v>8</v>
      </c>
      <c r="B1847" t="s">
        <v>6</v>
      </c>
      <c r="C1847">
        <v>20</v>
      </c>
      <c r="D1847">
        <v>318.36799999999999</v>
      </c>
    </row>
    <row r="1848" spans="1:4" x14ac:dyDescent="0.25">
      <c r="A1848" t="s">
        <v>8</v>
      </c>
      <c r="B1848" t="s">
        <v>6</v>
      </c>
      <c r="C1848">
        <v>20</v>
      </c>
      <c r="D1848">
        <v>313.36799999999999</v>
      </c>
    </row>
    <row r="1849" spans="1:4" x14ac:dyDescent="0.25">
      <c r="A1849" t="s">
        <v>8</v>
      </c>
      <c r="B1849" t="s">
        <v>6</v>
      </c>
      <c r="C1849">
        <v>20</v>
      </c>
      <c r="D1849">
        <v>316.36799999999999</v>
      </c>
    </row>
    <row r="1850" spans="1:4" x14ac:dyDescent="0.25">
      <c r="A1850" t="s">
        <v>8</v>
      </c>
      <c r="B1850" t="s">
        <v>6</v>
      </c>
      <c r="C1850">
        <v>20</v>
      </c>
      <c r="D1850">
        <v>315.36799999999999</v>
      </c>
    </row>
    <row r="1851" spans="1:4" x14ac:dyDescent="0.25">
      <c r="A1851" t="s">
        <v>8</v>
      </c>
      <c r="B1851" t="s">
        <v>6</v>
      </c>
      <c r="C1851">
        <v>20</v>
      </c>
      <c r="D1851">
        <v>314.36799999999999</v>
      </c>
    </row>
    <row r="1852" spans="1:4" x14ac:dyDescent="0.25">
      <c r="A1852" t="s">
        <v>8</v>
      </c>
      <c r="B1852" t="s">
        <v>6</v>
      </c>
      <c r="C1852">
        <v>20</v>
      </c>
      <c r="D1852">
        <v>314.36799999999999</v>
      </c>
    </row>
    <row r="1853" spans="1:4" x14ac:dyDescent="0.25">
      <c r="A1853" t="s">
        <v>8</v>
      </c>
      <c r="B1853" t="s">
        <v>6</v>
      </c>
      <c r="C1853">
        <v>20</v>
      </c>
      <c r="D1853">
        <v>316.36799999999999</v>
      </c>
    </row>
    <row r="1854" spans="1:4" x14ac:dyDescent="0.25">
      <c r="A1854" t="s">
        <v>8</v>
      </c>
      <c r="B1854" t="s">
        <v>6</v>
      </c>
      <c r="C1854">
        <v>20</v>
      </c>
      <c r="D1854">
        <v>313.36799999999999</v>
      </c>
    </row>
    <row r="1855" spans="1:4" x14ac:dyDescent="0.25">
      <c r="A1855" t="s">
        <v>8</v>
      </c>
      <c r="B1855" t="s">
        <v>6</v>
      </c>
      <c r="C1855">
        <v>20</v>
      </c>
      <c r="D1855">
        <v>315.36799999999999</v>
      </c>
    </row>
    <row r="1856" spans="1:4" x14ac:dyDescent="0.25">
      <c r="A1856" t="s">
        <v>8</v>
      </c>
      <c r="B1856" t="s">
        <v>6</v>
      </c>
      <c r="C1856">
        <v>20</v>
      </c>
      <c r="D1856">
        <v>314.36799999999999</v>
      </c>
    </row>
    <row r="1857" spans="1:4" x14ac:dyDescent="0.25">
      <c r="A1857" t="s">
        <v>8</v>
      </c>
      <c r="B1857" t="s">
        <v>6</v>
      </c>
      <c r="C1857">
        <v>20</v>
      </c>
      <c r="D1857">
        <v>312.36799999999999</v>
      </c>
    </row>
    <row r="1858" spans="1:4" x14ac:dyDescent="0.25">
      <c r="A1858" t="s">
        <v>8</v>
      </c>
      <c r="B1858" t="s">
        <v>6</v>
      </c>
      <c r="C1858">
        <v>20</v>
      </c>
      <c r="D1858">
        <v>317.36799999999999</v>
      </c>
    </row>
    <row r="1859" spans="1:4" x14ac:dyDescent="0.25">
      <c r="A1859" t="s">
        <v>8</v>
      </c>
      <c r="B1859" t="s">
        <v>6</v>
      </c>
      <c r="C1859">
        <v>20</v>
      </c>
      <c r="D1859">
        <v>315.36799999999999</v>
      </c>
    </row>
    <row r="1860" spans="1:4" x14ac:dyDescent="0.25">
      <c r="A1860" t="s">
        <v>8</v>
      </c>
      <c r="B1860" t="s">
        <v>6</v>
      </c>
      <c r="C1860">
        <v>20</v>
      </c>
      <c r="D1860">
        <v>316.36799999999999</v>
      </c>
    </row>
    <row r="1861" spans="1:4" x14ac:dyDescent="0.25">
      <c r="A1861" t="s">
        <v>8</v>
      </c>
      <c r="B1861" t="s">
        <v>6</v>
      </c>
      <c r="C1861">
        <v>20</v>
      </c>
      <c r="D1861">
        <v>315.36799999999999</v>
      </c>
    </row>
    <row r="1862" spans="1:4" x14ac:dyDescent="0.25">
      <c r="A1862" t="s">
        <v>8</v>
      </c>
      <c r="B1862" t="s">
        <v>6</v>
      </c>
      <c r="C1862">
        <v>20</v>
      </c>
      <c r="D1862">
        <v>314.36799999999999</v>
      </c>
    </row>
    <row r="1863" spans="1:4" x14ac:dyDescent="0.25">
      <c r="A1863" t="s">
        <v>8</v>
      </c>
      <c r="B1863" t="s">
        <v>6</v>
      </c>
      <c r="C1863">
        <v>20</v>
      </c>
      <c r="D1863">
        <v>314.36799999999999</v>
      </c>
    </row>
    <row r="1864" spans="1:4" x14ac:dyDescent="0.25">
      <c r="A1864" t="s">
        <v>8</v>
      </c>
      <c r="B1864" t="s">
        <v>6</v>
      </c>
      <c r="C1864">
        <v>20</v>
      </c>
      <c r="D1864">
        <v>318.36799999999999</v>
      </c>
    </row>
    <row r="1865" spans="1:4" x14ac:dyDescent="0.25">
      <c r="A1865" t="s">
        <v>8</v>
      </c>
      <c r="B1865" t="s">
        <v>6</v>
      </c>
      <c r="C1865">
        <v>20</v>
      </c>
      <c r="D1865">
        <v>313.36799999999999</v>
      </c>
    </row>
    <row r="1866" spans="1:4" x14ac:dyDescent="0.25">
      <c r="A1866" t="s">
        <v>8</v>
      </c>
      <c r="B1866" t="s">
        <v>6</v>
      </c>
      <c r="C1866">
        <v>20</v>
      </c>
      <c r="D1866">
        <v>314.36799999999999</v>
      </c>
    </row>
    <row r="1867" spans="1:4" x14ac:dyDescent="0.25">
      <c r="A1867" t="s">
        <v>8</v>
      </c>
      <c r="B1867" t="s">
        <v>6</v>
      </c>
      <c r="C1867">
        <v>20</v>
      </c>
      <c r="D1867">
        <v>315.36799999999999</v>
      </c>
    </row>
    <row r="1868" spans="1:4" x14ac:dyDescent="0.25">
      <c r="A1868" t="s">
        <v>8</v>
      </c>
      <c r="B1868" t="s">
        <v>6</v>
      </c>
      <c r="C1868">
        <v>20</v>
      </c>
      <c r="D1868">
        <v>314.36799999999999</v>
      </c>
    </row>
    <row r="1869" spans="1:4" x14ac:dyDescent="0.25">
      <c r="A1869" t="s">
        <v>8</v>
      </c>
      <c r="B1869" t="s">
        <v>6</v>
      </c>
      <c r="C1869">
        <v>20</v>
      </c>
      <c r="D1869">
        <v>312.36799999999999</v>
      </c>
    </row>
    <row r="1870" spans="1:4" x14ac:dyDescent="0.25">
      <c r="A1870" t="s">
        <v>8</v>
      </c>
      <c r="B1870" t="s">
        <v>6</v>
      </c>
      <c r="C1870">
        <v>20</v>
      </c>
      <c r="D1870">
        <v>314.36799999999999</v>
      </c>
    </row>
    <row r="1871" spans="1:4" x14ac:dyDescent="0.25">
      <c r="A1871" t="s">
        <v>8</v>
      </c>
      <c r="B1871" t="s">
        <v>6</v>
      </c>
      <c r="C1871">
        <v>20</v>
      </c>
      <c r="D1871">
        <v>316.36799999999999</v>
      </c>
    </row>
    <row r="1872" spans="1:4" x14ac:dyDescent="0.25">
      <c r="A1872" t="s">
        <v>8</v>
      </c>
      <c r="B1872" t="s">
        <v>6</v>
      </c>
      <c r="C1872">
        <v>20</v>
      </c>
      <c r="D1872">
        <v>314.36799999999999</v>
      </c>
    </row>
    <row r="1873" spans="1:4" x14ac:dyDescent="0.25">
      <c r="A1873" t="s">
        <v>8</v>
      </c>
      <c r="B1873" t="s">
        <v>6</v>
      </c>
      <c r="C1873">
        <v>20</v>
      </c>
      <c r="D1873">
        <v>312.36799999999999</v>
      </c>
    </row>
    <row r="1874" spans="1:4" x14ac:dyDescent="0.25">
      <c r="A1874" t="s">
        <v>8</v>
      </c>
      <c r="B1874" t="s">
        <v>6</v>
      </c>
      <c r="C1874">
        <v>20</v>
      </c>
      <c r="D1874">
        <v>317.36799999999999</v>
      </c>
    </row>
    <row r="1875" spans="1:4" x14ac:dyDescent="0.25">
      <c r="A1875" t="s">
        <v>8</v>
      </c>
      <c r="B1875" t="s">
        <v>6</v>
      </c>
      <c r="C1875">
        <v>20</v>
      </c>
      <c r="D1875">
        <v>317.36799999999999</v>
      </c>
    </row>
    <row r="1876" spans="1:4" x14ac:dyDescent="0.25">
      <c r="A1876" t="s">
        <v>8</v>
      </c>
      <c r="B1876" t="s">
        <v>6</v>
      </c>
      <c r="C1876">
        <v>20</v>
      </c>
      <c r="D1876">
        <v>316.36799999999999</v>
      </c>
    </row>
    <row r="1877" spans="1:4" x14ac:dyDescent="0.25">
      <c r="A1877" t="s">
        <v>8</v>
      </c>
      <c r="B1877" t="s">
        <v>6</v>
      </c>
      <c r="C1877">
        <v>20</v>
      </c>
      <c r="D1877">
        <v>315.36799999999999</v>
      </c>
    </row>
    <row r="1878" spans="1:4" x14ac:dyDescent="0.25">
      <c r="A1878" t="s">
        <v>8</v>
      </c>
      <c r="B1878" t="s">
        <v>6</v>
      </c>
      <c r="C1878">
        <v>20</v>
      </c>
      <c r="D1878">
        <v>318.36799999999999</v>
      </c>
    </row>
    <row r="1879" spans="1:4" x14ac:dyDescent="0.25">
      <c r="A1879" t="s">
        <v>8</v>
      </c>
      <c r="B1879" t="s">
        <v>6</v>
      </c>
      <c r="C1879">
        <v>20</v>
      </c>
      <c r="D1879">
        <v>314.36799999999999</v>
      </c>
    </row>
    <row r="1880" spans="1:4" x14ac:dyDescent="0.25">
      <c r="A1880" t="s">
        <v>8</v>
      </c>
      <c r="B1880" t="s">
        <v>6</v>
      </c>
      <c r="C1880">
        <v>20</v>
      </c>
      <c r="D1880">
        <v>315.36799999999999</v>
      </c>
    </row>
    <row r="1881" spans="1:4" x14ac:dyDescent="0.25">
      <c r="A1881" t="s">
        <v>8</v>
      </c>
      <c r="B1881" t="s">
        <v>6</v>
      </c>
      <c r="C1881">
        <v>20</v>
      </c>
      <c r="D1881">
        <v>317.36799999999999</v>
      </c>
    </row>
    <row r="1882" spans="1:4" x14ac:dyDescent="0.25">
      <c r="A1882" t="s">
        <v>8</v>
      </c>
      <c r="B1882" t="s">
        <v>6</v>
      </c>
      <c r="C1882">
        <v>20</v>
      </c>
      <c r="D1882">
        <v>316.36799999999999</v>
      </c>
    </row>
    <row r="1883" spans="1:4" x14ac:dyDescent="0.25">
      <c r="A1883" t="s">
        <v>8</v>
      </c>
      <c r="B1883" t="s">
        <v>6</v>
      </c>
      <c r="C1883">
        <v>20</v>
      </c>
      <c r="D1883">
        <v>313.36799999999999</v>
      </c>
    </row>
    <row r="1884" spans="1:4" x14ac:dyDescent="0.25">
      <c r="A1884" t="s">
        <v>8</v>
      </c>
      <c r="B1884" t="s">
        <v>6</v>
      </c>
      <c r="C1884">
        <v>20</v>
      </c>
      <c r="D1884">
        <v>316.36799999999999</v>
      </c>
    </row>
    <row r="1885" spans="1:4" x14ac:dyDescent="0.25">
      <c r="A1885" t="s">
        <v>8</v>
      </c>
      <c r="B1885" t="s">
        <v>6</v>
      </c>
      <c r="C1885">
        <v>20</v>
      </c>
      <c r="D1885">
        <v>316.36799999999999</v>
      </c>
    </row>
    <row r="1886" spans="1:4" x14ac:dyDescent="0.25">
      <c r="A1886" t="s">
        <v>8</v>
      </c>
      <c r="B1886" t="s">
        <v>6</v>
      </c>
      <c r="C1886">
        <v>20</v>
      </c>
      <c r="D1886">
        <v>314.36799999999999</v>
      </c>
    </row>
    <row r="1887" spans="1:4" x14ac:dyDescent="0.25">
      <c r="A1887" t="s">
        <v>8</v>
      </c>
      <c r="B1887" t="s">
        <v>6</v>
      </c>
      <c r="C1887">
        <v>20</v>
      </c>
      <c r="D1887">
        <v>311.36799999999999</v>
      </c>
    </row>
    <row r="1888" spans="1:4" x14ac:dyDescent="0.25">
      <c r="A1888" t="s">
        <v>8</v>
      </c>
      <c r="B1888" t="s">
        <v>6</v>
      </c>
      <c r="C1888">
        <v>20</v>
      </c>
      <c r="D1888">
        <v>313.36799999999999</v>
      </c>
    </row>
    <row r="1889" spans="1:4" x14ac:dyDescent="0.25">
      <c r="A1889" t="s">
        <v>8</v>
      </c>
      <c r="B1889" t="s">
        <v>6</v>
      </c>
      <c r="C1889">
        <v>20</v>
      </c>
      <c r="D1889">
        <v>314.36799999999999</v>
      </c>
    </row>
    <row r="1890" spans="1:4" x14ac:dyDescent="0.25">
      <c r="A1890" t="s">
        <v>8</v>
      </c>
      <c r="B1890" t="s">
        <v>6</v>
      </c>
      <c r="C1890">
        <v>20</v>
      </c>
      <c r="D1890">
        <v>316.36799999999999</v>
      </c>
    </row>
    <row r="1891" spans="1:4" x14ac:dyDescent="0.25">
      <c r="A1891" t="s">
        <v>8</v>
      </c>
      <c r="B1891" t="s">
        <v>6</v>
      </c>
      <c r="C1891">
        <v>20</v>
      </c>
      <c r="D1891">
        <v>314.36799999999999</v>
      </c>
    </row>
    <row r="1892" spans="1:4" x14ac:dyDescent="0.25">
      <c r="A1892" t="s">
        <v>8</v>
      </c>
      <c r="B1892" t="s">
        <v>6</v>
      </c>
      <c r="C1892">
        <v>20</v>
      </c>
      <c r="D1892">
        <v>316.36799999999999</v>
      </c>
    </row>
    <row r="1893" spans="1:4" x14ac:dyDescent="0.25">
      <c r="A1893" t="s">
        <v>8</v>
      </c>
      <c r="B1893" t="s">
        <v>6</v>
      </c>
      <c r="C1893">
        <v>20</v>
      </c>
      <c r="D1893">
        <v>315.36799999999999</v>
      </c>
    </row>
    <row r="1894" spans="1:4" x14ac:dyDescent="0.25">
      <c r="A1894" t="s">
        <v>8</v>
      </c>
      <c r="B1894" t="s">
        <v>6</v>
      </c>
      <c r="C1894">
        <v>20</v>
      </c>
      <c r="D1894">
        <v>317.36799999999999</v>
      </c>
    </row>
    <row r="1895" spans="1:4" x14ac:dyDescent="0.25">
      <c r="A1895" t="s">
        <v>8</v>
      </c>
      <c r="B1895" t="s">
        <v>6</v>
      </c>
      <c r="C1895">
        <v>20</v>
      </c>
      <c r="D1895">
        <v>317.36799999999999</v>
      </c>
    </row>
    <row r="1896" spans="1:4" x14ac:dyDescent="0.25">
      <c r="A1896" t="s">
        <v>8</v>
      </c>
      <c r="B1896" t="s">
        <v>6</v>
      </c>
      <c r="C1896">
        <v>20</v>
      </c>
      <c r="D1896">
        <v>317.36799999999999</v>
      </c>
    </row>
    <row r="1897" spans="1:4" x14ac:dyDescent="0.25">
      <c r="A1897" t="s">
        <v>8</v>
      </c>
      <c r="B1897" t="s">
        <v>6</v>
      </c>
      <c r="C1897">
        <v>20</v>
      </c>
      <c r="D1897">
        <v>316.36799999999999</v>
      </c>
    </row>
    <row r="1898" spans="1:4" x14ac:dyDescent="0.25">
      <c r="A1898" t="s">
        <v>8</v>
      </c>
      <c r="B1898" t="s">
        <v>6</v>
      </c>
      <c r="C1898">
        <v>20</v>
      </c>
      <c r="D1898">
        <v>318.36799999999999</v>
      </c>
    </row>
    <row r="1899" spans="1:4" x14ac:dyDescent="0.25">
      <c r="A1899" t="s">
        <v>8</v>
      </c>
      <c r="B1899" t="s">
        <v>6</v>
      </c>
      <c r="C1899">
        <v>20</v>
      </c>
      <c r="D1899">
        <v>311.36799999999999</v>
      </c>
    </row>
    <row r="1900" spans="1:4" x14ac:dyDescent="0.25">
      <c r="A1900" t="s">
        <v>8</v>
      </c>
      <c r="B1900" t="s">
        <v>6</v>
      </c>
      <c r="C1900">
        <v>20</v>
      </c>
      <c r="D1900">
        <v>316.36799999999999</v>
      </c>
    </row>
    <row r="1901" spans="1:4" x14ac:dyDescent="0.25">
      <c r="A1901" t="s">
        <v>8</v>
      </c>
      <c r="B1901" t="s">
        <v>6</v>
      </c>
      <c r="C1901">
        <v>20</v>
      </c>
      <c r="D1901">
        <v>312.36799999999999</v>
      </c>
    </row>
    <row r="1902" spans="1:4" x14ac:dyDescent="0.25">
      <c r="A1902" t="s">
        <v>8</v>
      </c>
      <c r="B1902" t="s">
        <v>6</v>
      </c>
      <c r="C1902">
        <v>40</v>
      </c>
      <c r="D1902">
        <v>514.41</v>
      </c>
    </row>
    <row r="1903" spans="1:4" x14ac:dyDescent="0.25">
      <c r="A1903" t="s">
        <v>8</v>
      </c>
      <c r="B1903" t="s">
        <v>6</v>
      </c>
      <c r="C1903">
        <v>40</v>
      </c>
      <c r="D1903">
        <v>510.66500000000002</v>
      </c>
    </row>
    <row r="1904" spans="1:4" x14ac:dyDescent="0.25">
      <c r="A1904" t="s">
        <v>8</v>
      </c>
      <c r="B1904" t="s">
        <v>6</v>
      </c>
      <c r="C1904">
        <v>40</v>
      </c>
      <c r="D1904">
        <v>499.75400000000002</v>
      </c>
    </row>
    <row r="1905" spans="1:4" x14ac:dyDescent="0.25">
      <c r="A1905" t="s">
        <v>8</v>
      </c>
      <c r="B1905" t="s">
        <v>6</v>
      </c>
      <c r="C1905">
        <v>40</v>
      </c>
      <c r="D1905">
        <v>512.53099999999995</v>
      </c>
    </row>
    <row r="1906" spans="1:4" x14ac:dyDescent="0.25">
      <c r="A1906" t="s">
        <v>8</v>
      </c>
      <c r="B1906" t="s">
        <v>6</v>
      </c>
      <c r="C1906">
        <v>40</v>
      </c>
      <c r="D1906">
        <v>510.82299999999998</v>
      </c>
    </row>
    <row r="1907" spans="1:4" x14ac:dyDescent="0.25">
      <c r="A1907" t="s">
        <v>8</v>
      </c>
      <c r="B1907" t="s">
        <v>6</v>
      </c>
      <c r="C1907">
        <v>40</v>
      </c>
      <c r="D1907">
        <v>504.435</v>
      </c>
    </row>
    <row r="1908" spans="1:4" x14ac:dyDescent="0.25">
      <c r="A1908" t="s">
        <v>8</v>
      </c>
      <c r="B1908" t="s">
        <v>6</v>
      </c>
      <c r="C1908">
        <v>40</v>
      </c>
      <c r="D1908">
        <v>506.53100000000001</v>
      </c>
    </row>
    <row r="1909" spans="1:4" x14ac:dyDescent="0.25">
      <c r="A1909" t="s">
        <v>8</v>
      </c>
      <c r="B1909" t="s">
        <v>6</v>
      </c>
      <c r="C1909">
        <v>40</v>
      </c>
      <c r="D1909">
        <v>519.20399999999995</v>
      </c>
    </row>
    <row r="1910" spans="1:4" x14ac:dyDescent="0.25">
      <c r="A1910" t="s">
        <v>8</v>
      </c>
      <c r="B1910" t="s">
        <v>6</v>
      </c>
      <c r="C1910">
        <v>40</v>
      </c>
      <c r="D1910">
        <v>508.52499999999998</v>
      </c>
    </row>
    <row r="1911" spans="1:4" x14ac:dyDescent="0.25">
      <c r="A1911" t="s">
        <v>8</v>
      </c>
      <c r="B1911" t="s">
        <v>6</v>
      </c>
      <c r="C1911">
        <v>40</v>
      </c>
      <c r="D1911">
        <v>514.04200000000003</v>
      </c>
    </row>
    <row r="1912" spans="1:4" x14ac:dyDescent="0.25">
      <c r="A1912" t="s">
        <v>8</v>
      </c>
      <c r="B1912" t="s">
        <v>6</v>
      </c>
      <c r="C1912">
        <v>40</v>
      </c>
      <c r="D1912">
        <v>530.59699999999998</v>
      </c>
    </row>
    <row r="1913" spans="1:4" x14ac:dyDescent="0.25">
      <c r="A1913" t="s">
        <v>8</v>
      </c>
      <c r="B1913" t="s">
        <v>6</v>
      </c>
      <c r="C1913">
        <v>40</v>
      </c>
      <c r="D1913">
        <v>509.65199999999999</v>
      </c>
    </row>
    <row r="1914" spans="1:4" x14ac:dyDescent="0.25">
      <c r="A1914" t="s">
        <v>8</v>
      </c>
      <c r="B1914" t="s">
        <v>6</v>
      </c>
      <c r="C1914">
        <v>40</v>
      </c>
      <c r="D1914">
        <v>510.86700000000002</v>
      </c>
    </row>
    <row r="1915" spans="1:4" x14ac:dyDescent="0.25">
      <c r="A1915" t="s">
        <v>8</v>
      </c>
      <c r="B1915" t="s">
        <v>6</v>
      </c>
      <c r="C1915">
        <v>40</v>
      </c>
      <c r="D1915">
        <v>509.642</v>
      </c>
    </row>
    <row r="1916" spans="1:4" x14ac:dyDescent="0.25">
      <c r="A1916" t="s">
        <v>8</v>
      </c>
      <c r="B1916" t="s">
        <v>6</v>
      </c>
      <c r="C1916">
        <v>40</v>
      </c>
      <c r="D1916">
        <v>518.88400000000001</v>
      </c>
    </row>
    <row r="1917" spans="1:4" x14ac:dyDescent="0.25">
      <c r="A1917" t="s">
        <v>8</v>
      </c>
      <c r="B1917" t="s">
        <v>6</v>
      </c>
      <c r="C1917">
        <v>40</v>
      </c>
      <c r="D1917">
        <v>502.28399999999999</v>
      </c>
    </row>
    <row r="1918" spans="1:4" x14ac:dyDescent="0.25">
      <c r="A1918" t="s">
        <v>8</v>
      </c>
      <c r="B1918" t="s">
        <v>6</v>
      </c>
      <c r="C1918">
        <v>40</v>
      </c>
      <c r="D1918">
        <v>518.83500000000004</v>
      </c>
    </row>
    <row r="1919" spans="1:4" x14ac:dyDescent="0.25">
      <c r="A1919" t="s">
        <v>8</v>
      </c>
      <c r="B1919" t="s">
        <v>6</v>
      </c>
      <c r="C1919">
        <v>40</v>
      </c>
      <c r="D1919">
        <v>506.71699999999998</v>
      </c>
    </row>
    <row r="1920" spans="1:4" x14ac:dyDescent="0.25">
      <c r="A1920" t="s">
        <v>8</v>
      </c>
      <c r="B1920" t="s">
        <v>6</v>
      </c>
      <c r="C1920">
        <v>40</v>
      </c>
      <c r="D1920">
        <v>499.90800000000002</v>
      </c>
    </row>
    <row r="1921" spans="1:4" x14ac:dyDescent="0.25">
      <c r="A1921" t="s">
        <v>8</v>
      </c>
      <c r="B1921" t="s">
        <v>6</v>
      </c>
      <c r="C1921">
        <v>40</v>
      </c>
      <c r="D1921">
        <v>520.62800000000004</v>
      </c>
    </row>
    <row r="1922" spans="1:4" x14ac:dyDescent="0.25">
      <c r="A1922" t="s">
        <v>8</v>
      </c>
      <c r="B1922" t="s">
        <v>6</v>
      </c>
      <c r="C1922">
        <v>40</v>
      </c>
      <c r="D1922">
        <v>505.18299999999999</v>
      </c>
    </row>
    <row r="1923" spans="1:4" x14ac:dyDescent="0.25">
      <c r="A1923" t="s">
        <v>8</v>
      </c>
      <c r="B1923" t="s">
        <v>6</v>
      </c>
      <c r="C1923">
        <v>40</v>
      </c>
      <c r="D1923">
        <v>507.99200000000002</v>
      </c>
    </row>
    <row r="1924" spans="1:4" x14ac:dyDescent="0.25">
      <c r="A1924" t="s">
        <v>8</v>
      </c>
      <c r="B1924" t="s">
        <v>6</v>
      </c>
      <c r="C1924">
        <v>40</v>
      </c>
      <c r="D1924">
        <v>510.42200000000003</v>
      </c>
    </row>
    <row r="1925" spans="1:4" x14ac:dyDescent="0.25">
      <c r="A1925" t="s">
        <v>8</v>
      </c>
      <c r="B1925" t="s">
        <v>6</v>
      </c>
      <c r="C1925">
        <v>40</v>
      </c>
      <c r="D1925">
        <v>520.58900000000006</v>
      </c>
    </row>
    <row r="1926" spans="1:4" x14ac:dyDescent="0.25">
      <c r="A1926" t="s">
        <v>8</v>
      </c>
      <c r="B1926" t="s">
        <v>6</v>
      </c>
      <c r="C1926">
        <v>40</v>
      </c>
      <c r="D1926">
        <v>524.25</v>
      </c>
    </row>
    <row r="1927" spans="1:4" x14ac:dyDescent="0.25">
      <c r="A1927" t="s">
        <v>8</v>
      </c>
      <c r="B1927" t="s">
        <v>6</v>
      </c>
      <c r="C1927">
        <v>40</v>
      </c>
      <c r="D1927">
        <v>519.82000000000005</v>
      </c>
    </row>
    <row r="1928" spans="1:4" x14ac:dyDescent="0.25">
      <c r="A1928" t="s">
        <v>8</v>
      </c>
      <c r="B1928" t="s">
        <v>6</v>
      </c>
      <c r="C1928">
        <v>40</v>
      </c>
      <c r="D1928">
        <v>514.65200000000004</v>
      </c>
    </row>
    <row r="1929" spans="1:4" x14ac:dyDescent="0.25">
      <c r="A1929" t="s">
        <v>8</v>
      </c>
      <c r="B1929" t="s">
        <v>6</v>
      </c>
      <c r="C1929">
        <v>40</v>
      </c>
      <c r="D1929">
        <v>511.03500000000003</v>
      </c>
    </row>
    <row r="1930" spans="1:4" x14ac:dyDescent="0.25">
      <c r="A1930" t="s">
        <v>8</v>
      </c>
      <c r="B1930" t="s">
        <v>6</v>
      </c>
      <c r="C1930">
        <v>40</v>
      </c>
      <c r="D1930">
        <v>523.41499999999996</v>
      </c>
    </row>
    <row r="1931" spans="1:4" x14ac:dyDescent="0.25">
      <c r="A1931" t="s">
        <v>8</v>
      </c>
      <c r="B1931" t="s">
        <v>6</v>
      </c>
      <c r="C1931">
        <v>40</v>
      </c>
      <c r="D1931">
        <v>500.221</v>
      </c>
    </row>
    <row r="1932" spans="1:4" x14ac:dyDescent="0.25">
      <c r="A1932" t="s">
        <v>8</v>
      </c>
      <c r="B1932" t="s">
        <v>6</v>
      </c>
      <c r="C1932">
        <v>40</v>
      </c>
      <c r="D1932">
        <v>513.54600000000005</v>
      </c>
    </row>
    <row r="1933" spans="1:4" x14ac:dyDescent="0.25">
      <c r="A1933" t="s">
        <v>8</v>
      </c>
      <c r="B1933" t="s">
        <v>6</v>
      </c>
      <c r="C1933">
        <v>40</v>
      </c>
      <c r="D1933">
        <v>508.44200000000001</v>
      </c>
    </row>
    <row r="1934" spans="1:4" x14ac:dyDescent="0.25">
      <c r="A1934" t="s">
        <v>8</v>
      </c>
      <c r="B1934" t="s">
        <v>6</v>
      </c>
      <c r="C1934">
        <v>40</v>
      </c>
      <c r="D1934">
        <v>514.50199999999995</v>
      </c>
    </row>
    <row r="1935" spans="1:4" x14ac:dyDescent="0.25">
      <c r="A1935" t="s">
        <v>8</v>
      </c>
      <c r="B1935" t="s">
        <v>6</v>
      </c>
      <c r="C1935">
        <v>40</v>
      </c>
      <c r="D1935">
        <v>506.78300000000002</v>
      </c>
    </row>
    <row r="1936" spans="1:4" x14ac:dyDescent="0.25">
      <c r="A1936" t="s">
        <v>8</v>
      </c>
      <c r="B1936" t="s">
        <v>6</v>
      </c>
      <c r="C1936">
        <v>40</v>
      </c>
      <c r="D1936">
        <v>512.01300000000003</v>
      </c>
    </row>
    <row r="1937" spans="1:4" x14ac:dyDescent="0.25">
      <c r="A1937" t="s">
        <v>8</v>
      </c>
      <c r="B1937" t="s">
        <v>6</v>
      </c>
      <c r="C1937">
        <v>40</v>
      </c>
      <c r="D1937">
        <v>505.19900000000001</v>
      </c>
    </row>
    <row r="1938" spans="1:4" x14ac:dyDescent="0.25">
      <c r="A1938" t="s">
        <v>8</v>
      </c>
      <c r="B1938" t="s">
        <v>6</v>
      </c>
      <c r="C1938">
        <v>40</v>
      </c>
      <c r="D1938">
        <v>509.79399999999998</v>
      </c>
    </row>
    <row r="1939" spans="1:4" x14ac:dyDescent="0.25">
      <c r="A1939" t="s">
        <v>8</v>
      </c>
      <c r="B1939" t="s">
        <v>6</v>
      </c>
      <c r="C1939">
        <v>40</v>
      </c>
      <c r="D1939">
        <v>509.94400000000002</v>
      </c>
    </row>
    <row r="1940" spans="1:4" x14ac:dyDescent="0.25">
      <c r="A1940" t="s">
        <v>8</v>
      </c>
      <c r="B1940" t="s">
        <v>6</v>
      </c>
      <c r="C1940">
        <v>40</v>
      </c>
      <c r="D1940">
        <v>511.887</v>
      </c>
    </row>
    <row r="1941" spans="1:4" x14ac:dyDescent="0.25">
      <c r="A1941" t="s">
        <v>8</v>
      </c>
      <c r="B1941" t="s">
        <v>6</v>
      </c>
      <c r="C1941">
        <v>40</v>
      </c>
      <c r="D1941">
        <v>512.17100000000005</v>
      </c>
    </row>
    <row r="1942" spans="1:4" x14ac:dyDescent="0.25">
      <c r="A1942" t="s">
        <v>8</v>
      </c>
      <c r="B1942" t="s">
        <v>6</v>
      </c>
      <c r="C1942">
        <v>40</v>
      </c>
      <c r="D1942">
        <v>509.04</v>
      </c>
    </row>
    <row r="1943" spans="1:4" x14ac:dyDescent="0.25">
      <c r="A1943" t="s">
        <v>8</v>
      </c>
      <c r="B1943" t="s">
        <v>6</v>
      </c>
      <c r="C1943">
        <v>40</v>
      </c>
      <c r="D1943">
        <v>510.50299999999999</v>
      </c>
    </row>
    <row r="1944" spans="1:4" x14ac:dyDescent="0.25">
      <c r="A1944" t="s">
        <v>8</v>
      </c>
      <c r="B1944" t="s">
        <v>6</v>
      </c>
      <c r="C1944">
        <v>40</v>
      </c>
      <c r="D1944">
        <v>498.44799999999998</v>
      </c>
    </row>
    <row r="1945" spans="1:4" x14ac:dyDescent="0.25">
      <c r="A1945" t="s">
        <v>8</v>
      </c>
      <c r="B1945" t="s">
        <v>6</v>
      </c>
      <c r="C1945">
        <v>40</v>
      </c>
      <c r="D1945">
        <v>513.09</v>
      </c>
    </row>
    <row r="1946" spans="1:4" x14ac:dyDescent="0.25">
      <c r="A1946" t="s">
        <v>8</v>
      </c>
      <c r="B1946" t="s">
        <v>6</v>
      </c>
      <c r="C1946">
        <v>40</v>
      </c>
      <c r="D1946">
        <v>512.88300000000004</v>
      </c>
    </row>
    <row r="1947" spans="1:4" x14ac:dyDescent="0.25">
      <c r="A1947" t="s">
        <v>8</v>
      </c>
      <c r="B1947" t="s">
        <v>6</v>
      </c>
      <c r="C1947">
        <v>40</v>
      </c>
      <c r="D1947">
        <v>503.57600000000002</v>
      </c>
    </row>
    <row r="1948" spans="1:4" x14ac:dyDescent="0.25">
      <c r="A1948" t="s">
        <v>8</v>
      </c>
      <c r="B1948" t="s">
        <v>6</v>
      </c>
      <c r="C1948">
        <v>40</v>
      </c>
      <c r="D1948">
        <v>513.827</v>
      </c>
    </row>
    <row r="1949" spans="1:4" x14ac:dyDescent="0.25">
      <c r="A1949" t="s">
        <v>8</v>
      </c>
      <c r="B1949" t="s">
        <v>6</v>
      </c>
      <c r="C1949">
        <v>40</v>
      </c>
      <c r="D1949">
        <v>520.27</v>
      </c>
    </row>
    <row r="1950" spans="1:4" x14ac:dyDescent="0.25">
      <c r="A1950" t="s">
        <v>8</v>
      </c>
      <c r="B1950" t="s">
        <v>6</v>
      </c>
      <c r="C1950">
        <v>40</v>
      </c>
      <c r="D1950">
        <v>507.78699999999998</v>
      </c>
    </row>
    <row r="1951" spans="1:4" x14ac:dyDescent="0.25">
      <c r="A1951" t="s">
        <v>8</v>
      </c>
      <c r="B1951" t="s">
        <v>6</v>
      </c>
      <c r="C1951">
        <v>40</v>
      </c>
      <c r="D1951">
        <v>503.34</v>
      </c>
    </row>
    <row r="1952" spans="1:4" x14ac:dyDescent="0.25">
      <c r="A1952" t="s">
        <v>8</v>
      </c>
      <c r="B1952" t="s">
        <v>6</v>
      </c>
      <c r="C1952">
        <v>40</v>
      </c>
      <c r="D1952">
        <v>522.11900000000003</v>
      </c>
    </row>
    <row r="1953" spans="1:4" x14ac:dyDescent="0.25">
      <c r="A1953" t="s">
        <v>8</v>
      </c>
      <c r="B1953" t="s">
        <v>6</v>
      </c>
      <c r="C1953">
        <v>40</v>
      </c>
      <c r="D1953">
        <v>508.20299999999997</v>
      </c>
    </row>
    <row r="1954" spans="1:4" x14ac:dyDescent="0.25">
      <c r="A1954" t="s">
        <v>8</v>
      </c>
      <c r="B1954" t="s">
        <v>6</v>
      </c>
      <c r="C1954">
        <v>40</v>
      </c>
      <c r="D1954">
        <v>504.91500000000002</v>
      </c>
    </row>
    <row r="1955" spans="1:4" x14ac:dyDescent="0.25">
      <c r="A1955" t="s">
        <v>8</v>
      </c>
      <c r="B1955" t="s">
        <v>6</v>
      </c>
      <c r="C1955">
        <v>40</v>
      </c>
      <c r="D1955">
        <v>495.96899999999999</v>
      </c>
    </row>
    <row r="1956" spans="1:4" x14ac:dyDescent="0.25">
      <c r="A1956" t="s">
        <v>8</v>
      </c>
      <c r="B1956" t="s">
        <v>6</v>
      </c>
      <c r="C1956">
        <v>40</v>
      </c>
      <c r="D1956">
        <v>495.74</v>
      </c>
    </row>
    <row r="1957" spans="1:4" x14ac:dyDescent="0.25">
      <c r="A1957" t="s">
        <v>8</v>
      </c>
      <c r="B1957" t="s">
        <v>6</v>
      </c>
      <c r="C1957">
        <v>40</v>
      </c>
      <c r="D1957">
        <v>509.62099999999998</v>
      </c>
    </row>
    <row r="1958" spans="1:4" x14ac:dyDescent="0.25">
      <c r="A1958" t="s">
        <v>8</v>
      </c>
      <c r="B1958" t="s">
        <v>6</v>
      </c>
      <c r="C1958">
        <v>40</v>
      </c>
      <c r="D1958">
        <v>504.70400000000001</v>
      </c>
    </row>
    <row r="1959" spans="1:4" x14ac:dyDescent="0.25">
      <c r="A1959" t="s">
        <v>8</v>
      </c>
      <c r="B1959" t="s">
        <v>6</v>
      </c>
      <c r="C1959">
        <v>40</v>
      </c>
      <c r="D1959">
        <v>501.37799999999999</v>
      </c>
    </row>
    <row r="1960" spans="1:4" x14ac:dyDescent="0.25">
      <c r="A1960" t="s">
        <v>8</v>
      </c>
      <c r="B1960" t="s">
        <v>6</v>
      </c>
      <c r="C1960">
        <v>40</v>
      </c>
      <c r="D1960">
        <v>515.00900000000001</v>
      </c>
    </row>
    <row r="1961" spans="1:4" x14ac:dyDescent="0.25">
      <c r="A1961" t="s">
        <v>8</v>
      </c>
      <c r="B1961" t="s">
        <v>6</v>
      </c>
      <c r="C1961">
        <v>40</v>
      </c>
      <c r="D1961">
        <v>523.05700000000002</v>
      </c>
    </row>
    <row r="1962" spans="1:4" x14ac:dyDescent="0.25">
      <c r="A1962" t="s">
        <v>8</v>
      </c>
      <c r="B1962" t="s">
        <v>6</v>
      </c>
      <c r="C1962">
        <v>40</v>
      </c>
      <c r="D1962">
        <v>508.62700000000001</v>
      </c>
    </row>
    <row r="1963" spans="1:4" x14ac:dyDescent="0.25">
      <c r="A1963" t="s">
        <v>8</v>
      </c>
      <c r="B1963" t="s">
        <v>6</v>
      </c>
      <c r="C1963">
        <v>40</v>
      </c>
      <c r="D1963">
        <v>521.59100000000001</v>
      </c>
    </row>
    <row r="1964" spans="1:4" x14ac:dyDescent="0.25">
      <c r="A1964" t="s">
        <v>8</v>
      </c>
      <c r="B1964" t="s">
        <v>6</v>
      </c>
      <c r="C1964">
        <v>40</v>
      </c>
      <c r="D1964">
        <v>521.68600000000004</v>
      </c>
    </row>
    <row r="1965" spans="1:4" x14ac:dyDescent="0.25">
      <c r="A1965" t="s">
        <v>8</v>
      </c>
      <c r="B1965" t="s">
        <v>6</v>
      </c>
      <c r="C1965">
        <v>40</v>
      </c>
      <c r="D1965">
        <v>503.98099999999999</v>
      </c>
    </row>
    <row r="1966" spans="1:4" x14ac:dyDescent="0.25">
      <c r="A1966" t="s">
        <v>8</v>
      </c>
      <c r="B1966" t="s">
        <v>6</v>
      </c>
      <c r="C1966">
        <v>40</v>
      </c>
      <c r="D1966">
        <v>518.46199999999999</v>
      </c>
    </row>
    <row r="1967" spans="1:4" x14ac:dyDescent="0.25">
      <c r="A1967" t="s">
        <v>8</v>
      </c>
      <c r="B1967" t="s">
        <v>6</v>
      </c>
      <c r="C1967">
        <v>40</v>
      </c>
      <c r="D1967">
        <v>504.05700000000002</v>
      </c>
    </row>
    <row r="1968" spans="1:4" x14ac:dyDescent="0.25">
      <c r="A1968" t="s">
        <v>8</v>
      </c>
      <c r="B1968" t="s">
        <v>6</v>
      </c>
      <c r="C1968">
        <v>40</v>
      </c>
      <c r="D1968">
        <v>508.13099999999997</v>
      </c>
    </row>
    <row r="1969" spans="1:4" x14ac:dyDescent="0.25">
      <c r="A1969" t="s">
        <v>8</v>
      </c>
      <c r="B1969" t="s">
        <v>6</v>
      </c>
      <c r="C1969">
        <v>40</v>
      </c>
      <c r="D1969">
        <v>523.88599999999997</v>
      </c>
    </row>
    <row r="1970" spans="1:4" x14ac:dyDescent="0.25">
      <c r="A1970" t="s">
        <v>8</v>
      </c>
      <c r="B1970" t="s">
        <v>6</v>
      </c>
      <c r="C1970">
        <v>40</v>
      </c>
      <c r="D1970">
        <v>514.70399999999995</v>
      </c>
    </row>
    <row r="1971" spans="1:4" x14ac:dyDescent="0.25">
      <c r="A1971" t="s">
        <v>8</v>
      </c>
      <c r="B1971" t="s">
        <v>6</v>
      </c>
      <c r="C1971">
        <v>40</v>
      </c>
      <c r="D1971">
        <v>524.45000000000005</v>
      </c>
    </row>
    <row r="1972" spans="1:4" x14ac:dyDescent="0.25">
      <c r="A1972" t="s">
        <v>8</v>
      </c>
      <c r="B1972" t="s">
        <v>6</v>
      </c>
      <c r="C1972">
        <v>40</v>
      </c>
      <c r="D1972">
        <v>503.48500000000001</v>
      </c>
    </row>
    <row r="1973" spans="1:4" x14ac:dyDescent="0.25">
      <c r="A1973" t="s">
        <v>8</v>
      </c>
      <c r="B1973" t="s">
        <v>6</v>
      </c>
      <c r="C1973">
        <v>40</v>
      </c>
      <c r="D1973">
        <v>497.44799999999998</v>
      </c>
    </row>
    <row r="1974" spans="1:4" x14ac:dyDescent="0.25">
      <c r="A1974" t="s">
        <v>8</v>
      </c>
      <c r="B1974" t="s">
        <v>6</v>
      </c>
      <c r="C1974">
        <v>40</v>
      </c>
      <c r="D1974">
        <v>523.25800000000004</v>
      </c>
    </row>
    <row r="1975" spans="1:4" x14ac:dyDescent="0.25">
      <c r="A1975" t="s">
        <v>8</v>
      </c>
      <c r="B1975" t="s">
        <v>6</v>
      </c>
      <c r="C1975">
        <v>40</v>
      </c>
      <c r="D1975">
        <v>506.60500000000002</v>
      </c>
    </row>
    <row r="1976" spans="1:4" x14ac:dyDescent="0.25">
      <c r="A1976" t="s">
        <v>8</v>
      </c>
      <c r="B1976" t="s">
        <v>6</v>
      </c>
      <c r="C1976">
        <v>40</v>
      </c>
      <c r="D1976">
        <v>499.84899999999999</v>
      </c>
    </row>
    <row r="1977" spans="1:4" x14ac:dyDescent="0.25">
      <c r="A1977" t="s">
        <v>8</v>
      </c>
      <c r="B1977" t="s">
        <v>6</v>
      </c>
      <c r="C1977">
        <v>40</v>
      </c>
      <c r="D1977">
        <v>500.995</v>
      </c>
    </row>
    <row r="1978" spans="1:4" x14ac:dyDescent="0.25">
      <c r="A1978" t="s">
        <v>8</v>
      </c>
      <c r="B1978" t="s">
        <v>6</v>
      </c>
      <c r="C1978">
        <v>40</v>
      </c>
      <c r="D1978">
        <v>504.89100000000002</v>
      </c>
    </row>
    <row r="1979" spans="1:4" x14ac:dyDescent="0.25">
      <c r="A1979" t="s">
        <v>8</v>
      </c>
      <c r="B1979" t="s">
        <v>6</v>
      </c>
      <c r="C1979">
        <v>40</v>
      </c>
      <c r="D1979">
        <v>502.15100000000001</v>
      </c>
    </row>
    <row r="1980" spans="1:4" x14ac:dyDescent="0.25">
      <c r="A1980" t="s">
        <v>8</v>
      </c>
      <c r="B1980" t="s">
        <v>6</v>
      </c>
      <c r="C1980">
        <v>40</v>
      </c>
      <c r="D1980">
        <v>518.72400000000005</v>
      </c>
    </row>
    <row r="1981" spans="1:4" x14ac:dyDescent="0.25">
      <c r="A1981" t="s">
        <v>8</v>
      </c>
      <c r="B1981" t="s">
        <v>6</v>
      </c>
      <c r="C1981">
        <v>40</v>
      </c>
      <c r="D1981">
        <v>511.13200000000001</v>
      </c>
    </row>
    <row r="1982" spans="1:4" x14ac:dyDescent="0.25">
      <c r="A1982" t="s">
        <v>8</v>
      </c>
      <c r="B1982" t="s">
        <v>6</v>
      </c>
      <c r="C1982">
        <v>40</v>
      </c>
      <c r="D1982">
        <v>511.87799999999999</v>
      </c>
    </row>
    <row r="1983" spans="1:4" x14ac:dyDescent="0.25">
      <c r="A1983" t="s">
        <v>8</v>
      </c>
      <c r="B1983" t="s">
        <v>6</v>
      </c>
      <c r="C1983">
        <v>40</v>
      </c>
      <c r="D1983">
        <v>514.13199999999995</v>
      </c>
    </row>
    <row r="1984" spans="1:4" x14ac:dyDescent="0.25">
      <c r="A1984" t="s">
        <v>8</v>
      </c>
      <c r="B1984" t="s">
        <v>6</v>
      </c>
      <c r="C1984">
        <v>40</v>
      </c>
      <c r="D1984">
        <v>505.74299999999999</v>
      </c>
    </row>
    <row r="1985" spans="1:4" x14ac:dyDescent="0.25">
      <c r="A1985" t="s">
        <v>8</v>
      </c>
      <c r="B1985" t="s">
        <v>6</v>
      </c>
      <c r="C1985">
        <v>40</v>
      </c>
      <c r="D1985">
        <v>511.608</v>
      </c>
    </row>
    <row r="1986" spans="1:4" x14ac:dyDescent="0.25">
      <c r="A1986" t="s">
        <v>8</v>
      </c>
      <c r="B1986" t="s">
        <v>6</v>
      </c>
      <c r="C1986">
        <v>40</v>
      </c>
      <c r="D1986">
        <v>511.63099999999997</v>
      </c>
    </row>
    <row r="1987" spans="1:4" x14ac:dyDescent="0.25">
      <c r="A1987" t="s">
        <v>8</v>
      </c>
      <c r="B1987" t="s">
        <v>6</v>
      </c>
      <c r="C1987">
        <v>40</v>
      </c>
      <c r="D1987">
        <v>506.565</v>
      </c>
    </row>
    <row r="1988" spans="1:4" x14ac:dyDescent="0.25">
      <c r="A1988" t="s">
        <v>8</v>
      </c>
      <c r="B1988" t="s">
        <v>6</v>
      </c>
      <c r="C1988">
        <v>40</v>
      </c>
      <c r="D1988">
        <v>513.67399999999998</v>
      </c>
    </row>
    <row r="1989" spans="1:4" x14ac:dyDescent="0.25">
      <c r="A1989" t="s">
        <v>8</v>
      </c>
      <c r="B1989" t="s">
        <v>6</v>
      </c>
      <c r="C1989">
        <v>40</v>
      </c>
      <c r="D1989">
        <v>509.87799999999999</v>
      </c>
    </row>
    <row r="1990" spans="1:4" x14ac:dyDescent="0.25">
      <c r="A1990" t="s">
        <v>8</v>
      </c>
      <c r="B1990" t="s">
        <v>6</v>
      </c>
      <c r="C1990">
        <v>40</v>
      </c>
      <c r="D1990">
        <v>512.71799999999996</v>
      </c>
    </row>
    <row r="1991" spans="1:4" x14ac:dyDescent="0.25">
      <c r="A1991" t="s">
        <v>8</v>
      </c>
      <c r="B1991" t="s">
        <v>6</v>
      </c>
      <c r="C1991">
        <v>40</v>
      </c>
      <c r="D1991">
        <v>490.85300000000001</v>
      </c>
    </row>
    <row r="1992" spans="1:4" x14ac:dyDescent="0.25">
      <c r="A1992" t="s">
        <v>8</v>
      </c>
      <c r="B1992" t="s">
        <v>6</v>
      </c>
      <c r="C1992">
        <v>40</v>
      </c>
      <c r="D1992">
        <v>503.33499999999998</v>
      </c>
    </row>
    <row r="1993" spans="1:4" x14ac:dyDescent="0.25">
      <c r="A1993" t="s">
        <v>8</v>
      </c>
      <c r="B1993" t="s">
        <v>6</v>
      </c>
      <c r="C1993">
        <v>40</v>
      </c>
      <c r="D1993">
        <v>513.976</v>
      </c>
    </row>
    <row r="1994" spans="1:4" x14ac:dyDescent="0.25">
      <c r="A1994" t="s">
        <v>8</v>
      </c>
      <c r="B1994" t="s">
        <v>6</v>
      </c>
      <c r="C1994">
        <v>40</v>
      </c>
      <c r="D1994">
        <v>508.05700000000002</v>
      </c>
    </row>
    <row r="1995" spans="1:4" x14ac:dyDescent="0.25">
      <c r="A1995" t="s">
        <v>8</v>
      </c>
      <c r="B1995" t="s">
        <v>6</v>
      </c>
      <c r="C1995">
        <v>40</v>
      </c>
      <c r="D1995">
        <v>496.024</v>
      </c>
    </row>
    <row r="1996" spans="1:4" x14ac:dyDescent="0.25">
      <c r="A1996" t="s">
        <v>8</v>
      </c>
      <c r="B1996" t="s">
        <v>6</v>
      </c>
      <c r="C1996">
        <v>40</v>
      </c>
      <c r="D1996">
        <v>498.19299999999998</v>
      </c>
    </row>
    <row r="1997" spans="1:4" x14ac:dyDescent="0.25">
      <c r="A1997" t="s">
        <v>8</v>
      </c>
      <c r="B1997" t="s">
        <v>6</v>
      </c>
      <c r="C1997">
        <v>40</v>
      </c>
      <c r="D1997">
        <v>502.92200000000003</v>
      </c>
    </row>
    <row r="1998" spans="1:4" x14ac:dyDescent="0.25">
      <c r="A1998" t="s">
        <v>8</v>
      </c>
      <c r="B1998" t="s">
        <v>6</v>
      </c>
      <c r="C1998">
        <v>40</v>
      </c>
      <c r="D1998">
        <v>507.34899999999999</v>
      </c>
    </row>
    <row r="1999" spans="1:4" x14ac:dyDescent="0.25">
      <c r="A1999" t="s">
        <v>8</v>
      </c>
      <c r="B1999" t="s">
        <v>6</v>
      </c>
      <c r="C1999">
        <v>40</v>
      </c>
      <c r="D1999">
        <v>501.96199999999999</v>
      </c>
    </row>
    <row r="2000" spans="1:4" x14ac:dyDescent="0.25">
      <c r="A2000" t="s">
        <v>8</v>
      </c>
      <c r="B2000" t="s">
        <v>6</v>
      </c>
      <c r="C2000">
        <v>40</v>
      </c>
      <c r="D2000">
        <v>521.41</v>
      </c>
    </row>
    <row r="2001" spans="1:4" x14ac:dyDescent="0.25">
      <c r="A2001" t="s">
        <v>8</v>
      </c>
      <c r="B2001" t="s">
        <v>6</v>
      </c>
      <c r="C2001">
        <v>40</v>
      </c>
      <c r="D2001">
        <v>503.77300000000002</v>
      </c>
    </row>
    <row r="2002" spans="1:4" x14ac:dyDescent="0.25">
      <c r="A2002" t="s">
        <v>8</v>
      </c>
      <c r="B2002" t="s">
        <v>6</v>
      </c>
      <c r="C2002">
        <v>60</v>
      </c>
      <c r="D2002">
        <v>693.21199999999999</v>
      </c>
    </row>
    <row r="2003" spans="1:4" x14ac:dyDescent="0.25">
      <c r="A2003" t="s">
        <v>8</v>
      </c>
      <c r="B2003" t="s">
        <v>6</v>
      </c>
      <c r="C2003">
        <v>60</v>
      </c>
      <c r="D2003">
        <v>697.53599999999994</v>
      </c>
    </row>
    <row r="2004" spans="1:4" x14ac:dyDescent="0.25">
      <c r="A2004" t="s">
        <v>8</v>
      </c>
      <c r="B2004" t="s">
        <v>6</v>
      </c>
      <c r="C2004">
        <v>60</v>
      </c>
      <c r="D2004">
        <v>700.49099999999999</v>
      </c>
    </row>
    <row r="2005" spans="1:4" x14ac:dyDescent="0.25">
      <c r="A2005" t="s">
        <v>8</v>
      </c>
      <c r="B2005" t="s">
        <v>6</v>
      </c>
      <c r="C2005">
        <v>60</v>
      </c>
      <c r="D2005">
        <v>690.66300000000001</v>
      </c>
    </row>
    <row r="2006" spans="1:4" x14ac:dyDescent="0.25">
      <c r="A2006" t="s">
        <v>8</v>
      </c>
      <c r="B2006" t="s">
        <v>6</v>
      </c>
      <c r="C2006">
        <v>60</v>
      </c>
      <c r="D2006">
        <v>681.31899999999996</v>
      </c>
    </row>
    <row r="2007" spans="1:4" x14ac:dyDescent="0.25">
      <c r="A2007" t="s">
        <v>8</v>
      </c>
      <c r="B2007" t="s">
        <v>6</v>
      </c>
      <c r="C2007">
        <v>60</v>
      </c>
      <c r="D2007">
        <v>717.46600000000001</v>
      </c>
    </row>
    <row r="2008" spans="1:4" x14ac:dyDescent="0.25">
      <c r="A2008" t="s">
        <v>8</v>
      </c>
      <c r="B2008" t="s">
        <v>6</v>
      </c>
      <c r="C2008">
        <v>60</v>
      </c>
      <c r="D2008">
        <v>715.15099999999995</v>
      </c>
    </row>
    <row r="2009" spans="1:4" x14ac:dyDescent="0.25">
      <c r="A2009" t="s">
        <v>8</v>
      </c>
      <c r="B2009" t="s">
        <v>6</v>
      </c>
      <c r="C2009">
        <v>60</v>
      </c>
      <c r="D2009">
        <v>707.601</v>
      </c>
    </row>
    <row r="2010" spans="1:4" x14ac:dyDescent="0.25">
      <c r="A2010" t="s">
        <v>8</v>
      </c>
      <c r="B2010" t="s">
        <v>6</v>
      </c>
      <c r="C2010">
        <v>60</v>
      </c>
      <c r="D2010">
        <v>700.71900000000005</v>
      </c>
    </row>
    <row r="2011" spans="1:4" x14ac:dyDescent="0.25">
      <c r="A2011" t="s">
        <v>8</v>
      </c>
      <c r="B2011" t="s">
        <v>6</v>
      </c>
      <c r="C2011">
        <v>60</v>
      </c>
      <c r="D2011">
        <v>699.49099999999999</v>
      </c>
    </row>
    <row r="2012" spans="1:4" x14ac:dyDescent="0.25">
      <c r="A2012" t="s">
        <v>8</v>
      </c>
      <c r="B2012" t="s">
        <v>6</v>
      </c>
      <c r="C2012">
        <v>60</v>
      </c>
      <c r="D2012">
        <v>701.48</v>
      </c>
    </row>
    <row r="2013" spans="1:4" x14ac:dyDescent="0.25">
      <c r="A2013" t="s">
        <v>8</v>
      </c>
      <c r="B2013" t="s">
        <v>6</v>
      </c>
      <c r="C2013">
        <v>60</v>
      </c>
      <c r="D2013">
        <v>688.60400000000004</v>
      </c>
    </row>
    <row r="2014" spans="1:4" x14ac:dyDescent="0.25">
      <c r="A2014" t="s">
        <v>8</v>
      </c>
      <c r="B2014" t="s">
        <v>6</v>
      </c>
      <c r="C2014">
        <v>60</v>
      </c>
      <c r="D2014">
        <v>732.54</v>
      </c>
    </row>
    <row r="2015" spans="1:4" x14ac:dyDescent="0.25">
      <c r="A2015" t="s">
        <v>8</v>
      </c>
      <c r="B2015" t="s">
        <v>6</v>
      </c>
      <c r="C2015">
        <v>60</v>
      </c>
      <c r="D2015">
        <v>700.41800000000001</v>
      </c>
    </row>
    <row r="2016" spans="1:4" x14ac:dyDescent="0.25">
      <c r="A2016" t="s">
        <v>8</v>
      </c>
      <c r="B2016" t="s">
        <v>6</v>
      </c>
      <c r="C2016">
        <v>60</v>
      </c>
      <c r="D2016">
        <v>683.81200000000001</v>
      </c>
    </row>
    <row r="2017" spans="1:4" x14ac:dyDescent="0.25">
      <c r="A2017" t="s">
        <v>8</v>
      </c>
      <c r="B2017" t="s">
        <v>6</v>
      </c>
      <c r="C2017">
        <v>60</v>
      </c>
      <c r="D2017">
        <v>698.65099999999995</v>
      </c>
    </row>
    <row r="2018" spans="1:4" x14ac:dyDescent="0.25">
      <c r="A2018" t="s">
        <v>8</v>
      </c>
      <c r="B2018" t="s">
        <v>6</v>
      </c>
      <c r="C2018">
        <v>60</v>
      </c>
      <c r="D2018">
        <v>711.79</v>
      </c>
    </row>
    <row r="2019" spans="1:4" x14ac:dyDescent="0.25">
      <c r="A2019" t="s">
        <v>8</v>
      </c>
      <c r="B2019" t="s">
        <v>6</v>
      </c>
      <c r="C2019">
        <v>60</v>
      </c>
      <c r="D2019">
        <v>688.65300000000002</v>
      </c>
    </row>
    <row r="2020" spans="1:4" x14ac:dyDescent="0.25">
      <c r="A2020" t="s">
        <v>8</v>
      </c>
      <c r="B2020" t="s">
        <v>6</v>
      </c>
      <c r="C2020">
        <v>60</v>
      </c>
      <c r="D2020">
        <v>695.22</v>
      </c>
    </row>
    <row r="2021" spans="1:4" x14ac:dyDescent="0.25">
      <c r="A2021" t="s">
        <v>8</v>
      </c>
      <c r="B2021" t="s">
        <v>6</v>
      </c>
      <c r="C2021">
        <v>60</v>
      </c>
      <c r="D2021">
        <v>696.43299999999999</v>
      </c>
    </row>
    <row r="2022" spans="1:4" x14ac:dyDescent="0.25">
      <c r="A2022" t="s">
        <v>8</v>
      </c>
      <c r="B2022" t="s">
        <v>6</v>
      </c>
      <c r="C2022">
        <v>60</v>
      </c>
      <c r="D2022">
        <v>698.73299999999995</v>
      </c>
    </row>
    <row r="2023" spans="1:4" x14ac:dyDescent="0.25">
      <c r="A2023" t="s">
        <v>8</v>
      </c>
      <c r="B2023" t="s">
        <v>6</v>
      </c>
      <c r="C2023">
        <v>60</v>
      </c>
      <c r="D2023">
        <v>691.01700000000005</v>
      </c>
    </row>
    <row r="2024" spans="1:4" x14ac:dyDescent="0.25">
      <c r="A2024" t="s">
        <v>8</v>
      </c>
      <c r="B2024" t="s">
        <v>6</v>
      </c>
      <c r="C2024">
        <v>60</v>
      </c>
      <c r="D2024">
        <v>680.60199999999998</v>
      </c>
    </row>
    <row r="2025" spans="1:4" x14ac:dyDescent="0.25">
      <c r="A2025" t="s">
        <v>8</v>
      </c>
      <c r="B2025" t="s">
        <v>6</v>
      </c>
      <c r="C2025">
        <v>60</v>
      </c>
      <c r="D2025">
        <v>684.57600000000002</v>
      </c>
    </row>
    <row r="2026" spans="1:4" x14ac:dyDescent="0.25">
      <c r="A2026" t="s">
        <v>8</v>
      </c>
      <c r="B2026" t="s">
        <v>6</v>
      </c>
      <c r="C2026">
        <v>60</v>
      </c>
      <c r="D2026">
        <v>677.74</v>
      </c>
    </row>
    <row r="2027" spans="1:4" x14ac:dyDescent="0.25">
      <c r="A2027" t="s">
        <v>8</v>
      </c>
      <c r="B2027" t="s">
        <v>6</v>
      </c>
      <c r="C2027">
        <v>60</v>
      </c>
      <c r="D2027">
        <v>714.23599999999999</v>
      </c>
    </row>
    <row r="2028" spans="1:4" x14ac:dyDescent="0.25">
      <c r="A2028" t="s">
        <v>8</v>
      </c>
      <c r="B2028" t="s">
        <v>6</v>
      </c>
      <c r="C2028">
        <v>60</v>
      </c>
      <c r="D2028">
        <v>719.53099999999995</v>
      </c>
    </row>
    <row r="2029" spans="1:4" x14ac:dyDescent="0.25">
      <c r="A2029" t="s">
        <v>8</v>
      </c>
      <c r="B2029" t="s">
        <v>6</v>
      </c>
      <c r="C2029">
        <v>60</v>
      </c>
      <c r="D2029">
        <v>687.19899999999996</v>
      </c>
    </row>
    <row r="2030" spans="1:4" x14ac:dyDescent="0.25">
      <c r="A2030" t="s">
        <v>8</v>
      </c>
      <c r="B2030" t="s">
        <v>6</v>
      </c>
      <c r="C2030">
        <v>60</v>
      </c>
      <c r="D2030">
        <v>706.38199999999995</v>
      </c>
    </row>
    <row r="2031" spans="1:4" x14ac:dyDescent="0.25">
      <c r="A2031" t="s">
        <v>8</v>
      </c>
      <c r="B2031" t="s">
        <v>6</v>
      </c>
      <c r="C2031">
        <v>60</v>
      </c>
      <c r="D2031">
        <v>716.21799999999996</v>
      </c>
    </row>
    <row r="2032" spans="1:4" x14ac:dyDescent="0.25">
      <c r="A2032" t="s">
        <v>8</v>
      </c>
      <c r="B2032" t="s">
        <v>6</v>
      </c>
      <c r="C2032">
        <v>60</v>
      </c>
      <c r="D2032">
        <v>694.86500000000001</v>
      </c>
    </row>
    <row r="2033" spans="1:4" x14ac:dyDescent="0.25">
      <c r="A2033" t="s">
        <v>8</v>
      </c>
      <c r="B2033" t="s">
        <v>6</v>
      </c>
      <c r="C2033">
        <v>60</v>
      </c>
      <c r="D2033">
        <v>691.09</v>
      </c>
    </row>
    <row r="2034" spans="1:4" x14ac:dyDescent="0.25">
      <c r="A2034" t="s">
        <v>8</v>
      </c>
      <c r="B2034" t="s">
        <v>6</v>
      </c>
      <c r="C2034">
        <v>60</v>
      </c>
      <c r="D2034">
        <v>687.61900000000003</v>
      </c>
    </row>
    <row r="2035" spans="1:4" x14ac:dyDescent="0.25">
      <c r="A2035" t="s">
        <v>8</v>
      </c>
      <c r="B2035" t="s">
        <v>6</v>
      </c>
      <c r="C2035">
        <v>60</v>
      </c>
      <c r="D2035">
        <v>693.84799999999996</v>
      </c>
    </row>
    <row r="2036" spans="1:4" x14ac:dyDescent="0.25">
      <c r="A2036" t="s">
        <v>8</v>
      </c>
      <c r="B2036" t="s">
        <v>6</v>
      </c>
      <c r="C2036">
        <v>60</v>
      </c>
      <c r="D2036">
        <v>696.34199999999998</v>
      </c>
    </row>
    <row r="2037" spans="1:4" x14ac:dyDescent="0.25">
      <c r="A2037" t="s">
        <v>8</v>
      </c>
      <c r="B2037" t="s">
        <v>6</v>
      </c>
      <c r="C2037">
        <v>60</v>
      </c>
      <c r="D2037">
        <v>691.99800000000005</v>
      </c>
    </row>
    <row r="2038" spans="1:4" x14ac:dyDescent="0.25">
      <c r="A2038" t="s">
        <v>8</v>
      </c>
      <c r="B2038" t="s">
        <v>6</v>
      </c>
      <c r="C2038">
        <v>60</v>
      </c>
      <c r="D2038">
        <v>697.58900000000006</v>
      </c>
    </row>
    <row r="2039" spans="1:4" x14ac:dyDescent="0.25">
      <c r="A2039" t="s">
        <v>8</v>
      </c>
      <c r="B2039" t="s">
        <v>6</v>
      </c>
      <c r="C2039">
        <v>60</v>
      </c>
      <c r="D2039">
        <v>705.35900000000004</v>
      </c>
    </row>
    <row r="2040" spans="1:4" x14ac:dyDescent="0.25">
      <c r="A2040" t="s">
        <v>8</v>
      </c>
      <c r="B2040" t="s">
        <v>6</v>
      </c>
      <c r="C2040">
        <v>60</v>
      </c>
      <c r="D2040">
        <v>682.88199999999995</v>
      </c>
    </row>
    <row r="2041" spans="1:4" x14ac:dyDescent="0.25">
      <c r="A2041" t="s">
        <v>8</v>
      </c>
      <c r="B2041" t="s">
        <v>6</v>
      </c>
      <c r="C2041">
        <v>60</v>
      </c>
      <c r="D2041">
        <v>690.85599999999999</v>
      </c>
    </row>
    <row r="2042" spans="1:4" x14ac:dyDescent="0.25">
      <c r="A2042" t="s">
        <v>8</v>
      </c>
      <c r="B2042" t="s">
        <v>6</v>
      </c>
      <c r="C2042">
        <v>60</v>
      </c>
      <c r="D2042">
        <v>711.71</v>
      </c>
    </row>
    <row r="2043" spans="1:4" x14ac:dyDescent="0.25">
      <c r="A2043" t="s">
        <v>8</v>
      </c>
      <c r="B2043" t="s">
        <v>6</v>
      </c>
      <c r="C2043">
        <v>60</v>
      </c>
      <c r="D2043">
        <v>702.97699999999998</v>
      </c>
    </row>
    <row r="2044" spans="1:4" x14ac:dyDescent="0.25">
      <c r="A2044" t="s">
        <v>8</v>
      </c>
      <c r="B2044" t="s">
        <v>6</v>
      </c>
      <c r="C2044">
        <v>60</v>
      </c>
      <c r="D2044">
        <v>692.71799999999996</v>
      </c>
    </row>
    <row r="2045" spans="1:4" x14ac:dyDescent="0.25">
      <c r="A2045" t="s">
        <v>8</v>
      </c>
      <c r="B2045" t="s">
        <v>6</v>
      </c>
      <c r="C2045">
        <v>60</v>
      </c>
      <c r="D2045">
        <v>706.38199999999995</v>
      </c>
    </row>
    <row r="2046" spans="1:4" x14ac:dyDescent="0.25">
      <c r="A2046" t="s">
        <v>8</v>
      </c>
      <c r="B2046" t="s">
        <v>6</v>
      </c>
      <c r="C2046">
        <v>60</v>
      </c>
      <c r="D2046">
        <v>688.65499999999997</v>
      </c>
    </row>
    <row r="2047" spans="1:4" x14ac:dyDescent="0.25">
      <c r="A2047" t="s">
        <v>8</v>
      </c>
      <c r="B2047" t="s">
        <v>6</v>
      </c>
      <c r="C2047">
        <v>60</v>
      </c>
      <c r="D2047">
        <v>696.69600000000003</v>
      </c>
    </row>
    <row r="2048" spans="1:4" x14ac:dyDescent="0.25">
      <c r="A2048" t="s">
        <v>8</v>
      </c>
      <c r="B2048" t="s">
        <v>6</v>
      </c>
      <c r="C2048">
        <v>60</v>
      </c>
      <c r="D2048">
        <v>690.06200000000001</v>
      </c>
    </row>
    <row r="2049" spans="1:4" x14ac:dyDescent="0.25">
      <c r="A2049" t="s">
        <v>8</v>
      </c>
      <c r="B2049" t="s">
        <v>6</v>
      </c>
      <c r="C2049">
        <v>60</v>
      </c>
      <c r="D2049">
        <v>676.28599999999994</v>
      </c>
    </row>
    <row r="2050" spans="1:4" x14ac:dyDescent="0.25">
      <c r="A2050" t="s">
        <v>8</v>
      </c>
      <c r="B2050" t="s">
        <v>6</v>
      </c>
      <c r="C2050">
        <v>60</v>
      </c>
      <c r="D2050">
        <v>670.75199999999995</v>
      </c>
    </row>
    <row r="2051" spans="1:4" x14ac:dyDescent="0.25">
      <c r="A2051" t="s">
        <v>8</v>
      </c>
      <c r="B2051" t="s">
        <v>6</v>
      </c>
      <c r="C2051">
        <v>60</v>
      </c>
      <c r="D2051">
        <v>700.63400000000001</v>
      </c>
    </row>
    <row r="2052" spans="1:4" x14ac:dyDescent="0.25">
      <c r="A2052" t="s">
        <v>8</v>
      </c>
      <c r="B2052" t="s">
        <v>6</v>
      </c>
      <c r="C2052">
        <v>60</v>
      </c>
      <c r="D2052">
        <v>673.61199999999997</v>
      </c>
    </row>
    <row r="2053" spans="1:4" x14ac:dyDescent="0.25">
      <c r="A2053" t="s">
        <v>8</v>
      </c>
      <c r="B2053" t="s">
        <v>6</v>
      </c>
      <c r="C2053">
        <v>60</v>
      </c>
      <c r="D2053">
        <v>717.25</v>
      </c>
    </row>
    <row r="2054" spans="1:4" x14ac:dyDescent="0.25">
      <c r="A2054" t="s">
        <v>8</v>
      </c>
      <c r="B2054" t="s">
        <v>6</v>
      </c>
      <c r="C2054">
        <v>60</v>
      </c>
      <c r="D2054">
        <v>694.18499999999995</v>
      </c>
    </row>
    <row r="2055" spans="1:4" x14ac:dyDescent="0.25">
      <c r="A2055" t="s">
        <v>8</v>
      </c>
      <c r="B2055" t="s">
        <v>6</v>
      </c>
      <c r="C2055">
        <v>60</v>
      </c>
      <c r="D2055">
        <v>687.71</v>
      </c>
    </row>
    <row r="2056" spans="1:4" x14ac:dyDescent="0.25">
      <c r="A2056" t="s">
        <v>8</v>
      </c>
      <c r="B2056" t="s">
        <v>6</v>
      </c>
      <c r="C2056">
        <v>60</v>
      </c>
      <c r="D2056">
        <v>694.899</v>
      </c>
    </row>
    <row r="2057" spans="1:4" x14ac:dyDescent="0.25">
      <c r="A2057" t="s">
        <v>8</v>
      </c>
      <c r="B2057" t="s">
        <v>6</v>
      </c>
      <c r="C2057">
        <v>60</v>
      </c>
      <c r="D2057">
        <v>686.10400000000004</v>
      </c>
    </row>
    <row r="2058" spans="1:4" x14ac:dyDescent="0.25">
      <c r="A2058" t="s">
        <v>8</v>
      </c>
      <c r="B2058" t="s">
        <v>6</v>
      </c>
      <c r="C2058">
        <v>60</v>
      </c>
      <c r="D2058">
        <v>690.03599999999994</v>
      </c>
    </row>
    <row r="2059" spans="1:4" x14ac:dyDescent="0.25">
      <c r="A2059" t="s">
        <v>8</v>
      </c>
      <c r="B2059" t="s">
        <v>6</v>
      </c>
      <c r="C2059">
        <v>60</v>
      </c>
      <c r="D2059">
        <v>683.17700000000002</v>
      </c>
    </row>
    <row r="2060" spans="1:4" x14ac:dyDescent="0.25">
      <c r="A2060" t="s">
        <v>8</v>
      </c>
      <c r="B2060" t="s">
        <v>6</v>
      </c>
      <c r="C2060">
        <v>60</v>
      </c>
      <c r="D2060">
        <v>716.75</v>
      </c>
    </row>
    <row r="2061" spans="1:4" x14ac:dyDescent="0.25">
      <c r="A2061" t="s">
        <v>8</v>
      </c>
      <c r="B2061" t="s">
        <v>6</v>
      </c>
      <c r="C2061">
        <v>60</v>
      </c>
      <c r="D2061">
        <v>696.827</v>
      </c>
    </row>
    <row r="2062" spans="1:4" x14ac:dyDescent="0.25">
      <c r="A2062" t="s">
        <v>8</v>
      </c>
      <c r="B2062" t="s">
        <v>6</v>
      </c>
      <c r="C2062">
        <v>60</v>
      </c>
      <c r="D2062">
        <v>714.84500000000003</v>
      </c>
    </row>
    <row r="2063" spans="1:4" x14ac:dyDescent="0.25">
      <c r="A2063" t="s">
        <v>8</v>
      </c>
      <c r="B2063" t="s">
        <v>6</v>
      </c>
      <c r="C2063">
        <v>60</v>
      </c>
      <c r="D2063">
        <v>696.38900000000001</v>
      </c>
    </row>
    <row r="2064" spans="1:4" x14ac:dyDescent="0.25">
      <c r="A2064" t="s">
        <v>8</v>
      </c>
      <c r="B2064" t="s">
        <v>6</v>
      </c>
      <c r="C2064">
        <v>60</v>
      </c>
      <c r="D2064">
        <v>708.55</v>
      </c>
    </row>
    <row r="2065" spans="1:4" x14ac:dyDescent="0.25">
      <c r="A2065" t="s">
        <v>8</v>
      </c>
      <c r="B2065" t="s">
        <v>6</v>
      </c>
      <c r="C2065">
        <v>60</v>
      </c>
      <c r="D2065">
        <v>689.01700000000005</v>
      </c>
    </row>
    <row r="2066" spans="1:4" x14ac:dyDescent="0.25">
      <c r="A2066" t="s">
        <v>8</v>
      </c>
      <c r="B2066" t="s">
        <v>6</v>
      </c>
      <c r="C2066">
        <v>60</v>
      </c>
      <c r="D2066">
        <v>722.86800000000005</v>
      </c>
    </row>
    <row r="2067" spans="1:4" x14ac:dyDescent="0.25">
      <c r="A2067" t="s">
        <v>8</v>
      </c>
      <c r="B2067" t="s">
        <v>6</v>
      </c>
      <c r="C2067">
        <v>60</v>
      </c>
      <c r="D2067">
        <v>697.94399999999996</v>
      </c>
    </row>
    <row r="2068" spans="1:4" x14ac:dyDescent="0.25">
      <c r="A2068" t="s">
        <v>8</v>
      </c>
      <c r="B2068" t="s">
        <v>6</v>
      </c>
      <c r="C2068">
        <v>60</v>
      </c>
      <c r="D2068">
        <v>679.14800000000002</v>
      </c>
    </row>
    <row r="2069" spans="1:4" x14ac:dyDescent="0.25">
      <c r="A2069" t="s">
        <v>8</v>
      </c>
      <c r="B2069" t="s">
        <v>6</v>
      </c>
      <c r="C2069">
        <v>60</v>
      </c>
      <c r="D2069">
        <v>695.37</v>
      </c>
    </row>
    <row r="2070" spans="1:4" x14ac:dyDescent="0.25">
      <c r="A2070" t="s">
        <v>8</v>
      </c>
      <c r="B2070" t="s">
        <v>6</v>
      </c>
      <c r="C2070">
        <v>60</v>
      </c>
      <c r="D2070">
        <v>710.63400000000001</v>
      </c>
    </row>
    <row r="2071" spans="1:4" x14ac:dyDescent="0.25">
      <c r="A2071" t="s">
        <v>8</v>
      </c>
      <c r="B2071" t="s">
        <v>6</v>
      </c>
      <c r="C2071">
        <v>60</v>
      </c>
      <c r="D2071">
        <v>699.67399999999998</v>
      </c>
    </row>
    <row r="2072" spans="1:4" x14ac:dyDescent="0.25">
      <c r="A2072" t="s">
        <v>8</v>
      </c>
      <c r="B2072" t="s">
        <v>6</v>
      </c>
      <c r="C2072">
        <v>60</v>
      </c>
      <c r="D2072">
        <v>701.74699999999996</v>
      </c>
    </row>
    <row r="2073" spans="1:4" x14ac:dyDescent="0.25">
      <c r="A2073" t="s">
        <v>8</v>
      </c>
      <c r="B2073" t="s">
        <v>6</v>
      </c>
      <c r="C2073">
        <v>60</v>
      </c>
      <c r="D2073">
        <v>694.38599999999997</v>
      </c>
    </row>
    <row r="2074" spans="1:4" x14ac:dyDescent="0.25">
      <c r="A2074" t="s">
        <v>8</v>
      </c>
      <c r="B2074" t="s">
        <v>6</v>
      </c>
      <c r="C2074">
        <v>60</v>
      </c>
      <c r="D2074">
        <v>693.38800000000003</v>
      </c>
    </row>
    <row r="2075" spans="1:4" x14ac:dyDescent="0.25">
      <c r="A2075" t="s">
        <v>8</v>
      </c>
      <c r="B2075" t="s">
        <v>6</v>
      </c>
      <c r="C2075">
        <v>60</v>
      </c>
      <c r="D2075">
        <v>722.30100000000004</v>
      </c>
    </row>
    <row r="2076" spans="1:4" x14ac:dyDescent="0.25">
      <c r="A2076" t="s">
        <v>8</v>
      </c>
      <c r="B2076" t="s">
        <v>6</v>
      </c>
      <c r="C2076">
        <v>60</v>
      </c>
      <c r="D2076">
        <v>701.20500000000004</v>
      </c>
    </row>
    <row r="2077" spans="1:4" x14ac:dyDescent="0.25">
      <c r="A2077" t="s">
        <v>8</v>
      </c>
      <c r="B2077" t="s">
        <v>6</v>
      </c>
      <c r="C2077">
        <v>60</v>
      </c>
      <c r="D2077">
        <v>687.90800000000002</v>
      </c>
    </row>
    <row r="2078" spans="1:4" x14ac:dyDescent="0.25">
      <c r="A2078" t="s">
        <v>8</v>
      </c>
      <c r="B2078" t="s">
        <v>6</v>
      </c>
      <c r="C2078">
        <v>60</v>
      </c>
      <c r="D2078">
        <v>688.21</v>
      </c>
    </row>
    <row r="2079" spans="1:4" x14ac:dyDescent="0.25">
      <c r="A2079" t="s">
        <v>8</v>
      </c>
      <c r="B2079" t="s">
        <v>6</v>
      </c>
      <c r="C2079">
        <v>60</v>
      </c>
      <c r="D2079">
        <v>716.73199999999997</v>
      </c>
    </row>
    <row r="2080" spans="1:4" x14ac:dyDescent="0.25">
      <c r="A2080" t="s">
        <v>8</v>
      </c>
      <c r="B2080" t="s">
        <v>6</v>
      </c>
      <c r="C2080">
        <v>60</v>
      </c>
      <c r="D2080">
        <v>691.07500000000005</v>
      </c>
    </row>
    <row r="2081" spans="1:4" x14ac:dyDescent="0.25">
      <c r="A2081" t="s">
        <v>8</v>
      </c>
      <c r="B2081" t="s">
        <v>6</v>
      </c>
      <c r="C2081">
        <v>60</v>
      </c>
      <c r="D2081">
        <v>694.30499999999995</v>
      </c>
    </row>
    <row r="2082" spans="1:4" x14ac:dyDescent="0.25">
      <c r="A2082" t="s">
        <v>8</v>
      </c>
      <c r="B2082" t="s">
        <v>6</v>
      </c>
      <c r="C2082">
        <v>60</v>
      </c>
      <c r="D2082">
        <v>696.02499999999998</v>
      </c>
    </row>
    <row r="2083" spans="1:4" x14ac:dyDescent="0.25">
      <c r="A2083" t="s">
        <v>8</v>
      </c>
      <c r="B2083" t="s">
        <v>6</v>
      </c>
      <c r="C2083">
        <v>60</v>
      </c>
      <c r="D2083">
        <v>714.96299999999997</v>
      </c>
    </row>
    <row r="2084" spans="1:4" x14ac:dyDescent="0.25">
      <c r="A2084" t="s">
        <v>8</v>
      </c>
      <c r="B2084" t="s">
        <v>6</v>
      </c>
      <c r="C2084">
        <v>60</v>
      </c>
      <c r="D2084">
        <v>687.16300000000001</v>
      </c>
    </row>
    <row r="2085" spans="1:4" x14ac:dyDescent="0.25">
      <c r="A2085" t="s">
        <v>8</v>
      </c>
      <c r="B2085" t="s">
        <v>6</v>
      </c>
      <c r="C2085">
        <v>60</v>
      </c>
      <c r="D2085">
        <v>698.86500000000001</v>
      </c>
    </row>
    <row r="2086" spans="1:4" x14ac:dyDescent="0.25">
      <c r="A2086" t="s">
        <v>8</v>
      </c>
      <c r="B2086" t="s">
        <v>6</v>
      </c>
      <c r="C2086">
        <v>60</v>
      </c>
      <c r="D2086">
        <v>703.49800000000005</v>
      </c>
    </row>
    <row r="2087" spans="1:4" x14ac:dyDescent="0.25">
      <c r="A2087" t="s">
        <v>8</v>
      </c>
      <c r="B2087" t="s">
        <v>6</v>
      </c>
      <c r="C2087">
        <v>60</v>
      </c>
      <c r="D2087">
        <v>663.18700000000001</v>
      </c>
    </row>
    <row r="2088" spans="1:4" x14ac:dyDescent="0.25">
      <c r="A2088" t="s">
        <v>8</v>
      </c>
      <c r="B2088" t="s">
        <v>6</v>
      </c>
      <c r="C2088">
        <v>60</v>
      </c>
      <c r="D2088">
        <v>698.53099999999995</v>
      </c>
    </row>
    <row r="2089" spans="1:4" x14ac:dyDescent="0.25">
      <c r="A2089" t="s">
        <v>8</v>
      </c>
      <c r="B2089" t="s">
        <v>6</v>
      </c>
      <c r="C2089">
        <v>60</v>
      </c>
      <c r="D2089">
        <v>706.005</v>
      </c>
    </row>
    <row r="2090" spans="1:4" x14ac:dyDescent="0.25">
      <c r="A2090" t="s">
        <v>8</v>
      </c>
      <c r="B2090" t="s">
        <v>6</v>
      </c>
      <c r="C2090">
        <v>60</v>
      </c>
      <c r="D2090">
        <v>680.27200000000005</v>
      </c>
    </row>
    <row r="2091" spans="1:4" x14ac:dyDescent="0.25">
      <c r="A2091" t="s">
        <v>8</v>
      </c>
      <c r="B2091" t="s">
        <v>6</v>
      </c>
      <c r="C2091">
        <v>60</v>
      </c>
      <c r="D2091">
        <v>703.87199999999996</v>
      </c>
    </row>
    <row r="2092" spans="1:4" x14ac:dyDescent="0.25">
      <c r="A2092" t="s">
        <v>8</v>
      </c>
      <c r="B2092" t="s">
        <v>6</v>
      </c>
      <c r="C2092">
        <v>60</v>
      </c>
      <c r="D2092">
        <v>703.38199999999995</v>
      </c>
    </row>
    <row r="2093" spans="1:4" x14ac:dyDescent="0.25">
      <c r="A2093" t="s">
        <v>8</v>
      </c>
      <c r="B2093" t="s">
        <v>6</v>
      </c>
      <c r="C2093">
        <v>60</v>
      </c>
      <c r="D2093">
        <v>697.04200000000003</v>
      </c>
    </row>
    <row r="2094" spans="1:4" x14ac:dyDescent="0.25">
      <c r="A2094" t="s">
        <v>8</v>
      </c>
      <c r="B2094" t="s">
        <v>6</v>
      </c>
      <c r="C2094">
        <v>60</v>
      </c>
      <c r="D2094">
        <v>690.24699999999996</v>
      </c>
    </row>
    <row r="2095" spans="1:4" x14ac:dyDescent="0.25">
      <c r="A2095" t="s">
        <v>8</v>
      </c>
      <c r="B2095" t="s">
        <v>6</v>
      </c>
      <c r="C2095">
        <v>60</v>
      </c>
      <c r="D2095">
        <v>708.11500000000001</v>
      </c>
    </row>
    <row r="2096" spans="1:4" x14ac:dyDescent="0.25">
      <c r="A2096" t="s">
        <v>8</v>
      </c>
      <c r="B2096" t="s">
        <v>6</v>
      </c>
      <c r="C2096">
        <v>60</v>
      </c>
      <c r="D2096">
        <v>671.56700000000001</v>
      </c>
    </row>
    <row r="2097" spans="1:4" x14ac:dyDescent="0.25">
      <c r="A2097" t="s">
        <v>8</v>
      </c>
      <c r="B2097" t="s">
        <v>6</v>
      </c>
      <c r="C2097">
        <v>60</v>
      </c>
      <c r="D2097">
        <v>683.56500000000005</v>
      </c>
    </row>
    <row r="2098" spans="1:4" x14ac:dyDescent="0.25">
      <c r="A2098" t="s">
        <v>8</v>
      </c>
      <c r="B2098" t="s">
        <v>6</v>
      </c>
      <c r="C2098">
        <v>60</v>
      </c>
      <c r="D2098">
        <v>708.53099999999995</v>
      </c>
    </row>
    <row r="2099" spans="1:4" x14ac:dyDescent="0.25">
      <c r="A2099" t="s">
        <v>8</v>
      </c>
      <c r="B2099" t="s">
        <v>6</v>
      </c>
      <c r="C2099">
        <v>60</v>
      </c>
      <c r="D2099">
        <v>706.56399999999996</v>
      </c>
    </row>
    <row r="2100" spans="1:4" x14ac:dyDescent="0.25">
      <c r="A2100" t="s">
        <v>8</v>
      </c>
      <c r="B2100" t="s">
        <v>6</v>
      </c>
      <c r="C2100">
        <v>60</v>
      </c>
      <c r="D2100">
        <v>691.52599999999995</v>
      </c>
    </row>
    <row r="2101" spans="1:4" x14ac:dyDescent="0.25">
      <c r="A2101" t="s">
        <v>8</v>
      </c>
      <c r="B2101" t="s">
        <v>6</v>
      </c>
      <c r="C2101">
        <v>60</v>
      </c>
      <c r="D2101">
        <v>705.80499999999995</v>
      </c>
    </row>
    <row r="2102" spans="1:4" x14ac:dyDescent="0.25">
      <c r="A2102" t="s">
        <v>8</v>
      </c>
      <c r="B2102" t="s">
        <v>6</v>
      </c>
      <c r="C2102">
        <v>80</v>
      </c>
      <c r="D2102">
        <v>947.154</v>
      </c>
    </row>
    <row r="2103" spans="1:4" x14ac:dyDescent="0.25">
      <c r="A2103" t="s">
        <v>8</v>
      </c>
      <c r="B2103" t="s">
        <v>6</v>
      </c>
      <c r="C2103">
        <v>80</v>
      </c>
      <c r="D2103">
        <v>930.28499999999997</v>
      </c>
    </row>
    <row r="2104" spans="1:4" x14ac:dyDescent="0.25">
      <c r="A2104" t="s">
        <v>8</v>
      </c>
      <c r="B2104" t="s">
        <v>6</v>
      </c>
      <c r="C2104">
        <v>80</v>
      </c>
      <c r="D2104">
        <v>909.54499999999996</v>
      </c>
    </row>
    <row r="2105" spans="1:4" x14ac:dyDescent="0.25">
      <c r="A2105" t="s">
        <v>8</v>
      </c>
      <c r="B2105" t="s">
        <v>6</v>
      </c>
      <c r="C2105">
        <v>80</v>
      </c>
      <c r="D2105">
        <v>922.82100000000003</v>
      </c>
    </row>
    <row r="2106" spans="1:4" x14ac:dyDescent="0.25">
      <c r="A2106" t="s">
        <v>8</v>
      </c>
      <c r="B2106" t="s">
        <v>6</v>
      </c>
      <c r="C2106">
        <v>80</v>
      </c>
      <c r="D2106">
        <v>910.81500000000005</v>
      </c>
    </row>
    <row r="2107" spans="1:4" x14ac:dyDescent="0.25">
      <c r="A2107" t="s">
        <v>8</v>
      </c>
      <c r="B2107" t="s">
        <v>6</v>
      </c>
      <c r="C2107">
        <v>80</v>
      </c>
      <c r="D2107">
        <v>907.95</v>
      </c>
    </row>
    <row r="2108" spans="1:4" x14ac:dyDescent="0.25">
      <c r="A2108" t="s">
        <v>8</v>
      </c>
      <c r="B2108" t="s">
        <v>6</v>
      </c>
      <c r="C2108">
        <v>80</v>
      </c>
      <c r="D2108">
        <v>899.88800000000003</v>
      </c>
    </row>
    <row r="2109" spans="1:4" x14ac:dyDescent="0.25">
      <c r="A2109" t="s">
        <v>8</v>
      </c>
      <c r="B2109" t="s">
        <v>6</v>
      </c>
      <c r="C2109">
        <v>80</v>
      </c>
      <c r="D2109">
        <v>912.86599999999999</v>
      </c>
    </row>
    <row r="2110" spans="1:4" x14ac:dyDescent="0.25">
      <c r="A2110" t="s">
        <v>8</v>
      </c>
      <c r="B2110" t="s">
        <v>6</v>
      </c>
      <c r="C2110">
        <v>80</v>
      </c>
      <c r="D2110">
        <v>914.50699999999995</v>
      </c>
    </row>
    <row r="2111" spans="1:4" x14ac:dyDescent="0.25">
      <c r="A2111" t="s">
        <v>8</v>
      </c>
      <c r="B2111" t="s">
        <v>6</v>
      </c>
      <c r="C2111">
        <v>80</v>
      </c>
      <c r="D2111">
        <v>893.41899999999998</v>
      </c>
    </row>
    <row r="2112" spans="1:4" x14ac:dyDescent="0.25">
      <c r="A2112" t="s">
        <v>8</v>
      </c>
      <c r="B2112" t="s">
        <v>6</v>
      </c>
      <c r="C2112">
        <v>80</v>
      </c>
      <c r="D2112">
        <v>916.43399999999997</v>
      </c>
    </row>
    <row r="2113" spans="1:4" x14ac:dyDescent="0.25">
      <c r="A2113" t="s">
        <v>8</v>
      </c>
      <c r="B2113" t="s">
        <v>6</v>
      </c>
      <c r="C2113">
        <v>80</v>
      </c>
      <c r="D2113">
        <v>886.43899999999996</v>
      </c>
    </row>
    <row r="2114" spans="1:4" x14ac:dyDescent="0.25">
      <c r="A2114" t="s">
        <v>8</v>
      </c>
      <c r="B2114" t="s">
        <v>6</v>
      </c>
      <c r="C2114">
        <v>80</v>
      </c>
      <c r="D2114">
        <v>898.93799999999999</v>
      </c>
    </row>
    <row r="2115" spans="1:4" x14ac:dyDescent="0.25">
      <c r="A2115" t="s">
        <v>8</v>
      </c>
      <c r="B2115" t="s">
        <v>6</v>
      </c>
      <c r="C2115">
        <v>80</v>
      </c>
      <c r="D2115">
        <v>874.35</v>
      </c>
    </row>
    <row r="2116" spans="1:4" x14ac:dyDescent="0.25">
      <c r="A2116" t="s">
        <v>8</v>
      </c>
      <c r="B2116" t="s">
        <v>6</v>
      </c>
      <c r="C2116">
        <v>80</v>
      </c>
      <c r="D2116">
        <v>868.14200000000005</v>
      </c>
    </row>
    <row r="2117" spans="1:4" x14ac:dyDescent="0.25">
      <c r="A2117" t="s">
        <v>8</v>
      </c>
      <c r="B2117" t="s">
        <v>6</v>
      </c>
      <c r="C2117">
        <v>80</v>
      </c>
      <c r="D2117">
        <v>900.303</v>
      </c>
    </row>
    <row r="2118" spans="1:4" x14ac:dyDescent="0.25">
      <c r="A2118" t="s">
        <v>8</v>
      </c>
      <c r="B2118" t="s">
        <v>6</v>
      </c>
      <c r="C2118">
        <v>80</v>
      </c>
      <c r="D2118">
        <v>887.346</v>
      </c>
    </row>
    <row r="2119" spans="1:4" x14ac:dyDescent="0.25">
      <c r="A2119" t="s">
        <v>8</v>
      </c>
      <c r="B2119" t="s">
        <v>6</v>
      </c>
      <c r="C2119">
        <v>80</v>
      </c>
      <c r="D2119">
        <v>943.10500000000002</v>
      </c>
    </row>
    <row r="2120" spans="1:4" x14ac:dyDescent="0.25">
      <c r="A2120" t="s">
        <v>8</v>
      </c>
      <c r="B2120" t="s">
        <v>6</v>
      </c>
      <c r="C2120">
        <v>80</v>
      </c>
      <c r="D2120">
        <v>916.48099999999999</v>
      </c>
    </row>
    <row r="2121" spans="1:4" x14ac:dyDescent="0.25">
      <c r="A2121" t="s">
        <v>8</v>
      </c>
      <c r="B2121" t="s">
        <v>6</v>
      </c>
      <c r="C2121">
        <v>80</v>
      </c>
      <c r="D2121">
        <v>884</v>
      </c>
    </row>
    <row r="2122" spans="1:4" x14ac:dyDescent="0.25">
      <c r="A2122" t="s">
        <v>8</v>
      </c>
      <c r="B2122" t="s">
        <v>6</v>
      </c>
      <c r="C2122">
        <v>80</v>
      </c>
      <c r="D2122">
        <v>879.18299999999999</v>
      </c>
    </row>
    <row r="2123" spans="1:4" x14ac:dyDescent="0.25">
      <c r="A2123" t="s">
        <v>8</v>
      </c>
      <c r="B2123" t="s">
        <v>6</v>
      </c>
      <c r="C2123">
        <v>80</v>
      </c>
      <c r="D2123">
        <v>911.08900000000006</v>
      </c>
    </row>
    <row r="2124" spans="1:4" x14ac:dyDescent="0.25">
      <c r="A2124" t="s">
        <v>8</v>
      </c>
      <c r="B2124" t="s">
        <v>6</v>
      </c>
      <c r="C2124">
        <v>80</v>
      </c>
      <c r="D2124">
        <v>889.65200000000004</v>
      </c>
    </row>
    <row r="2125" spans="1:4" x14ac:dyDescent="0.25">
      <c r="A2125" t="s">
        <v>8</v>
      </c>
      <c r="B2125" t="s">
        <v>6</v>
      </c>
      <c r="C2125">
        <v>80</v>
      </c>
      <c r="D2125">
        <v>931.01499999999999</v>
      </c>
    </row>
    <row r="2126" spans="1:4" x14ac:dyDescent="0.25">
      <c r="A2126" t="s">
        <v>8</v>
      </c>
      <c r="B2126" t="s">
        <v>6</v>
      </c>
      <c r="C2126">
        <v>80</v>
      </c>
      <c r="D2126">
        <v>902.40200000000004</v>
      </c>
    </row>
    <row r="2127" spans="1:4" x14ac:dyDescent="0.25">
      <c r="A2127" t="s">
        <v>8</v>
      </c>
      <c r="B2127" t="s">
        <v>6</v>
      </c>
      <c r="C2127">
        <v>80</v>
      </c>
      <c r="D2127">
        <v>898.23099999999999</v>
      </c>
    </row>
    <row r="2128" spans="1:4" x14ac:dyDescent="0.25">
      <c r="A2128" t="s">
        <v>8</v>
      </c>
      <c r="B2128" t="s">
        <v>6</v>
      </c>
      <c r="C2128">
        <v>80</v>
      </c>
      <c r="D2128">
        <v>899.21</v>
      </c>
    </row>
    <row r="2129" spans="1:4" x14ac:dyDescent="0.25">
      <c r="A2129" t="s">
        <v>8</v>
      </c>
      <c r="B2129" t="s">
        <v>6</v>
      </c>
      <c r="C2129">
        <v>80</v>
      </c>
      <c r="D2129">
        <v>922.74800000000005</v>
      </c>
    </row>
    <row r="2130" spans="1:4" x14ac:dyDescent="0.25">
      <c r="A2130" t="s">
        <v>8</v>
      </c>
      <c r="B2130" t="s">
        <v>6</v>
      </c>
      <c r="C2130">
        <v>80</v>
      </c>
      <c r="D2130">
        <v>860.90599999999995</v>
      </c>
    </row>
    <row r="2131" spans="1:4" x14ac:dyDescent="0.25">
      <c r="A2131" t="s">
        <v>8</v>
      </c>
      <c r="B2131" t="s">
        <v>6</v>
      </c>
      <c r="C2131">
        <v>80</v>
      </c>
      <c r="D2131">
        <v>908.54499999999996</v>
      </c>
    </row>
    <row r="2132" spans="1:4" x14ac:dyDescent="0.25">
      <c r="A2132" t="s">
        <v>8</v>
      </c>
      <c r="B2132" t="s">
        <v>6</v>
      </c>
      <c r="C2132">
        <v>80</v>
      </c>
      <c r="D2132">
        <v>901.36699999999996</v>
      </c>
    </row>
    <row r="2133" spans="1:4" x14ac:dyDescent="0.25">
      <c r="A2133" t="s">
        <v>8</v>
      </c>
      <c r="B2133" t="s">
        <v>6</v>
      </c>
      <c r="C2133">
        <v>80</v>
      </c>
      <c r="D2133">
        <v>926.10599999999999</v>
      </c>
    </row>
    <row r="2134" spans="1:4" x14ac:dyDescent="0.25">
      <c r="A2134" t="s">
        <v>8</v>
      </c>
      <c r="B2134" t="s">
        <v>6</v>
      </c>
      <c r="C2134">
        <v>80</v>
      </c>
      <c r="D2134">
        <v>916.56600000000003</v>
      </c>
    </row>
    <row r="2135" spans="1:4" x14ac:dyDescent="0.25">
      <c r="A2135" t="s">
        <v>8</v>
      </c>
      <c r="B2135" t="s">
        <v>6</v>
      </c>
      <c r="C2135">
        <v>80</v>
      </c>
      <c r="D2135">
        <v>878.89099999999996</v>
      </c>
    </row>
    <row r="2136" spans="1:4" x14ac:dyDescent="0.25">
      <c r="A2136" t="s">
        <v>8</v>
      </c>
      <c r="B2136" t="s">
        <v>6</v>
      </c>
      <c r="C2136">
        <v>80</v>
      </c>
      <c r="D2136">
        <v>926.93499999999995</v>
      </c>
    </row>
    <row r="2137" spans="1:4" x14ac:dyDescent="0.25">
      <c r="A2137" t="s">
        <v>8</v>
      </c>
      <c r="B2137" t="s">
        <v>6</v>
      </c>
      <c r="C2137">
        <v>80</v>
      </c>
      <c r="D2137">
        <v>903.39700000000005</v>
      </c>
    </row>
    <row r="2138" spans="1:4" x14ac:dyDescent="0.25">
      <c r="A2138" t="s">
        <v>8</v>
      </c>
      <c r="B2138" t="s">
        <v>6</v>
      </c>
      <c r="C2138">
        <v>80</v>
      </c>
      <c r="D2138">
        <v>892.3</v>
      </c>
    </row>
    <row r="2139" spans="1:4" x14ac:dyDescent="0.25">
      <c r="A2139" t="s">
        <v>8</v>
      </c>
      <c r="B2139" t="s">
        <v>6</v>
      </c>
      <c r="C2139">
        <v>80</v>
      </c>
      <c r="D2139">
        <v>849.50300000000004</v>
      </c>
    </row>
    <row r="2140" spans="1:4" x14ac:dyDescent="0.25">
      <c r="A2140" t="s">
        <v>8</v>
      </c>
      <c r="B2140" t="s">
        <v>6</v>
      </c>
      <c r="C2140">
        <v>80</v>
      </c>
      <c r="D2140">
        <v>879.12099999999998</v>
      </c>
    </row>
    <row r="2141" spans="1:4" x14ac:dyDescent="0.25">
      <c r="A2141" t="s">
        <v>8</v>
      </c>
      <c r="B2141" t="s">
        <v>6</v>
      </c>
      <c r="C2141">
        <v>80</v>
      </c>
      <c r="D2141">
        <v>893.73400000000004</v>
      </c>
    </row>
    <row r="2142" spans="1:4" x14ac:dyDescent="0.25">
      <c r="A2142" t="s">
        <v>8</v>
      </c>
      <c r="B2142" t="s">
        <v>6</v>
      </c>
      <c r="C2142">
        <v>80</v>
      </c>
      <c r="D2142">
        <v>915.41200000000003</v>
      </c>
    </row>
    <row r="2143" spans="1:4" x14ac:dyDescent="0.25">
      <c r="A2143" t="s">
        <v>8</v>
      </c>
      <c r="B2143" t="s">
        <v>6</v>
      </c>
      <c r="C2143">
        <v>80</v>
      </c>
      <c r="D2143">
        <v>889.23099999999999</v>
      </c>
    </row>
    <row r="2144" spans="1:4" x14ac:dyDescent="0.25">
      <c r="A2144" t="s">
        <v>8</v>
      </c>
      <c r="B2144" t="s">
        <v>6</v>
      </c>
      <c r="C2144">
        <v>80</v>
      </c>
      <c r="D2144">
        <v>835.23199999999997</v>
      </c>
    </row>
    <row r="2145" spans="1:4" x14ac:dyDescent="0.25">
      <c r="A2145" t="s">
        <v>8</v>
      </c>
      <c r="B2145" t="s">
        <v>6</v>
      </c>
      <c r="C2145">
        <v>80</v>
      </c>
      <c r="D2145">
        <v>903.32899999999995</v>
      </c>
    </row>
    <row r="2146" spans="1:4" x14ac:dyDescent="0.25">
      <c r="A2146" t="s">
        <v>8</v>
      </c>
      <c r="B2146" t="s">
        <v>6</v>
      </c>
      <c r="C2146">
        <v>80</v>
      </c>
      <c r="D2146">
        <v>871.31799999999998</v>
      </c>
    </row>
    <row r="2147" spans="1:4" x14ac:dyDescent="0.25">
      <c r="A2147" t="s">
        <v>8</v>
      </c>
      <c r="B2147" t="s">
        <v>6</v>
      </c>
      <c r="C2147">
        <v>80</v>
      </c>
      <c r="D2147">
        <v>876.11400000000003</v>
      </c>
    </row>
    <row r="2148" spans="1:4" x14ac:dyDescent="0.25">
      <c r="A2148" t="s">
        <v>8</v>
      </c>
      <c r="B2148" t="s">
        <v>6</v>
      </c>
      <c r="C2148">
        <v>80</v>
      </c>
      <c r="D2148">
        <v>935.26599999999996</v>
      </c>
    </row>
    <row r="2149" spans="1:4" x14ac:dyDescent="0.25">
      <c r="A2149" t="s">
        <v>8</v>
      </c>
      <c r="B2149" t="s">
        <v>6</v>
      </c>
      <c r="C2149">
        <v>80</v>
      </c>
      <c r="D2149">
        <v>900.12900000000002</v>
      </c>
    </row>
    <row r="2150" spans="1:4" x14ac:dyDescent="0.25">
      <c r="A2150" t="s">
        <v>8</v>
      </c>
      <c r="B2150" t="s">
        <v>6</v>
      </c>
      <c r="C2150">
        <v>80</v>
      </c>
      <c r="D2150">
        <v>920.90300000000002</v>
      </c>
    </row>
    <row r="2151" spans="1:4" x14ac:dyDescent="0.25">
      <c r="A2151" t="s">
        <v>8</v>
      </c>
      <c r="B2151" t="s">
        <v>6</v>
      </c>
      <c r="C2151">
        <v>80</v>
      </c>
      <c r="D2151">
        <v>922.39099999999996</v>
      </c>
    </row>
    <row r="2152" spans="1:4" x14ac:dyDescent="0.25">
      <c r="A2152" t="s">
        <v>8</v>
      </c>
      <c r="B2152" t="s">
        <v>6</v>
      </c>
      <c r="C2152">
        <v>80</v>
      </c>
      <c r="D2152">
        <v>919.42700000000002</v>
      </c>
    </row>
    <row r="2153" spans="1:4" x14ac:dyDescent="0.25">
      <c r="A2153" t="s">
        <v>8</v>
      </c>
      <c r="B2153" t="s">
        <v>6</v>
      </c>
      <c r="C2153">
        <v>80</v>
      </c>
      <c r="D2153">
        <v>932.21900000000005</v>
      </c>
    </row>
    <row r="2154" spans="1:4" x14ac:dyDescent="0.25">
      <c r="A2154" t="s">
        <v>8</v>
      </c>
      <c r="B2154" t="s">
        <v>6</v>
      </c>
      <c r="C2154">
        <v>80</v>
      </c>
      <c r="D2154">
        <v>895.69100000000003</v>
      </c>
    </row>
    <row r="2155" spans="1:4" x14ac:dyDescent="0.25">
      <c r="A2155" t="s">
        <v>8</v>
      </c>
      <c r="B2155" t="s">
        <v>6</v>
      </c>
      <c r="C2155">
        <v>80</v>
      </c>
      <c r="D2155">
        <v>879.495</v>
      </c>
    </row>
    <row r="2156" spans="1:4" x14ac:dyDescent="0.25">
      <c r="A2156" t="s">
        <v>8</v>
      </c>
      <c r="B2156" t="s">
        <v>6</v>
      </c>
      <c r="C2156">
        <v>80</v>
      </c>
      <c r="D2156">
        <v>874.17499999999995</v>
      </c>
    </row>
    <row r="2157" spans="1:4" x14ac:dyDescent="0.25">
      <c r="A2157" t="s">
        <v>8</v>
      </c>
      <c r="B2157" t="s">
        <v>6</v>
      </c>
      <c r="C2157">
        <v>80</v>
      </c>
      <c r="D2157">
        <v>894.94299999999998</v>
      </c>
    </row>
    <row r="2158" spans="1:4" x14ac:dyDescent="0.25">
      <c r="A2158" t="s">
        <v>8</v>
      </c>
      <c r="B2158" t="s">
        <v>6</v>
      </c>
      <c r="C2158">
        <v>80</v>
      </c>
      <c r="D2158">
        <v>927.57899999999995</v>
      </c>
    </row>
    <row r="2159" spans="1:4" x14ac:dyDescent="0.25">
      <c r="A2159" t="s">
        <v>8</v>
      </c>
      <c r="B2159" t="s">
        <v>6</v>
      </c>
      <c r="C2159">
        <v>80</v>
      </c>
      <c r="D2159">
        <v>938.48599999999999</v>
      </c>
    </row>
    <row r="2160" spans="1:4" x14ac:dyDescent="0.25">
      <c r="A2160" t="s">
        <v>8</v>
      </c>
      <c r="B2160" t="s">
        <v>6</v>
      </c>
      <c r="C2160">
        <v>80</v>
      </c>
      <c r="D2160">
        <v>910.05799999999999</v>
      </c>
    </row>
    <row r="2161" spans="1:4" x14ac:dyDescent="0.25">
      <c r="A2161" t="s">
        <v>8</v>
      </c>
      <c r="B2161" t="s">
        <v>6</v>
      </c>
      <c r="C2161">
        <v>80</v>
      </c>
      <c r="D2161">
        <v>885.31399999999996</v>
      </c>
    </row>
    <row r="2162" spans="1:4" x14ac:dyDescent="0.25">
      <c r="A2162" t="s">
        <v>8</v>
      </c>
      <c r="B2162" t="s">
        <v>6</v>
      </c>
      <c r="C2162">
        <v>80</v>
      </c>
      <c r="D2162">
        <v>932.19</v>
      </c>
    </row>
    <row r="2163" spans="1:4" x14ac:dyDescent="0.25">
      <c r="A2163" t="s">
        <v>8</v>
      </c>
      <c r="B2163" t="s">
        <v>6</v>
      </c>
      <c r="C2163">
        <v>80</v>
      </c>
      <c r="D2163">
        <v>919.92</v>
      </c>
    </row>
    <row r="2164" spans="1:4" x14ac:dyDescent="0.25">
      <c r="A2164" t="s">
        <v>8</v>
      </c>
      <c r="B2164" t="s">
        <v>6</v>
      </c>
      <c r="C2164">
        <v>80</v>
      </c>
      <c r="D2164">
        <v>913.69799999999998</v>
      </c>
    </row>
    <row r="2165" spans="1:4" x14ac:dyDescent="0.25">
      <c r="A2165" t="s">
        <v>8</v>
      </c>
      <c r="B2165" t="s">
        <v>6</v>
      </c>
      <c r="C2165">
        <v>80</v>
      </c>
      <c r="D2165">
        <v>888.58799999999997</v>
      </c>
    </row>
    <row r="2166" spans="1:4" x14ac:dyDescent="0.25">
      <c r="A2166" t="s">
        <v>8</v>
      </c>
      <c r="B2166" t="s">
        <v>6</v>
      </c>
      <c r="C2166">
        <v>80</v>
      </c>
      <c r="D2166">
        <v>928.69399999999996</v>
      </c>
    </row>
    <row r="2167" spans="1:4" x14ac:dyDescent="0.25">
      <c r="A2167" t="s">
        <v>8</v>
      </c>
      <c r="B2167" t="s">
        <v>6</v>
      </c>
      <c r="C2167">
        <v>80</v>
      </c>
      <c r="D2167">
        <v>886.46199999999999</v>
      </c>
    </row>
    <row r="2168" spans="1:4" x14ac:dyDescent="0.25">
      <c r="A2168" t="s">
        <v>8</v>
      </c>
      <c r="B2168" t="s">
        <v>6</v>
      </c>
      <c r="C2168">
        <v>80</v>
      </c>
      <c r="D2168">
        <v>913.18200000000002</v>
      </c>
    </row>
    <row r="2169" spans="1:4" x14ac:dyDescent="0.25">
      <c r="A2169" t="s">
        <v>8</v>
      </c>
      <c r="B2169" t="s">
        <v>6</v>
      </c>
      <c r="C2169">
        <v>80</v>
      </c>
      <c r="D2169">
        <v>888.67200000000003</v>
      </c>
    </row>
    <row r="2170" spans="1:4" x14ac:dyDescent="0.25">
      <c r="A2170" t="s">
        <v>8</v>
      </c>
      <c r="B2170" t="s">
        <v>6</v>
      </c>
      <c r="C2170">
        <v>80</v>
      </c>
      <c r="D2170">
        <v>872.78899999999999</v>
      </c>
    </row>
    <row r="2171" spans="1:4" x14ac:dyDescent="0.25">
      <c r="A2171" t="s">
        <v>8</v>
      </c>
      <c r="B2171" t="s">
        <v>6</v>
      </c>
      <c r="C2171">
        <v>80</v>
      </c>
      <c r="D2171">
        <v>928.97400000000005</v>
      </c>
    </row>
    <row r="2172" spans="1:4" x14ac:dyDescent="0.25">
      <c r="A2172" t="s">
        <v>8</v>
      </c>
      <c r="B2172" t="s">
        <v>6</v>
      </c>
      <c r="C2172">
        <v>80</v>
      </c>
      <c r="D2172">
        <v>880.28399999999999</v>
      </c>
    </row>
    <row r="2173" spans="1:4" x14ac:dyDescent="0.25">
      <c r="A2173" t="s">
        <v>8</v>
      </c>
      <c r="B2173" t="s">
        <v>6</v>
      </c>
      <c r="C2173">
        <v>80</v>
      </c>
      <c r="D2173">
        <v>932.39099999999996</v>
      </c>
    </row>
    <row r="2174" spans="1:4" x14ac:dyDescent="0.25">
      <c r="A2174" t="s">
        <v>8</v>
      </c>
      <c r="B2174" t="s">
        <v>6</v>
      </c>
      <c r="C2174">
        <v>80</v>
      </c>
      <c r="D2174">
        <v>924.53499999999997</v>
      </c>
    </row>
    <row r="2175" spans="1:4" x14ac:dyDescent="0.25">
      <c r="A2175" t="s">
        <v>8</v>
      </c>
      <c r="B2175" t="s">
        <v>6</v>
      </c>
      <c r="C2175">
        <v>80</v>
      </c>
      <c r="D2175">
        <v>902.15300000000002</v>
      </c>
    </row>
    <row r="2176" spans="1:4" x14ac:dyDescent="0.25">
      <c r="A2176" t="s">
        <v>8</v>
      </c>
      <c r="B2176" t="s">
        <v>6</v>
      </c>
      <c r="C2176">
        <v>80</v>
      </c>
      <c r="D2176">
        <v>900.81600000000003</v>
      </c>
    </row>
    <row r="2177" spans="1:4" x14ac:dyDescent="0.25">
      <c r="A2177" t="s">
        <v>8</v>
      </c>
      <c r="B2177" t="s">
        <v>6</v>
      </c>
      <c r="C2177">
        <v>80</v>
      </c>
      <c r="D2177">
        <v>913.00400000000002</v>
      </c>
    </row>
    <row r="2178" spans="1:4" x14ac:dyDescent="0.25">
      <c r="A2178" t="s">
        <v>8</v>
      </c>
      <c r="B2178" t="s">
        <v>6</v>
      </c>
      <c r="C2178">
        <v>80</v>
      </c>
      <c r="D2178">
        <v>883.55399999999997</v>
      </c>
    </row>
    <row r="2179" spans="1:4" x14ac:dyDescent="0.25">
      <c r="A2179" t="s">
        <v>8</v>
      </c>
      <c r="B2179" t="s">
        <v>6</v>
      </c>
      <c r="C2179">
        <v>80</v>
      </c>
      <c r="D2179">
        <v>894.42</v>
      </c>
    </row>
    <row r="2180" spans="1:4" x14ac:dyDescent="0.25">
      <c r="A2180" t="s">
        <v>8</v>
      </c>
      <c r="B2180" t="s">
        <v>6</v>
      </c>
      <c r="C2180">
        <v>80</v>
      </c>
      <c r="D2180">
        <v>899.12099999999998</v>
      </c>
    </row>
    <row r="2181" spans="1:4" x14ac:dyDescent="0.25">
      <c r="A2181" t="s">
        <v>8</v>
      </c>
      <c r="B2181" t="s">
        <v>6</v>
      </c>
      <c r="C2181">
        <v>80</v>
      </c>
      <c r="D2181">
        <v>861.98599999999999</v>
      </c>
    </row>
    <row r="2182" spans="1:4" x14ac:dyDescent="0.25">
      <c r="A2182" t="s">
        <v>8</v>
      </c>
      <c r="B2182" t="s">
        <v>6</v>
      </c>
      <c r="C2182">
        <v>80</v>
      </c>
      <c r="D2182">
        <v>897.96100000000001</v>
      </c>
    </row>
    <row r="2183" spans="1:4" x14ac:dyDescent="0.25">
      <c r="A2183" t="s">
        <v>8</v>
      </c>
      <c r="B2183" t="s">
        <v>6</v>
      </c>
      <c r="C2183">
        <v>80</v>
      </c>
      <c r="D2183">
        <v>919.44600000000003</v>
      </c>
    </row>
    <row r="2184" spans="1:4" x14ac:dyDescent="0.25">
      <c r="A2184" t="s">
        <v>8</v>
      </c>
      <c r="B2184" t="s">
        <v>6</v>
      </c>
      <c r="C2184">
        <v>80</v>
      </c>
      <c r="D2184">
        <v>920.36900000000003</v>
      </c>
    </row>
    <row r="2185" spans="1:4" x14ac:dyDescent="0.25">
      <c r="A2185" t="s">
        <v>8</v>
      </c>
      <c r="B2185" t="s">
        <v>6</v>
      </c>
      <c r="C2185">
        <v>80</v>
      </c>
      <c r="D2185">
        <v>898.8</v>
      </c>
    </row>
    <row r="2186" spans="1:4" x14ac:dyDescent="0.25">
      <c r="A2186" t="s">
        <v>8</v>
      </c>
      <c r="B2186" t="s">
        <v>6</v>
      </c>
      <c r="C2186">
        <v>80</v>
      </c>
      <c r="D2186">
        <v>892.69299999999998</v>
      </c>
    </row>
    <row r="2187" spans="1:4" x14ac:dyDescent="0.25">
      <c r="A2187" t="s">
        <v>8</v>
      </c>
      <c r="B2187" t="s">
        <v>6</v>
      </c>
      <c r="C2187">
        <v>80</v>
      </c>
      <c r="D2187">
        <v>894.00099999999998</v>
      </c>
    </row>
    <row r="2188" spans="1:4" x14ac:dyDescent="0.25">
      <c r="A2188" t="s">
        <v>8</v>
      </c>
      <c r="B2188" t="s">
        <v>6</v>
      </c>
      <c r="C2188">
        <v>80</v>
      </c>
      <c r="D2188">
        <v>900.03700000000003</v>
      </c>
    </row>
    <row r="2189" spans="1:4" x14ac:dyDescent="0.25">
      <c r="A2189" t="s">
        <v>8</v>
      </c>
      <c r="B2189" t="s">
        <v>6</v>
      </c>
      <c r="C2189">
        <v>80</v>
      </c>
      <c r="D2189">
        <v>871.69</v>
      </c>
    </row>
    <row r="2190" spans="1:4" x14ac:dyDescent="0.25">
      <c r="A2190" t="s">
        <v>8</v>
      </c>
      <c r="B2190" t="s">
        <v>6</v>
      </c>
      <c r="C2190">
        <v>80</v>
      </c>
      <c r="D2190">
        <v>927.09</v>
      </c>
    </row>
    <row r="2191" spans="1:4" x14ac:dyDescent="0.25">
      <c r="A2191" t="s">
        <v>8</v>
      </c>
      <c r="B2191" t="s">
        <v>6</v>
      </c>
      <c r="C2191">
        <v>80</v>
      </c>
      <c r="D2191">
        <v>931.17200000000003</v>
      </c>
    </row>
    <row r="2192" spans="1:4" x14ac:dyDescent="0.25">
      <c r="A2192" t="s">
        <v>8</v>
      </c>
      <c r="B2192" t="s">
        <v>6</v>
      </c>
      <c r="C2192">
        <v>80</v>
      </c>
      <c r="D2192">
        <v>901.99800000000005</v>
      </c>
    </row>
    <row r="2193" spans="1:4" x14ac:dyDescent="0.25">
      <c r="A2193" t="s">
        <v>8</v>
      </c>
      <c r="B2193" t="s">
        <v>6</v>
      </c>
      <c r="C2193">
        <v>80</v>
      </c>
      <c r="D2193">
        <v>924.33699999999999</v>
      </c>
    </row>
    <row r="2194" spans="1:4" x14ac:dyDescent="0.25">
      <c r="A2194" t="s">
        <v>8</v>
      </c>
      <c r="B2194" t="s">
        <v>6</v>
      </c>
      <c r="C2194">
        <v>80</v>
      </c>
      <c r="D2194">
        <v>888.18399999999997</v>
      </c>
    </row>
    <row r="2195" spans="1:4" x14ac:dyDescent="0.25">
      <c r="A2195" t="s">
        <v>8</v>
      </c>
      <c r="B2195" t="s">
        <v>6</v>
      </c>
      <c r="C2195">
        <v>80</v>
      </c>
      <c r="D2195">
        <v>899.30499999999995</v>
      </c>
    </row>
    <row r="2196" spans="1:4" x14ac:dyDescent="0.25">
      <c r="A2196" t="s">
        <v>8</v>
      </c>
      <c r="B2196" t="s">
        <v>6</v>
      </c>
      <c r="C2196">
        <v>80</v>
      </c>
      <c r="D2196">
        <v>902.64300000000003</v>
      </c>
    </row>
    <row r="2197" spans="1:4" x14ac:dyDescent="0.25">
      <c r="A2197" t="s">
        <v>8</v>
      </c>
      <c r="B2197" t="s">
        <v>6</v>
      </c>
      <c r="C2197">
        <v>80</v>
      </c>
      <c r="D2197">
        <v>868.86900000000003</v>
      </c>
    </row>
    <row r="2198" spans="1:4" x14ac:dyDescent="0.25">
      <c r="A2198" t="s">
        <v>8</v>
      </c>
      <c r="B2198" t="s">
        <v>6</v>
      </c>
      <c r="C2198">
        <v>80</v>
      </c>
      <c r="D2198">
        <v>919.55499999999995</v>
      </c>
    </row>
    <row r="2199" spans="1:4" x14ac:dyDescent="0.25">
      <c r="A2199" t="s">
        <v>8</v>
      </c>
      <c r="B2199" t="s">
        <v>6</v>
      </c>
      <c r="C2199">
        <v>80</v>
      </c>
      <c r="D2199">
        <v>926.93200000000002</v>
      </c>
    </row>
    <row r="2200" spans="1:4" x14ac:dyDescent="0.25">
      <c r="A2200" t="s">
        <v>8</v>
      </c>
      <c r="B2200" t="s">
        <v>6</v>
      </c>
      <c r="C2200">
        <v>80</v>
      </c>
      <c r="D2200">
        <v>849.62699999999995</v>
      </c>
    </row>
    <row r="2201" spans="1:4" x14ac:dyDescent="0.25">
      <c r="A2201" t="s">
        <v>8</v>
      </c>
      <c r="B2201" t="s">
        <v>6</v>
      </c>
      <c r="C2201">
        <v>80</v>
      </c>
      <c r="D2201">
        <v>869.24900000000002</v>
      </c>
    </row>
    <row r="2202" spans="1:4" x14ac:dyDescent="0.25">
      <c r="A2202" t="s">
        <v>8</v>
      </c>
      <c r="B2202" t="s">
        <v>6</v>
      </c>
      <c r="C2202">
        <v>100</v>
      </c>
      <c r="D2202">
        <v>1103.934</v>
      </c>
    </row>
    <row r="2203" spans="1:4" x14ac:dyDescent="0.25">
      <c r="A2203" t="s">
        <v>8</v>
      </c>
      <c r="B2203" t="s">
        <v>6</v>
      </c>
      <c r="C2203">
        <v>100</v>
      </c>
      <c r="D2203">
        <v>1118.5060000000001</v>
      </c>
    </row>
    <row r="2204" spans="1:4" x14ac:dyDescent="0.25">
      <c r="A2204" t="s">
        <v>8</v>
      </c>
      <c r="B2204" t="s">
        <v>6</v>
      </c>
      <c r="C2204">
        <v>100</v>
      </c>
      <c r="D2204">
        <v>1081.6310000000001</v>
      </c>
    </row>
    <row r="2205" spans="1:4" x14ac:dyDescent="0.25">
      <c r="A2205" t="s">
        <v>8</v>
      </c>
      <c r="B2205" t="s">
        <v>6</v>
      </c>
      <c r="C2205">
        <v>100</v>
      </c>
      <c r="D2205">
        <v>1077.7809999999999</v>
      </c>
    </row>
    <row r="2206" spans="1:4" x14ac:dyDescent="0.25">
      <c r="A2206" t="s">
        <v>8</v>
      </c>
      <c r="B2206" t="s">
        <v>6</v>
      </c>
      <c r="C2206">
        <v>100</v>
      </c>
      <c r="D2206">
        <v>1080.0260000000001</v>
      </c>
    </row>
    <row r="2207" spans="1:4" x14ac:dyDescent="0.25">
      <c r="A2207" t="s">
        <v>8</v>
      </c>
      <c r="B2207" t="s">
        <v>6</v>
      </c>
      <c r="C2207">
        <v>100</v>
      </c>
      <c r="D2207">
        <v>1104.25</v>
      </c>
    </row>
    <row r="2208" spans="1:4" x14ac:dyDescent="0.25">
      <c r="A2208" t="s">
        <v>8</v>
      </c>
      <c r="B2208" t="s">
        <v>6</v>
      </c>
      <c r="C2208">
        <v>100</v>
      </c>
      <c r="D2208">
        <v>1091.655</v>
      </c>
    </row>
    <row r="2209" spans="1:4" x14ac:dyDescent="0.25">
      <c r="A2209" t="s">
        <v>8</v>
      </c>
      <c r="B2209" t="s">
        <v>6</v>
      </c>
      <c r="C2209">
        <v>100</v>
      </c>
      <c r="D2209">
        <v>1160.327</v>
      </c>
    </row>
    <row r="2210" spans="1:4" x14ac:dyDescent="0.25">
      <c r="A2210" t="s">
        <v>8</v>
      </c>
      <c r="B2210" t="s">
        <v>6</v>
      </c>
      <c r="C2210">
        <v>100</v>
      </c>
      <c r="D2210">
        <v>1120.633</v>
      </c>
    </row>
    <row r="2211" spans="1:4" x14ac:dyDescent="0.25">
      <c r="A2211" t="s">
        <v>8</v>
      </c>
      <c r="B2211" t="s">
        <v>6</v>
      </c>
      <c r="C2211">
        <v>100</v>
      </c>
      <c r="D2211">
        <v>1048.7729999999999</v>
      </c>
    </row>
    <row r="2212" spans="1:4" x14ac:dyDescent="0.25">
      <c r="A2212" t="s">
        <v>8</v>
      </c>
      <c r="B2212" t="s">
        <v>6</v>
      </c>
      <c r="C2212">
        <v>100</v>
      </c>
      <c r="D2212">
        <v>1079.098</v>
      </c>
    </row>
    <row r="2213" spans="1:4" x14ac:dyDescent="0.25">
      <c r="A2213" t="s">
        <v>8</v>
      </c>
      <c r="B2213" t="s">
        <v>6</v>
      </c>
      <c r="C2213">
        <v>100</v>
      </c>
      <c r="D2213">
        <v>1120.7950000000001</v>
      </c>
    </row>
    <row r="2214" spans="1:4" x14ac:dyDescent="0.25">
      <c r="A2214" t="s">
        <v>8</v>
      </c>
      <c r="B2214" t="s">
        <v>6</v>
      </c>
      <c r="C2214">
        <v>100</v>
      </c>
      <c r="D2214">
        <v>1066.9849999999999</v>
      </c>
    </row>
    <row r="2215" spans="1:4" x14ac:dyDescent="0.25">
      <c r="A2215" t="s">
        <v>8</v>
      </c>
      <c r="B2215" t="s">
        <v>6</v>
      </c>
      <c r="C2215">
        <v>100</v>
      </c>
      <c r="D2215">
        <v>1117.2059999999999</v>
      </c>
    </row>
    <row r="2216" spans="1:4" x14ac:dyDescent="0.25">
      <c r="A2216" t="s">
        <v>8</v>
      </c>
      <c r="B2216" t="s">
        <v>6</v>
      </c>
      <c r="C2216">
        <v>100</v>
      </c>
      <c r="D2216">
        <v>1108.2280000000001</v>
      </c>
    </row>
    <row r="2217" spans="1:4" x14ac:dyDescent="0.25">
      <c r="A2217" t="s">
        <v>8</v>
      </c>
      <c r="B2217" t="s">
        <v>6</v>
      </c>
      <c r="C2217">
        <v>100</v>
      </c>
      <c r="D2217">
        <v>1120.396</v>
      </c>
    </row>
    <row r="2218" spans="1:4" x14ac:dyDescent="0.25">
      <c r="A2218" t="s">
        <v>8</v>
      </c>
      <c r="B2218" t="s">
        <v>6</v>
      </c>
      <c r="C2218">
        <v>100</v>
      </c>
      <c r="D2218">
        <v>1084.0609999999999</v>
      </c>
    </row>
    <row r="2219" spans="1:4" x14ac:dyDescent="0.25">
      <c r="A2219" t="s">
        <v>8</v>
      </c>
      <c r="B2219" t="s">
        <v>6</v>
      </c>
      <c r="C2219">
        <v>100</v>
      </c>
      <c r="D2219">
        <v>1090.5050000000001</v>
      </c>
    </row>
    <row r="2220" spans="1:4" x14ac:dyDescent="0.25">
      <c r="A2220" t="s">
        <v>8</v>
      </c>
      <c r="B2220" t="s">
        <v>6</v>
      </c>
      <c r="C2220">
        <v>100</v>
      </c>
      <c r="D2220">
        <v>1117.8720000000001</v>
      </c>
    </row>
    <row r="2221" spans="1:4" x14ac:dyDescent="0.25">
      <c r="A2221" t="s">
        <v>8</v>
      </c>
      <c r="B2221" t="s">
        <v>6</v>
      </c>
      <c r="C2221">
        <v>100</v>
      </c>
      <c r="D2221">
        <v>1103.0719999999999</v>
      </c>
    </row>
    <row r="2222" spans="1:4" x14ac:dyDescent="0.25">
      <c r="A2222" t="s">
        <v>8</v>
      </c>
      <c r="B2222" t="s">
        <v>6</v>
      </c>
      <c r="C2222">
        <v>100</v>
      </c>
      <c r="D2222">
        <v>1085.8230000000001</v>
      </c>
    </row>
    <row r="2223" spans="1:4" x14ac:dyDescent="0.25">
      <c r="A2223" t="s">
        <v>8</v>
      </c>
      <c r="B2223" t="s">
        <v>6</v>
      </c>
      <c r="C2223">
        <v>100</v>
      </c>
      <c r="D2223">
        <v>1097.204</v>
      </c>
    </row>
    <row r="2224" spans="1:4" x14ac:dyDescent="0.25">
      <c r="A2224" t="s">
        <v>8</v>
      </c>
      <c r="B2224" t="s">
        <v>6</v>
      </c>
      <c r="C2224">
        <v>100</v>
      </c>
      <c r="D2224">
        <v>1071.7380000000001</v>
      </c>
    </row>
    <row r="2225" spans="1:4" x14ac:dyDescent="0.25">
      <c r="A2225" t="s">
        <v>8</v>
      </c>
      <c r="B2225" t="s">
        <v>6</v>
      </c>
      <c r="C2225">
        <v>100</v>
      </c>
      <c r="D2225">
        <v>1086.3810000000001</v>
      </c>
    </row>
    <row r="2226" spans="1:4" x14ac:dyDescent="0.25">
      <c r="A2226" t="s">
        <v>8</v>
      </c>
      <c r="B2226" t="s">
        <v>6</v>
      </c>
      <c r="C2226">
        <v>100</v>
      </c>
      <c r="D2226">
        <v>1135.7539999999999</v>
      </c>
    </row>
    <row r="2227" spans="1:4" x14ac:dyDescent="0.25">
      <c r="A2227" t="s">
        <v>8</v>
      </c>
      <c r="B2227" t="s">
        <v>6</v>
      </c>
      <c r="C2227">
        <v>100</v>
      </c>
      <c r="D2227">
        <v>1102.827</v>
      </c>
    </row>
    <row r="2228" spans="1:4" x14ac:dyDescent="0.25">
      <c r="A2228" t="s">
        <v>8</v>
      </c>
      <c r="B2228" t="s">
        <v>6</v>
      </c>
      <c r="C2228">
        <v>100</v>
      </c>
      <c r="D2228">
        <v>1096.9690000000001</v>
      </c>
    </row>
    <row r="2229" spans="1:4" x14ac:dyDescent="0.25">
      <c r="A2229" t="s">
        <v>8</v>
      </c>
      <c r="B2229" t="s">
        <v>6</v>
      </c>
      <c r="C2229">
        <v>100</v>
      </c>
      <c r="D2229">
        <v>1061.7059999999999</v>
      </c>
    </row>
    <row r="2230" spans="1:4" x14ac:dyDescent="0.25">
      <c r="A2230" t="s">
        <v>8</v>
      </c>
      <c r="B2230" t="s">
        <v>6</v>
      </c>
      <c r="C2230">
        <v>100</v>
      </c>
      <c r="D2230">
        <v>1130.7940000000001</v>
      </c>
    </row>
    <row r="2231" spans="1:4" x14ac:dyDescent="0.25">
      <c r="A2231" t="s">
        <v>8</v>
      </c>
      <c r="B2231" t="s">
        <v>6</v>
      </c>
      <c r="C2231">
        <v>100</v>
      </c>
      <c r="D2231">
        <v>1060.58</v>
      </c>
    </row>
    <row r="2232" spans="1:4" x14ac:dyDescent="0.25">
      <c r="A2232" t="s">
        <v>8</v>
      </c>
      <c r="B2232" t="s">
        <v>6</v>
      </c>
      <c r="C2232">
        <v>100</v>
      </c>
      <c r="D2232">
        <v>1123.8879999999999</v>
      </c>
    </row>
    <row r="2233" spans="1:4" x14ac:dyDescent="0.25">
      <c r="A2233" t="s">
        <v>8</v>
      </c>
      <c r="B2233" t="s">
        <v>6</v>
      </c>
      <c r="C2233">
        <v>100</v>
      </c>
      <c r="D2233">
        <v>1040.46</v>
      </c>
    </row>
    <row r="2234" spans="1:4" x14ac:dyDescent="0.25">
      <c r="A2234" t="s">
        <v>8</v>
      </c>
      <c r="B2234" t="s">
        <v>6</v>
      </c>
      <c r="C2234">
        <v>100</v>
      </c>
      <c r="D2234">
        <v>1077.4880000000001</v>
      </c>
    </row>
    <row r="2235" spans="1:4" x14ac:dyDescent="0.25">
      <c r="A2235" t="s">
        <v>8</v>
      </c>
      <c r="B2235" t="s">
        <v>6</v>
      </c>
      <c r="C2235">
        <v>100</v>
      </c>
      <c r="D2235">
        <v>1124.8340000000001</v>
      </c>
    </row>
    <row r="2236" spans="1:4" x14ac:dyDescent="0.25">
      <c r="A2236" t="s">
        <v>8</v>
      </c>
      <c r="B2236" t="s">
        <v>6</v>
      </c>
      <c r="C2236">
        <v>100</v>
      </c>
      <c r="D2236">
        <v>1127.4259999999999</v>
      </c>
    </row>
    <row r="2237" spans="1:4" x14ac:dyDescent="0.25">
      <c r="A2237" t="s">
        <v>8</v>
      </c>
      <c r="B2237" t="s">
        <v>6</v>
      </c>
      <c r="C2237">
        <v>100</v>
      </c>
      <c r="D2237">
        <v>1092.0039999999999</v>
      </c>
    </row>
    <row r="2238" spans="1:4" x14ac:dyDescent="0.25">
      <c r="A2238" t="s">
        <v>8</v>
      </c>
      <c r="B2238" t="s">
        <v>6</v>
      </c>
      <c r="C2238">
        <v>100</v>
      </c>
      <c r="D2238">
        <v>1097.761</v>
      </c>
    </row>
    <row r="2239" spans="1:4" x14ac:dyDescent="0.25">
      <c r="A2239" t="s">
        <v>8</v>
      </c>
      <c r="B2239" t="s">
        <v>6</v>
      </c>
      <c r="C2239">
        <v>100</v>
      </c>
      <c r="D2239">
        <v>1146.729</v>
      </c>
    </row>
    <row r="2240" spans="1:4" x14ac:dyDescent="0.25">
      <c r="A2240" t="s">
        <v>8</v>
      </c>
      <c r="B2240" t="s">
        <v>6</v>
      </c>
      <c r="C2240">
        <v>100</v>
      </c>
      <c r="D2240">
        <v>1094.173</v>
      </c>
    </row>
    <row r="2241" spans="1:4" x14ac:dyDescent="0.25">
      <c r="A2241" t="s">
        <v>8</v>
      </c>
      <c r="B2241" t="s">
        <v>6</v>
      </c>
      <c r="C2241">
        <v>100</v>
      </c>
      <c r="D2241">
        <v>1116.02</v>
      </c>
    </row>
    <row r="2242" spans="1:4" x14ac:dyDescent="0.25">
      <c r="A2242" t="s">
        <v>8</v>
      </c>
      <c r="B2242" t="s">
        <v>6</v>
      </c>
      <c r="C2242">
        <v>100</v>
      </c>
      <c r="D2242">
        <v>1098.1690000000001</v>
      </c>
    </row>
    <row r="2243" spans="1:4" x14ac:dyDescent="0.25">
      <c r="A2243" t="s">
        <v>8</v>
      </c>
      <c r="B2243" t="s">
        <v>6</v>
      </c>
      <c r="C2243">
        <v>100</v>
      </c>
      <c r="D2243">
        <v>1127.579</v>
      </c>
    </row>
    <row r="2244" spans="1:4" x14ac:dyDescent="0.25">
      <c r="A2244" t="s">
        <v>8</v>
      </c>
      <c r="B2244" t="s">
        <v>6</v>
      </c>
      <c r="C2244">
        <v>100</v>
      </c>
      <c r="D2244">
        <v>1115.711</v>
      </c>
    </row>
    <row r="2245" spans="1:4" x14ac:dyDescent="0.25">
      <c r="A2245" t="s">
        <v>8</v>
      </c>
      <c r="B2245" t="s">
        <v>6</v>
      </c>
      <c r="C2245">
        <v>100</v>
      </c>
      <c r="D2245">
        <v>1079.6759999999999</v>
      </c>
    </row>
    <row r="2246" spans="1:4" x14ac:dyDescent="0.25">
      <c r="A2246" t="s">
        <v>8</v>
      </c>
      <c r="B2246" t="s">
        <v>6</v>
      </c>
      <c r="C2246">
        <v>100</v>
      </c>
      <c r="D2246">
        <v>1089.4939999999999</v>
      </c>
    </row>
    <row r="2247" spans="1:4" x14ac:dyDescent="0.25">
      <c r="A2247" t="s">
        <v>8</v>
      </c>
      <c r="B2247" t="s">
        <v>6</v>
      </c>
      <c r="C2247">
        <v>100</v>
      </c>
      <c r="D2247">
        <v>1128.2760000000001</v>
      </c>
    </row>
    <row r="2248" spans="1:4" x14ac:dyDescent="0.25">
      <c r="A2248" t="s">
        <v>8</v>
      </c>
      <c r="B2248" t="s">
        <v>6</v>
      </c>
      <c r="C2248">
        <v>100</v>
      </c>
      <c r="D2248">
        <v>1134.5360000000001</v>
      </c>
    </row>
    <row r="2249" spans="1:4" x14ac:dyDescent="0.25">
      <c r="A2249" t="s">
        <v>8</v>
      </c>
      <c r="B2249" t="s">
        <v>6</v>
      </c>
      <c r="C2249">
        <v>100</v>
      </c>
      <c r="D2249">
        <v>1105.874</v>
      </c>
    </row>
    <row r="2250" spans="1:4" x14ac:dyDescent="0.25">
      <c r="A2250" t="s">
        <v>8</v>
      </c>
      <c r="B2250" t="s">
        <v>6</v>
      </c>
      <c r="C2250">
        <v>100</v>
      </c>
      <c r="D2250">
        <v>1035.7370000000001</v>
      </c>
    </row>
    <row r="2251" spans="1:4" x14ac:dyDescent="0.25">
      <c r="A2251" t="s">
        <v>8</v>
      </c>
      <c r="B2251" t="s">
        <v>6</v>
      </c>
      <c r="C2251">
        <v>100</v>
      </c>
      <c r="D2251">
        <v>1074.6569999999999</v>
      </c>
    </row>
    <row r="2252" spans="1:4" x14ac:dyDescent="0.25">
      <c r="A2252" t="s">
        <v>8</v>
      </c>
      <c r="B2252" t="s">
        <v>6</v>
      </c>
      <c r="C2252">
        <v>100</v>
      </c>
      <c r="D2252">
        <v>1081.4259999999999</v>
      </c>
    </row>
    <row r="2253" spans="1:4" x14ac:dyDescent="0.25">
      <c r="A2253" t="s">
        <v>8</v>
      </c>
      <c r="B2253" t="s">
        <v>6</v>
      </c>
      <c r="C2253">
        <v>100</v>
      </c>
      <c r="D2253">
        <v>1087.414</v>
      </c>
    </row>
    <row r="2254" spans="1:4" x14ac:dyDescent="0.25">
      <c r="A2254" t="s">
        <v>8</v>
      </c>
      <c r="B2254" t="s">
        <v>6</v>
      </c>
      <c r="C2254">
        <v>100</v>
      </c>
      <c r="D2254">
        <v>1105.4459999999999</v>
      </c>
    </row>
    <row r="2255" spans="1:4" x14ac:dyDescent="0.25">
      <c r="A2255" t="s">
        <v>8</v>
      </c>
      <c r="B2255" t="s">
        <v>6</v>
      </c>
      <c r="C2255">
        <v>100</v>
      </c>
      <c r="D2255">
        <v>1085.2809999999999</v>
      </c>
    </row>
    <row r="2256" spans="1:4" x14ac:dyDescent="0.25">
      <c r="A2256" t="s">
        <v>8</v>
      </c>
      <c r="B2256" t="s">
        <v>6</v>
      </c>
      <c r="C2256">
        <v>100</v>
      </c>
      <c r="D2256">
        <v>1107.0050000000001</v>
      </c>
    </row>
    <row r="2257" spans="1:4" x14ac:dyDescent="0.25">
      <c r="A2257" t="s">
        <v>8</v>
      </c>
      <c r="B2257" t="s">
        <v>6</v>
      </c>
      <c r="C2257">
        <v>100</v>
      </c>
      <c r="D2257">
        <v>1109.9680000000001</v>
      </c>
    </row>
    <row r="2258" spans="1:4" x14ac:dyDescent="0.25">
      <c r="A2258" t="s">
        <v>8</v>
      </c>
      <c r="B2258" t="s">
        <v>6</v>
      </c>
      <c r="C2258">
        <v>100</v>
      </c>
      <c r="D2258">
        <v>1068.5039999999999</v>
      </c>
    </row>
    <row r="2259" spans="1:4" x14ac:dyDescent="0.25">
      <c r="A2259" t="s">
        <v>8</v>
      </c>
      <c r="B2259" t="s">
        <v>6</v>
      </c>
      <c r="C2259">
        <v>100</v>
      </c>
      <c r="D2259">
        <v>1115.174</v>
      </c>
    </row>
    <row r="2260" spans="1:4" x14ac:dyDescent="0.25">
      <c r="A2260" t="s">
        <v>8</v>
      </c>
      <c r="B2260" t="s">
        <v>6</v>
      </c>
      <c r="C2260">
        <v>100</v>
      </c>
      <c r="D2260">
        <v>1125.4659999999999</v>
      </c>
    </row>
    <row r="2261" spans="1:4" x14ac:dyDescent="0.25">
      <c r="A2261" t="s">
        <v>8</v>
      </c>
      <c r="B2261" t="s">
        <v>6</v>
      </c>
      <c r="C2261">
        <v>100</v>
      </c>
      <c r="D2261">
        <v>1068.2170000000001</v>
      </c>
    </row>
    <row r="2262" spans="1:4" x14ac:dyDescent="0.25">
      <c r="A2262" t="s">
        <v>8</v>
      </c>
      <c r="B2262" t="s">
        <v>6</v>
      </c>
      <c r="C2262">
        <v>100</v>
      </c>
      <c r="D2262">
        <v>1108.9169999999999</v>
      </c>
    </row>
    <row r="2263" spans="1:4" x14ac:dyDescent="0.25">
      <c r="A2263" t="s">
        <v>8</v>
      </c>
      <c r="B2263" t="s">
        <v>6</v>
      </c>
      <c r="C2263">
        <v>100</v>
      </c>
      <c r="D2263">
        <v>1062.08</v>
      </c>
    </row>
    <row r="2264" spans="1:4" x14ac:dyDescent="0.25">
      <c r="A2264" t="s">
        <v>8</v>
      </c>
      <c r="B2264" t="s">
        <v>6</v>
      </c>
      <c r="C2264">
        <v>100</v>
      </c>
      <c r="D2264">
        <v>1106.1769999999999</v>
      </c>
    </row>
    <row r="2265" spans="1:4" x14ac:dyDescent="0.25">
      <c r="A2265" t="s">
        <v>8</v>
      </c>
      <c r="B2265" t="s">
        <v>6</v>
      </c>
      <c r="C2265">
        <v>100</v>
      </c>
      <c r="D2265">
        <v>1079.046</v>
      </c>
    </row>
    <row r="2266" spans="1:4" x14ac:dyDescent="0.25">
      <c r="A2266" t="s">
        <v>8</v>
      </c>
      <c r="B2266" t="s">
        <v>6</v>
      </c>
      <c r="C2266">
        <v>100</v>
      </c>
      <c r="D2266">
        <v>1134.366</v>
      </c>
    </row>
    <row r="2267" spans="1:4" x14ac:dyDescent="0.25">
      <c r="A2267" t="s">
        <v>8</v>
      </c>
      <c r="B2267" t="s">
        <v>6</v>
      </c>
      <c r="C2267">
        <v>100</v>
      </c>
      <c r="D2267">
        <v>1057.819</v>
      </c>
    </row>
    <row r="2268" spans="1:4" x14ac:dyDescent="0.25">
      <c r="A2268" t="s">
        <v>8</v>
      </c>
      <c r="B2268" t="s">
        <v>6</v>
      </c>
      <c r="C2268">
        <v>100</v>
      </c>
      <c r="D2268">
        <v>1109.635</v>
      </c>
    </row>
    <row r="2269" spans="1:4" x14ac:dyDescent="0.25">
      <c r="A2269" t="s">
        <v>8</v>
      </c>
      <c r="B2269" t="s">
        <v>6</v>
      </c>
      <c r="C2269">
        <v>100</v>
      </c>
      <c r="D2269">
        <v>1068.221</v>
      </c>
    </row>
    <row r="2270" spans="1:4" x14ac:dyDescent="0.25">
      <c r="A2270" t="s">
        <v>8</v>
      </c>
      <c r="B2270" t="s">
        <v>6</v>
      </c>
      <c r="C2270">
        <v>100</v>
      </c>
      <c r="D2270">
        <v>1121.635</v>
      </c>
    </row>
    <row r="2271" spans="1:4" x14ac:dyDescent="0.25">
      <c r="A2271" t="s">
        <v>8</v>
      </c>
      <c r="B2271" t="s">
        <v>6</v>
      </c>
      <c r="C2271">
        <v>100</v>
      </c>
      <c r="D2271">
        <v>1100.3589999999999</v>
      </c>
    </row>
    <row r="2272" spans="1:4" x14ac:dyDescent="0.25">
      <c r="A2272" t="s">
        <v>8</v>
      </c>
      <c r="B2272" t="s">
        <v>6</v>
      </c>
      <c r="C2272">
        <v>100</v>
      </c>
      <c r="D2272">
        <v>1098.6579999999999</v>
      </c>
    </row>
    <row r="2273" spans="1:4" x14ac:dyDescent="0.25">
      <c r="A2273" t="s">
        <v>8</v>
      </c>
      <c r="B2273" t="s">
        <v>6</v>
      </c>
      <c r="C2273">
        <v>100</v>
      </c>
      <c r="D2273">
        <v>1125.117</v>
      </c>
    </row>
    <row r="2274" spans="1:4" x14ac:dyDescent="0.25">
      <c r="A2274" t="s">
        <v>8</v>
      </c>
      <c r="B2274" t="s">
        <v>6</v>
      </c>
      <c r="C2274">
        <v>100</v>
      </c>
      <c r="D2274">
        <v>1116.0419999999999</v>
      </c>
    </row>
    <row r="2275" spans="1:4" x14ac:dyDescent="0.25">
      <c r="A2275" t="s">
        <v>8</v>
      </c>
      <c r="B2275" t="s">
        <v>6</v>
      </c>
      <c r="C2275">
        <v>100</v>
      </c>
      <c r="D2275">
        <v>1123.7</v>
      </c>
    </row>
    <row r="2276" spans="1:4" x14ac:dyDescent="0.25">
      <c r="A2276" t="s">
        <v>8</v>
      </c>
      <c r="B2276" t="s">
        <v>6</v>
      </c>
      <c r="C2276">
        <v>100</v>
      </c>
      <c r="D2276">
        <v>1067.7439999999999</v>
      </c>
    </row>
    <row r="2277" spans="1:4" x14ac:dyDescent="0.25">
      <c r="A2277" t="s">
        <v>8</v>
      </c>
      <c r="B2277" t="s">
        <v>6</v>
      </c>
      <c r="C2277">
        <v>100</v>
      </c>
      <c r="D2277">
        <v>1083.2529999999999</v>
      </c>
    </row>
    <row r="2278" spans="1:4" x14ac:dyDescent="0.25">
      <c r="A2278" t="s">
        <v>8</v>
      </c>
      <c r="B2278" t="s">
        <v>6</v>
      </c>
      <c r="C2278">
        <v>100</v>
      </c>
      <c r="D2278">
        <v>1118.3430000000001</v>
      </c>
    </row>
    <row r="2279" spans="1:4" x14ac:dyDescent="0.25">
      <c r="A2279" t="s">
        <v>8</v>
      </c>
      <c r="B2279" t="s">
        <v>6</v>
      </c>
      <c r="C2279">
        <v>100</v>
      </c>
      <c r="D2279">
        <v>1067.8530000000001</v>
      </c>
    </row>
    <row r="2280" spans="1:4" x14ac:dyDescent="0.25">
      <c r="A2280" t="s">
        <v>8</v>
      </c>
      <c r="B2280" t="s">
        <v>6</v>
      </c>
      <c r="C2280">
        <v>100</v>
      </c>
      <c r="D2280">
        <v>1093.7929999999999</v>
      </c>
    </row>
    <row r="2281" spans="1:4" x14ac:dyDescent="0.25">
      <c r="A2281" t="s">
        <v>8</v>
      </c>
      <c r="B2281" t="s">
        <v>6</v>
      </c>
      <c r="C2281">
        <v>100</v>
      </c>
      <c r="D2281">
        <v>1112.779</v>
      </c>
    </row>
    <row r="2282" spans="1:4" x14ac:dyDescent="0.25">
      <c r="A2282" t="s">
        <v>8</v>
      </c>
      <c r="B2282" t="s">
        <v>6</v>
      </c>
      <c r="C2282">
        <v>100</v>
      </c>
      <c r="D2282">
        <v>1081.8240000000001</v>
      </c>
    </row>
    <row r="2283" spans="1:4" x14ac:dyDescent="0.25">
      <c r="A2283" t="s">
        <v>8</v>
      </c>
      <c r="B2283" t="s">
        <v>6</v>
      </c>
      <c r="C2283">
        <v>100</v>
      </c>
      <c r="D2283">
        <v>1122.0530000000001</v>
      </c>
    </row>
    <row r="2284" spans="1:4" x14ac:dyDescent="0.25">
      <c r="A2284" t="s">
        <v>8</v>
      </c>
      <c r="B2284" t="s">
        <v>6</v>
      </c>
      <c r="C2284">
        <v>100</v>
      </c>
      <c r="D2284">
        <v>1090.6189999999999</v>
      </c>
    </row>
    <row r="2285" spans="1:4" x14ac:dyDescent="0.25">
      <c r="A2285" t="s">
        <v>8</v>
      </c>
      <c r="B2285" t="s">
        <v>6</v>
      </c>
      <c r="C2285">
        <v>100</v>
      </c>
      <c r="D2285">
        <v>1076.105</v>
      </c>
    </row>
    <row r="2286" spans="1:4" x14ac:dyDescent="0.25">
      <c r="A2286" t="s">
        <v>8</v>
      </c>
      <c r="B2286" t="s">
        <v>6</v>
      </c>
      <c r="C2286">
        <v>100</v>
      </c>
      <c r="D2286">
        <v>1094.83</v>
      </c>
    </row>
    <row r="2287" spans="1:4" x14ac:dyDescent="0.25">
      <c r="A2287" t="s">
        <v>8</v>
      </c>
      <c r="B2287" t="s">
        <v>6</v>
      </c>
      <c r="C2287">
        <v>100</v>
      </c>
      <c r="D2287">
        <v>1076.759</v>
      </c>
    </row>
    <row r="2288" spans="1:4" x14ac:dyDescent="0.25">
      <c r="A2288" t="s">
        <v>8</v>
      </c>
      <c r="B2288" t="s">
        <v>6</v>
      </c>
      <c r="C2288">
        <v>100</v>
      </c>
      <c r="D2288">
        <v>1073.7260000000001</v>
      </c>
    </row>
    <row r="2289" spans="1:4" x14ac:dyDescent="0.25">
      <c r="A2289" t="s">
        <v>8</v>
      </c>
      <c r="B2289" t="s">
        <v>6</v>
      </c>
      <c r="C2289">
        <v>100</v>
      </c>
      <c r="D2289">
        <v>1087.0619999999999</v>
      </c>
    </row>
    <row r="2290" spans="1:4" x14ac:dyDescent="0.25">
      <c r="A2290" t="s">
        <v>8</v>
      </c>
      <c r="B2290" t="s">
        <v>6</v>
      </c>
      <c r="C2290">
        <v>100</v>
      </c>
      <c r="D2290">
        <v>1090.8969999999999</v>
      </c>
    </row>
    <row r="2291" spans="1:4" x14ac:dyDescent="0.25">
      <c r="A2291" t="s">
        <v>8</v>
      </c>
      <c r="B2291" t="s">
        <v>6</v>
      </c>
      <c r="C2291">
        <v>100</v>
      </c>
      <c r="D2291">
        <v>1070.7819999999999</v>
      </c>
    </row>
    <row r="2292" spans="1:4" x14ac:dyDescent="0.25">
      <c r="A2292" t="s">
        <v>8</v>
      </c>
      <c r="B2292" t="s">
        <v>6</v>
      </c>
      <c r="C2292">
        <v>100</v>
      </c>
      <c r="D2292">
        <v>1072.4559999999999</v>
      </c>
    </row>
    <row r="2293" spans="1:4" x14ac:dyDescent="0.25">
      <c r="A2293" t="s">
        <v>8</v>
      </c>
      <c r="B2293" t="s">
        <v>6</v>
      </c>
      <c r="C2293">
        <v>100</v>
      </c>
      <c r="D2293">
        <v>1117.204</v>
      </c>
    </row>
    <row r="2294" spans="1:4" x14ac:dyDescent="0.25">
      <c r="A2294" t="s">
        <v>8</v>
      </c>
      <c r="B2294" t="s">
        <v>6</v>
      </c>
      <c r="C2294">
        <v>100</v>
      </c>
      <c r="D2294">
        <v>1059.127</v>
      </c>
    </row>
    <row r="2295" spans="1:4" x14ac:dyDescent="0.25">
      <c r="A2295" t="s">
        <v>8</v>
      </c>
      <c r="B2295" t="s">
        <v>6</v>
      </c>
      <c r="C2295">
        <v>100</v>
      </c>
      <c r="D2295">
        <v>1136.5329999999999</v>
      </c>
    </row>
    <row r="2296" spans="1:4" x14ac:dyDescent="0.25">
      <c r="A2296" t="s">
        <v>8</v>
      </c>
      <c r="B2296" t="s">
        <v>6</v>
      </c>
      <c r="C2296">
        <v>100</v>
      </c>
      <c r="D2296">
        <v>1103.2460000000001</v>
      </c>
    </row>
    <row r="2297" spans="1:4" x14ac:dyDescent="0.25">
      <c r="A2297" t="s">
        <v>8</v>
      </c>
      <c r="B2297" t="s">
        <v>6</v>
      </c>
      <c r="C2297">
        <v>100</v>
      </c>
      <c r="D2297">
        <v>1091.123</v>
      </c>
    </row>
    <row r="2298" spans="1:4" x14ac:dyDescent="0.25">
      <c r="A2298" t="s">
        <v>8</v>
      </c>
      <c r="B2298" t="s">
        <v>6</v>
      </c>
      <c r="C2298">
        <v>100</v>
      </c>
      <c r="D2298">
        <v>1050.1079999999999</v>
      </c>
    </row>
    <row r="2299" spans="1:4" x14ac:dyDescent="0.25">
      <c r="A2299" t="s">
        <v>8</v>
      </c>
      <c r="B2299" t="s">
        <v>6</v>
      </c>
      <c r="C2299">
        <v>100</v>
      </c>
      <c r="D2299">
        <v>1106.19</v>
      </c>
    </row>
    <row r="2300" spans="1:4" x14ac:dyDescent="0.25">
      <c r="A2300" t="s">
        <v>8</v>
      </c>
      <c r="B2300" t="s">
        <v>6</v>
      </c>
      <c r="C2300">
        <v>100</v>
      </c>
      <c r="D2300">
        <v>1124.6189999999999</v>
      </c>
    </row>
    <row r="2301" spans="1:4" x14ac:dyDescent="0.25">
      <c r="A2301" t="s">
        <v>8</v>
      </c>
      <c r="B2301" t="s">
        <v>6</v>
      </c>
      <c r="C2301">
        <v>100</v>
      </c>
      <c r="D2301">
        <v>1152.145</v>
      </c>
    </row>
    <row r="2302" spans="1:4" x14ac:dyDescent="0.25">
      <c r="A2302" t="s">
        <v>8</v>
      </c>
      <c r="B2302" t="s">
        <v>6</v>
      </c>
      <c r="C2302">
        <v>120</v>
      </c>
      <c r="D2302">
        <v>1348.002</v>
      </c>
    </row>
    <row r="2303" spans="1:4" x14ac:dyDescent="0.25">
      <c r="A2303" t="s">
        <v>8</v>
      </c>
      <c r="B2303" t="s">
        <v>6</v>
      </c>
      <c r="C2303">
        <v>120</v>
      </c>
      <c r="D2303">
        <v>1299.999</v>
      </c>
    </row>
    <row r="2304" spans="1:4" x14ac:dyDescent="0.25">
      <c r="A2304" t="s">
        <v>8</v>
      </c>
      <c r="B2304" t="s">
        <v>6</v>
      </c>
      <c r="C2304">
        <v>120</v>
      </c>
      <c r="D2304">
        <v>1280.991</v>
      </c>
    </row>
    <row r="2305" spans="1:4" x14ac:dyDescent="0.25">
      <c r="A2305" t="s">
        <v>8</v>
      </c>
      <c r="B2305" t="s">
        <v>6</v>
      </c>
      <c r="C2305">
        <v>120</v>
      </c>
      <c r="D2305">
        <v>1313.7090000000001</v>
      </c>
    </row>
    <row r="2306" spans="1:4" x14ac:dyDescent="0.25">
      <c r="A2306" t="s">
        <v>8</v>
      </c>
      <c r="B2306" t="s">
        <v>6</v>
      </c>
      <c r="C2306">
        <v>120</v>
      </c>
      <c r="D2306">
        <v>1281.671</v>
      </c>
    </row>
    <row r="2307" spans="1:4" x14ac:dyDescent="0.25">
      <c r="A2307" t="s">
        <v>8</v>
      </c>
      <c r="B2307" t="s">
        <v>6</v>
      </c>
      <c r="C2307">
        <v>120</v>
      </c>
      <c r="D2307">
        <v>1304.578</v>
      </c>
    </row>
    <row r="2308" spans="1:4" x14ac:dyDescent="0.25">
      <c r="A2308" t="s">
        <v>8</v>
      </c>
      <c r="B2308" t="s">
        <v>6</v>
      </c>
      <c r="C2308">
        <v>120</v>
      </c>
      <c r="D2308">
        <v>1339.38</v>
      </c>
    </row>
    <row r="2309" spans="1:4" x14ac:dyDescent="0.25">
      <c r="A2309" t="s">
        <v>8</v>
      </c>
      <c r="B2309" t="s">
        <v>6</v>
      </c>
      <c r="C2309">
        <v>120</v>
      </c>
      <c r="D2309">
        <v>1320.348</v>
      </c>
    </row>
    <row r="2310" spans="1:4" x14ac:dyDescent="0.25">
      <c r="A2310" t="s">
        <v>8</v>
      </c>
      <c r="B2310" t="s">
        <v>6</v>
      </c>
      <c r="C2310">
        <v>120</v>
      </c>
      <c r="D2310">
        <v>1309.0809999999999</v>
      </c>
    </row>
    <row r="2311" spans="1:4" x14ac:dyDescent="0.25">
      <c r="A2311" t="s">
        <v>8</v>
      </c>
      <c r="B2311" t="s">
        <v>6</v>
      </c>
      <c r="C2311">
        <v>120</v>
      </c>
      <c r="D2311">
        <v>1280.943</v>
      </c>
    </row>
    <row r="2312" spans="1:4" x14ac:dyDescent="0.25">
      <c r="A2312" t="s">
        <v>8</v>
      </c>
      <c r="B2312" t="s">
        <v>6</v>
      </c>
      <c r="C2312">
        <v>120</v>
      </c>
      <c r="D2312">
        <v>1303.3620000000001</v>
      </c>
    </row>
    <row r="2313" spans="1:4" x14ac:dyDescent="0.25">
      <c r="A2313" t="s">
        <v>8</v>
      </c>
      <c r="B2313" t="s">
        <v>6</v>
      </c>
      <c r="C2313">
        <v>120</v>
      </c>
      <c r="D2313">
        <v>1357.4</v>
      </c>
    </row>
    <row r="2314" spans="1:4" x14ac:dyDescent="0.25">
      <c r="A2314" t="s">
        <v>8</v>
      </c>
      <c r="B2314" t="s">
        <v>6</v>
      </c>
      <c r="C2314">
        <v>120</v>
      </c>
      <c r="D2314">
        <v>1289.385</v>
      </c>
    </row>
    <row r="2315" spans="1:4" x14ac:dyDescent="0.25">
      <c r="A2315" t="s">
        <v>8</v>
      </c>
      <c r="B2315" t="s">
        <v>6</v>
      </c>
      <c r="C2315">
        <v>120</v>
      </c>
      <c r="D2315">
        <v>1294.2429999999999</v>
      </c>
    </row>
    <row r="2316" spans="1:4" x14ac:dyDescent="0.25">
      <c r="A2316" t="s">
        <v>8</v>
      </c>
      <c r="B2316" t="s">
        <v>6</v>
      </c>
      <c r="C2316">
        <v>120</v>
      </c>
      <c r="D2316">
        <v>1298.7460000000001</v>
      </c>
    </row>
    <row r="2317" spans="1:4" x14ac:dyDescent="0.25">
      <c r="A2317" t="s">
        <v>8</v>
      </c>
      <c r="B2317" t="s">
        <v>6</v>
      </c>
      <c r="C2317">
        <v>120</v>
      </c>
      <c r="D2317">
        <v>1248.8030000000001</v>
      </c>
    </row>
    <row r="2318" spans="1:4" x14ac:dyDescent="0.25">
      <c r="A2318" t="s">
        <v>8</v>
      </c>
      <c r="B2318" t="s">
        <v>6</v>
      </c>
      <c r="C2318">
        <v>120</v>
      </c>
      <c r="D2318">
        <v>1226.0609999999999</v>
      </c>
    </row>
    <row r="2319" spans="1:4" x14ac:dyDescent="0.25">
      <c r="A2319" t="s">
        <v>8</v>
      </c>
      <c r="B2319" t="s">
        <v>6</v>
      </c>
      <c r="C2319">
        <v>120</v>
      </c>
      <c r="D2319">
        <v>1304.0930000000001</v>
      </c>
    </row>
    <row r="2320" spans="1:4" x14ac:dyDescent="0.25">
      <c r="A2320" t="s">
        <v>8</v>
      </c>
      <c r="B2320" t="s">
        <v>6</v>
      </c>
      <c r="C2320">
        <v>120</v>
      </c>
      <c r="D2320">
        <v>1314.961</v>
      </c>
    </row>
    <row r="2321" spans="1:4" x14ac:dyDescent="0.25">
      <c r="A2321" t="s">
        <v>8</v>
      </c>
      <c r="B2321" t="s">
        <v>6</v>
      </c>
      <c r="C2321">
        <v>120</v>
      </c>
      <c r="D2321">
        <v>1324.4459999999999</v>
      </c>
    </row>
    <row r="2322" spans="1:4" x14ac:dyDescent="0.25">
      <c r="A2322" t="s">
        <v>8</v>
      </c>
      <c r="B2322" t="s">
        <v>6</v>
      </c>
      <c r="C2322">
        <v>120</v>
      </c>
      <c r="D2322">
        <v>1261.1199999999999</v>
      </c>
    </row>
    <row r="2323" spans="1:4" x14ac:dyDescent="0.25">
      <c r="A2323" t="s">
        <v>8</v>
      </c>
      <c r="B2323" t="s">
        <v>6</v>
      </c>
      <c r="C2323">
        <v>120</v>
      </c>
      <c r="D2323">
        <v>1311.3</v>
      </c>
    </row>
    <row r="2324" spans="1:4" x14ac:dyDescent="0.25">
      <c r="A2324" t="s">
        <v>8</v>
      </c>
      <c r="B2324" t="s">
        <v>6</v>
      </c>
      <c r="C2324">
        <v>120</v>
      </c>
      <c r="D2324">
        <v>1318.683</v>
      </c>
    </row>
    <row r="2325" spans="1:4" x14ac:dyDescent="0.25">
      <c r="A2325" t="s">
        <v>8</v>
      </c>
      <c r="B2325" t="s">
        <v>6</v>
      </c>
      <c r="C2325">
        <v>120</v>
      </c>
      <c r="D2325">
        <v>1288.693</v>
      </c>
    </row>
    <row r="2326" spans="1:4" x14ac:dyDescent="0.25">
      <c r="A2326" t="s">
        <v>8</v>
      </c>
      <c r="B2326" t="s">
        <v>6</v>
      </c>
      <c r="C2326">
        <v>120</v>
      </c>
      <c r="D2326">
        <v>1291.877</v>
      </c>
    </row>
    <row r="2327" spans="1:4" x14ac:dyDescent="0.25">
      <c r="A2327" t="s">
        <v>8</v>
      </c>
      <c r="B2327" t="s">
        <v>6</v>
      </c>
      <c r="C2327">
        <v>120</v>
      </c>
      <c r="D2327">
        <v>1231.671</v>
      </c>
    </row>
    <row r="2328" spans="1:4" x14ac:dyDescent="0.25">
      <c r="A2328" t="s">
        <v>8</v>
      </c>
      <c r="B2328" t="s">
        <v>6</v>
      </c>
      <c r="C2328">
        <v>120</v>
      </c>
      <c r="D2328">
        <v>1310.085</v>
      </c>
    </row>
    <row r="2329" spans="1:4" x14ac:dyDescent="0.25">
      <c r="A2329" t="s">
        <v>8</v>
      </c>
      <c r="B2329" t="s">
        <v>6</v>
      </c>
      <c r="C2329">
        <v>120</v>
      </c>
      <c r="D2329">
        <v>1325.48</v>
      </c>
    </row>
    <row r="2330" spans="1:4" x14ac:dyDescent="0.25">
      <c r="A2330" t="s">
        <v>8</v>
      </c>
      <c r="B2330" t="s">
        <v>6</v>
      </c>
      <c r="C2330">
        <v>120</v>
      </c>
      <c r="D2330">
        <v>1300.3150000000001</v>
      </c>
    </row>
    <row r="2331" spans="1:4" x14ac:dyDescent="0.25">
      <c r="A2331" t="s">
        <v>8</v>
      </c>
      <c r="B2331" t="s">
        <v>6</v>
      </c>
      <c r="C2331">
        <v>120</v>
      </c>
      <c r="D2331">
        <v>1341.952</v>
      </c>
    </row>
    <row r="2332" spans="1:4" x14ac:dyDescent="0.25">
      <c r="A2332" t="s">
        <v>8</v>
      </c>
      <c r="B2332" t="s">
        <v>6</v>
      </c>
      <c r="C2332">
        <v>120</v>
      </c>
      <c r="D2332">
        <v>1325.98</v>
      </c>
    </row>
    <row r="2333" spans="1:4" x14ac:dyDescent="0.25">
      <c r="A2333" t="s">
        <v>8</v>
      </c>
      <c r="B2333" t="s">
        <v>6</v>
      </c>
      <c r="C2333">
        <v>120</v>
      </c>
      <c r="D2333">
        <v>1245.74</v>
      </c>
    </row>
    <row r="2334" spans="1:4" x14ac:dyDescent="0.25">
      <c r="A2334" t="s">
        <v>8</v>
      </c>
      <c r="B2334" t="s">
        <v>6</v>
      </c>
      <c r="C2334">
        <v>120</v>
      </c>
      <c r="D2334">
        <v>1307.1389999999999</v>
      </c>
    </row>
    <row r="2335" spans="1:4" x14ac:dyDescent="0.25">
      <c r="A2335" t="s">
        <v>8</v>
      </c>
      <c r="B2335" t="s">
        <v>6</v>
      </c>
      <c r="C2335">
        <v>120</v>
      </c>
      <c r="D2335">
        <v>1237.5719999999999</v>
      </c>
    </row>
    <row r="2336" spans="1:4" x14ac:dyDescent="0.25">
      <c r="A2336" t="s">
        <v>8</v>
      </c>
      <c r="B2336" t="s">
        <v>6</v>
      </c>
      <c r="C2336">
        <v>120</v>
      </c>
      <c r="D2336">
        <v>1345.0229999999999</v>
      </c>
    </row>
    <row r="2337" spans="1:4" x14ac:dyDescent="0.25">
      <c r="A2337" t="s">
        <v>8</v>
      </c>
      <c r="B2337" t="s">
        <v>6</v>
      </c>
      <c r="C2337">
        <v>120</v>
      </c>
      <c r="D2337">
        <v>1335.67</v>
      </c>
    </row>
    <row r="2338" spans="1:4" x14ac:dyDescent="0.25">
      <c r="A2338" t="s">
        <v>8</v>
      </c>
      <c r="B2338" t="s">
        <v>6</v>
      </c>
      <c r="C2338">
        <v>120</v>
      </c>
      <c r="D2338">
        <v>1274.77</v>
      </c>
    </row>
    <row r="2339" spans="1:4" x14ac:dyDescent="0.25">
      <c r="A2339" t="s">
        <v>8</v>
      </c>
      <c r="B2339" t="s">
        <v>6</v>
      </c>
      <c r="C2339">
        <v>120</v>
      </c>
      <c r="D2339">
        <v>1342.0709999999999</v>
      </c>
    </row>
    <row r="2340" spans="1:4" x14ac:dyDescent="0.25">
      <c r="A2340" t="s">
        <v>8</v>
      </c>
      <c r="B2340" t="s">
        <v>6</v>
      </c>
      <c r="C2340">
        <v>120</v>
      </c>
      <c r="D2340">
        <v>1267.403</v>
      </c>
    </row>
    <row r="2341" spans="1:4" x14ac:dyDescent="0.25">
      <c r="A2341" t="s">
        <v>8</v>
      </c>
      <c r="B2341" t="s">
        <v>6</v>
      </c>
      <c r="C2341">
        <v>120</v>
      </c>
      <c r="D2341">
        <v>1282.1600000000001</v>
      </c>
    </row>
    <row r="2342" spans="1:4" x14ac:dyDescent="0.25">
      <c r="A2342" t="s">
        <v>8</v>
      </c>
      <c r="B2342" t="s">
        <v>6</v>
      </c>
      <c r="C2342">
        <v>120</v>
      </c>
      <c r="D2342">
        <v>1282.306</v>
      </c>
    </row>
    <row r="2343" spans="1:4" x14ac:dyDescent="0.25">
      <c r="A2343" t="s">
        <v>8</v>
      </c>
      <c r="B2343" t="s">
        <v>6</v>
      </c>
      <c r="C2343">
        <v>120</v>
      </c>
      <c r="D2343">
        <v>1292.1369999999999</v>
      </c>
    </row>
    <row r="2344" spans="1:4" x14ac:dyDescent="0.25">
      <c r="A2344" t="s">
        <v>8</v>
      </c>
      <c r="B2344" t="s">
        <v>6</v>
      </c>
      <c r="C2344">
        <v>120</v>
      </c>
      <c r="D2344">
        <v>1259.8009999999999</v>
      </c>
    </row>
    <row r="2345" spans="1:4" x14ac:dyDescent="0.25">
      <c r="A2345" t="s">
        <v>8</v>
      </c>
      <c r="B2345" t="s">
        <v>6</v>
      </c>
      <c r="C2345">
        <v>120</v>
      </c>
      <c r="D2345">
        <v>1260.9490000000001</v>
      </c>
    </row>
    <row r="2346" spans="1:4" x14ac:dyDescent="0.25">
      <c r="A2346" t="s">
        <v>8</v>
      </c>
      <c r="B2346" t="s">
        <v>6</v>
      </c>
      <c r="C2346">
        <v>120</v>
      </c>
      <c r="D2346">
        <v>1295.2139999999999</v>
      </c>
    </row>
    <row r="2347" spans="1:4" x14ac:dyDescent="0.25">
      <c r="A2347" t="s">
        <v>8</v>
      </c>
      <c r="B2347" t="s">
        <v>6</v>
      </c>
      <c r="C2347">
        <v>120</v>
      </c>
      <c r="D2347">
        <v>1305.4380000000001</v>
      </c>
    </row>
    <row r="2348" spans="1:4" x14ac:dyDescent="0.25">
      <c r="A2348" t="s">
        <v>8</v>
      </c>
      <c r="B2348" t="s">
        <v>6</v>
      </c>
      <c r="C2348">
        <v>120</v>
      </c>
      <c r="D2348">
        <v>1320.845</v>
      </c>
    </row>
    <row r="2349" spans="1:4" x14ac:dyDescent="0.25">
      <c r="A2349" t="s">
        <v>8</v>
      </c>
      <c r="B2349" t="s">
        <v>6</v>
      </c>
      <c r="C2349">
        <v>120</v>
      </c>
      <c r="D2349">
        <v>1329.375</v>
      </c>
    </row>
    <row r="2350" spans="1:4" x14ac:dyDescent="0.25">
      <c r="A2350" t="s">
        <v>8</v>
      </c>
      <c r="B2350" t="s">
        <v>6</v>
      </c>
      <c r="C2350">
        <v>120</v>
      </c>
      <c r="D2350">
        <v>1311.5170000000001</v>
      </c>
    </row>
    <row r="2351" spans="1:4" x14ac:dyDescent="0.25">
      <c r="A2351" t="s">
        <v>8</v>
      </c>
      <c r="B2351" t="s">
        <v>6</v>
      </c>
      <c r="C2351">
        <v>120</v>
      </c>
      <c r="D2351">
        <v>1269.971</v>
      </c>
    </row>
    <row r="2352" spans="1:4" x14ac:dyDescent="0.25">
      <c r="A2352" t="s">
        <v>8</v>
      </c>
      <c r="B2352" t="s">
        <v>6</v>
      </c>
      <c r="C2352">
        <v>120</v>
      </c>
      <c r="D2352">
        <v>1378.1289999999999</v>
      </c>
    </row>
    <row r="2353" spans="1:4" x14ac:dyDescent="0.25">
      <c r="A2353" t="s">
        <v>8</v>
      </c>
      <c r="B2353" t="s">
        <v>6</v>
      </c>
      <c r="C2353">
        <v>120</v>
      </c>
      <c r="D2353">
        <v>1346.4949999999999</v>
      </c>
    </row>
    <row r="2354" spans="1:4" x14ac:dyDescent="0.25">
      <c r="A2354" t="s">
        <v>8</v>
      </c>
      <c r="B2354" t="s">
        <v>6</v>
      </c>
      <c r="C2354">
        <v>120</v>
      </c>
      <c r="D2354">
        <v>1294.8920000000001</v>
      </c>
    </row>
    <row r="2355" spans="1:4" x14ac:dyDescent="0.25">
      <c r="A2355" t="s">
        <v>8</v>
      </c>
      <c r="B2355" t="s">
        <v>6</v>
      </c>
      <c r="C2355">
        <v>120</v>
      </c>
      <c r="D2355">
        <v>1327.7909999999999</v>
      </c>
    </row>
    <row r="2356" spans="1:4" x14ac:dyDescent="0.25">
      <c r="A2356" t="s">
        <v>8</v>
      </c>
      <c r="B2356" t="s">
        <v>6</v>
      </c>
      <c r="C2356">
        <v>120</v>
      </c>
      <c r="D2356">
        <v>1325.203</v>
      </c>
    </row>
    <row r="2357" spans="1:4" x14ac:dyDescent="0.25">
      <c r="A2357" t="s">
        <v>8</v>
      </c>
      <c r="B2357" t="s">
        <v>6</v>
      </c>
      <c r="C2357">
        <v>120</v>
      </c>
      <c r="D2357">
        <v>1242.7560000000001</v>
      </c>
    </row>
    <row r="2358" spans="1:4" x14ac:dyDescent="0.25">
      <c r="A2358" t="s">
        <v>8</v>
      </c>
      <c r="B2358" t="s">
        <v>6</v>
      </c>
      <c r="C2358">
        <v>120</v>
      </c>
      <c r="D2358">
        <v>1278.5260000000001</v>
      </c>
    </row>
    <row r="2359" spans="1:4" x14ac:dyDescent="0.25">
      <c r="A2359" t="s">
        <v>8</v>
      </c>
      <c r="B2359" t="s">
        <v>6</v>
      </c>
      <c r="C2359">
        <v>120</v>
      </c>
      <c r="D2359">
        <v>1317.4559999999999</v>
      </c>
    </row>
    <row r="2360" spans="1:4" x14ac:dyDescent="0.25">
      <c r="A2360" t="s">
        <v>8</v>
      </c>
      <c r="B2360" t="s">
        <v>6</v>
      </c>
      <c r="C2360">
        <v>120</v>
      </c>
      <c r="D2360">
        <v>1282.3969999999999</v>
      </c>
    </row>
    <row r="2361" spans="1:4" x14ac:dyDescent="0.25">
      <c r="A2361" t="s">
        <v>8</v>
      </c>
      <c r="B2361" t="s">
        <v>6</v>
      </c>
      <c r="C2361">
        <v>120</v>
      </c>
      <c r="D2361">
        <v>1296.9190000000001</v>
      </c>
    </row>
    <row r="2362" spans="1:4" x14ac:dyDescent="0.25">
      <c r="A2362" t="s">
        <v>8</v>
      </c>
      <c r="B2362" t="s">
        <v>6</v>
      </c>
      <c r="C2362">
        <v>120</v>
      </c>
      <c r="D2362">
        <v>1301.309</v>
      </c>
    </row>
    <row r="2363" spans="1:4" x14ac:dyDescent="0.25">
      <c r="A2363" t="s">
        <v>8</v>
      </c>
      <c r="B2363" t="s">
        <v>6</v>
      </c>
      <c r="C2363">
        <v>120</v>
      </c>
      <c r="D2363">
        <v>1300.828</v>
      </c>
    </row>
    <row r="2364" spans="1:4" x14ac:dyDescent="0.25">
      <c r="A2364" t="s">
        <v>8</v>
      </c>
      <c r="B2364" t="s">
        <v>6</v>
      </c>
      <c r="C2364">
        <v>120</v>
      </c>
      <c r="D2364">
        <v>1280.722</v>
      </c>
    </row>
    <row r="2365" spans="1:4" x14ac:dyDescent="0.25">
      <c r="A2365" t="s">
        <v>8</v>
      </c>
      <c r="B2365" t="s">
        <v>6</v>
      </c>
      <c r="C2365">
        <v>120</v>
      </c>
      <c r="D2365">
        <v>1355.2570000000001</v>
      </c>
    </row>
    <row r="2366" spans="1:4" x14ac:dyDescent="0.25">
      <c r="A2366" t="s">
        <v>8</v>
      </c>
      <c r="B2366" t="s">
        <v>6</v>
      </c>
      <c r="C2366">
        <v>120</v>
      </c>
      <c r="D2366">
        <v>1325.01</v>
      </c>
    </row>
    <row r="2367" spans="1:4" x14ac:dyDescent="0.25">
      <c r="A2367" t="s">
        <v>8</v>
      </c>
      <c r="B2367" t="s">
        <v>6</v>
      </c>
      <c r="C2367">
        <v>120</v>
      </c>
      <c r="D2367">
        <v>1340.8219999999999</v>
      </c>
    </row>
    <row r="2368" spans="1:4" x14ac:dyDescent="0.25">
      <c r="A2368" t="s">
        <v>8</v>
      </c>
      <c r="B2368" t="s">
        <v>6</v>
      </c>
      <c r="C2368">
        <v>120</v>
      </c>
      <c r="D2368">
        <v>1294.354</v>
      </c>
    </row>
    <row r="2369" spans="1:4" x14ac:dyDescent="0.25">
      <c r="A2369" t="s">
        <v>8</v>
      </c>
      <c r="B2369" t="s">
        <v>6</v>
      </c>
      <c r="C2369">
        <v>120</v>
      </c>
      <c r="D2369">
        <v>1246.7080000000001</v>
      </c>
    </row>
    <row r="2370" spans="1:4" x14ac:dyDescent="0.25">
      <c r="A2370" t="s">
        <v>8</v>
      </c>
      <c r="B2370" t="s">
        <v>6</v>
      </c>
      <c r="C2370">
        <v>120</v>
      </c>
      <c r="D2370">
        <v>1304.191</v>
      </c>
    </row>
    <row r="2371" spans="1:4" x14ac:dyDescent="0.25">
      <c r="A2371" t="s">
        <v>8</v>
      </c>
      <c r="B2371" t="s">
        <v>6</v>
      </c>
      <c r="C2371">
        <v>120</v>
      </c>
      <c r="D2371">
        <v>1313.3109999999999</v>
      </c>
    </row>
    <row r="2372" spans="1:4" x14ac:dyDescent="0.25">
      <c r="A2372" t="s">
        <v>8</v>
      </c>
      <c r="B2372" t="s">
        <v>6</v>
      </c>
      <c r="C2372">
        <v>120</v>
      </c>
      <c r="D2372">
        <v>1353.4960000000001</v>
      </c>
    </row>
    <row r="2373" spans="1:4" x14ac:dyDescent="0.25">
      <c r="A2373" t="s">
        <v>8</v>
      </c>
      <c r="B2373" t="s">
        <v>6</v>
      </c>
      <c r="C2373">
        <v>120</v>
      </c>
      <c r="D2373">
        <v>1276.327</v>
      </c>
    </row>
    <row r="2374" spans="1:4" x14ac:dyDescent="0.25">
      <c r="A2374" t="s">
        <v>8</v>
      </c>
      <c r="B2374" t="s">
        <v>6</v>
      </c>
      <c r="C2374">
        <v>120</v>
      </c>
      <c r="D2374">
        <v>1257.9680000000001</v>
      </c>
    </row>
    <row r="2375" spans="1:4" x14ac:dyDescent="0.25">
      <c r="A2375" t="s">
        <v>8</v>
      </c>
      <c r="B2375" t="s">
        <v>6</v>
      </c>
      <c r="C2375">
        <v>120</v>
      </c>
      <c r="D2375">
        <v>1315.548</v>
      </c>
    </row>
    <row r="2376" spans="1:4" x14ac:dyDescent="0.25">
      <c r="A2376" t="s">
        <v>8</v>
      </c>
      <c r="B2376" t="s">
        <v>6</v>
      </c>
      <c r="C2376">
        <v>120</v>
      </c>
      <c r="D2376">
        <v>1312.7719999999999</v>
      </c>
    </row>
    <row r="2377" spans="1:4" x14ac:dyDescent="0.25">
      <c r="A2377" t="s">
        <v>8</v>
      </c>
      <c r="B2377" t="s">
        <v>6</v>
      </c>
      <c r="C2377">
        <v>120</v>
      </c>
      <c r="D2377">
        <v>1310.2</v>
      </c>
    </row>
    <row r="2378" spans="1:4" x14ac:dyDescent="0.25">
      <c r="A2378" t="s">
        <v>8</v>
      </c>
      <c r="B2378" t="s">
        <v>6</v>
      </c>
      <c r="C2378">
        <v>120</v>
      </c>
      <c r="D2378">
        <v>1291.44</v>
      </c>
    </row>
    <row r="2379" spans="1:4" x14ac:dyDescent="0.25">
      <c r="A2379" t="s">
        <v>8</v>
      </c>
      <c r="B2379" t="s">
        <v>6</v>
      </c>
      <c r="C2379">
        <v>120</v>
      </c>
      <c r="D2379">
        <v>1241.5519999999999</v>
      </c>
    </row>
    <row r="2380" spans="1:4" x14ac:dyDescent="0.25">
      <c r="A2380" t="s">
        <v>8</v>
      </c>
      <c r="B2380" t="s">
        <v>6</v>
      </c>
      <c r="C2380">
        <v>120</v>
      </c>
      <c r="D2380">
        <v>1354.4110000000001</v>
      </c>
    </row>
    <row r="2381" spans="1:4" x14ac:dyDescent="0.25">
      <c r="A2381" t="s">
        <v>8</v>
      </c>
      <c r="B2381" t="s">
        <v>6</v>
      </c>
      <c r="C2381">
        <v>120</v>
      </c>
      <c r="D2381">
        <v>1326.817</v>
      </c>
    </row>
    <row r="2382" spans="1:4" x14ac:dyDescent="0.25">
      <c r="A2382" t="s">
        <v>8</v>
      </c>
      <c r="B2382" t="s">
        <v>6</v>
      </c>
      <c r="C2382">
        <v>120</v>
      </c>
      <c r="D2382">
        <v>1355.826</v>
      </c>
    </row>
    <row r="2383" spans="1:4" x14ac:dyDescent="0.25">
      <c r="A2383" t="s">
        <v>8</v>
      </c>
      <c r="B2383" t="s">
        <v>6</v>
      </c>
      <c r="C2383">
        <v>120</v>
      </c>
      <c r="D2383">
        <v>1326.52</v>
      </c>
    </row>
    <row r="2384" spans="1:4" x14ac:dyDescent="0.25">
      <c r="A2384" t="s">
        <v>8</v>
      </c>
      <c r="B2384" t="s">
        <v>6</v>
      </c>
      <c r="C2384">
        <v>120</v>
      </c>
      <c r="D2384">
        <v>1304.2260000000001</v>
      </c>
    </row>
    <row r="2385" spans="1:4" x14ac:dyDescent="0.25">
      <c r="A2385" t="s">
        <v>8</v>
      </c>
      <c r="B2385" t="s">
        <v>6</v>
      </c>
      <c r="C2385">
        <v>120</v>
      </c>
      <c r="D2385">
        <v>1341.6010000000001</v>
      </c>
    </row>
    <row r="2386" spans="1:4" x14ac:dyDescent="0.25">
      <c r="A2386" t="s">
        <v>8</v>
      </c>
      <c r="B2386" t="s">
        <v>6</v>
      </c>
      <c r="C2386">
        <v>120</v>
      </c>
      <c r="D2386">
        <v>1334.9690000000001</v>
      </c>
    </row>
    <row r="2387" spans="1:4" x14ac:dyDescent="0.25">
      <c r="A2387" t="s">
        <v>8</v>
      </c>
      <c r="B2387" t="s">
        <v>6</v>
      </c>
      <c r="C2387">
        <v>120</v>
      </c>
      <c r="D2387">
        <v>1283.6210000000001</v>
      </c>
    </row>
    <row r="2388" spans="1:4" x14ac:dyDescent="0.25">
      <c r="A2388" t="s">
        <v>8</v>
      </c>
      <c r="B2388" t="s">
        <v>6</v>
      </c>
      <c r="C2388">
        <v>120</v>
      </c>
      <c r="D2388">
        <v>1256.6679999999999</v>
      </c>
    </row>
    <row r="2389" spans="1:4" x14ac:dyDescent="0.25">
      <c r="A2389" t="s">
        <v>8</v>
      </c>
      <c r="B2389" t="s">
        <v>6</v>
      </c>
      <c r="C2389">
        <v>120</v>
      </c>
      <c r="D2389">
        <v>1275.645</v>
      </c>
    </row>
    <row r="2390" spans="1:4" x14ac:dyDescent="0.25">
      <c r="A2390" t="s">
        <v>8</v>
      </c>
      <c r="B2390" t="s">
        <v>6</v>
      </c>
      <c r="C2390">
        <v>120</v>
      </c>
      <c r="D2390">
        <v>1290.163</v>
      </c>
    </row>
    <row r="2391" spans="1:4" x14ac:dyDescent="0.25">
      <c r="A2391" t="s">
        <v>8</v>
      </c>
      <c r="B2391" t="s">
        <v>6</v>
      </c>
      <c r="C2391">
        <v>120</v>
      </c>
      <c r="D2391">
        <v>1305.2049999999999</v>
      </c>
    </row>
    <row r="2392" spans="1:4" x14ac:dyDescent="0.25">
      <c r="A2392" t="s">
        <v>8</v>
      </c>
      <c r="B2392" t="s">
        <v>6</v>
      </c>
      <c r="C2392">
        <v>120</v>
      </c>
      <c r="D2392">
        <v>1307.82</v>
      </c>
    </row>
    <row r="2393" spans="1:4" x14ac:dyDescent="0.25">
      <c r="A2393" t="s">
        <v>8</v>
      </c>
      <c r="B2393" t="s">
        <v>6</v>
      </c>
      <c r="C2393">
        <v>120</v>
      </c>
      <c r="D2393">
        <v>1334.63</v>
      </c>
    </row>
    <row r="2394" spans="1:4" x14ac:dyDescent="0.25">
      <c r="A2394" t="s">
        <v>8</v>
      </c>
      <c r="B2394" t="s">
        <v>6</v>
      </c>
      <c r="C2394">
        <v>120</v>
      </c>
      <c r="D2394">
        <v>1253.067</v>
      </c>
    </row>
    <row r="2395" spans="1:4" x14ac:dyDescent="0.25">
      <c r="A2395" t="s">
        <v>8</v>
      </c>
      <c r="B2395" t="s">
        <v>6</v>
      </c>
      <c r="C2395">
        <v>120</v>
      </c>
      <c r="D2395">
        <v>1320.692</v>
      </c>
    </row>
    <row r="2396" spans="1:4" x14ac:dyDescent="0.25">
      <c r="A2396" t="s">
        <v>8</v>
      </c>
      <c r="B2396" t="s">
        <v>6</v>
      </c>
      <c r="C2396">
        <v>120</v>
      </c>
      <c r="D2396">
        <v>1246.4829999999999</v>
      </c>
    </row>
    <row r="2397" spans="1:4" x14ac:dyDescent="0.25">
      <c r="A2397" t="s">
        <v>8</v>
      </c>
      <c r="B2397" t="s">
        <v>6</v>
      </c>
      <c r="C2397">
        <v>120</v>
      </c>
      <c r="D2397">
        <v>1314.2850000000001</v>
      </c>
    </row>
    <row r="2398" spans="1:4" x14ac:dyDescent="0.25">
      <c r="A2398" t="s">
        <v>8</v>
      </c>
      <c r="B2398" t="s">
        <v>6</v>
      </c>
      <c r="C2398">
        <v>120</v>
      </c>
      <c r="D2398">
        <v>1330.308</v>
      </c>
    </row>
    <row r="2399" spans="1:4" x14ac:dyDescent="0.25">
      <c r="A2399" t="s">
        <v>8</v>
      </c>
      <c r="B2399" t="s">
        <v>6</v>
      </c>
      <c r="C2399">
        <v>120</v>
      </c>
      <c r="D2399">
        <v>1284.5250000000001</v>
      </c>
    </row>
    <row r="2400" spans="1:4" x14ac:dyDescent="0.25">
      <c r="A2400" t="s">
        <v>8</v>
      </c>
      <c r="B2400" t="s">
        <v>6</v>
      </c>
      <c r="C2400">
        <v>120</v>
      </c>
      <c r="D2400">
        <v>1254.327</v>
      </c>
    </row>
    <row r="2401" spans="1:4" x14ac:dyDescent="0.25">
      <c r="A2401" t="s">
        <v>8</v>
      </c>
      <c r="B2401" t="s">
        <v>6</v>
      </c>
      <c r="C2401">
        <v>120</v>
      </c>
      <c r="D2401">
        <v>1352.7380000000001</v>
      </c>
    </row>
    <row r="2402" spans="1:4" x14ac:dyDescent="0.25">
      <c r="A2402" t="s">
        <v>8</v>
      </c>
      <c r="B2402" t="s">
        <v>5</v>
      </c>
      <c r="C2402">
        <v>20</v>
      </c>
      <c r="D2402">
        <v>51.805999999999997</v>
      </c>
    </row>
    <row r="2403" spans="1:4" x14ac:dyDescent="0.25">
      <c r="A2403" t="s">
        <v>8</v>
      </c>
      <c r="B2403" t="s">
        <v>5</v>
      </c>
      <c r="C2403">
        <v>20</v>
      </c>
      <c r="D2403">
        <v>50.805999999999997</v>
      </c>
    </row>
    <row r="2404" spans="1:4" x14ac:dyDescent="0.25">
      <c r="A2404" t="s">
        <v>8</v>
      </c>
      <c r="B2404" t="s">
        <v>5</v>
      </c>
      <c r="C2404">
        <v>20</v>
      </c>
      <c r="D2404">
        <v>51.805999999999997</v>
      </c>
    </row>
    <row r="2405" spans="1:4" x14ac:dyDescent="0.25">
      <c r="A2405" t="s">
        <v>8</v>
      </c>
      <c r="B2405" t="s">
        <v>5</v>
      </c>
      <c r="C2405">
        <v>20</v>
      </c>
      <c r="D2405">
        <v>51.805999999999997</v>
      </c>
    </row>
    <row r="2406" spans="1:4" x14ac:dyDescent="0.25">
      <c r="A2406" t="s">
        <v>8</v>
      </c>
      <c r="B2406" t="s">
        <v>5</v>
      </c>
      <c r="C2406">
        <v>20</v>
      </c>
      <c r="D2406">
        <v>51.805999999999997</v>
      </c>
    </row>
    <row r="2407" spans="1:4" x14ac:dyDescent="0.25">
      <c r="A2407" t="s">
        <v>8</v>
      </c>
      <c r="B2407" t="s">
        <v>5</v>
      </c>
      <c r="C2407">
        <v>20</v>
      </c>
      <c r="D2407">
        <v>51.805999999999997</v>
      </c>
    </row>
    <row r="2408" spans="1:4" x14ac:dyDescent="0.25">
      <c r="A2408" t="s">
        <v>8</v>
      </c>
      <c r="B2408" t="s">
        <v>5</v>
      </c>
      <c r="C2408">
        <v>20</v>
      </c>
      <c r="D2408">
        <v>51.805999999999997</v>
      </c>
    </row>
    <row r="2409" spans="1:4" x14ac:dyDescent="0.25">
      <c r="A2409" t="s">
        <v>8</v>
      </c>
      <c r="B2409" t="s">
        <v>5</v>
      </c>
      <c r="C2409">
        <v>20</v>
      </c>
      <c r="D2409">
        <v>51.805999999999997</v>
      </c>
    </row>
    <row r="2410" spans="1:4" x14ac:dyDescent="0.25">
      <c r="A2410" t="s">
        <v>8</v>
      </c>
      <c r="B2410" t="s">
        <v>5</v>
      </c>
      <c r="C2410">
        <v>20</v>
      </c>
      <c r="D2410">
        <v>51.805999999999997</v>
      </c>
    </row>
    <row r="2411" spans="1:4" x14ac:dyDescent="0.25">
      <c r="A2411" t="s">
        <v>8</v>
      </c>
      <c r="B2411" t="s">
        <v>5</v>
      </c>
      <c r="C2411">
        <v>20</v>
      </c>
      <c r="D2411">
        <v>51.805999999999997</v>
      </c>
    </row>
    <row r="2412" spans="1:4" x14ac:dyDescent="0.25">
      <c r="A2412" t="s">
        <v>8</v>
      </c>
      <c r="B2412" t="s">
        <v>5</v>
      </c>
      <c r="C2412">
        <v>20</v>
      </c>
      <c r="D2412">
        <v>50.805999999999997</v>
      </c>
    </row>
    <row r="2413" spans="1:4" x14ac:dyDescent="0.25">
      <c r="A2413" t="s">
        <v>8</v>
      </c>
      <c r="B2413" t="s">
        <v>5</v>
      </c>
      <c r="C2413">
        <v>20</v>
      </c>
      <c r="D2413">
        <v>51.805999999999997</v>
      </c>
    </row>
    <row r="2414" spans="1:4" x14ac:dyDescent="0.25">
      <c r="A2414" t="s">
        <v>8</v>
      </c>
      <c r="B2414" t="s">
        <v>5</v>
      </c>
      <c r="C2414">
        <v>20</v>
      </c>
      <c r="D2414">
        <v>51.805999999999997</v>
      </c>
    </row>
    <row r="2415" spans="1:4" x14ac:dyDescent="0.25">
      <c r="A2415" t="s">
        <v>8</v>
      </c>
      <c r="B2415" t="s">
        <v>5</v>
      </c>
      <c r="C2415">
        <v>20</v>
      </c>
      <c r="D2415">
        <v>51.805999999999997</v>
      </c>
    </row>
    <row r="2416" spans="1:4" x14ac:dyDescent="0.25">
      <c r="A2416" t="s">
        <v>8</v>
      </c>
      <c r="B2416" t="s">
        <v>5</v>
      </c>
      <c r="C2416">
        <v>20</v>
      </c>
      <c r="D2416">
        <v>51.805999999999997</v>
      </c>
    </row>
    <row r="2417" spans="1:4" x14ac:dyDescent="0.25">
      <c r="A2417" t="s">
        <v>8</v>
      </c>
      <c r="B2417" t="s">
        <v>5</v>
      </c>
      <c r="C2417">
        <v>20</v>
      </c>
      <c r="D2417">
        <v>51.805999999999997</v>
      </c>
    </row>
    <row r="2418" spans="1:4" x14ac:dyDescent="0.25">
      <c r="A2418" t="s">
        <v>8</v>
      </c>
      <c r="B2418" t="s">
        <v>5</v>
      </c>
      <c r="C2418">
        <v>20</v>
      </c>
      <c r="D2418">
        <v>51.805999999999997</v>
      </c>
    </row>
    <row r="2419" spans="1:4" x14ac:dyDescent="0.25">
      <c r="A2419" t="s">
        <v>8</v>
      </c>
      <c r="B2419" t="s">
        <v>5</v>
      </c>
      <c r="C2419">
        <v>20</v>
      </c>
      <c r="D2419">
        <v>51.805999999999997</v>
      </c>
    </row>
    <row r="2420" spans="1:4" x14ac:dyDescent="0.25">
      <c r="A2420" t="s">
        <v>8</v>
      </c>
      <c r="B2420" t="s">
        <v>5</v>
      </c>
      <c r="C2420">
        <v>20</v>
      </c>
      <c r="D2420">
        <v>51.805999999999997</v>
      </c>
    </row>
    <row r="2421" spans="1:4" x14ac:dyDescent="0.25">
      <c r="A2421" t="s">
        <v>8</v>
      </c>
      <c r="B2421" t="s">
        <v>5</v>
      </c>
      <c r="C2421">
        <v>20</v>
      </c>
      <c r="D2421">
        <v>51.805999999999997</v>
      </c>
    </row>
    <row r="2422" spans="1:4" x14ac:dyDescent="0.25">
      <c r="A2422" t="s">
        <v>8</v>
      </c>
      <c r="B2422" t="s">
        <v>5</v>
      </c>
      <c r="C2422">
        <v>20</v>
      </c>
      <c r="D2422">
        <v>51.805999999999997</v>
      </c>
    </row>
    <row r="2423" spans="1:4" x14ac:dyDescent="0.25">
      <c r="A2423" t="s">
        <v>8</v>
      </c>
      <c r="B2423" t="s">
        <v>5</v>
      </c>
      <c r="C2423">
        <v>20</v>
      </c>
      <c r="D2423">
        <v>50.805999999999997</v>
      </c>
    </row>
    <row r="2424" spans="1:4" x14ac:dyDescent="0.25">
      <c r="A2424" t="s">
        <v>8</v>
      </c>
      <c r="B2424" t="s">
        <v>5</v>
      </c>
      <c r="C2424">
        <v>20</v>
      </c>
      <c r="D2424">
        <v>51.805999999999997</v>
      </c>
    </row>
    <row r="2425" spans="1:4" x14ac:dyDescent="0.25">
      <c r="A2425" t="s">
        <v>8</v>
      </c>
      <c r="B2425" t="s">
        <v>5</v>
      </c>
      <c r="C2425">
        <v>20</v>
      </c>
      <c r="D2425">
        <v>50.805999999999997</v>
      </c>
    </row>
    <row r="2426" spans="1:4" x14ac:dyDescent="0.25">
      <c r="A2426" t="s">
        <v>8</v>
      </c>
      <c r="B2426" t="s">
        <v>5</v>
      </c>
      <c r="C2426">
        <v>20</v>
      </c>
      <c r="D2426">
        <v>51.805999999999997</v>
      </c>
    </row>
    <row r="2427" spans="1:4" x14ac:dyDescent="0.25">
      <c r="A2427" t="s">
        <v>8</v>
      </c>
      <c r="B2427" t="s">
        <v>5</v>
      </c>
      <c r="C2427">
        <v>20</v>
      </c>
      <c r="D2427">
        <v>51.805999999999997</v>
      </c>
    </row>
    <row r="2428" spans="1:4" x14ac:dyDescent="0.25">
      <c r="A2428" t="s">
        <v>8</v>
      </c>
      <c r="B2428" t="s">
        <v>5</v>
      </c>
      <c r="C2428">
        <v>20</v>
      </c>
      <c r="D2428">
        <v>51.805999999999997</v>
      </c>
    </row>
    <row r="2429" spans="1:4" x14ac:dyDescent="0.25">
      <c r="A2429" t="s">
        <v>8</v>
      </c>
      <c r="B2429" t="s">
        <v>5</v>
      </c>
      <c r="C2429">
        <v>20</v>
      </c>
      <c r="D2429">
        <v>51.805999999999997</v>
      </c>
    </row>
    <row r="2430" spans="1:4" x14ac:dyDescent="0.25">
      <c r="A2430" t="s">
        <v>8</v>
      </c>
      <c r="B2430" t="s">
        <v>5</v>
      </c>
      <c r="C2430">
        <v>20</v>
      </c>
      <c r="D2430">
        <v>51.805999999999997</v>
      </c>
    </row>
    <row r="2431" spans="1:4" x14ac:dyDescent="0.25">
      <c r="A2431" t="s">
        <v>8</v>
      </c>
      <c r="B2431" t="s">
        <v>5</v>
      </c>
      <c r="C2431">
        <v>20</v>
      </c>
      <c r="D2431">
        <v>51.805999999999997</v>
      </c>
    </row>
    <row r="2432" spans="1:4" x14ac:dyDescent="0.25">
      <c r="A2432" t="s">
        <v>8</v>
      </c>
      <c r="B2432" t="s">
        <v>5</v>
      </c>
      <c r="C2432">
        <v>20</v>
      </c>
      <c r="D2432">
        <v>51.805999999999997</v>
      </c>
    </row>
    <row r="2433" spans="1:4" x14ac:dyDescent="0.25">
      <c r="A2433" t="s">
        <v>8</v>
      </c>
      <c r="B2433" t="s">
        <v>5</v>
      </c>
      <c r="C2433">
        <v>20</v>
      </c>
      <c r="D2433">
        <v>51.805999999999997</v>
      </c>
    </row>
    <row r="2434" spans="1:4" x14ac:dyDescent="0.25">
      <c r="A2434" t="s">
        <v>8</v>
      </c>
      <c r="B2434" t="s">
        <v>5</v>
      </c>
      <c r="C2434">
        <v>20</v>
      </c>
      <c r="D2434">
        <v>51.805999999999997</v>
      </c>
    </row>
    <row r="2435" spans="1:4" x14ac:dyDescent="0.25">
      <c r="A2435" t="s">
        <v>8</v>
      </c>
      <c r="B2435" t="s">
        <v>5</v>
      </c>
      <c r="C2435">
        <v>20</v>
      </c>
      <c r="D2435">
        <v>51.805999999999997</v>
      </c>
    </row>
    <row r="2436" spans="1:4" x14ac:dyDescent="0.25">
      <c r="A2436" t="s">
        <v>8</v>
      </c>
      <c r="B2436" t="s">
        <v>5</v>
      </c>
      <c r="C2436">
        <v>20</v>
      </c>
      <c r="D2436">
        <v>51.805999999999997</v>
      </c>
    </row>
    <row r="2437" spans="1:4" x14ac:dyDescent="0.25">
      <c r="A2437" t="s">
        <v>8</v>
      </c>
      <c r="B2437" t="s">
        <v>5</v>
      </c>
      <c r="C2437">
        <v>20</v>
      </c>
      <c r="D2437">
        <v>51.805999999999997</v>
      </c>
    </row>
    <row r="2438" spans="1:4" x14ac:dyDescent="0.25">
      <c r="A2438" t="s">
        <v>8</v>
      </c>
      <c r="B2438" t="s">
        <v>5</v>
      </c>
      <c r="C2438">
        <v>20</v>
      </c>
      <c r="D2438">
        <v>51.805999999999997</v>
      </c>
    </row>
    <row r="2439" spans="1:4" x14ac:dyDescent="0.25">
      <c r="A2439" t="s">
        <v>8</v>
      </c>
      <c r="B2439" t="s">
        <v>5</v>
      </c>
      <c r="C2439">
        <v>20</v>
      </c>
      <c r="D2439">
        <v>51.805999999999997</v>
      </c>
    </row>
    <row r="2440" spans="1:4" x14ac:dyDescent="0.25">
      <c r="A2440" t="s">
        <v>8</v>
      </c>
      <c r="B2440" t="s">
        <v>5</v>
      </c>
      <c r="C2440">
        <v>20</v>
      </c>
      <c r="D2440">
        <v>51.805999999999997</v>
      </c>
    </row>
    <row r="2441" spans="1:4" x14ac:dyDescent="0.25">
      <c r="A2441" t="s">
        <v>8</v>
      </c>
      <c r="B2441" t="s">
        <v>5</v>
      </c>
      <c r="C2441">
        <v>20</v>
      </c>
      <c r="D2441">
        <v>51.805999999999997</v>
      </c>
    </row>
    <row r="2442" spans="1:4" x14ac:dyDescent="0.25">
      <c r="A2442" t="s">
        <v>8</v>
      </c>
      <c r="B2442" t="s">
        <v>5</v>
      </c>
      <c r="C2442">
        <v>20</v>
      </c>
      <c r="D2442">
        <v>51.805999999999997</v>
      </c>
    </row>
    <row r="2443" spans="1:4" x14ac:dyDescent="0.25">
      <c r="A2443" t="s">
        <v>8</v>
      </c>
      <c r="B2443" t="s">
        <v>5</v>
      </c>
      <c r="C2443">
        <v>20</v>
      </c>
      <c r="D2443">
        <v>51.805999999999997</v>
      </c>
    </row>
    <row r="2444" spans="1:4" x14ac:dyDescent="0.25">
      <c r="A2444" t="s">
        <v>8</v>
      </c>
      <c r="B2444" t="s">
        <v>5</v>
      </c>
      <c r="C2444">
        <v>20</v>
      </c>
      <c r="D2444">
        <v>52.805999999999997</v>
      </c>
    </row>
    <row r="2445" spans="1:4" x14ac:dyDescent="0.25">
      <c r="A2445" t="s">
        <v>8</v>
      </c>
      <c r="B2445" t="s">
        <v>5</v>
      </c>
      <c r="C2445">
        <v>20</v>
      </c>
      <c r="D2445">
        <v>51.805999999999997</v>
      </c>
    </row>
    <row r="2446" spans="1:4" x14ac:dyDescent="0.25">
      <c r="A2446" t="s">
        <v>8</v>
      </c>
      <c r="B2446" t="s">
        <v>5</v>
      </c>
      <c r="C2446">
        <v>20</v>
      </c>
      <c r="D2446">
        <v>51.805999999999997</v>
      </c>
    </row>
    <row r="2447" spans="1:4" x14ac:dyDescent="0.25">
      <c r="A2447" t="s">
        <v>8</v>
      </c>
      <c r="B2447" t="s">
        <v>5</v>
      </c>
      <c r="C2447">
        <v>20</v>
      </c>
      <c r="D2447">
        <v>51.805999999999997</v>
      </c>
    </row>
    <row r="2448" spans="1:4" x14ac:dyDescent="0.25">
      <c r="A2448" t="s">
        <v>8</v>
      </c>
      <c r="B2448" t="s">
        <v>5</v>
      </c>
      <c r="C2448">
        <v>20</v>
      </c>
      <c r="D2448">
        <v>51.805999999999997</v>
      </c>
    </row>
    <row r="2449" spans="1:4" x14ac:dyDescent="0.25">
      <c r="A2449" t="s">
        <v>8</v>
      </c>
      <c r="B2449" t="s">
        <v>5</v>
      </c>
      <c r="C2449">
        <v>20</v>
      </c>
      <c r="D2449">
        <v>51.805999999999997</v>
      </c>
    </row>
    <row r="2450" spans="1:4" x14ac:dyDescent="0.25">
      <c r="A2450" t="s">
        <v>8</v>
      </c>
      <c r="B2450" t="s">
        <v>5</v>
      </c>
      <c r="C2450">
        <v>20</v>
      </c>
      <c r="D2450">
        <v>51.805999999999997</v>
      </c>
    </row>
    <row r="2451" spans="1:4" x14ac:dyDescent="0.25">
      <c r="A2451" t="s">
        <v>8</v>
      </c>
      <c r="B2451" t="s">
        <v>5</v>
      </c>
      <c r="C2451">
        <v>20</v>
      </c>
      <c r="D2451">
        <v>52.805999999999997</v>
      </c>
    </row>
    <row r="2452" spans="1:4" x14ac:dyDescent="0.25">
      <c r="A2452" t="s">
        <v>8</v>
      </c>
      <c r="B2452" t="s">
        <v>5</v>
      </c>
      <c r="C2452">
        <v>20</v>
      </c>
      <c r="D2452">
        <v>51.805999999999997</v>
      </c>
    </row>
    <row r="2453" spans="1:4" x14ac:dyDescent="0.25">
      <c r="A2453" t="s">
        <v>8</v>
      </c>
      <c r="B2453" t="s">
        <v>5</v>
      </c>
      <c r="C2453">
        <v>20</v>
      </c>
      <c r="D2453">
        <v>51.805999999999997</v>
      </c>
    </row>
    <row r="2454" spans="1:4" x14ac:dyDescent="0.25">
      <c r="A2454" t="s">
        <v>8</v>
      </c>
      <c r="B2454" t="s">
        <v>5</v>
      </c>
      <c r="C2454">
        <v>20</v>
      </c>
      <c r="D2454">
        <v>51.805999999999997</v>
      </c>
    </row>
    <row r="2455" spans="1:4" x14ac:dyDescent="0.25">
      <c r="A2455" t="s">
        <v>8</v>
      </c>
      <c r="B2455" t="s">
        <v>5</v>
      </c>
      <c r="C2455">
        <v>20</v>
      </c>
      <c r="D2455">
        <v>51.805999999999997</v>
      </c>
    </row>
    <row r="2456" spans="1:4" x14ac:dyDescent="0.25">
      <c r="A2456" t="s">
        <v>8</v>
      </c>
      <c r="B2456" t="s">
        <v>5</v>
      </c>
      <c r="C2456">
        <v>20</v>
      </c>
      <c r="D2456">
        <v>51.805999999999997</v>
      </c>
    </row>
    <row r="2457" spans="1:4" x14ac:dyDescent="0.25">
      <c r="A2457" t="s">
        <v>8</v>
      </c>
      <c r="B2457" t="s">
        <v>5</v>
      </c>
      <c r="C2457">
        <v>20</v>
      </c>
      <c r="D2457">
        <v>51.805999999999997</v>
      </c>
    </row>
    <row r="2458" spans="1:4" x14ac:dyDescent="0.25">
      <c r="A2458" t="s">
        <v>8</v>
      </c>
      <c r="B2458" t="s">
        <v>5</v>
      </c>
      <c r="C2458">
        <v>20</v>
      </c>
      <c r="D2458">
        <v>51.805999999999997</v>
      </c>
    </row>
    <row r="2459" spans="1:4" x14ac:dyDescent="0.25">
      <c r="A2459" t="s">
        <v>8</v>
      </c>
      <c r="B2459" t="s">
        <v>5</v>
      </c>
      <c r="C2459">
        <v>20</v>
      </c>
      <c r="D2459">
        <v>51.805999999999997</v>
      </c>
    </row>
    <row r="2460" spans="1:4" x14ac:dyDescent="0.25">
      <c r="A2460" t="s">
        <v>8</v>
      </c>
      <c r="B2460" t="s">
        <v>5</v>
      </c>
      <c r="C2460">
        <v>20</v>
      </c>
      <c r="D2460">
        <v>52.805999999999997</v>
      </c>
    </row>
    <row r="2461" spans="1:4" x14ac:dyDescent="0.25">
      <c r="A2461" t="s">
        <v>8</v>
      </c>
      <c r="B2461" t="s">
        <v>5</v>
      </c>
      <c r="C2461">
        <v>20</v>
      </c>
      <c r="D2461">
        <v>52.805999999999997</v>
      </c>
    </row>
    <row r="2462" spans="1:4" x14ac:dyDescent="0.25">
      <c r="A2462" t="s">
        <v>8</v>
      </c>
      <c r="B2462" t="s">
        <v>5</v>
      </c>
      <c r="C2462">
        <v>20</v>
      </c>
      <c r="D2462">
        <v>51.805999999999997</v>
      </c>
    </row>
    <row r="2463" spans="1:4" x14ac:dyDescent="0.25">
      <c r="A2463" t="s">
        <v>8</v>
      </c>
      <c r="B2463" t="s">
        <v>5</v>
      </c>
      <c r="C2463">
        <v>20</v>
      </c>
      <c r="D2463">
        <v>51.805999999999997</v>
      </c>
    </row>
    <row r="2464" spans="1:4" x14ac:dyDescent="0.25">
      <c r="A2464" t="s">
        <v>8</v>
      </c>
      <c r="B2464" t="s">
        <v>5</v>
      </c>
      <c r="C2464">
        <v>20</v>
      </c>
      <c r="D2464">
        <v>51.805999999999997</v>
      </c>
    </row>
    <row r="2465" spans="1:4" x14ac:dyDescent="0.25">
      <c r="A2465" t="s">
        <v>8</v>
      </c>
      <c r="B2465" t="s">
        <v>5</v>
      </c>
      <c r="C2465">
        <v>20</v>
      </c>
      <c r="D2465">
        <v>51.805999999999997</v>
      </c>
    </row>
    <row r="2466" spans="1:4" x14ac:dyDescent="0.25">
      <c r="A2466" t="s">
        <v>8</v>
      </c>
      <c r="B2466" t="s">
        <v>5</v>
      </c>
      <c r="C2466">
        <v>20</v>
      </c>
      <c r="D2466">
        <v>51.805999999999997</v>
      </c>
    </row>
    <row r="2467" spans="1:4" x14ac:dyDescent="0.25">
      <c r="A2467" t="s">
        <v>8</v>
      </c>
      <c r="B2467" t="s">
        <v>5</v>
      </c>
      <c r="C2467">
        <v>20</v>
      </c>
      <c r="D2467">
        <v>51.805999999999997</v>
      </c>
    </row>
    <row r="2468" spans="1:4" x14ac:dyDescent="0.25">
      <c r="A2468" t="s">
        <v>8</v>
      </c>
      <c r="B2468" t="s">
        <v>5</v>
      </c>
      <c r="C2468">
        <v>20</v>
      </c>
      <c r="D2468">
        <v>50.805999999999997</v>
      </c>
    </row>
    <row r="2469" spans="1:4" x14ac:dyDescent="0.25">
      <c r="A2469" t="s">
        <v>8</v>
      </c>
      <c r="B2469" t="s">
        <v>5</v>
      </c>
      <c r="C2469">
        <v>20</v>
      </c>
      <c r="D2469">
        <v>51.805999999999997</v>
      </c>
    </row>
    <row r="2470" spans="1:4" x14ac:dyDescent="0.25">
      <c r="A2470" t="s">
        <v>8</v>
      </c>
      <c r="B2470" t="s">
        <v>5</v>
      </c>
      <c r="C2470">
        <v>20</v>
      </c>
      <c r="D2470">
        <v>51.805999999999997</v>
      </c>
    </row>
    <row r="2471" spans="1:4" x14ac:dyDescent="0.25">
      <c r="A2471" t="s">
        <v>8</v>
      </c>
      <c r="B2471" t="s">
        <v>5</v>
      </c>
      <c r="C2471">
        <v>20</v>
      </c>
      <c r="D2471">
        <v>50.805999999999997</v>
      </c>
    </row>
    <row r="2472" spans="1:4" x14ac:dyDescent="0.25">
      <c r="A2472" t="s">
        <v>8</v>
      </c>
      <c r="B2472" t="s">
        <v>5</v>
      </c>
      <c r="C2472">
        <v>20</v>
      </c>
      <c r="D2472">
        <v>51.805999999999997</v>
      </c>
    </row>
    <row r="2473" spans="1:4" x14ac:dyDescent="0.25">
      <c r="A2473" t="s">
        <v>8</v>
      </c>
      <c r="B2473" t="s">
        <v>5</v>
      </c>
      <c r="C2473">
        <v>20</v>
      </c>
      <c r="D2473">
        <v>51.805999999999997</v>
      </c>
    </row>
    <row r="2474" spans="1:4" x14ac:dyDescent="0.25">
      <c r="A2474" t="s">
        <v>8</v>
      </c>
      <c r="B2474" t="s">
        <v>5</v>
      </c>
      <c r="C2474">
        <v>20</v>
      </c>
      <c r="D2474">
        <v>51.805999999999997</v>
      </c>
    </row>
    <row r="2475" spans="1:4" x14ac:dyDescent="0.25">
      <c r="A2475" t="s">
        <v>8</v>
      </c>
      <c r="B2475" t="s">
        <v>5</v>
      </c>
      <c r="C2475">
        <v>20</v>
      </c>
      <c r="D2475">
        <v>51.805999999999997</v>
      </c>
    </row>
    <row r="2476" spans="1:4" x14ac:dyDescent="0.25">
      <c r="A2476" t="s">
        <v>8</v>
      </c>
      <c r="B2476" t="s">
        <v>5</v>
      </c>
      <c r="C2476">
        <v>20</v>
      </c>
      <c r="D2476">
        <v>51.805999999999997</v>
      </c>
    </row>
    <row r="2477" spans="1:4" x14ac:dyDescent="0.25">
      <c r="A2477" t="s">
        <v>8</v>
      </c>
      <c r="B2477" t="s">
        <v>5</v>
      </c>
      <c r="C2477">
        <v>20</v>
      </c>
      <c r="D2477">
        <v>51.805999999999997</v>
      </c>
    </row>
    <row r="2478" spans="1:4" x14ac:dyDescent="0.25">
      <c r="A2478" t="s">
        <v>8</v>
      </c>
      <c r="B2478" t="s">
        <v>5</v>
      </c>
      <c r="C2478">
        <v>20</v>
      </c>
      <c r="D2478">
        <v>50.805999999999997</v>
      </c>
    </row>
    <row r="2479" spans="1:4" x14ac:dyDescent="0.25">
      <c r="A2479" t="s">
        <v>8</v>
      </c>
      <c r="B2479" t="s">
        <v>5</v>
      </c>
      <c r="C2479">
        <v>20</v>
      </c>
      <c r="D2479">
        <v>52.805999999999997</v>
      </c>
    </row>
    <row r="2480" spans="1:4" x14ac:dyDescent="0.25">
      <c r="A2480" t="s">
        <v>8</v>
      </c>
      <c r="B2480" t="s">
        <v>5</v>
      </c>
      <c r="C2480">
        <v>20</v>
      </c>
      <c r="D2480">
        <v>51.805999999999997</v>
      </c>
    </row>
    <row r="2481" spans="1:4" x14ac:dyDescent="0.25">
      <c r="A2481" t="s">
        <v>8</v>
      </c>
      <c r="B2481" t="s">
        <v>5</v>
      </c>
      <c r="C2481">
        <v>20</v>
      </c>
      <c r="D2481">
        <v>51.805999999999997</v>
      </c>
    </row>
    <row r="2482" spans="1:4" x14ac:dyDescent="0.25">
      <c r="A2482" t="s">
        <v>8</v>
      </c>
      <c r="B2482" t="s">
        <v>5</v>
      </c>
      <c r="C2482">
        <v>20</v>
      </c>
      <c r="D2482">
        <v>51.805999999999997</v>
      </c>
    </row>
    <row r="2483" spans="1:4" x14ac:dyDescent="0.25">
      <c r="A2483" t="s">
        <v>8</v>
      </c>
      <c r="B2483" t="s">
        <v>5</v>
      </c>
      <c r="C2483">
        <v>20</v>
      </c>
      <c r="D2483">
        <v>51.805999999999997</v>
      </c>
    </row>
    <row r="2484" spans="1:4" x14ac:dyDescent="0.25">
      <c r="A2484" t="s">
        <v>8</v>
      </c>
      <c r="B2484" t="s">
        <v>5</v>
      </c>
      <c r="C2484">
        <v>20</v>
      </c>
      <c r="D2484">
        <v>52.805999999999997</v>
      </c>
    </row>
    <row r="2485" spans="1:4" x14ac:dyDescent="0.25">
      <c r="A2485" t="s">
        <v>8</v>
      </c>
      <c r="B2485" t="s">
        <v>5</v>
      </c>
      <c r="C2485">
        <v>20</v>
      </c>
      <c r="D2485">
        <v>50.805999999999997</v>
      </c>
    </row>
    <row r="2486" spans="1:4" x14ac:dyDescent="0.25">
      <c r="A2486" t="s">
        <v>8</v>
      </c>
      <c r="B2486" t="s">
        <v>5</v>
      </c>
      <c r="C2486">
        <v>20</v>
      </c>
      <c r="D2486">
        <v>51.805999999999997</v>
      </c>
    </row>
    <row r="2487" spans="1:4" x14ac:dyDescent="0.25">
      <c r="A2487" t="s">
        <v>8</v>
      </c>
      <c r="B2487" t="s">
        <v>5</v>
      </c>
      <c r="C2487">
        <v>20</v>
      </c>
      <c r="D2487">
        <v>51.805999999999997</v>
      </c>
    </row>
    <row r="2488" spans="1:4" x14ac:dyDescent="0.25">
      <c r="A2488" t="s">
        <v>8</v>
      </c>
      <c r="B2488" t="s">
        <v>5</v>
      </c>
      <c r="C2488">
        <v>20</v>
      </c>
      <c r="D2488">
        <v>50.805999999999997</v>
      </c>
    </row>
    <row r="2489" spans="1:4" x14ac:dyDescent="0.25">
      <c r="A2489" t="s">
        <v>8</v>
      </c>
      <c r="B2489" t="s">
        <v>5</v>
      </c>
      <c r="C2489">
        <v>20</v>
      </c>
      <c r="D2489">
        <v>51.805999999999997</v>
      </c>
    </row>
    <row r="2490" spans="1:4" x14ac:dyDescent="0.25">
      <c r="A2490" t="s">
        <v>8</v>
      </c>
      <c r="B2490" t="s">
        <v>5</v>
      </c>
      <c r="C2490">
        <v>20</v>
      </c>
      <c r="D2490">
        <v>51.805999999999997</v>
      </c>
    </row>
    <row r="2491" spans="1:4" x14ac:dyDescent="0.25">
      <c r="A2491" t="s">
        <v>8</v>
      </c>
      <c r="B2491" t="s">
        <v>5</v>
      </c>
      <c r="C2491">
        <v>20</v>
      </c>
      <c r="D2491">
        <v>51.805999999999997</v>
      </c>
    </row>
    <row r="2492" spans="1:4" x14ac:dyDescent="0.25">
      <c r="A2492" t="s">
        <v>8</v>
      </c>
      <c r="B2492" t="s">
        <v>5</v>
      </c>
      <c r="C2492">
        <v>20</v>
      </c>
      <c r="D2492">
        <v>51.805999999999997</v>
      </c>
    </row>
    <row r="2493" spans="1:4" x14ac:dyDescent="0.25">
      <c r="A2493" t="s">
        <v>8</v>
      </c>
      <c r="B2493" t="s">
        <v>5</v>
      </c>
      <c r="C2493">
        <v>20</v>
      </c>
      <c r="D2493">
        <v>51.805999999999997</v>
      </c>
    </row>
    <row r="2494" spans="1:4" x14ac:dyDescent="0.25">
      <c r="A2494" t="s">
        <v>8</v>
      </c>
      <c r="B2494" t="s">
        <v>5</v>
      </c>
      <c r="C2494">
        <v>20</v>
      </c>
      <c r="D2494">
        <v>51.805999999999997</v>
      </c>
    </row>
    <row r="2495" spans="1:4" x14ac:dyDescent="0.25">
      <c r="A2495" t="s">
        <v>8</v>
      </c>
      <c r="B2495" t="s">
        <v>5</v>
      </c>
      <c r="C2495">
        <v>20</v>
      </c>
      <c r="D2495">
        <v>51.805999999999997</v>
      </c>
    </row>
    <row r="2496" spans="1:4" x14ac:dyDescent="0.25">
      <c r="A2496" t="s">
        <v>8</v>
      </c>
      <c r="B2496" t="s">
        <v>5</v>
      </c>
      <c r="C2496">
        <v>20</v>
      </c>
      <c r="D2496">
        <v>51.805999999999997</v>
      </c>
    </row>
    <row r="2497" spans="1:4" x14ac:dyDescent="0.25">
      <c r="A2497" t="s">
        <v>8</v>
      </c>
      <c r="B2497" t="s">
        <v>5</v>
      </c>
      <c r="C2497">
        <v>20</v>
      </c>
      <c r="D2497">
        <v>51.805999999999997</v>
      </c>
    </row>
    <row r="2498" spans="1:4" x14ac:dyDescent="0.25">
      <c r="A2498" t="s">
        <v>8</v>
      </c>
      <c r="B2498" t="s">
        <v>5</v>
      </c>
      <c r="C2498">
        <v>20</v>
      </c>
      <c r="D2498">
        <v>51.805999999999997</v>
      </c>
    </row>
    <row r="2499" spans="1:4" x14ac:dyDescent="0.25">
      <c r="A2499" t="s">
        <v>8</v>
      </c>
      <c r="B2499" t="s">
        <v>5</v>
      </c>
      <c r="C2499">
        <v>20</v>
      </c>
      <c r="D2499">
        <v>51.805999999999997</v>
      </c>
    </row>
    <row r="2500" spans="1:4" x14ac:dyDescent="0.25">
      <c r="A2500" t="s">
        <v>8</v>
      </c>
      <c r="B2500" t="s">
        <v>5</v>
      </c>
      <c r="C2500">
        <v>20</v>
      </c>
      <c r="D2500">
        <v>51.805999999999997</v>
      </c>
    </row>
    <row r="2501" spans="1:4" x14ac:dyDescent="0.25">
      <c r="A2501" t="s">
        <v>8</v>
      </c>
      <c r="B2501" t="s">
        <v>5</v>
      </c>
      <c r="C2501">
        <v>20</v>
      </c>
      <c r="D2501">
        <v>51.805999999999997</v>
      </c>
    </row>
    <row r="2502" spans="1:4" x14ac:dyDescent="0.25">
      <c r="A2502" t="s">
        <v>8</v>
      </c>
      <c r="B2502" t="s">
        <v>5</v>
      </c>
      <c r="C2502">
        <v>40</v>
      </c>
      <c r="D2502">
        <v>79.191999999999993</v>
      </c>
    </row>
    <row r="2503" spans="1:4" x14ac:dyDescent="0.25">
      <c r="A2503" t="s">
        <v>8</v>
      </c>
      <c r="B2503" t="s">
        <v>5</v>
      </c>
      <c r="C2503">
        <v>40</v>
      </c>
      <c r="D2503">
        <v>80.046999999999997</v>
      </c>
    </row>
    <row r="2504" spans="1:4" x14ac:dyDescent="0.25">
      <c r="A2504" t="s">
        <v>8</v>
      </c>
      <c r="B2504" t="s">
        <v>5</v>
      </c>
      <c r="C2504">
        <v>40</v>
      </c>
      <c r="D2504">
        <v>86.63</v>
      </c>
    </row>
    <row r="2505" spans="1:4" x14ac:dyDescent="0.25">
      <c r="A2505" t="s">
        <v>8</v>
      </c>
      <c r="B2505" t="s">
        <v>5</v>
      </c>
      <c r="C2505">
        <v>40</v>
      </c>
      <c r="D2505">
        <v>79.974000000000004</v>
      </c>
    </row>
    <row r="2506" spans="1:4" x14ac:dyDescent="0.25">
      <c r="A2506" t="s">
        <v>8</v>
      </c>
      <c r="B2506" t="s">
        <v>5</v>
      </c>
      <c r="C2506">
        <v>40</v>
      </c>
      <c r="D2506">
        <v>86.849000000000004</v>
      </c>
    </row>
    <row r="2507" spans="1:4" x14ac:dyDescent="0.25">
      <c r="A2507" t="s">
        <v>8</v>
      </c>
      <c r="B2507" t="s">
        <v>5</v>
      </c>
      <c r="C2507">
        <v>40</v>
      </c>
      <c r="D2507">
        <v>87.703000000000003</v>
      </c>
    </row>
    <row r="2508" spans="1:4" x14ac:dyDescent="0.25">
      <c r="A2508" t="s">
        <v>8</v>
      </c>
      <c r="B2508" t="s">
        <v>5</v>
      </c>
      <c r="C2508">
        <v>40</v>
      </c>
      <c r="D2508">
        <v>79.265000000000001</v>
      </c>
    </row>
    <row r="2509" spans="1:4" x14ac:dyDescent="0.25">
      <c r="A2509" t="s">
        <v>8</v>
      </c>
      <c r="B2509" t="s">
        <v>5</v>
      </c>
      <c r="C2509">
        <v>40</v>
      </c>
      <c r="D2509">
        <v>80.703000000000003</v>
      </c>
    </row>
    <row r="2510" spans="1:4" x14ac:dyDescent="0.25">
      <c r="A2510" t="s">
        <v>8</v>
      </c>
      <c r="B2510" t="s">
        <v>5</v>
      </c>
      <c r="C2510">
        <v>40</v>
      </c>
      <c r="D2510">
        <v>85.63</v>
      </c>
    </row>
    <row r="2511" spans="1:4" x14ac:dyDescent="0.25">
      <c r="A2511" t="s">
        <v>8</v>
      </c>
      <c r="B2511" t="s">
        <v>5</v>
      </c>
      <c r="C2511">
        <v>40</v>
      </c>
      <c r="D2511">
        <v>81.337999999999994</v>
      </c>
    </row>
    <row r="2512" spans="1:4" x14ac:dyDescent="0.25">
      <c r="A2512" t="s">
        <v>8</v>
      </c>
      <c r="B2512" t="s">
        <v>5</v>
      </c>
      <c r="C2512">
        <v>40</v>
      </c>
      <c r="D2512">
        <v>84.63</v>
      </c>
    </row>
    <row r="2513" spans="1:4" x14ac:dyDescent="0.25">
      <c r="A2513" t="s">
        <v>8</v>
      </c>
      <c r="B2513" t="s">
        <v>5</v>
      </c>
      <c r="C2513">
        <v>40</v>
      </c>
      <c r="D2513">
        <v>82.412000000000006</v>
      </c>
    </row>
    <row r="2514" spans="1:4" x14ac:dyDescent="0.25">
      <c r="A2514" t="s">
        <v>8</v>
      </c>
      <c r="B2514" t="s">
        <v>5</v>
      </c>
      <c r="C2514">
        <v>40</v>
      </c>
      <c r="D2514">
        <v>82.483999999999995</v>
      </c>
    </row>
    <row r="2515" spans="1:4" x14ac:dyDescent="0.25">
      <c r="A2515" t="s">
        <v>8</v>
      </c>
      <c r="B2515" t="s">
        <v>5</v>
      </c>
      <c r="C2515">
        <v>40</v>
      </c>
      <c r="D2515">
        <v>80.266000000000005</v>
      </c>
    </row>
    <row r="2516" spans="1:4" x14ac:dyDescent="0.25">
      <c r="A2516" t="s">
        <v>8</v>
      </c>
      <c r="B2516" t="s">
        <v>5</v>
      </c>
      <c r="C2516">
        <v>40</v>
      </c>
      <c r="D2516">
        <v>81.483999999999995</v>
      </c>
    </row>
    <row r="2517" spans="1:4" x14ac:dyDescent="0.25">
      <c r="A2517" t="s">
        <v>8</v>
      </c>
      <c r="B2517" t="s">
        <v>5</v>
      </c>
      <c r="C2517">
        <v>40</v>
      </c>
      <c r="D2517">
        <v>86.484999999999999</v>
      </c>
    </row>
    <row r="2518" spans="1:4" x14ac:dyDescent="0.25">
      <c r="A2518" t="s">
        <v>8</v>
      </c>
      <c r="B2518" t="s">
        <v>5</v>
      </c>
      <c r="C2518">
        <v>40</v>
      </c>
      <c r="D2518">
        <v>81.266000000000005</v>
      </c>
    </row>
    <row r="2519" spans="1:4" x14ac:dyDescent="0.25">
      <c r="A2519" t="s">
        <v>8</v>
      </c>
      <c r="B2519" t="s">
        <v>5</v>
      </c>
      <c r="C2519">
        <v>40</v>
      </c>
      <c r="D2519">
        <v>83.411000000000001</v>
      </c>
    </row>
    <row r="2520" spans="1:4" x14ac:dyDescent="0.25">
      <c r="A2520" t="s">
        <v>8</v>
      </c>
      <c r="B2520" t="s">
        <v>5</v>
      </c>
      <c r="C2520">
        <v>40</v>
      </c>
      <c r="D2520">
        <v>76.828000000000003</v>
      </c>
    </row>
    <row r="2521" spans="1:4" x14ac:dyDescent="0.25">
      <c r="A2521" t="s">
        <v>8</v>
      </c>
      <c r="B2521" t="s">
        <v>5</v>
      </c>
      <c r="C2521">
        <v>40</v>
      </c>
      <c r="D2521">
        <v>77.974000000000004</v>
      </c>
    </row>
    <row r="2522" spans="1:4" x14ac:dyDescent="0.25">
      <c r="A2522" t="s">
        <v>8</v>
      </c>
      <c r="B2522" t="s">
        <v>5</v>
      </c>
      <c r="C2522">
        <v>40</v>
      </c>
      <c r="D2522">
        <v>80.411000000000001</v>
      </c>
    </row>
    <row r="2523" spans="1:4" x14ac:dyDescent="0.25">
      <c r="A2523" t="s">
        <v>8</v>
      </c>
      <c r="B2523" t="s">
        <v>5</v>
      </c>
      <c r="C2523">
        <v>40</v>
      </c>
      <c r="D2523">
        <v>84.266000000000005</v>
      </c>
    </row>
    <row r="2524" spans="1:4" x14ac:dyDescent="0.25">
      <c r="A2524" t="s">
        <v>8</v>
      </c>
      <c r="B2524" t="s">
        <v>5</v>
      </c>
      <c r="C2524">
        <v>40</v>
      </c>
      <c r="D2524">
        <v>72.462999999999994</v>
      </c>
    </row>
    <row r="2525" spans="1:4" x14ac:dyDescent="0.25">
      <c r="A2525" t="s">
        <v>8</v>
      </c>
      <c r="B2525" t="s">
        <v>5</v>
      </c>
      <c r="C2525">
        <v>40</v>
      </c>
      <c r="D2525">
        <v>82.337999999999994</v>
      </c>
    </row>
    <row r="2526" spans="1:4" x14ac:dyDescent="0.25">
      <c r="A2526" t="s">
        <v>8</v>
      </c>
      <c r="B2526" t="s">
        <v>5</v>
      </c>
      <c r="C2526">
        <v>40</v>
      </c>
      <c r="D2526">
        <v>82.484999999999999</v>
      </c>
    </row>
    <row r="2527" spans="1:4" x14ac:dyDescent="0.25">
      <c r="A2527" t="s">
        <v>8</v>
      </c>
      <c r="B2527" t="s">
        <v>5</v>
      </c>
      <c r="C2527">
        <v>40</v>
      </c>
      <c r="D2527">
        <v>78.191999999999993</v>
      </c>
    </row>
    <row r="2528" spans="1:4" x14ac:dyDescent="0.25">
      <c r="A2528" t="s">
        <v>8</v>
      </c>
      <c r="B2528" t="s">
        <v>5</v>
      </c>
      <c r="C2528">
        <v>40</v>
      </c>
      <c r="D2528">
        <v>79.337999999999994</v>
      </c>
    </row>
    <row r="2529" spans="1:4" x14ac:dyDescent="0.25">
      <c r="A2529" t="s">
        <v>8</v>
      </c>
      <c r="B2529" t="s">
        <v>5</v>
      </c>
      <c r="C2529">
        <v>40</v>
      </c>
      <c r="D2529">
        <v>84.775999999999996</v>
      </c>
    </row>
    <row r="2530" spans="1:4" x14ac:dyDescent="0.25">
      <c r="A2530" t="s">
        <v>8</v>
      </c>
      <c r="B2530" t="s">
        <v>5</v>
      </c>
      <c r="C2530">
        <v>40</v>
      </c>
      <c r="D2530">
        <v>79.119</v>
      </c>
    </row>
    <row r="2531" spans="1:4" x14ac:dyDescent="0.25">
      <c r="A2531" t="s">
        <v>8</v>
      </c>
      <c r="B2531" t="s">
        <v>5</v>
      </c>
      <c r="C2531">
        <v>40</v>
      </c>
      <c r="D2531">
        <v>83.192999999999998</v>
      </c>
    </row>
    <row r="2532" spans="1:4" x14ac:dyDescent="0.25">
      <c r="A2532" t="s">
        <v>8</v>
      </c>
      <c r="B2532" t="s">
        <v>5</v>
      </c>
      <c r="C2532">
        <v>40</v>
      </c>
      <c r="D2532">
        <v>84.483999999999995</v>
      </c>
    </row>
    <row r="2533" spans="1:4" x14ac:dyDescent="0.25">
      <c r="A2533" t="s">
        <v>8</v>
      </c>
      <c r="B2533" t="s">
        <v>5</v>
      </c>
      <c r="C2533">
        <v>40</v>
      </c>
      <c r="D2533">
        <v>83.483999999999995</v>
      </c>
    </row>
    <row r="2534" spans="1:4" x14ac:dyDescent="0.25">
      <c r="A2534" t="s">
        <v>8</v>
      </c>
      <c r="B2534" t="s">
        <v>5</v>
      </c>
      <c r="C2534">
        <v>40</v>
      </c>
      <c r="D2534">
        <v>79.046999999999997</v>
      </c>
    </row>
    <row r="2535" spans="1:4" x14ac:dyDescent="0.25">
      <c r="A2535" t="s">
        <v>8</v>
      </c>
      <c r="B2535" t="s">
        <v>5</v>
      </c>
      <c r="C2535">
        <v>40</v>
      </c>
      <c r="D2535">
        <v>85.557000000000002</v>
      </c>
    </row>
    <row r="2536" spans="1:4" x14ac:dyDescent="0.25">
      <c r="A2536" t="s">
        <v>8</v>
      </c>
      <c r="B2536" t="s">
        <v>5</v>
      </c>
      <c r="C2536">
        <v>40</v>
      </c>
      <c r="D2536">
        <v>84.412000000000006</v>
      </c>
    </row>
    <row r="2537" spans="1:4" x14ac:dyDescent="0.25">
      <c r="A2537" t="s">
        <v>8</v>
      </c>
      <c r="B2537" t="s">
        <v>5</v>
      </c>
      <c r="C2537">
        <v>40</v>
      </c>
      <c r="D2537">
        <v>77.046000000000006</v>
      </c>
    </row>
    <row r="2538" spans="1:4" x14ac:dyDescent="0.25">
      <c r="A2538" t="s">
        <v>8</v>
      </c>
      <c r="B2538" t="s">
        <v>5</v>
      </c>
      <c r="C2538">
        <v>40</v>
      </c>
      <c r="D2538">
        <v>84.703000000000003</v>
      </c>
    </row>
    <row r="2539" spans="1:4" x14ac:dyDescent="0.25">
      <c r="A2539" t="s">
        <v>8</v>
      </c>
      <c r="B2539" t="s">
        <v>5</v>
      </c>
      <c r="C2539">
        <v>40</v>
      </c>
      <c r="D2539">
        <v>76.900999999999996</v>
      </c>
    </row>
    <row r="2540" spans="1:4" x14ac:dyDescent="0.25">
      <c r="A2540" t="s">
        <v>8</v>
      </c>
      <c r="B2540" t="s">
        <v>5</v>
      </c>
      <c r="C2540">
        <v>40</v>
      </c>
      <c r="D2540">
        <v>73.972999999999999</v>
      </c>
    </row>
    <row r="2541" spans="1:4" x14ac:dyDescent="0.25">
      <c r="A2541" t="s">
        <v>8</v>
      </c>
      <c r="B2541" t="s">
        <v>5</v>
      </c>
      <c r="C2541">
        <v>40</v>
      </c>
      <c r="D2541">
        <v>86.557000000000002</v>
      </c>
    </row>
    <row r="2542" spans="1:4" x14ac:dyDescent="0.25">
      <c r="A2542" t="s">
        <v>8</v>
      </c>
      <c r="B2542" t="s">
        <v>5</v>
      </c>
      <c r="C2542">
        <v>40</v>
      </c>
      <c r="D2542">
        <v>81.337999999999994</v>
      </c>
    </row>
    <row r="2543" spans="1:4" x14ac:dyDescent="0.25">
      <c r="A2543" t="s">
        <v>8</v>
      </c>
      <c r="B2543" t="s">
        <v>5</v>
      </c>
      <c r="C2543">
        <v>40</v>
      </c>
      <c r="D2543">
        <v>81.338999999999999</v>
      </c>
    </row>
    <row r="2544" spans="1:4" x14ac:dyDescent="0.25">
      <c r="A2544" t="s">
        <v>8</v>
      </c>
      <c r="B2544" t="s">
        <v>5</v>
      </c>
      <c r="C2544">
        <v>40</v>
      </c>
      <c r="D2544">
        <v>79.411000000000001</v>
      </c>
    </row>
    <row r="2545" spans="1:4" x14ac:dyDescent="0.25">
      <c r="A2545" t="s">
        <v>8</v>
      </c>
      <c r="B2545" t="s">
        <v>5</v>
      </c>
      <c r="C2545">
        <v>40</v>
      </c>
      <c r="D2545">
        <v>83.557000000000002</v>
      </c>
    </row>
    <row r="2546" spans="1:4" x14ac:dyDescent="0.25">
      <c r="A2546" t="s">
        <v>8</v>
      </c>
      <c r="B2546" t="s">
        <v>5</v>
      </c>
      <c r="C2546">
        <v>40</v>
      </c>
      <c r="D2546">
        <v>79.046999999999997</v>
      </c>
    </row>
    <row r="2547" spans="1:4" x14ac:dyDescent="0.25">
      <c r="A2547" t="s">
        <v>8</v>
      </c>
      <c r="B2547" t="s">
        <v>5</v>
      </c>
      <c r="C2547">
        <v>40</v>
      </c>
      <c r="D2547">
        <v>82.63</v>
      </c>
    </row>
    <row r="2548" spans="1:4" x14ac:dyDescent="0.25">
      <c r="A2548" t="s">
        <v>8</v>
      </c>
      <c r="B2548" t="s">
        <v>5</v>
      </c>
      <c r="C2548">
        <v>40</v>
      </c>
      <c r="D2548">
        <v>81.12</v>
      </c>
    </row>
    <row r="2549" spans="1:4" x14ac:dyDescent="0.25">
      <c r="A2549" t="s">
        <v>8</v>
      </c>
      <c r="B2549" t="s">
        <v>5</v>
      </c>
      <c r="C2549">
        <v>40</v>
      </c>
      <c r="D2549">
        <v>87.995000000000005</v>
      </c>
    </row>
    <row r="2550" spans="1:4" x14ac:dyDescent="0.25">
      <c r="A2550" t="s">
        <v>8</v>
      </c>
      <c r="B2550" t="s">
        <v>5</v>
      </c>
      <c r="C2550">
        <v>40</v>
      </c>
      <c r="D2550">
        <v>89.213999999999999</v>
      </c>
    </row>
    <row r="2551" spans="1:4" x14ac:dyDescent="0.25">
      <c r="A2551" t="s">
        <v>8</v>
      </c>
      <c r="B2551" t="s">
        <v>5</v>
      </c>
      <c r="C2551">
        <v>40</v>
      </c>
      <c r="D2551">
        <v>81.191999999999993</v>
      </c>
    </row>
    <row r="2552" spans="1:4" x14ac:dyDescent="0.25">
      <c r="A2552" t="s">
        <v>8</v>
      </c>
      <c r="B2552" t="s">
        <v>5</v>
      </c>
      <c r="C2552">
        <v>40</v>
      </c>
      <c r="D2552">
        <v>78.192999999999998</v>
      </c>
    </row>
    <row r="2553" spans="1:4" x14ac:dyDescent="0.25">
      <c r="A2553" t="s">
        <v>8</v>
      </c>
      <c r="B2553" t="s">
        <v>5</v>
      </c>
      <c r="C2553">
        <v>40</v>
      </c>
      <c r="D2553">
        <v>83.337999999999994</v>
      </c>
    </row>
    <row r="2554" spans="1:4" x14ac:dyDescent="0.25">
      <c r="A2554" t="s">
        <v>8</v>
      </c>
      <c r="B2554" t="s">
        <v>5</v>
      </c>
      <c r="C2554">
        <v>40</v>
      </c>
      <c r="D2554">
        <v>82.411000000000001</v>
      </c>
    </row>
    <row r="2555" spans="1:4" x14ac:dyDescent="0.25">
      <c r="A2555" t="s">
        <v>8</v>
      </c>
      <c r="B2555" t="s">
        <v>5</v>
      </c>
      <c r="C2555">
        <v>40</v>
      </c>
      <c r="D2555">
        <v>78.337999999999994</v>
      </c>
    </row>
    <row r="2556" spans="1:4" x14ac:dyDescent="0.25">
      <c r="A2556" t="s">
        <v>8</v>
      </c>
      <c r="B2556" t="s">
        <v>5</v>
      </c>
      <c r="C2556">
        <v>40</v>
      </c>
      <c r="D2556">
        <v>73.682000000000002</v>
      </c>
    </row>
    <row r="2557" spans="1:4" x14ac:dyDescent="0.25">
      <c r="A2557" t="s">
        <v>8</v>
      </c>
      <c r="B2557" t="s">
        <v>5</v>
      </c>
      <c r="C2557">
        <v>40</v>
      </c>
      <c r="D2557">
        <v>82.483999999999995</v>
      </c>
    </row>
    <row r="2558" spans="1:4" x14ac:dyDescent="0.25">
      <c r="A2558" t="s">
        <v>8</v>
      </c>
      <c r="B2558" t="s">
        <v>5</v>
      </c>
      <c r="C2558">
        <v>40</v>
      </c>
      <c r="D2558">
        <v>76.974000000000004</v>
      </c>
    </row>
    <row r="2559" spans="1:4" x14ac:dyDescent="0.25">
      <c r="A2559" t="s">
        <v>8</v>
      </c>
      <c r="B2559" t="s">
        <v>5</v>
      </c>
      <c r="C2559">
        <v>40</v>
      </c>
      <c r="D2559">
        <v>81.266000000000005</v>
      </c>
    </row>
    <row r="2560" spans="1:4" x14ac:dyDescent="0.25">
      <c r="A2560" t="s">
        <v>8</v>
      </c>
      <c r="B2560" t="s">
        <v>5</v>
      </c>
      <c r="C2560">
        <v>40</v>
      </c>
      <c r="D2560">
        <v>82.192999999999998</v>
      </c>
    </row>
    <row r="2561" spans="1:4" x14ac:dyDescent="0.25">
      <c r="A2561" t="s">
        <v>8</v>
      </c>
      <c r="B2561" t="s">
        <v>5</v>
      </c>
      <c r="C2561">
        <v>40</v>
      </c>
      <c r="D2561">
        <v>82.266000000000005</v>
      </c>
    </row>
    <row r="2562" spans="1:4" x14ac:dyDescent="0.25">
      <c r="A2562" t="s">
        <v>8</v>
      </c>
      <c r="B2562" t="s">
        <v>5</v>
      </c>
      <c r="C2562">
        <v>40</v>
      </c>
      <c r="D2562">
        <v>78.411000000000001</v>
      </c>
    </row>
    <row r="2563" spans="1:4" x14ac:dyDescent="0.25">
      <c r="A2563" t="s">
        <v>8</v>
      </c>
      <c r="B2563" t="s">
        <v>5</v>
      </c>
      <c r="C2563">
        <v>40</v>
      </c>
      <c r="D2563">
        <v>82.557000000000002</v>
      </c>
    </row>
    <row r="2564" spans="1:4" x14ac:dyDescent="0.25">
      <c r="A2564" t="s">
        <v>8</v>
      </c>
      <c r="B2564" t="s">
        <v>5</v>
      </c>
      <c r="C2564">
        <v>40</v>
      </c>
      <c r="D2564">
        <v>81.337999999999994</v>
      </c>
    </row>
    <row r="2565" spans="1:4" x14ac:dyDescent="0.25">
      <c r="A2565" t="s">
        <v>8</v>
      </c>
      <c r="B2565" t="s">
        <v>5</v>
      </c>
      <c r="C2565">
        <v>40</v>
      </c>
      <c r="D2565">
        <v>79.265000000000001</v>
      </c>
    </row>
    <row r="2566" spans="1:4" x14ac:dyDescent="0.25">
      <c r="A2566" t="s">
        <v>8</v>
      </c>
      <c r="B2566" t="s">
        <v>5</v>
      </c>
      <c r="C2566">
        <v>40</v>
      </c>
      <c r="D2566">
        <v>77.900999999999996</v>
      </c>
    </row>
    <row r="2567" spans="1:4" x14ac:dyDescent="0.25">
      <c r="A2567" t="s">
        <v>8</v>
      </c>
      <c r="B2567" t="s">
        <v>5</v>
      </c>
      <c r="C2567">
        <v>40</v>
      </c>
      <c r="D2567">
        <v>74.974000000000004</v>
      </c>
    </row>
    <row r="2568" spans="1:4" x14ac:dyDescent="0.25">
      <c r="A2568" t="s">
        <v>8</v>
      </c>
      <c r="B2568" t="s">
        <v>5</v>
      </c>
      <c r="C2568">
        <v>40</v>
      </c>
      <c r="D2568">
        <v>88.775999999999996</v>
      </c>
    </row>
    <row r="2569" spans="1:4" x14ac:dyDescent="0.25">
      <c r="A2569" t="s">
        <v>8</v>
      </c>
      <c r="B2569" t="s">
        <v>5</v>
      </c>
      <c r="C2569">
        <v>40</v>
      </c>
      <c r="D2569">
        <v>84.703000000000003</v>
      </c>
    </row>
    <row r="2570" spans="1:4" x14ac:dyDescent="0.25">
      <c r="A2570" t="s">
        <v>8</v>
      </c>
      <c r="B2570" t="s">
        <v>5</v>
      </c>
      <c r="C2570">
        <v>40</v>
      </c>
      <c r="D2570">
        <v>85.192999999999998</v>
      </c>
    </row>
    <row r="2571" spans="1:4" x14ac:dyDescent="0.25">
      <c r="A2571" t="s">
        <v>8</v>
      </c>
      <c r="B2571" t="s">
        <v>5</v>
      </c>
      <c r="C2571">
        <v>40</v>
      </c>
      <c r="D2571">
        <v>84.703000000000003</v>
      </c>
    </row>
    <row r="2572" spans="1:4" x14ac:dyDescent="0.25">
      <c r="A2572" t="s">
        <v>8</v>
      </c>
      <c r="B2572" t="s">
        <v>5</v>
      </c>
      <c r="C2572">
        <v>40</v>
      </c>
      <c r="D2572">
        <v>78.411000000000001</v>
      </c>
    </row>
    <row r="2573" spans="1:4" x14ac:dyDescent="0.25">
      <c r="A2573" t="s">
        <v>8</v>
      </c>
      <c r="B2573" t="s">
        <v>5</v>
      </c>
      <c r="C2573">
        <v>40</v>
      </c>
      <c r="D2573">
        <v>86.631</v>
      </c>
    </row>
    <row r="2574" spans="1:4" x14ac:dyDescent="0.25">
      <c r="A2574" t="s">
        <v>8</v>
      </c>
      <c r="B2574" t="s">
        <v>5</v>
      </c>
      <c r="C2574">
        <v>40</v>
      </c>
      <c r="D2574">
        <v>78.191999999999993</v>
      </c>
    </row>
    <row r="2575" spans="1:4" x14ac:dyDescent="0.25">
      <c r="A2575" t="s">
        <v>8</v>
      </c>
      <c r="B2575" t="s">
        <v>5</v>
      </c>
      <c r="C2575">
        <v>40</v>
      </c>
      <c r="D2575">
        <v>84.557000000000002</v>
      </c>
    </row>
    <row r="2576" spans="1:4" x14ac:dyDescent="0.25">
      <c r="A2576" t="s">
        <v>8</v>
      </c>
      <c r="B2576" t="s">
        <v>5</v>
      </c>
      <c r="C2576">
        <v>40</v>
      </c>
      <c r="D2576">
        <v>83.266000000000005</v>
      </c>
    </row>
    <row r="2577" spans="1:4" x14ac:dyDescent="0.25">
      <c r="A2577" t="s">
        <v>8</v>
      </c>
      <c r="B2577" t="s">
        <v>5</v>
      </c>
      <c r="C2577">
        <v>40</v>
      </c>
      <c r="D2577">
        <v>83.483999999999995</v>
      </c>
    </row>
    <row r="2578" spans="1:4" x14ac:dyDescent="0.25">
      <c r="A2578" t="s">
        <v>8</v>
      </c>
      <c r="B2578" t="s">
        <v>5</v>
      </c>
      <c r="C2578">
        <v>40</v>
      </c>
      <c r="D2578">
        <v>77.974000000000004</v>
      </c>
    </row>
    <row r="2579" spans="1:4" x14ac:dyDescent="0.25">
      <c r="A2579" t="s">
        <v>8</v>
      </c>
      <c r="B2579" t="s">
        <v>5</v>
      </c>
      <c r="C2579">
        <v>40</v>
      </c>
      <c r="D2579">
        <v>83.411000000000001</v>
      </c>
    </row>
    <row r="2580" spans="1:4" x14ac:dyDescent="0.25">
      <c r="A2580" t="s">
        <v>8</v>
      </c>
      <c r="B2580" t="s">
        <v>5</v>
      </c>
      <c r="C2580">
        <v>40</v>
      </c>
      <c r="D2580">
        <v>83.557000000000002</v>
      </c>
    </row>
    <row r="2581" spans="1:4" x14ac:dyDescent="0.25">
      <c r="A2581" t="s">
        <v>8</v>
      </c>
      <c r="B2581" t="s">
        <v>5</v>
      </c>
      <c r="C2581">
        <v>40</v>
      </c>
      <c r="D2581">
        <v>86.557000000000002</v>
      </c>
    </row>
    <row r="2582" spans="1:4" x14ac:dyDescent="0.25">
      <c r="A2582" t="s">
        <v>8</v>
      </c>
      <c r="B2582" t="s">
        <v>5</v>
      </c>
      <c r="C2582">
        <v>40</v>
      </c>
      <c r="D2582">
        <v>86.849000000000004</v>
      </c>
    </row>
    <row r="2583" spans="1:4" x14ac:dyDescent="0.25">
      <c r="A2583" t="s">
        <v>8</v>
      </c>
      <c r="B2583" t="s">
        <v>5</v>
      </c>
      <c r="C2583">
        <v>40</v>
      </c>
      <c r="D2583">
        <v>80.191999999999993</v>
      </c>
    </row>
    <row r="2584" spans="1:4" x14ac:dyDescent="0.25">
      <c r="A2584" t="s">
        <v>8</v>
      </c>
      <c r="B2584" t="s">
        <v>5</v>
      </c>
      <c r="C2584">
        <v>40</v>
      </c>
      <c r="D2584">
        <v>81.411000000000001</v>
      </c>
    </row>
    <row r="2585" spans="1:4" x14ac:dyDescent="0.25">
      <c r="A2585" t="s">
        <v>8</v>
      </c>
      <c r="B2585" t="s">
        <v>5</v>
      </c>
      <c r="C2585">
        <v>40</v>
      </c>
      <c r="D2585">
        <v>84.557000000000002</v>
      </c>
    </row>
    <row r="2586" spans="1:4" x14ac:dyDescent="0.25">
      <c r="A2586" t="s">
        <v>8</v>
      </c>
      <c r="B2586" t="s">
        <v>5</v>
      </c>
      <c r="C2586">
        <v>40</v>
      </c>
      <c r="D2586">
        <v>80.974000000000004</v>
      </c>
    </row>
    <row r="2587" spans="1:4" x14ac:dyDescent="0.25">
      <c r="A2587" t="s">
        <v>8</v>
      </c>
      <c r="B2587" t="s">
        <v>5</v>
      </c>
      <c r="C2587">
        <v>40</v>
      </c>
      <c r="D2587">
        <v>81.265000000000001</v>
      </c>
    </row>
    <row r="2588" spans="1:4" x14ac:dyDescent="0.25">
      <c r="A2588" t="s">
        <v>8</v>
      </c>
      <c r="B2588" t="s">
        <v>5</v>
      </c>
      <c r="C2588">
        <v>40</v>
      </c>
      <c r="D2588">
        <v>85.483999999999995</v>
      </c>
    </row>
    <row r="2589" spans="1:4" x14ac:dyDescent="0.25">
      <c r="A2589" t="s">
        <v>8</v>
      </c>
      <c r="B2589" t="s">
        <v>5</v>
      </c>
      <c r="C2589">
        <v>40</v>
      </c>
      <c r="D2589">
        <v>81.192999999999998</v>
      </c>
    </row>
    <row r="2590" spans="1:4" x14ac:dyDescent="0.25">
      <c r="A2590" t="s">
        <v>8</v>
      </c>
      <c r="B2590" t="s">
        <v>5</v>
      </c>
      <c r="C2590">
        <v>40</v>
      </c>
      <c r="D2590">
        <v>82.63</v>
      </c>
    </row>
    <row r="2591" spans="1:4" x14ac:dyDescent="0.25">
      <c r="A2591" t="s">
        <v>8</v>
      </c>
      <c r="B2591" t="s">
        <v>5</v>
      </c>
      <c r="C2591">
        <v>40</v>
      </c>
      <c r="D2591">
        <v>83.265000000000001</v>
      </c>
    </row>
    <row r="2592" spans="1:4" x14ac:dyDescent="0.25">
      <c r="A2592" t="s">
        <v>8</v>
      </c>
      <c r="B2592" t="s">
        <v>5</v>
      </c>
      <c r="C2592">
        <v>40</v>
      </c>
      <c r="D2592">
        <v>80.192999999999998</v>
      </c>
    </row>
    <row r="2593" spans="1:4" x14ac:dyDescent="0.25">
      <c r="A2593" t="s">
        <v>8</v>
      </c>
      <c r="B2593" t="s">
        <v>5</v>
      </c>
      <c r="C2593">
        <v>40</v>
      </c>
      <c r="D2593">
        <v>76.974000000000004</v>
      </c>
    </row>
    <row r="2594" spans="1:4" x14ac:dyDescent="0.25">
      <c r="A2594" t="s">
        <v>8</v>
      </c>
      <c r="B2594" t="s">
        <v>5</v>
      </c>
      <c r="C2594">
        <v>40</v>
      </c>
      <c r="D2594">
        <v>87.849000000000004</v>
      </c>
    </row>
    <row r="2595" spans="1:4" x14ac:dyDescent="0.25">
      <c r="A2595" t="s">
        <v>8</v>
      </c>
      <c r="B2595" t="s">
        <v>5</v>
      </c>
      <c r="C2595">
        <v>40</v>
      </c>
      <c r="D2595">
        <v>82.12</v>
      </c>
    </row>
    <row r="2596" spans="1:4" x14ac:dyDescent="0.25">
      <c r="A2596" t="s">
        <v>8</v>
      </c>
      <c r="B2596" t="s">
        <v>5</v>
      </c>
      <c r="C2596">
        <v>40</v>
      </c>
      <c r="D2596">
        <v>85.703000000000003</v>
      </c>
    </row>
    <row r="2597" spans="1:4" x14ac:dyDescent="0.25">
      <c r="A2597" t="s">
        <v>8</v>
      </c>
      <c r="B2597" t="s">
        <v>5</v>
      </c>
      <c r="C2597">
        <v>40</v>
      </c>
      <c r="D2597">
        <v>85.483999999999995</v>
      </c>
    </row>
    <row r="2598" spans="1:4" x14ac:dyDescent="0.25">
      <c r="A2598" t="s">
        <v>8</v>
      </c>
      <c r="B2598" t="s">
        <v>5</v>
      </c>
      <c r="C2598">
        <v>40</v>
      </c>
      <c r="D2598">
        <v>81.411000000000001</v>
      </c>
    </row>
    <row r="2599" spans="1:4" x14ac:dyDescent="0.25">
      <c r="A2599" t="s">
        <v>8</v>
      </c>
      <c r="B2599" t="s">
        <v>5</v>
      </c>
      <c r="C2599">
        <v>40</v>
      </c>
      <c r="D2599">
        <v>81.266000000000005</v>
      </c>
    </row>
    <row r="2600" spans="1:4" x14ac:dyDescent="0.25">
      <c r="A2600" t="s">
        <v>8</v>
      </c>
      <c r="B2600" t="s">
        <v>5</v>
      </c>
      <c r="C2600">
        <v>40</v>
      </c>
      <c r="D2600">
        <v>78.191999999999993</v>
      </c>
    </row>
    <row r="2601" spans="1:4" x14ac:dyDescent="0.25">
      <c r="A2601" t="s">
        <v>8</v>
      </c>
      <c r="B2601" t="s">
        <v>5</v>
      </c>
      <c r="C2601">
        <v>40</v>
      </c>
      <c r="D2601">
        <v>83.337999999999994</v>
      </c>
    </row>
    <row r="2602" spans="1:4" x14ac:dyDescent="0.25">
      <c r="A2602" t="s">
        <v>8</v>
      </c>
      <c r="B2602" t="s">
        <v>5</v>
      </c>
      <c r="C2602">
        <v>60</v>
      </c>
      <c r="D2602">
        <v>126.96599999999999</v>
      </c>
    </row>
    <row r="2603" spans="1:4" x14ac:dyDescent="0.25">
      <c r="A2603" t="s">
        <v>8</v>
      </c>
      <c r="B2603" t="s">
        <v>5</v>
      </c>
      <c r="C2603">
        <v>60</v>
      </c>
      <c r="D2603">
        <v>113.09</v>
      </c>
    </row>
    <row r="2604" spans="1:4" x14ac:dyDescent="0.25">
      <c r="A2604" t="s">
        <v>8</v>
      </c>
      <c r="B2604" t="s">
        <v>5</v>
      </c>
      <c r="C2604">
        <v>60</v>
      </c>
      <c r="D2604">
        <v>109.871</v>
      </c>
    </row>
    <row r="2605" spans="1:4" x14ac:dyDescent="0.25">
      <c r="A2605" t="s">
        <v>8</v>
      </c>
      <c r="B2605" t="s">
        <v>5</v>
      </c>
      <c r="C2605">
        <v>60</v>
      </c>
      <c r="D2605">
        <v>112.72499999999999</v>
      </c>
    </row>
    <row r="2606" spans="1:4" x14ac:dyDescent="0.25">
      <c r="A2606" t="s">
        <v>8</v>
      </c>
      <c r="B2606" t="s">
        <v>5</v>
      </c>
      <c r="C2606">
        <v>60</v>
      </c>
      <c r="D2606">
        <v>103.36</v>
      </c>
    </row>
    <row r="2607" spans="1:4" x14ac:dyDescent="0.25">
      <c r="A2607" t="s">
        <v>8</v>
      </c>
      <c r="B2607" t="s">
        <v>5</v>
      </c>
      <c r="C2607">
        <v>60</v>
      </c>
      <c r="D2607">
        <v>114.09</v>
      </c>
    </row>
    <row r="2608" spans="1:4" x14ac:dyDescent="0.25">
      <c r="A2608" t="s">
        <v>8</v>
      </c>
      <c r="B2608" t="s">
        <v>5</v>
      </c>
      <c r="C2608">
        <v>60</v>
      </c>
      <c r="D2608">
        <v>119.52800000000001</v>
      </c>
    </row>
    <row r="2609" spans="1:4" x14ac:dyDescent="0.25">
      <c r="A2609" t="s">
        <v>8</v>
      </c>
      <c r="B2609" t="s">
        <v>5</v>
      </c>
      <c r="C2609">
        <v>60</v>
      </c>
      <c r="D2609">
        <v>115.871</v>
      </c>
    </row>
    <row r="2610" spans="1:4" x14ac:dyDescent="0.25">
      <c r="A2610" t="s">
        <v>8</v>
      </c>
      <c r="B2610" t="s">
        <v>5</v>
      </c>
      <c r="C2610">
        <v>60</v>
      </c>
      <c r="D2610">
        <v>115.236</v>
      </c>
    </row>
    <row r="2611" spans="1:4" x14ac:dyDescent="0.25">
      <c r="A2611" t="s">
        <v>8</v>
      </c>
      <c r="B2611" t="s">
        <v>5</v>
      </c>
      <c r="C2611">
        <v>60</v>
      </c>
      <c r="D2611">
        <v>111.09</v>
      </c>
    </row>
    <row r="2612" spans="1:4" x14ac:dyDescent="0.25">
      <c r="A2612" t="s">
        <v>8</v>
      </c>
      <c r="B2612" t="s">
        <v>5</v>
      </c>
      <c r="C2612">
        <v>60</v>
      </c>
      <c r="D2612">
        <v>116.163</v>
      </c>
    </row>
    <row r="2613" spans="1:4" x14ac:dyDescent="0.25">
      <c r="A2613" t="s">
        <v>8</v>
      </c>
      <c r="B2613" t="s">
        <v>5</v>
      </c>
      <c r="C2613">
        <v>60</v>
      </c>
      <c r="D2613">
        <v>112.017</v>
      </c>
    </row>
    <row r="2614" spans="1:4" x14ac:dyDescent="0.25">
      <c r="A2614" t="s">
        <v>8</v>
      </c>
      <c r="B2614" t="s">
        <v>5</v>
      </c>
      <c r="C2614">
        <v>60</v>
      </c>
      <c r="D2614">
        <v>109.798</v>
      </c>
    </row>
    <row r="2615" spans="1:4" x14ac:dyDescent="0.25">
      <c r="A2615" t="s">
        <v>8</v>
      </c>
      <c r="B2615" t="s">
        <v>5</v>
      </c>
      <c r="C2615">
        <v>60</v>
      </c>
      <c r="D2615">
        <v>109.57899999999999</v>
      </c>
    </row>
    <row r="2616" spans="1:4" x14ac:dyDescent="0.25">
      <c r="A2616" t="s">
        <v>8</v>
      </c>
      <c r="B2616" t="s">
        <v>5</v>
      </c>
      <c r="C2616">
        <v>60</v>
      </c>
      <c r="D2616">
        <v>116.944</v>
      </c>
    </row>
    <row r="2617" spans="1:4" x14ac:dyDescent="0.25">
      <c r="A2617" t="s">
        <v>8</v>
      </c>
      <c r="B2617" t="s">
        <v>5</v>
      </c>
      <c r="C2617">
        <v>60</v>
      </c>
      <c r="D2617">
        <v>110.09</v>
      </c>
    </row>
    <row r="2618" spans="1:4" x14ac:dyDescent="0.25">
      <c r="A2618" t="s">
        <v>8</v>
      </c>
      <c r="B2618" t="s">
        <v>5</v>
      </c>
      <c r="C2618">
        <v>60</v>
      </c>
      <c r="D2618">
        <v>119.09</v>
      </c>
    </row>
    <row r="2619" spans="1:4" x14ac:dyDescent="0.25">
      <c r="A2619" t="s">
        <v>8</v>
      </c>
      <c r="B2619" t="s">
        <v>5</v>
      </c>
      <c r="C2619">
        <v>60</v>
      </c>
      <c r="D2619">
        <v>102.28700000000001</v>
      </c>
    </row>
    <row r="2620" spans="1:4" x14ac:dyDescent="0.25">
      <c r="A2620" t="s">
        <v>8</v>
      </c>
      <c r="B2620" t="s">
        <v>5</v>
      </c>
      <c r="C2620">
        <v>60</v>
      </c>
      <c r="D2620">
        <v>111.944</v>
      </c>
    </row>
    <row r="2621" spans="1:4" x14ac:dyDescent="0.25">
      <c r="A2621" t="s">
        <v>8</v>
      </c>
      <c r="B2621" t="s">
        <v>5</v>
      </c>
      <c r="C2621">
        <v>60</v>
      </c>
      <c r="D2621">
        <v>115.309</v>
      </c>
    </row>
    <row r="2622" spans="1:4" x14ac:dyDescent="0.25">
      <c r="A2622" t="s">
        <v>8</v>
      </c>
      <c r="B2622" t="s">
        <v>5</v>
      </c>
      <c r="C2622">
        <v>60</v>
      </c>
      <c r="D2622">
        <v>117.236</v>
      </c>
    </row>
    <row r="2623" spans="1:4" x14ac:dyDescent="0.25">
      <c r="A2623" t="s">
        <v>8</v>
      </c>
      <c r="B2623" t="s">
        <v>5</v>
      </c>
      <c r="C2623">
        <v>60</v>
      </c>
      <c r="D2623">
        <v>109.798</v>
      </c>
    </row>
    <row r="2624" spans="1:4" x14ac:dyDescent="0.25">
      <c r="A2624" t="s">
        <v>8</v>
      </c>
      <c r="B2624" t="s">
        <v>5</v>
      </c>
      <c r="C2624">
        <v>60</v>
      </c>
      <c r="D2624">
        <v>112.09</v>
      </c>
    </row>
    <row r="2625" spans="1:4" x14ac:dyDescent="0.25">
      <c r="A2625" t="s">
        <v>8</v>
      </c>
      <c r="B2625" t="s">
        <v>5</v>
      </c>
      <c r="C2625">
        <v>60</v>
      </c>
      <c r="D2625">
        <v>114.017</v>
      </c>
    </row>
    <row r="2626" spans="1:4" x14ac:dyDescent="0.25">
      <c r="A2626" t="s">
        <v>8</v>
      </c>
      <c r="B2626" t="s">
        <v>5</v>
      </c>
      <c r="C2626">
        <v>60</v>
      </c>
      <c r="D2626">
        <v>106.28700000000001</v>
      </c>
    </row>
    <row r="2627" spans="1:4" x14ac:dyDescent="0.25">
      <c r="A2627" t="s">
        <v>8</v>
      </c>
      <c r="B2627" t="s">
        <v>5</v>
      </c>
      <c r="C2627">
        <v>60</v>
      </c>
      <c r="D2627">
        <v>111.652</v>
      </c>
    </row>
    <row r="2628" spans="1:4" x14ac:dyDescent="0.25">
      <c r="A2628" t="s">
        <v>8</v>
      </c>
      <c r="B2628" t="s">
        <v>5</v>
      </c>
      <c r="C2628">
        <v>60</v>
      </c>
      <c r="D2628">
        <v>113.236</v>
      </c>
    </row>
    <row r="2629" spans="1:4" x14ac:dyDescent="0.25">
      <c r="A2629" t="s">
        <v>8</v>
      </c>
      <c r="B2629" t="s">
        <v>5</v>
      </c>
      <c r="C2629">
        <v>60</v>
      </c>
      <c r="D2629">
        <v>107.72499999999999</v>
      </c>
    </row>
    <row r="2630" spans="1:4" x14ac:dyDescent="0.25">
      <c r="A2630" t="s">
        <v>8</v>
      </c>
      <c r="B2630" t="s">
        <v>5</v>
      </c>
      <c r="C2630">
        <v>60</v>
      </c>
      <c r="D2630">
        <v>120.38200000000001</v>
      </c>
    </row>
    <row r="2631" spans="1:4" x14ac:dyDescent="0.25">
      <c r="A2631" t="s">
        <v>8</v>
      </c>
      <c r="B2631" t="s">
        <v>5</v>
      </c>
      <c r="C2631">
        <v>60</v>
      </c>
      <c r="D2631">
        <v>113.09</v>
      </c>
    </row>
    <row r="2632" spans="1:4" x14ac:dyDescent="0.25">
      <c r="A2632" t="s">
        <v>8</v>
      </c>
      <c r="B2632" t="s">
        <v>5</v>
      </c>
      <c r="C2632">
        <v>60</v>
      </c>
      <c r="D2632">
        <v>120.236</v>
      </c>
    </row>
    <row r="2633" spans="1:4" x14ac:dyDescent="0.25">
      <c r="A2633" t="s">
        <v>8</v>
      </c>
      <c r="B2633" t="s">
        <v>5</v>
      </c>
      <c r="C2633">
        <v>60</v>
      </c>
      <c r="D2633">
        <v>108.871</v>
      </c>
    </row>
    <row r="2634" spans="1:4" x14ac:dyDescent="0.25">
      <c r="A2634" t="s">
        <v>8</v>
      </c>
      <c r="B2634" t="s">
        <v>5</v>
      </c>
      <c r="C2634">
        <v>60</v>
      </c>
      <c r="D2634">
        <v>113.236</v>
      </c>
    </row>
    <row r="2635" spans="1:4" x14ac:dyDescent="0.25">
      <c r="A2635" t="s">
        <v>8</v>
      </c>
      <c r="B2635" t="s">
        <v>5</v>
      </c>
      <c r="C2635">
        <v>60</v>
      </c>
      <c r="D2635">
        <v>119.601</v>
      </c>
    </row>
    <row r="2636" spans="1:4" x14ac:dyDescent="0.25">
      <c r="A2636" t="s">
        <v>8</v>
      </c>
      <c r="B2636" t="s">
        <v>5</v>
      </c>
      <c r="C2636">
        <v>60</v>
      </c>
      <c r="D2636">
        <v>111.017</v>
      </c>
    </row>
    <row r="2637" spans="1:4" x14ac:dyDescent="0.25">
      <c r="A2637" t="s">
        <v>8</v>
      </c>
      <c r="B2637" t="s">
        <v>5</v>
      </c>
      <c r="C2637">
        <v>60</v>
      </c>
      <c r="D2637">
        <v>114.09</v>
      </c>
    </row>
    <row r="2638" spans="1:4" x14ac:dyDescent="0.25">
      <c r="A2638" t="s">
        <v>8</v>
      </c>
      <c r="B2638" t="s">
        <v>5</v>
      </c>
      <c r="C2638">
        <v>60</v>
      </c>
      <c r="D2638">
        <v>105.57899999999999</v>
      </c>
    </row>
    <row r="2639" spans="1:4" x14ac:dyDescent="0.25">
      <c r="A2639" t="s">
        <v>8</v>
      </c>
      <c r="B2639" t="s">
        <v>5</v>
      </c>
      <c r="C2639">
        <v>60</v>
      </c>
      <c r="D2639">
        <v>117.38200000000001</v>
      </c>
    </row>
    <row r="2640" spans="1:4" x14ac:dyDescent="0.25">
      <c r="A2640" t="s">
        <v>8</v>
      </c>
      <c r="B2640" t="s">
        <v>5</v>
      </c>
      <c r="C2640">
        <v>60</v>
      </c>
      <c r="D2640">
        <v>102.28700000000001</v>
      </c>
    </row>
    <row r="2641" spans="1:4" x14ac:dyDescent="0.25">
      <c r="A2641" t="s">
        <v>8</v>
      </c>
      <c r="B2641" t="s">
        <v>5</v>
      </c>
      <c r="C2641">
        <v>60</v>
      </c>
      <c r="D2641">
        <v>110.017</v>
      </c>
    </row>
    <row r="2642" spans="1:4" x14ac:dyDescent="0.25">
      <c r="A2642" t="s">
        <v>8</v>
      </c>
      <c r="B2642" t="s">
        <v>5</v>
      </c>
      <c r="C2642">
        <v>60</v>
      </c>
      <c r="D2642">
        <v>107.72499999999999</v>
      </c>
    </row>
    <row r="2643" spans="1:4" x14ac:dyDescent="0.25">
      <c r="A2643" t="s">
        <v>8</v>
      </c>
      <c r="B2643" t="s">
        <v>5</v>
      </c>
      <c r="C2643">
        <v>60</v>
      </c>
      <c r="D2643">
        <v>108.57899999999999</v>
      </c>
    </row>
    <row r="2644" spans="1:4" x14ac:dyDescent="0.25">
      <c r="A2644" t="s">
        <v>8</v>
      </c>
      <c r="B2644" t="s">
        <v>5</v>
      </c>
      <c r="C2644">
        <v>60</v>
      </c>
      <c r="D2644">
        <v>120.38200000000001</v>
      </c>
    </row>
    <row r="2645" spans="1:4" x14ac:dyDescent="0.25">
      <c r="A2645" t="s">
        <v>8</v>
      </c>
      <c r="B2645" t="s">
        <v>5</v>
      </c>
      <c r="C2645">
        <v>60</v>
      </c>
      <c r="D2645">
        <v>117.163</v>
      </c>
    </row>
    <row r="2646" spans="1:4" x14ac:dyDescent="0.25">
      <c r="A2646" t="s">
        <v>8</v>
      </c>
      <c r="B2646" t="s">
        <v>5</v>
      </c>
      <c r="C2646">
        <v>60</v>
      </c>
      <c r="D2646">
        <v>115.236</v>
      </c>
    </row>
    <row r="2647" spans="1:4" x14ac:dyDescent="0.25">
      <c r="A2647" t="s">
        <v>8</v>
      </c>
      <c r="B2647" t="s">
        <v>5</v>
      </c>
      <c r="C2647">
        <v>60</v>
      </c>
      <c r="D2647">
        <v>106.28700000000001</v>
      </c>
    </row>
    <row r="2648" spans="1:4" x14ac:dyDescent="0.25">
      <c r="A2648" t="s">
        <v>8</v>
      </c>
      <c r="B2648" t="s">
        <v>5</v>
      </c>
      <c r="C2648">
        <v>60</v>
      </c>
      <c r="D2648">
        <v>109.871</v>
      </c>
    </row>
    <row r="2649" spans="1:4" x14ac:dyDescent="0.25">
      <c r="A2649" t="s">
        <v>8</v>
      </c>
      <c r="B2649" t="s">
        <v>5</v>
      </c>
      <c r="C2649">
        <v>60</v>
      </c>
      <c r="D2649">
        <v>106.506</v>
      </c>
    </row>
    <row r="2650" spans="1:4" x14ac:dyDescent="0.25">
      <c r="A2650" t="s">
        <v>8</v>
      </c>
      <c r="B2650" t="s">
        <v>5</v>
      </c>
      <c r="C2650">
        <v>60</v>
      </c>
      <c r="D2650">
        <v>110.871</v>
      </c>
    </row>
    <row r="2651" spans="1:4" x14ac:dyDescent="0.25">
      <c r="A2651" t="s">
        <v>8</v>
      </c>
      <c r="B2651" t="s">
        <v>5</v>
      </c>
      <c r="C2651">
        <v>60</v>
      </c>
      <c r="D2651">
        <v>123.601</v>
      </c>
    </row>
    <row r="2652" spans="1:4" x14ac:dyDescent="0.25">
      <c r="A2652" t="s">
        <v>8</v>
      </c>
      <c r="B2652" t="s">
        <v>5</v>
      </c>
      <c r="C2652">
        <v>60</v>
      </c>
      <c r="D2652">
        <v>108.72499999999999</v>
      </c>
    </row>
    <row r="2653" spans="1:4" x14ac:dyDescent="0.25">
      <c r="A2653" t="s">
        <v>8</v>
      </c>
      <c r="B2653" t="s">
        <v>5</v>
      </c>
      <c r="C2653">
        <v>60</v>
      </c>
      <c r="D2653">
        <v>109.236</v>
      </c>
    </row>
    <row r="2654" spans="1:4" x14ac:dyDescent="0.25">
      <c r="A2654" t="s">
        <v>8</v>
      </c>
      <c r="B2654" t="s">
        <v>5</v>
      </c>
      <c r="C2654">
        <v>60</v>
      </c>
      <c r="D2654">
        <v>120.747</v>
      </c>
    </row>
    <row r="2655" spans="1:4" x14ac:dyDescent="0.25">
      <c r="A2655" t="s">
        <v>8</v>
      </c>
      <c r="B2655" t="s">
        <v>5</v>
      </c>
      <c r="C2655">
        <v>60</v>
      </c>
      <c r="D2655">
        <v>113.871</v>
      </c>
    </row>
    <row r="2656" spans="1:4" x14ac:dyDescent="0.25">
      <c r="A2656" t="s">
        <v>8</v>
      </c>
      <c r="B2656" t="s">
        <v>5</v>
      </c>
      <c r="C2656">
        <v>60</v>
      </c>
      <c r="D2656">
        <v>118.163</v>
      </c>
    </row>
    <row r="2657" spans="1:4" x14ac:dyDescent="0.25">
      <c r="A2657" t="s">
        <v>8</v>
      </c>
      <c r="B2657" t="s">
        <v>5</v>
      </c>
      <c r="C2657">
        <v>60</v>
      </c>
      <c r="D2657">
        <v>113.163</v>
      </c>
    </row>
    <row r="2658" spans="1:4" x14ac:dyDescent="0.25">
      <c r="A2658" t="s">
        <v>8</v>
      </c>
      <c r="B2658" t="s">
        <v>5</v>
      </c>
      <c r="C2658">
        <v>60</v>
      </c>
      <c r="D2658">
        <v>112.944</v>
      </c>
    </row>
    <row r="2659" spans="1:4" x14ac:dyDescent="0.25">
      <c r="A2659" t="s">
        <v>8</v>
      </c>
      <c r="B2659" t="s">
        <v>5</v>
      </c>
      <c r="C2659">
        <v>60</v>
      </c>
      <c r="D2659">
        <v>125.67400000000001</v>
      </c>
    </row>
    <row r="2660" spans="1:4" x14ac:dyDescent="0.25">
      <c r="A2660" t="s">
        <v>8</v>
      </c>
      <c r="B2660" t="s">
        <v>5</v>
      </c>
      <c r="C2660">
        <v>60</v>
      </c>
      <c r="D2660">
        <v>118.309</v>
      </c>
    </row>
    <row r="2661" spans="1:4" x14ac:dyDescent="0.25">
      <c r="A2661" t="s">
        <v>8</v>
      </c>
      <c r="B2661" t="s">
        <v>5</v>
      </c>
      <c r="C2661">
        <v>60</v>
      </c>
      <c r="D2661">
        <v>116.871</v>
      </c>
    </row>
    <row r="2662" spans="1:4" x14ac:dyDescent="0.25">
      <c r="A2662" t="s">
        <v>8</v>
      </c>
      <c r="B2662" t="s">
        <v>5</v>
      </c>
      <c r="C2662">
        <v>60</v>
      </c>
      <c r="D2662">
        <v>113.944</v>
      </c>
    </row>
    <row r="2663" spans="1:4" x14ac:dyDescent="0.25">
      <c r="A2663" t="s">
        <v>8</v>
      </c>
      <c r="B2663" t="s">
        <v>5</v>
      </c>
      <c r="C2663">
        <v>60</v>
      </c>
      <c r="D2663">
        <v>107.871</v>
      </c>
    </row>
    <row r="2664" spans="1:4" x14ac:dyDescent="0.25">
      <c r="A2664" t="s">
        <v>8</v>
      </c>
      <c r="B2664" t="s">
        <v>5</v>
      </c>
      <c r="C2664">
        <v>60</v>
      </c>
      <c r="D2664">
        <v>106.57899999999999</v>
      </c>
    </row>
    <row r="2665" spans="1:4" x14ac:dyDescent="0.25">
      <c r="A2665" t="s">
        <v>8</v>
      </c>
      <c r="B2665" t="s">
        <v>5</v>
      </c>
      <c r="C2665">
        <v>60</v>
      </c>
      <c r="D2665">
        <v>106.506</v>
      </c>
    </row>
    <row r="2666" spans="1:4" x14ac:dyDescent="0.25">
      <c r="A2666" t="s">
        <v>8</v>
      </c>
      <c r="B2666" t="s">
        <v>5</v>
      </c>
      <c r="C2666">
        <v>60</v>
      </c>
      <c r="D2666">
        <v>117.017</v>
      </c>
    </row>
    <row r="2667" spans="1:4" x14ac:dyDescent="0.25">
      <c r="A2667" t="s">
        <v>8</v>
      </c>
      <c r="B2667" t="s">
        <v>5</v>
      </c>
      <c r="C2667">
        <v>60</v>
      </c>
      <c r="D2667">
        <v>102.506</v>
      </c>
    </row>
    <row r="2668" spans="1:4" x14ac:dyDescent="0.25">
      <c r="A2668" t="s">
        <v>8</v>
      </c>
      <c r="B2668" t="s">
        <v>5</v>
      </c>
      <c r="C2668">
        <v>60</v>
      </c>
      <c r="D2668">
        <v>110.871</v>
      </c>
    </row>
    <row r="2669" spans="1:4" x14ac:dyDescent="0.25">
      <c r="A2669" t="s">
        <v>8</v>
      </c>
      <c r="B2669" t="s">
        <v>5</v>
      </c>
      <c r="C2669">
        <v>60</v>
      </c>
      <c r="D2669">
        <v>102.506</v>
      </c>
    </row>
    <row r="2670" spans="1:4" x14ac:dyDescent="0.25">
      <c r="A2670" t="s">
        <v>8</v>
      </c>
      <c r="B2670" t="s">
        <v>5</v>
      </c>
      <c r="C2670">
        <v>60</v>
      </c>
      <c r="D2670">
        <v>107.652</v>
      </c>
    </row>
    <row r="2671" spans="1:4" x14ac:dyDescent="0.25">
      <c r="A2671" t="s">
        <v>8</v>
      </c>
      <c r="B2671" t="s">
        <v>5</v>
      </c>
      <c r="C2671">
        <v>60</v>
      </c>
      <c r="D2671">
        <v>105.506</v>
      </c>
    </row>
    <row r="2672" spans="1:4" x14ac:dyDescent="0.25">
      <c r="A2672" t="s">
        <v>8</v>
      </c>
      <c r="B2672" t="s">
        <v>5</v>
      </c>
      <c r="C2672">
        <v>60</v>
      </c>
      <c r="D2672">
        <v>119.017</v>
      </c>
    </row>
    <row r="2673" spans="1:4" x14ac:dyDescent="0.25">
      <c r="A2673" t="s">
        <v>8</v>
      </c>
      <c r="B2673" t="s">
        <v>5</v>
      </c>
      <c r="C2673">
        <v>60</v>
      </c>
      <c r="D2673">
        <v>113.163</v>
      </c>
    </row>
    <row r="2674" spans="1:4" x14ac:dyDescent="0.25">
      <c r="A2674" t="s">
        <v>8</v>
      </c>
      <c r="B2674" t="s">
        <v>5</v>
      </c>
      <c r="C2674">
        <v>60</v>
      </c>
      <c r="D2674">
        <v>107.57899999999999</v>
      </c>
    </row>
    <row r="2675" spans="1:4" x14ac:dyDescent="0.25">
      <c r="A2675" t="s">
        <v>8</v>
      </c>
      <c r="B2675" t="s">
        <v>5</v>
      </c>
      <c r="C2675">
        <v>60</v>
      </c>
      <c r="D2675">
        <v>101.214</v>
      </c>
    </row>
    <row r="2676" spans="1:4" x14ac:dyDescent="0.25">
      <c r="A2676" t="s">
        <v>8</v>
      </c>
      <c r="B2676" t="s">
        <v>5</v>
      </c>
      <c r="C2676">
        <v>60</v>
      </c>
      <c r="D2676">
        <v>110.652</v>
      </c>
    </row>
    <row r="2677" spans="1:4" x14ac:dyDescent="0.25">
      <c r="A2677" t="s">
        <v>8</v>
      </c>
      <c r="B2677" t="s">
        <v>5</v>
      </c>
      <c r="C2677">
        <v>60</v>
      </c>
      <c r="D2677">
        <v>113.017</v>
      </c>
    </row>
    <row r="2678" spans="1:4" x14ac:dyDescent="0.25">
      <c r="A2678" t="s">
        <v>8</v>
      </c>
      <c r="B2678" t="s">
        <v>5</v>
      </c>
      <c r="C2678">
        <v>60</v>
      </c>
      <c r="D2678">
        <v>121.52800000000001</v>
      </c>
    </row>
    <row r="2679" spans="1:4" x14ac:dyDescent="0.25">
      <c r="A2679" t="s">
        <v>8</v>
      </c>
      <c r="B2679" t="s">
        <v>5</v>
      </c>
      <c r="C2679">
        <v>60</v>
      </c>
      <c r="D2679">
        <v>115.09</v>
      </c>
    </row>
    <row r="2680" spans="1:4" x14ac:dyDescent="0.25">
      <c r="A2680" t="s">
        <v>8</v>
      </c>
      <c r="B2680" t="s">
        <v>5</v>
      </c>
      <c r="C2680">
        <v>60</v>
      </c>
      <c r="D2680">
        <v>112.944</v>
      </c>
    </row>
    <row r="2681" spans="1:4" x14ac:dyDescent="0.25">
      <c r="A2681" t="s">
        <v>8</v>
      </c>
      <c r="B2681" t="s">
        <v>5</v>
      </c>
      <c r="C2681">
        <v>60</v>
      </c>
      <c r="D2681">
        <v>110.017</v>
      </c>
    </row>
    <row r="2682" spans="1:4" x14ac:dyDescent="0.25">
      <c r="A2682" t="s">
        <v>8</v>
      </c>
      <c r="B2682" t="s">
        <v>5</v>
      </c>
      <c r="C2682">
        <v>60</v>
      </c>
      <c r="D2682">
        <v>114.944</v>
      </c>
    </row>
    <row r="2683" spans="1:4" x14ac:dyDescent="0.25">
      <c r="A2683" t="s">
        <v>8</v>
      </c>
      <c r="B2683" t="s">
        <v>5</v>
      </c>
      <c r="C2683">
        <v>60</v>
      </c>
      <c r="D2683">
        <v>114.309</v>
      </c>
    </row>
    <row r="2684" spans="1:4" x14ac:dyDescent="0.25">
      <c r="A2684" t="s">
        <v>8</v>
      </c>
      <c r="B2684" t="s">
        <v>5</v>
      </c>
      <c r="C2684">
        <v>60</v>
      </c>
      <c r="D2684">
        <v>104.28700000000001</v>
      </c>
    </row>
    <row r="2685" spans="1:4" x14ac:dyDescent="0.25">
      <c r="A2685" t="s">
        <v>8</v>
      </c>
      <c r="B2685" t="s">
        <v>5</v>
      </c>
      <c r="C2685">
        <v>60</v>
      </c>
      <c r="D2685">
        <v>117.017</v>
      </c>
    </row>
    <row r="2686" spans="1:4" x14ac:dyDescent="0.25">
      <c r="A2686" t="s">
        <v>8</v>
      </c>
      <c r="B2686" t="s">
        <v>5</v>
      </c>
      <c r="C2686">
        <v>60</v>
      </c>
      <c r="D2686">
        <v>117.309</v>
      </c>
    </row>
    <row r="2687" spans="1:4" x14ac:dyDescent="0.25">
      <c r="A2687" t="s">
        <v>8</v>
      </c>
      <c r="B2687" t="s">
        <v>5</v>
      </c>
      <c r="C2687">
        <v>60</v>
      </c>
      <c r="D2687">
        <v>110.72499999999999</v>
      </c>
    </row>
    <row r="2688" spans="1:4" x14ac:dyDescent="0.25">
      <c r="A2688" t="s">
        <v>8</v>
      </c>
      <c r="B2688" t="s">
        <v>5</v>
      </c>
      <c r="C2688">
        <v>60</v>
      </c>
      <c r="D2688">
        <v>112.017</v>
      </c>
    </row>
    <row r="2689" spans="1:4" x14ac:dyDescent="0.25">
      <c r="A2689" t="s">
        <v>8</v>
      </c>
      <c r="B2689" t="s">
        <v>5</v>
      </c>
      <c r="C2689">
        <v>60</v>
      </c>
      <c r="D2689">
        <v>106.798</v>
      </c>
    </row>
    <row r="2690" spans="1:4" x14ac:dyDescent="0.25">
      <c r="A2690" t="s">
        <v>8</v>
      </c>
      <c r="B2690" t="s">
        <v>5</v>
      </c>
      <c r="C2690">
        <v>60</v>
      </c>
      <c r="D2690">
        <v>104.14100000000001</v>
      </c>
    </row>
    <row r="2691" spans="1:4" x14ac:dyDescent="0.25">
      <c r="A2691" t="s">
        <v>8</v>
      </c>
      <c r="B2691" t="s">
        <v>5</v>
      </c>
      <c r="C2691">
        <v>60</v>
      </c>
      <c r="D2691">
        <v>111.09</v>
      </c>
    </row>
    <row r="2692" spans="1:4" x14ac:dyDescent="0.25">
      <c r="A2692" t="s">
        <v>8</v>
      </c>
      <c r="B2692" t="s">
        <v>5</v>
      </c>
      <c r="C2692">
        <v>60</v>
      </c>
      <c r="D2692">
        <v>113.871</v>
      </c>
    </row>
    <row r="2693" spans="1:4" x14ac:dyDescent="0.25">
      <c r="A2693" t="s">
        <v>8</v>
      </c>
      <c r="B2693" t="s">
        <v>5</v>
      </c>
      <c r="C2693">
        <v>60</v>
      </c>
      <c r="D2693">
        <v>118.163</v>
      </c>
    </row>
    <row r="2694" spans="1:4" x14ac:dyDescent="0.25">
      <c r="A2694" t="s">
        <v>8</v>
      </c>
      <c r="B2694" t="s">
        <v>5</v>
      </c>
      <c r="C2694">
        <v>60</v>
      </c>
      <c r="D2694">
        <v>118.38200000000001</v>
      </c>
    </row>
    <row r="2695" spans="1:4" x14ac:dyDescent="0.25">
      <c r="A2695" t="s">
        <v>8</v>
      </c>
      <c r="B2695" t="s">
        <v>5</v>
      </c>
      <c r="C2695">
        <v>60</v>
      </c>
      <c r="D2695">
        <v>113.236</v>
      </c>
    </row>
    <row r="2696" spans="1:4" x14ac:dyDescent="0.25">
      <c r="A2696" t="s">
        <v>8</v>
      </c>
      <c r="B2696" t="s">
        <v>5</v>
      </c>
      <c r="C2696">
        <v>60</v>
      </c>
      <c r="D2696">
        <v>109.944</v>
      </c>
    </row>
    <row r="2697" spans="1:4" x14ac:dyDescent="0.25">
      <c r="A2697" t="s">
        <v>8</v>
      </c>
      <c r="B2697" t="s">
        <v>5</v>
      </c>
      <c r="C2697">
        <v>60</v>
      </c>
      <c r="D2697">
        <v>108.798</v>
      </c>
    </row>
    <row r="2698" spans="1:4" x14ac:dyDescent="0.25">
      <c r="A2698" t="s">
        <v>8</v>
      </c>
      <c r="B2698" t="s">
        <v>5</v>
      </c>
      <c r="C2698">
        <v>60</v>
      </c>
      <c r="D2698">
        <v>104.36</v>
      </c>
    </row>
    <row r="2699" spans="1:4" x14ac:dyDescent="0.25">
      <c r="A2699" t="s">
        <v>8</v>
      </c>
      <c r="B2699" t="s">
        <v>5</v>
      </c>
      <c r="C2699">
        <v>60</v>
      </c>
      <c r="D2699">
        <v>116.236</v>
      </c>
    </row>
    <row r="2700" spans="1:4" x14ac:dyDescent="0.25">
      <c r="A2700" t="s">
        <v>8</v>
      </c>
      <c r="B2700" t="s">
        <v>5</v>
      </c>
      <c r="C2700">
        <v>60</v>
      </c>
      <c r="D2700">
        <v>115.09</v>
      </c>
    </row>
    <row r="2701" spans="1:4" x14ac:dyDescent="0.25">
      <c r="A2701" t="s">
        <v>8</v>
      </c>
      <c r="B2701" t="s">
        <v>5</v>
      </c>
      <c r="C2701">
        <v>60</v>
      </c>
      <c r="D2701">
        <v>110.017</v>
      </c>
    </row>
    <row r="2702" spans="1:4" x14ac:dyDescent="0.25">
      <c r="A2702" t="s">
        <v>8</v>
      </c>
      <c r="B2702" t="s">
        <v>5</v>
      </c>
      <c r="C2702">
        <v>80</v>
      </c>
      <c r="D2702">
        <v>151.06100000000001</v>
      </c>
    </row>
    <row r="2703" spans="1:4" x14ac:dyDescent="0.25">
      <c r="A2703" t="s">
        <v>8</v>
      </c>
      <c r="B2703" t="s">
        <v>5</v>
      </c>
      <c r="C2703">
        <v>80</v>
      </c>
      <c r="D2703">
        <v>144.54900000000001</v>
      </c>
    </row>
    <row r="2704" spans="1:4" x14ac:dyDescent="0.25">
      <c r="A2704" t="s">
        <v>8</v>
      </c>
      <c r="B2704" t="s">
        <v>5</v>
      </c>
      <c r="C2704">
        <v>80</v>
      </c>
      <c r="D2704">
        <v>163.98400000000001</v>
      </c>
    </row>
    <row r="2705" spans="1:4" x14ac:dyDescent="0.25">
      <c r="A2705" t="s">
        <v>8</v>
      </c>
      <c r="B2705" t="s">
        <v>5</v>
      </c>
      <c r="C2705">
        <v>80</v>
      </c>
      <c r="D2705">
        <v>152.13399999999999</v>
      </c>
    </row>
    <row r="2706" spans="1:4" x14ac:dyDescent="0.25">
      <c r="A2706" t="s">
        <v>8</v>
      </c>
      <c r="B2706" t="s">
        <v>5</v>
      </c>
      <c r="C2706">
        <v>80</v>
      </c>
      <c r="D2706">
        <v>133.96600000000001</v>
      </c>
    </row>
    <row r="2707" spans="1:4" x14ac:dyDescent="0.25">
      <c r="A2707" t="s">
        <v>8</v>
      </c>
      <c r="B2707" t="s">
        <v>5</v>
      </c>
      <c r="C2707">
        <v>80</v>
      </c>
      <c r="D2707">
        <v>132.74700000000001</v>
      </c>
    </row>
    <row r="2708" spans="1:4" x14ac:dyDescent="0.25">
      <c r="A2708" t="s">
        <v>8</v>
      </c>
      <c r="B2708" t="s">
        <v>5</v>
      </c>
      <c r="C2708">
        <v>80</v>
      </c>
      <c r="D2708">
        <v>136.11199999999999</v>
      </c>
    </row>
    <row r="2709" spans="1:4" x14ac:dyDescent="0.25">
      <c r="A2709" t="s">
        <v>8</v>
      </c>
      <c r="B2709" t="s">
        <v>5</v>
      </c>
      <c r="C2709">
        <v>80</v>
      </c>
      <c r="D2709">
        <v>133.33099999999999</v>
      </c>
    </row>
    <row r="2710" spans="1:4" x14ac:dyDescent="0.25">
      <c r="A2710" t="s">
        <v>8</v>
      </c>
      <c r="B2710" t="s">
        <v>5</v>
      </c>
      <c r="C2710">
        <v>80</v>
      </c>
      <c r="D2710">
        <v>144.55000000000001</v>
      </c>
    </row>
    <row r="2711" spans="1:4" x14ac:dyDescent="0.25">
      <c r="A2711" t="s">
        <v>8</v>
      </c>
      <c r="B2711" t="s">
        <v>5</v>
      </c>
      <c r="C2711">
        <v>80</v>
      </c>
      <c r="D2711">
        <v>138.55000000000001</v>
      </c>
    </row>
    <row r="2712" spans="1:4" x14ac:dyDescent="0.25">
      <c r="A2712" t="s">
        <v>8</v>
      </c>
      <c r="B2712" t="s">
        <v>5</v>
      </c>
      <c r="C2712">
        <v>80</v>
      </c>
      <c r="D2712">
        <v>163.76499999999999</v>
      </c>
    </row>
    <row r="2713" spans="1:4" x14ac:dyDescent="0.25">
      <c r="A2713" t="s">
        <v>8</v>
      </c>
      <c r="B2713" t="s">
        <v>5</v>
      </c>
      <c r="C2713">
        <v>80</v>
      </c>
      <c r="D2713">
        <v>141.33099999999999</v>
      </c>
    </row>
    <row r="2714" spans="1:4" x14ac:dyDescent="0.25">
      <c r="A2714" t="s">
        <v>8</v>
      </c>
      <c r="B2714" t="s">
        <v>5</v>
      </c>
      <c r="C2714">
        <v>80</v>
      </c>
      <c r="D2714">
        <v>146.91499999999999</v>
      </c>
    </row>
    <row r="2715" spans="1:4" x14ac:dyDescent="0.25">
      <c r="A2715" t="s">
        <v>8</v>
      </c>
      <c r="B2715" t="s">
        <v>5</v>
      </c>
      <c r="C2715">
        <v>80</v>
      </c>
      <c r="D2715">
        <v>150.52199999999999</v>
      </c>
    </row>
    <row r="2716" spans="1:4" x14ac:dyDescent="0.25">
      <c r="A2716" t="s">
        <v>8</v>
      </c>
      <c r="B2716" t="s">
        <v>5</v>
      </c>
      <c r="C2716">
        <v>80</v>
      </c>
      <c r="D2716">
        <v>126.747</v>
      </c>
    </row>
    <row r="2717" spans="1:4" x14ac:dyDescent="0.25">
      <c r="A2717" t="s">
        <v>8</v>
      </c>
      <c r="B2717" t="s">
        <v>5</v>
      </c>
      <c r="C2717">
        <v>80</v>
      </c>
      <c r="D2717">
        <v>141.03899999999999</v>
      </c>
    </row>
    <row r="2718" spans="1:4" x14ac:dyDescent="0.25">
      <c r="A2718" t="s">
        <v>8</v>
      </c>
      <c r="B2718" t="s">
        <v>5</v>
      </c>
      <c r="C2718">
        <v>80</v>
      </c>
      <c r="D2718">
        <v>134.185</v>
      </c>
    </row>
    <row r="2719" spans="1:4" x14ac:dyDescent="0.25">
      <c r="A2719" t="s">
        <v>8</v>
      </c>
      <c r="B2719" t="s">
        <v>5</v>
      </c>
      <c r="C2719">
        <v>80</v>
      </c>
      <c r="D2719">
        <v>147.84200000000001</v>
      </c>
    </row>
    <row r="2720" spans="1:4" x14ac:dyDescent="0.25">
      <c r="A2720" t="s">
        <v>8</v>
      </c>
      <c r="B2720" t="s">
        <v>5</v>
      </c>
      <c r="C2720">
        <v>80</v>
      </c>
      <c r="D2720">
        <v>145.96299999999999</v>
      </c>
    </row>
    <row r="2721" spans="1:4" x14ac:dyDescent="0.25">
      <c r="A2721" t="s">
        <v>8</v>
      </c>
      <c r="B2721" t="s">
        <v>5</v>
      </c>
      <c r="C2721">
        <v>80</v>
      </c>
      <c r="D2721">
        <v>160.572</v>
      </c>
    </row>
    <row r="2722" spans="1:4" x14ac:dyDescent="0.25">
      <c r="A2722" t="s">
        <v>8</v>
      </c>
      <c r="B2722" t="s">
        <v>5</v>
      </c>
      <c r="C2722">
        <v>80</v>
      </c>
      <c r="D2722">
        <v>144.696</v>
      </c>
    </row>
    <row r="2723" spans="1:4" x14ac:dyDescent="0.25">
      <c r="A2723" t="s">
        <v>8</v>
      </c>
      <c r="B2723" t="s">
        <v>5</v>
      </c>
      <c r="C2723">
        <v>80</v>
      </c>
      <c r="D2723">
        <v>139.477</v>
      </c>
    </row>
    <row r="2724" spans="1:4" x14ac:dyDescent="0.25">
      <c r="A2724" t="s">
        <v>8</v>
      </c>
      <c r="B2724" t="s">
        <v>5</v>
      </c>
      <c r="C2724">
        <v>80</v>
      </c>
      <c r="D2724">
        <v>133.11199999999999</v>
      </c>
    </row>
    <row r="2725" spans="1:4" x14ac:dyDescent="0.25">
      <c r="A2725" t="s">
        <v>8</v>
      </c>
      <c r="B2725" t="s">
        <v>5</v>
      </c>
      <c r="C2725">
        <v>80</v>
      </c>
      <c r="D2725">
        <v>151.4</v>
      </c>
    </row>
    <row r="2726" spans="1:4" x14ac:dyDescent="0.25">
      <c r="A2726" t="s">
        <v>8</v>
      </c>
      <c r="B2726" t="s">
        <v>5</v>
      </c>
      <c r="C2726">
        <v>80</v>
      </c>
      <c r="D2726">
        <v>126.601</v>
      </c>
    </row>
    <row r="2727" spans="1:4" x14ac:dyDescent="0.25">
      <c r="A2727" t="s">
        <v>8</v>
      </c>
      <c r="B2727" t="s">
        <v>5</v>
      </c>
      <c r="C2727">
        <v>80</v>
      </c>
      <c r="D2727">
        <v>146.696</v>
      </c>
    </row>
    <row r="2728" spans="1:4" x14ac:dyDescent="0.25">
      <c r="A2728" t="s">
        <v>8</v>
      </c>
      <c r="B2728" t="s">
        <v>5</v>
      </c>
      <c r="C2728">
        <v>80</v>
      </c>
      <c r="D2728">
        <v>145.76900000000001</v>
      </c>
    </row>
    <row r="2729" spans="1:4" x14ac:dyDescent="0.25">
      <c r="A2729" t="s">
        <v>8</v>
      </c>
      <c r="B2729" t="s">
        <v>5</v>
      </c>
      <c r="C2729">
        <v>80</v>
      </c>
      <c r="D2729">
        <v>147.91399999999999</v>
      </c>
    </row>
    <row r="2730" spans="1:4" x14ac:dyDescent="0.25">
      <c r="A2730" t="s">
        <v>8</v>
      </c>
      <c r="B2730" t="s">
        <v>5</v>
      </c>
      <c r="C2730">
        <v>80</v>
      </c>
      <c r="D2730">
        <v>141.55000000000001</v>
      </c>
    </row>
    <row r="2731" spans="1:4" x14ac:dyDescent="0.25">
      <c r="A2731" t="s">
        <v>8</v>
      </c>
      <c r="B2731" t="s">
        <v>5</v>
      </c>
      <c r="C2731">
        <v>80</v>
      </c>
      <c r="D2731">
        <v>143.696</v>
      </c>
    </row>
    <row r="2732" spans="1:4" x14ac:dyDescent="0.25">
      <c r="A2732" t="s">
        <v>8</v>
      </c>
      <c r="B2732" t="s">
        <v>5</v>
      </c>
      <c r="C2732">
        <v>80</v>
      </c>
      <c r="D2732">
        <v>124.52800000000001</v>
      </c>
    </row>
    <row r="2733" spans="1:4" x14ac:dyDescent="0.25">
      <c r="A2733" t="s">
        <v>8</v>
      </c>
      <c r="B2733" t="s">
        <v>5</v>
      </c>
      <c r="C2733">
        <v>80</v>
      </c>
      <c r="D2733">
        <v>154.42500000000001</v>
      </c>
    </row>
    <row r="2734" spans="1:4" x14ac:dyDescent="0.25">
      <c r="A2734" t="s">
        <v>8</v>
      </c>
      <c r="B2734" t="s">
        <v>5</v>
      </c>
      <c r="C2734">
        <v>80</v>
      </c>
      <c r="D2734">
        <v>144.477</v>
      </c>
    </row>
    <row r="2735" spans="1:4" x14ac:dyDescent="0.25">
      <c r="A2735" t="s">
        <v>8</v>
      </c>
      <c r="B2735" t="s">
        <v>5</v>
      </c>
      <c r="C2735">
        <v>80</v>
      </c>
      <c r="D2735">
        <v>127.455</v>
      </c>
    </row>
    <row r="2736" spans="1:4" x14ac:dyDescent="0.25">
      <c r="A2736" t="s">
        <v>8</v>
      </c>
      <c r="B2736" t="s">
        <v>5</v>
      </c>
      <c r="C2736">
        <v>80</v>
      </c>
      <c r="D2736">
        <v>159.352</v>
      </c>
    </row>
    <row r="2737" spans="1:4" x14ac:dyDescent="0.25">
      <c r="A2737" t="s">
        <v>8</v>
      </c>
      <c r="B2737" t="s">
        <v>5</v>
      </c>
      <c r="C2737">
        <v>80</v>
      </c>
      <c r="D2737">
        <v>144.696</v>
      </c>
    </row>
    <row r="2738" spans="1:4" x14ac:dyDescent="0.25">
      <c r="A2738" t="s">
        <v>8</v>
      </c>
      <c r="B2738" t="s">
        <v>5</v>
      </c>
      <c r="C2738">
        <v>80</v>
      </c>
      <c r="D2738">
        <v>129.893</v>
      </c>
    </row>
    <row r="2739" spans="1:4" x14ac:dyDescent="0.25">
      <c r="A2739" t="s">
        <v>8</v>
      </c>
      <c r="B2739" t="s">
        <v>5</v>
      </c>
      <c r="C2739">
        <v>80</v>
      </c>
      <c r="D2739">
        <v>152.25399999999999</v>
      </c>
    </row>
    <row r="2740" spans="1:4" x14ac:dyDescent="0.25">
      <c r="A2740" t="s">
        <v>8</v>
      </c>
      <c r="B2740" t="s">
        <v>5</v>
      </c>
      <c r="C2740">
        <v>80</v>
      </c>
      <c r="D2740">
        <v>149.18199999999999</v>
      </c>
    </row>
    <row r="2741" spans="1:4" x14ac:dyDescent="0.25">
      <c r="A2741" t="s">
        <v>8</v>
      </c>
      <c r="B2741" t="s">
        <v>5</v>
      </c>
      <c r="C2741">
        <v>80</v>
      </c>
      <c r="D2741">
        <v>149.988</v>
      </c>
    </row>
    <row r="2742" spans="1:4" x14ac:dyDescent="0.25">
      <c r="A2742" t="s">
        <v>8</v>
      </c>
      <c r="B2742" t="s">
        <v>5</v>
      </c>
      <c r="C2742">
        <v>80</v>
      </c>
      <c r="D2742">
        <v>141.404</v>
      </c>
    </row>
    <row r="2743" spans="1:4" x14ac:dyDescent="0.25">
      <c r="A2743" t="s">
        <v>8</v>
      </c>
      <c r="B2743" t="s">
        <v>5</v>
      </c>
      <c r="C2743">
        <v>80</v>
      </c>
      <c r="D2743">
        <v>141.404</v>
      </c>
    </row>
    <row r="2744" spans="1:4" x14ac:dyDescent="0.25">
      <c r="A2744" t="s">
        <v>8</v>
      </c>
      <c r="B2744" t="s">
        <v>5</v>
      </c>
      <c r="C2744">
        <v>80</v>
      </c>
      <c r="D2744">
        <v>146.816</v>
      </c>
    </row>
    <row r="2745" spans="1:4" x14ac:dyDescent="0.25">
      <c r="A2745" t="s">
        <v>8</v>
      </c>
      <c r="B2745" t="s">
        <v>5</v>
      </c>
      <c r="C2745">
        <v>80</v>
      </c>
      <c r="D2745">
        <v>143.477</v>
      </c>
    </row>
    <row r="2746" spans="1:4" x14ac:dyDescent="0.25">
      <c r="A2746" t="s">
        <v>8</v>
      </c>
      <c r="B2746" t="s">
        <v>5</v>
      </c>
      <c r="C2746">
        <v>80</v>
      </c>
      <c r="D2746">
        <v>139.477</v>
      </c>
    </row>
    <row r="2747" spans="1:4" x14ac:dyDescent="0.25">
      <c r="A2747" t="s">
        <v>8</v>
      </c>
      <c r="B2747" t="s">
        <v>5</v>
      </c>
      <c r="C2747">
        <v>80</v>
      </c>
      <c r="D2747">
        <v>142.696</v>
      </c>
    </row>
    <row r="2748" spans="1:4" x14ac:dyDescent="0.25">
      <c r="A2748" t="s">
        <v>8</v>
      </c>
      <c r="B2748" t="s">
        <v>5</v>
      </c>
      <c r="C2748">
        <v>80</v>
      </c>
      <c r="D2748">
        <v>156.279</v>
      </c>
    </row>
    <row r="2749" spans="1:4" x14ac:dyDescent="0.25">
      <c r="A2749" t="s">
        <v>8</v>
      </c>
      <c r="B2749" t="s">
        <v>5</v>
      </c>
      <c r="C2749">
        <v>80</v>
      </c>
      <c r="D2749">
        <v>140.33099999999999</v>
      </c>
    </row>
    <row r="2750" spans="1:4" x14ac:dyDescent="0.25">
      <c r="A2750" t="s">
        <v>8</v>
      </c>
      <c r="B2750" t="s">
        <v>5</v>
      </c>
      <c r="C2750">
        <v>80</v>
      </c>
      <c r="D2750">
        <v>157.74</v>
      </c>
    </row>
    <row r="2751" spans="1:4" x14ac:dyDescent="0.25">
      <c r="A2751" t="s">
        <v>8</v>
      </c>
      <c r="B2751" t="s">
        <v>5</v>
      </c>
      <c r="C2751">
        <v>80</v>
      </c>
      <c r="D2751">
        <v>138.86500000000001</v>
      </c>
    </row>
    <row r="2752" spans="1:4" x14ac:dyDescent="0.25">
      <c r="A2752" t="s">
        <v>8</v>
      </c>
      <c r="B2752" t="s">
        <v>5</v>
      </c>
      <c r="C2752">
        <v>80</v>
      </c>
      <c r="D2752">
        <v>146.84200000000001</v>
      </c>
    </row>
    <row r="2753" spans="1:4" x14ac:dyDescent="0.25">
      <c r="A2753" t="s">
        <v>8</v>
      </c>
      <c r="B2753" t="s">
        <v>5</v>
      </c>
      <c r="C2753">
        <v>80</v>
      </c>
      <c r="D2753">
        <v>146.696</v>
      </c>
    </row>
    <row r="2754" spans="1:4" x14ac:dyDescent="0.25">
      <c r="A2754" t="s">
        <v>8</v>
      </c>
      <c r="B2754" t="s">
        <v>5</v>
      </c>
      <c r="C2754">
        <v>80</v>
      </c>
      <c r="D2754">
        <v>145.76900000000001</v>
      </c>
    </row>
    <row r="2755" spans="1:4" x14ac:dyDescent="0.25">
      <c r="A2755" t="s">
        <v>8</v>
      </c>
      <c r="B2755" t="s">
        <v>5</v>
      </c>
      <c r="C2755">
        <v>80</v>
      </c>
      <c r="D2755">
        <v>147.988</v>
      </c>
    </row>
    <row r="2756" spans="1:4" x14ac:dyDescent="0.25">
      <c r="A2756" t="s">
        <v>8</v>
      </c>
      <c r="B2756" t="s">
        <v>5</v>
      </c>
      <c r="C2756">
        <v>80</v>
      </c>
      <c r="D2756">
        <v>143.76900000000001</v>
      </c>
    </row>
    <row r="2757" spans="1:4" x14ac:dyDescent="0.25">
      <c r="A2757" t="s">
        <v>8</v>
      </c>
      <c r="B2757" t="s">
        <v>5</v>
      </c>
      <c r="C2757">
        <v>80</v>
      </c>
      <c r="D2757">
        <v>132.96600000000001</v>
      </c>
    </row>
    <row r="2758" spans="1:4" x14ac:dyDescent="0.25">
      <c r="A2758" t="s">
        <v>8</v>
      </c>
      <c r="B2758" t="s">
        <v>5</v>
      </c>
      <c r="C2758">
        <v>80</v>
      </c>
      <c r="D2758">
        <v>141.696</v>
      </c>
    </row>
    <row r="2759" spans="1:4" x14ac:dyDescent="0.25">
      <c r="A2759" t="s">
        <v>8</v>
      </c>
      <c r="B2759" t="s">
        <v>5</v>
      </c>
      <c r="C2759">
        <v>80</v>
      </c>
      <c r="D2759">
        <v>144.81700000000001</v>
      </c>
    </row>
    <row r="2760" spans="1:4" x14ac:dyDescent="0.25">
      <c r="A2760" t="s">
        <v>8</v>
      </c>
      <c r="B2760" t="s">
        <v>5</v>
      </c>
      <c r="C2760">
        <v>80</v>
      </c>
      <c r="D2760">
        <v>132.185</v>
      </c>
    </row>
    <row r="2761" spans="1:4" x14ac:dyDescent="0.25">
      <c r="A2761" t="s">
        <v>8</v>
      </c>
      <c r="B2761" t="s">
        <v>5</v>
      </c>
      <c r="C2761">
        <v>80</v>
      </c>
      <c r="D2761">
        <v>139.184</v>
      </c>
    </row>
    <row r="2762" spans="1:4" x14ac:dyDescent="0.25">
      <c r="A2762" t="s">
        <v>8</v>
      </c>
      <c r="B2762" t="s">
        <v>5</v>
      </c>
      <c r="C2762">
        <v>80</v>
      </c>
      <c r="D2762">
        <v>141.81700000000001</v>
      </c>
    </row>
    <row r="2763" spans="1:4" x14ac:dyDescent="0.25">
      <c r="A2763" t="s">
        <v>8</v>
      </c>
      <c r="B2763" t="s">
        <v>5</v>
      </c>
      <c r="C2763">
        <v>80</v>
      </c>
      <c r="D2763">
        <v>155.47399999999999</v>
      </c>
    </row>
    <row r="2764" spans="1:4" x14ac:dyDescent="0.25">
      <c r="A2764" t="s">
        <v>8</v>
      </c>
      <c r="B2764" t="s">
        <v>5</v>
      </c>
      <c r="C2764">
        <v>80</v>
      </c>
      <c r="D2764">
        <v>148.84200000000001</v>
      </c>
    </row>
    <row r="2765" spans="1:4" x14ac:dyDescent="0.25">
      <c r="A2765" t="s">
        <v>8</v>
      </c>
      <c r="B2765" t="s">
        <v>5</v>
      </c>
      <c r="C2765">
        <v>80</v>
      </c>
      <c r="D2765">
        <v>136.37899999999999</v>
      </c>
    </row>
    <row r="2766" spans="1:4" x14ac:dyDescent="0.25">
      <c r="A2766" t="s">
        <v>8</v>
      </c>
      <c r="B2766" t="s">
        <v>5</v>
      </c>
      <c r="C2766">
        <v>80</v>
      </c>
      <c r="D2766">
        <v>153.327</v>
      </c>
    </row>
    <row r="2767" spans="1:4" x14ac:dyDescent="0.25">
      <c r="A2767" t="s">
        <v>8</v>
      </c>
      <c r="B2767" t="s">
        <v>5</v>
      </c>
      <c r="C2767">
        <v>80</v>
      </c>
      <c r="D2767">
        <v>146.62299999999999</v>
      </c>
    </row>
    <row r="2768" spans="1:4" x14ac:dyDescent="0.25">
      <c r="A2768" t="s">
        <v>8</v>
      </c>
      <c r="B2768" t="s">
        <v>5</v>
      </c>
      <c r="C2768">
        <v>80</v>
      </c>
      <c r="D2768">
        <v>144.18199999999999</v>
      </c>
    </row>
    <row r="2769" spans="1:4" x14ac:dyDescent="0.25">
      <c r="A2769" t="s">
        <v>8</v>
      </c>
      <c r="B2769" t="s">
        <v>5</v>
      </c>
      <c r="C2769">
        <v>80</v>
      </c>
      <c r="D2769">
        <v>143.988</v>
      </c>
    </row>
    <row r="2770" spans="1:4" x14ac:dyDescent="0.25">
      <c r="A2770" t="s">
        <v>8</v>
      </c>
      <c r="B2770" t="s">
        <v>5</v>
      </c>
      <c r="C2770">
        <v>80</v>
      </c>
      <c r="D2770">
        <v>144.76900000000001</v>
      </c>
    </row>
    <row r="2771" spans="1:4" x14ac:dyDescent="0.25">
      <c r="A2771" t="s">
        <v>8</v>
      </c>
      <c r="B2771" t="s">
        <v>5</v>
      </c>
      <c r="C2771">
        <v>80</v>
      </c>
      <c r="D2771">
        <v>157.13399999999999</v>
      </c>
    </row>
    <row r="2772" spans="1:4" x14ac:dyDescent="0.25">
      <c r="A2772" t="s">
        <v>8</v>
      </c>
      <c r="B2772" t="s">
        <v>5</v>
      </c>
      <c r="C2772">
        <v>80</v>
      </c>
      <c r="D2772">
        <v>142.62299999999999</v>
      </c>
    </row>
    <row r="2773" spans="1:4" x14ac:dyDescent="0.25">
      <c r="A2773" t="s">
        <v>8</v>
      </c>
      <c r="B2773" t="s">
        <v>5</v>
      </c>
      <c r="C2773">
        <v>80</v>
      </c>
      <c r="D2773">
        <v>140.33099999999999</v>
      </c>
    </row>
    <row r="2774" spans="1:4" x14ac:dyDescent="0.25">
      <c r="A2774" t="s">
        <v>8</v>
      </c>
      <c r="B2774" t="s">
        <v>5</v>
      </c>
      <c r="C2774">
        <v>80</v>
      </c>
      <c r="D2774">
        <v>145.988</v>
      </c>
    </row>
    <row r="2775" spans="1:4" x14ac:dyDescent="0.25">
      <c r="A2775" t="s">
        <v>8</v>
      </c>
      <c r="B2775" t="s">
        <v>5</v>
      </c>
      <c r="C2775">
        <v>80</v>
      </c>
      <c r="D2775">
        <v>147.84200000000001</v>
      </c>
    </row>
    <row r="2776" spans="1:4" x14ac:dyDescent="0.25">
      <c r="A2776" t="s">
        <v>8</v>
      </c>
      <c r="B2776" t="s">
        <v>5</v>
      </c>
      <c r="C2776">
        <v>80</v>
      </c>
      <c r="D2776">
        <v>154.42500000000001</v>
      </c>
    </row>
    <row r="2777" spans="1:4" x14ac:dyDescent="0.25">
      <c r="A2777" t="s">
        <v>8</v>
      </c>
      <c r="B2777" t="s">
        <v>5</v>
      </c>
      <c r="C2777">
        <v>80</v>
      </c>
      <c r="D2777">
        <v>136.33099999999999</v>
      </c>
    </row>
    <row r="2778" spans="1:4" x14ac:dyDescent="0.25">
      <c r="A2778" t="s">
        <v>8</v>
      </c>
      <c r="B2778" t="s">
        <v>5</v>
      </c>
      <c r="C2778">
        <v>80</v>
      </c>
      <c r="D2778">
        <v>157.69200000000001</v>
      </c>
    </row>
    <row r="2779" spans="1:4" x14ac:dyDescent="0.25">
      <c r="A2779" t="s">
        <v>8</v>
      </c>
      <c r="B2779" t="s">
        <v>5</v>
      </c>
      <c r="C2779">
        <v>80</v>
      </c>
      <c r="D2779">
        <v>156.667</v>
      </c>
    </row>
    <row r="2780" spans="1:4" x14ac:dyDescent="0.25">
      <c r="A2780" t="s">
        <v>8</v>
      </c>
      <c r="B2780" t="s">
        <v>5</v>
      </c>
      <c r="C2780">
        <v>80</v>
      </c>
      <c r="D2780">
        <v>153.06100000000001</v>
      </c>
    </row>
    <row r="2781" spans="1:4" x14ac:dyDescent="0.25">
      <c r="A2781" t="s">
        <v>8</v>
      </c>
      <c r="B2781" t="s">
        <v>5</v>
      </c>
      <c r="C2781">
        <v>80</v>
      </c>
      <c r="D2781">
        <v>151.988</v>
      </c>
    </row>
    <row r="2782" spans="1:4" x14ac:dyDescent="0.25">
      <c r="A2782" t="s">
        <v>8</v>
      </c>
      <c r="B2782" t="s">
        <v>5</v>
      </c>
      <c r="C2782">
        <v>80</v>
      </c>
      <c r="D2782">
        <v>132.893</v>
      </c>
    </row>
    <row r="2783" spans="1:4" x14ac:dyDescent="0.25">
      <c r="A2783" t="s">
        <v>8</v>
      </c>
      <c r="B2783" t="s">
        <v>5</v>
      </c>
      <c r="C2783">
        <v>80</v>
      </c>
      <c r="D2783">
        <v>146.84200000000001</v>
      </c>
    </row>
    <row r="2784" spans="1:4" x14ac:dyDescent="0.25">
      <c r="A2784" t="s">
        <v>8</v>
      </c>
      <c r="B2784" t="s">
        <v>5</v>
      </c>
      <c r="C2784">
        <v>80</v>
      </c>
      <c r="D2784">
        <v>146.76900000000001</v>
      </c>
    </row>
    <row r="2785" spans="1:4" x14ac:dyDescent="0.25">
      <c r="A2785" t="s">
        <v>8</v>
      </c>
      <c r="B2785" t="s">
        <v>5</v>
      </c>
      <c r="C2785">
        <v>80</v>
      </c>
      <c r="D2785">
        <v>141.25800000000001</v>
      </c>
    </row>
    <row r="2786" spans="1:4" x14ac:dyDescent="0.25">
      <c r="A2786" t="s">
        <v>8</v>
      </c>
      <c r="B2786" t="s">
        <v>5</v>
      </c>
      <c r="C2786">
        <v>80</v>
      </c>
      <c r="D2786">
        <v>141.696</v>
      </c>
    </row>
    <row r="2787" spans="1:4" x14ac:dyDescent="0.25">
      <c r="A2787" t="s">
        <v>8</v>
      </c>
      <c r="B2787" t="s">
        <v>5</v>
      </c>
      <c r="C2787">
        <v>80</v>
      </c>
      <c r="D2787">
        <v>130.74700000000001</v>
      </c>
    </row>
    <row r="2788" spans="1:4" x14ac:dyDescent="0.25">
      <c r="A2788" t="s">
        <v>8</v>
      </c>
      <c r="B2788" t="s">
        <v>5</v>
      </c>
      <c r="C2788">
        <v>80</v>
      </c>
      <c r="D2788">
        <v>146.20599999999999</v>
      </c>
    </row>
    <row r="2789" spans="1:4" x14ac:dyDescent="0.25">
      <c r="A2789" t="s">
        <v>8</v>
      </c>
      <c r="B2789" t="s">
        <v>5</v>
      </c>
      <c r="C2789">
        <v>80</v>
      </c>
      <c r="D2789">
        <v>139.62299999999999</v>
      </c>
    </row>
    <row r="2790" spans="1:4" x14ac:dyDescent="0.25">
      <c r="A2790" t="s">
        <v>8</v>
      </c>
      <c r="B2790" t="s">
        <v>5</v>
      </c>
      <c r="C2790">
        <v>80</v>
      </c>
      <c r="D2790">
        <v>139.91399999999999</v>
      </c>
    </row>
    <row r="2791" spans="1:4" x14ac:dyDescent="0.25">
      <c r="A2791" t="s">
        <v>8</v>
      </c>
      <c r="B2791" t="s">
        <v>5</v>
      </c>
      <c r="C2791">
        <v>80</v>
      </c>
      <c r="D2791">
        <v>148.10900000000001</v>
      </c>
    </row>
    <row r="2792" spans="1:4" x14ac:dyDescent="0.25">
      <c r="A2792" t="s">
        <v>8</v>
      </c>
      <c r="B2792" t="s">
        <v>5</v>
      </c>
      <c r="C2792">
        <v>80</v>
      </c>
      <c r="D2792">
        <v>137.404</v>
      </c>
    </row>
    <row r="2793" spans="1:4" x14ac:dyDescent="0.25">
      <c r="A2793" t="s">
        <v>8</v>
      </c>
      <c r="B2793" t="s">
        <v>5</v>
      </c>
      <c r="C2793">
        <v>80</v>
      </c>
      <c r="D2793">
        <v>132.96600000000001</v>
      </c>
    </row>
    <row r="2794" spans="1:4" x14ac:dyDescent="0.25">
      <c r="A2794" t="s">
        <v>8</v>
      </c>
      <c r="B2794" t="s">
        <v>5</v>
      </c>
      <c r="C2794">
        <v>80</v>
      </c>
      <c r="D2794">
        <v>149.84200000000001</v>
      </c>
    </row>
    <row r="2795" spans="1:4" x14ac:dyDescent="0.25">
      <c r="A2795" t="s">
        <v>8</v>
      </c>
      <c r="B2795" t="s">
        <v>5</v>
      </c>
      <c r="C2795">
        <v>80</v>
      </c>
      <c r="D2795">
        <v>153.06100000000001</v>
      </c>
    </row>
    <row r="2796" spans="1:4" x14ac:dyDescent="0.25">
      <c r="A2796" t="s">
        <v>8</v>
      </c>
      <c r="B2796" t="s">
        <v>5</v>
      </c>
      <c r="C2796">
        <v>80</v>
      </c>
      <c r="D2796">
        <v>152.352</v>
      </c>
    </row>
    <row r="2797" spans="1:4" x14ac:dyDescent="0.25">
      <c r="A2797" t="s">
        <v>8</v>
      </c>
      <c r="B2797" t="s">
        <v>5</v>
      </c>
      <c r="C2797">
        <v>80</v>
      </c>
      <c r="D2797">
        <v>143.96299999999999</v>
      </c>
    </row>
    <row r="2798" spans="1:4" x14ac:dyDescent="0.25">
      <c r="A2798" t="s">
        <v>8</v>
      </c>
      <c r="B2798" t="s">
        <v>5</v>
      </c>
      <c r="C2798">
        <v>80</v>
      </c>
      <c r="D2798">
        <v>149.76900000000001</v>
      </c>
    </row>
    <row r="2799" spans="1:4" x14ac:dyDescent="0.25">
      <c r="A2799" t="s">
        <v>8</v>
      </c>
      <c r="B2799" t="s">
        <v>5</v>
      </c>
      <c r="C2799">
        <v>80</v>
      </c>
      <c r="D2799">
        <v>143.33099999999999</v>
      </c>
    </row>
    <row r="2800" spans="1:4" x14ac:dyDescent="0.25">
      <c r="A2800" t="s">
        <v>8</v>
      </c>
      <c r="B2800" t="s">
        <v>5</v>
      </c>
      <c r="C2800">
        <v>80</v>
      </c>
      <c r="D2800">
        <v>126.82</v>
      </c>
    </row>
    <row r="2801" spans="1:4" x14ac:dyDescent="0.25">
      <c r="A2801" t="s">
        <v>8</v>
      </c>
      <c r="B2801" t="s">
        <v>5</v>
      </c>
      <c r="C2801">
        <v>80</v>
      </c>
      <c r="D2801">
        <v>137.11199999999999</v>
      </c>
    </row>
    <row r="2802" spans="1:4" x14ac:dyDescent="0.25">
      <c r="A2802" t="s">
        <v>8</v>
      </c>
      <c r="B2802" t="s">
        <v>5</v>
      </c>
      <c r="C2802">
        <v>100</v>
      </c>
      <c r="D2802">
        <v>176.59200000000001</v>
      </c>
    </row>
    <row r="2803" spans="1:4" x14ac:dyDescent="0.25">
      <c r="A2803" t="s">
        <v>8</v>
      </c>
      <c r="B2803" t="s">
        <v>5</v>
      </c>
      <c r="C2803">
        <v>100</v>
      </c>
      <c r="D2803">
        <v>168.69200000000001</v>
      </c>
    </row>
    <row r="2804" spans="1:4" x14ac:dyDescent="0.25">
      <c r="A2804" t="s">
        <v>8</v>
      </c>
      <c r="B2804" t="s">
        <v>5</v>
      </c>
      <c r="C2804">
        <v>100</v>
      </c>
      <c r="D2804">
        <v>165.71700000000001</v>
      </c>
    </row>
    <row r="2805" spans="1:4" x14ac:dyDescent="0.25">
      <c r="A2805" t="s">
        <v>8</v>
      </c>
      <c r="B2805" t="s">
        <v>5</v>
      </c>
      <c r="C2805">
        <v>100</v>
      </c>
      <c r="D2805">
        <v>176.203</v>
      </c>
    </row>
    <row r="2806" spans="1:4" x14ac:dyDescent="0.25">
      <c r="A2806" t="s">
        <v>8</v>
      </c>
      <c r="B2806" t="s">
        <v>5</v>
      </c>
      <c r="C2806">
        <v>100</v>
      </c>
      <c r="D2806">
        <v>173.42099999999999</v>
      </c>
    </row>
    <row r="2807" spans="1:4" x14ac:dyDescent="0.25">
      <c r="A2807" t="s">
        <v>8</v>
      </c>
      <c r="B2807" t="s">
        <v>5</v>
      </c>
      <c r="C2807">
        <v>100</v>
      </c>
      <c r="D2807">
        <v>169.47</v>
      </c>
    </row>
    <row r="2808" spans="1:4" x14ac:dyDescent="0.25">
      <c r="A2808" t="s">
        <v>8</v>
      </c>
      <c r="B2808" t="s">
        <v>5</v>
      </c>
      <c r="C2808">
        <v>100</v>
      </c>
      <c r="D2808">
        <v>182.053</v>
      </c>
    </row>
    <row r="2809" spans="1:4" x14ac:dyDescent="0.25">
      <c r="A2809" t="s">
        <v>8</v>
      </c>
      <c r="B2809" t="s">
        <v>5</v>
      </c>
      <c r="C2809">
        <v>100</v>
      </c>
      <c r="D2809">
        <v>180.053</v>
      </c>
    </row>
    <row r="2810" spans="1:4" x14ac:dyDescent="0.25">
      <c r="A2810" t="s">
        <v>8</v>
      </c>
      <c r="B2810" t="s">
        <v>5</v>
      </c>
      <c r="C2810">
        <v>100</v>
      </c>
      <c r="D2810">
        <v>167.81299999999999</v>
      </c>
    </row>
    <row r="2811" spans="1:4" x14ac:dyDescent="0.25">
      <c r="A2811" t="s">
        <v>8</v>
      </c>
      <c r="B2811" t="s">
        <v>5</v>
      </c>
      <c r="C2811">
        <v>100</v>
      </c>
      <c r="D2811">
        <v>172.422</v>
      </c>
    </row>
    <row r="2812" spans="1:4" x14ac:dyDescent="0.25">
      <c r="A2812" t="s">
        <v>8</v>
      </c>
      <c r="B2812" t="s">
        <v>5</v>
      </c>
      <c r="C2812">
        <v>100</v>
      </c>
      <c r="D2812">
        <v>172.10499999999999</v>
      </c>
    </row>
    <row r="2813" spans="1:4" x14ac:dyDescent="0.25">
      <c r="A2813" t="s">
        <v>8</v>
      </c>
      <c r="B2813" t="s">
        <v>5</v>
      </c>
      <c r="C2813">
        <v>100</v>
      </c>
      <c r="D2813">
        <v>162.959</v>
      </c>
    </row>
    <row r="2814" spans="1:4" x14ac:dyDescent="0.25">
      <c r="A2814" t="s">
        <v>8</v>
      </c>
      <c r="B2814" t="s">
        <v>5</v>
      </c>
      <c r="C2814">
        <v>100</v>
      </c>
      <c r="D2814">
        <v>164.05699999999999</v>
      </c>
    </row>
    <row r="2815" spans="1:4" x14ac:dyDescent="0.25">
      <c r="A2815" t="s">
        <v>8</v>
      </c>
      <c r="B2815" t="s">
        <v>5</v>
      </c>
      <c r="C2815">
        <v>100</v>
      </c>
      <c r="D2815">
        <v>176.71299999999999</v>
      </c>
    </row>
    <row r="2816" spans="1:4" x14ac:dyDescent="0.25">
      <c r="A2816" t="s">
        <v>8</v>
      </c>
      <c r="B2816" t="s">
        <v>5</v>
      </c>
      <c r="C2816">
        <v>100</v>
      </c>
      <c r="D2816">
        <v>173.761</v>
      </c>
    </row>
    <row r="2817" spans="1:4" x14ac:dyDescent="0.25">
      <c r="A2817" t="s">
        <v>8</v>
      </c>
      <c r="B2817" t="s">
        <v>5</v>
      </c>
      <c r="C2817">
        <v>100</v>
      </c>
      <c r="D2817">
        <v>169.154</v>
      </c>
    </row>
    <row r="2818" spans="1:4" x14ac:dyDescent="0.25">
      <c r="A2818" t="s">
        <v>8</v>
      </c>
      <c r="B2818" t="s">
        <v>5</v>
      </c>
      <c r="C2818">
        <v>100</v>
      </c>
      <c r="D2818">
        <v>181.90700000000001</v>
      </c>
    </row>
    <row r="2819" spans="1:4" x14ac:dyDescent="0.25">
      <c r="A2819" t="s">
        <v>8</v>
      </c>
      <c r="B2819" t="s">
        <v>5</v>
      </c>
      <c r="C2819">
        <v>100</v>
      </c>
      <c r="D2819">
        <v>181.834</v>
      </c>
    </row>
    <row r="2820" spans="1:4" x14ac:dyDescent="0.25">
      <c r="A2820" t="s">
        <v>8</v>
      </c>
      <c r="B2820" t="s">
        <v>5</v>
      </c>
      <c r="C2820">
        <v>100</v>
      </c>
      <c r="D2820">
        <v>183.85900000000001</v>
      </c>
    </row>
    <row r="2821" spans="1:4" x14ac:dyDescent="0.25">
      <c r="A2821" t="s">
        <v>8</v>
      </c>
      <c r="B2821" t="s">
        <v>5</v>
      </c>
      <c r="C2821">
        <v>100</v>
      </c>
      <c r="D2821">
        <v>178.90700000000001</v>
      </c>
    </row>
    <row r="2822" spans="1:4" x14ac:dyDescent="0.25">
      <c r="A2822" t="s">
        <v>8</v>
      </c>
      <c r="B2822" t="s">
        <v>5</v>
      </c>
      <c r="C2822">
        <v>100</v>
      </c>
      <c r="D2822">
        <v>172.12899999999999</v>
      </c>
    </row>
    <row r="2823" spans="1:4" x14ac:dyDescent="0.25">
      <c r="A2823" t="s">
        <v>8</v>
      </c>
      <c r="B2823" t="s">
        <v>5</v>
      </c>
      <c r="C2823">
        <v>100</v>
      </c>
      <c r="D2823">
        <v>173.90700000000001</v>
      </c>
    </row>
    <row r="2824" spans="1:4" x14ac:dyDescent="0.25">
      <c r="A2824" t="s">
        <v>8</v>
      </c>
      <c r="B2824" t="s">
        <v>5</v>
      </c>
      <c r="C2824">
        <v>100</v>
      </c>
      <c r="D2824">
        <v>182.61500000000001</v>
      </c>
    </row>
    <row r="2825" spans="1:4" x14ac:dyDescent="0.25">
      <c r="A2825" t="s">
        <v>8</v>
      </c>
      <c r="B2825" t="s">
        <v>5</v>
      </c>
      <c r="C2825">
        <v>100</v>
      </c>
      <c r="D2825">
        <v>173.71299999999999</v>
      </c>
    </row>
    <row r="2826" spans="1:4" x14ac:dyDescent="0.25">
      <c r="A2826" t="s">
        <v>8</v>
      </c>
      <c r="B2826" t="s">
        <v>5</v>
      </c>
      <c r="C2826">
        <v>100</v>
      </c>
      <c r="D2826">
        <v>180.64</v>
      </c>
    </row>
    <row r="2827" spans="1:4" x14ac:dyDescent="0.25">
      <c r="A2827" t="s">
        <v>8</v>
      </c>
      <c r="B2827" t="s">
        <v>5</v>
      </c>
      <c r="C2827">
        <v>100</v>
      </c>
      <c r="D2827">
        <v>166.911</v>
      </c>
    </row>
    <row r="2828" spans="1:4" x14ac:dyDescent="0.25">
      <c r="A2828" t="s">
        <v>8</v>
      </c>
      <c r="B2828" t="s">
        <v>5</v>
      </c>
      <c r="C2828">
        <v>100</v>
      </c>
      <c r="D2828">
        <v>180.51900000000001</v>
      </c>
    </row>
    <row r="2829" spans="1:4" x14ac:dyDescent="0.25">
      <c r="A2829" t="s">
        <v>8</v>
      </c>
      <c r="B2829" t="s">
        <v>5</v>
      </c>
      <c r="C2829">
        <v>100</v>
      </c>
      <c r="D2829">
        <v>178.71299999999999</v>
      </c>
    </row>
    <row r="2830" spans="1:4" x14ac:dyDescent="0.25">
      <c r="A2830" t="s">
        <v>8</v>
      </c>
      <c r="B2830" t="s">
        <v>5</v>
      </c>
      <c r="C2830">
        <v>100</v>
      </c>
      <c r="D2830">
        <v>172.69200000000001</v>
      </c>
    </row>
    <row r="2831" spans="1:4" x14ac:dyDescent="0.25">
      <c r="A2831" t="s">
        <v>8</v>
      </c>
      <c r="B2831" t="s">
        <v>5</v>
      </c>
      <c r="C2831">
        <v>100</v>
      </c>
      <c r="D2831">
        <v>173.61500000000001</v>
      </c>
    </row>
    <row r="2832" spans="1:4" x14ac:dyDescent="0.25">
      <c r="A2832" t="s">
        <v>8</v>
      </c>
      <c r="B2832" t="s">
        <v>5</v>
      </c>
      <c r="C2832">
        <v>100</v>
      </c>
      <c r="D2832">
        <v>159.547</v>
      </c>
    </row>
    <row r="2833" spans="1:4" x14ac:dyDescent="0.25">
      <c r="A2833" t="s">
        <v>8</v>
      </c>
      <c r="B2833" t="s">
        <v>5</v>
      </c>
      <c r="C2833">
        <v>100</v>
      </c>
      <c r="D2833">
        <v>155.47300000000001</v>
      </c>
    </row>
    <row r="2834" spans="1:4" x14ac:dyDescent="0.25">
      <c r="A2834" t="s">
        <v>8</v>
      </c>
      <c r="B2834" t="s">
        <v>5</v>
      </c>
      <c r="C2834">
        <v>100</v>
      </c>
      <c r="D2834">
        <v>181.37299999999999</v>
      </c>
    </row>
    <row r="2835" spans="1:4" x14ac:dyDescent="0.25">
      <c r="A2835" t="s">
        <v>8</v>
      </c>
      <c r="B2835" t="s">
        <v>5</v>
      </c>
      <c r="C2835">
        <v>100</v>
      </c>
      <c r="D2835">
        <v>173.91200000000001</v>
      </c>
    </row>
    <row r="2836" spans="1:4" x14ac:dyDescent="0.25">
      <c r="A2836" t="s">
        <v>8</v>
      </c>
      <c r="B2836" t="s">
        <v>5</v>
      </c>
      <c r="C2836">
        <v>100</v>
      </c>
      <c r="D2836">
        <v>184.90799999999999</v>
      </c>
    </row>
    <row r="2837" spans="1:4" x14ac:dyDescent="0.25">
      <c r="A2837" t="s">
        <v>8</v>
      </c>
      <c r="B2837" t="s">
        <v>5</v>
      </c>
      <c r="C2837">
        <v>100</v>
      </c>
      <c r="D2837">
        <v>182.126</v>
      </c>
    </row>
    <row r="2838" spans="1:4" x14ac:dyDescent="0.25">
      <c r="A2838" t="s">
        <v>8</v>
      </c>
      <c r="B2838" t="s">
        <v>5</v>
      </c>
      <c r="C2838">
        <v>100</v>
      </c>
      <c r="D2838">
        <v>161.499</v>
      </c>
    </row>
    <row r="2839" spans="1:4" x14ac:dyDescent="0.25">
      <c r="A2839" t="s">
        <v>8</v>
      </c>
      <c r="B2839" t="s">
        <v>5</v>
      </c>
      <c r="C2839">
        <v>100</v>
      </c>
      <c r="D2839">
        <v>180.19900000000001</v>
      </c>
    </row>
    <row r="2840" spans="1:4" x14ac:dyDescent="0.25">
      <c r="A2840" t="s">
        <v>8</v>
      </c>
      <c r="B2840" t="s">
        <v>5</v>
      </c>
      <c r="C2840">
        <v>100</v>
      </c>
      <c r="D2840">
        <v>183.64</v>
      </c>
    </row>
    <row r="2841" spans="1:4" x14ac:dyDescent="0.25">
      <c r="A2841" t="s">
        <v>8</v>
      </c>
      <c r="B2841" t="s">
        <v>5</v>
      </c>
      <c r="C2841">
        <v>100</v>
      </c>
      <c r="D2841">
        <v>178.56800000000001</v>
      </c>
    </row>
    <row r="2842" spans="1:4" x14ac:dyDescent="0.25">
      <c r="A2842" t="s">
        <v>8</v>
      </c>
      <c r="B2842" t="s">
        <v>5</v>
      </c>
      <c r="C2842">
        <v>100</v>
      </c>
      <c r="D2842">
        <v>181.345</v>
      </c>
    </row>
    <row r="2843" spans="1:4" x14ac:dyDescent="0.25">
      <c r="A2843" t="s">
        <v>8</v>
      </c>
      <c r="B2843" t="s">
        <v>5</v>
      </c>
      <c r="C2843">
        <v>100</v>
      </c>
      <c r="D2843">
        <v>185.834</v>
      </c>
    </row>
    <row r="2844" spans="1:4" x14ac:dyDescent="0.25">
      <c r="A2844" t="s">
        <v>8</v>
      </c>
      <c r="B2844" t="s">
        <v>5</v>
      </c>
      <c r="C2844">
        <v>100</v>
      </c>
      <c r="D2844">
        <v>181.834</v>
      </c>
    </row>
    <row r="2845" spans="1:4" x14ac:dyDescent="0.25">
      <c r="A2845" t="s">
        <v>8</v>
      </c>
      <c r="B2845" t="s">
        <v>5</v>
      </c>
      <c r="C2845">
        <v>100</v>
      </c>
      <c r="D2845">
        <v>184.126</v>
      </c>
    </row>
    <row r="2846" spans="1:4" x14ac:dyDescent="0.25">
      <c r="A2846" t="s">
        <v>8</v>
      </c>
      <c r="B2846" t="s">
        <v>5</v>
      </c>
      <c r="C2846">
        <v>100</v>
      </c>
      <c r="D2846">
        <v>175.34899999999999</v>
      </c>
    </row>
    <row r="2847" spans="1:4" x14ac:dyDescent="0.25">
      <c r="A2847" t="s">
        <v>8</v>
      </c>
      <c r="B2847" t="s">
        <v>5</v>
      </c>
      <c r="C2847">
        <v>100</v>
      </c>
      <c r="D2847">
        <v>169.32400000000001</v>
      </c>
    </row>
    <row r="2848" spans="1:4" x14ac:dyDescent="0.25">
      <c r="A2848" t="s">
        <v>8</v>
      </c>
      <c r="B2848" t="s">
        <v>5</v>
      </c>
      <c r="C2848">
        <v>100</v>
      </c>
      <c r="D2848">
        <v>179.39699999999999</v>
      </c>
    </row>
    <row r="2849" spans="1:4" x14ac:dyDescent="0.25">
      <c r="A2849" t="s">
        <v>8</v>
      </c>
      <c r="B2849" t="s">
        <v>5</v>
      </c>
      <c r="C2849">
        <v>100</v>
      </c>
      <c r="D2849">
        <v>204.07499999999999</v>
      </c>
    </row>
    <row r="2850" spans="1:4" x14ac:dyDescent="0.25">
      <c r="A2850" t="s">
        <v>8</v>
      </c>
      <c r="B2850" t="s">
        <v>5</v>
      </c>
      <c r="C2850">
        <v>100</v>
      </c>
      <c r="D2850">
        <v>156.935</v>
      </c>
    </row>
    <row r="2851" spans="1:4" x14ac:dyDescent="0.25">
      <c r="A2851" t="s">
        <v>8</v>
      </c>
      <c r="B2851" t="s">
        <v>5</v>
      </c>
      <c r="C2851">
        <v>100</v>
      </c>
      <c r="D2851">
        <v>185.49100000000001</v>
      </c>
    </row>
    <row r="2852" spans="1:4" x14ac:dyDescent="0.25">
      <c r="A2852" t="s">
        <v>8</v>
      </c>
      <c r="B2852" t="s">
        <v>5</v>
      </c>
      <c r="C2852">
        <v>100</v>
      </c>
      <c r="D2852">
        <v>158.47300000000001</v>
      </c>
    </row>
    <row r="2853" spans="1:4" x14ac:dyDescent="0.25">
      <c r="A2853" t="s">
        <v>8</v>
      </c>
      <c r="B2853" t="s">
        <v>5</v>
      </c>
      <c r="C2853">
        <v>100</v>
      </c>
      <c r="D2853">
        <v>182.27199999999999</v>
      </c>
    </row>
    <row r="2854" spans="1:4" x14ac:dyDescent="0.25">
      <c r="A2854" t="s">
        <v>8</v>
      </c>
      <c r="B2854" t="s">
        <v>5</v>
      </c>
      <c r="C2854">
        <v>100</v>
      </c>
      <c r="D2854">
        <v>177.494</v>
      </c>
    </row>
    <row r="2855" spans="1:4" x14ac:dyDescent="0.25">
      <c r="A2855" t="s">
        <v>8</v>
      </c>
      <c r="B2855" t="s">
        <v>5</v>
      </c>
      <c r="C2855">
        <v>100</v>
      </c>
      <c r="D2855">
        <v>176.786</v>
      </c>
    </row>
    <row r="2856" spans="1:4" x14ac:dyDescent="0.25">
      <c r="A2856" t="s">
        <v>8</v>
      </c>
      <c r="B2856" t="s">
        <v>5</v>
      </c>
      <c r="C2856">
        <v>100</v>
      </c>
      <c r="D2856">
        <v>166.00899999999999</v>
      </c>
    </row>
    <row r="2857" spans="1:4" x14ac:dyDescent="0.25">
      <c r="A2857" t="s">
        <v>8</v>
      </c>
      <c r="B2857" t="s">
        <v>5</v>
      </c>
      <c r="C2857">
        <v>100</v>
      </c>
      <c r="D2857">
        <v>188.90799999999999</v>
      </c>
    </row>
    <row r="2858" spans="1:4" x14ac:dyDescent="0.25">
      <c r="A2858" t="s">
        <v>8</v>
      </c>
      <c r="B2858" t="s">
        <v>5</v>
      </c>
      <c r="C2858">
        <v>100</v>
      </c>
      <c r="D2858">
        <v>171.93600000000001</v>
      </c>
    </row>
    <row r="2859" spans="1:4" x14ac:dyDescent="0.25">
      <c r="A2859" t="s">
        <v>8</v>
      </c>
      <c r="B2859" t="s">
        <v>5</v>
      </c>
      <c r="C2859">
        <v>100</v>
      </c>
      <c r="D2859">
        <v>181.51900000000001</v>
      </c>
    </row>
    <row r="2860" spans="1:4" x14ac:dyDescent="0.25">
      <c r="A2860" t="s">
        <v>8</v>
      </c>
      <c r="B2860" t="s">
        <v>5</v>
      </c>
      <c r="C2860">
        <v>100</v>
      </c>
      <c r="D2860">
        <v>182.98099999999999</v>
      </c>
    </row>
    <row r="2861" spans="1:4" x14ac:dyDescent="0.25">
      <c r="A2861" t="s">
        <v>8</v>
      </c>
      <c r="B2861" t="s">
        <v>5</v>
      </c>
      <c r="C2861">
        <v>100</v>
      </c>
      <c r="D2861">
        <v>169.98400000000001</v>
      </c>
    </row>
    <row r="2862" spans="1:4" x14ac:dyDescent="0.25">
      <c r="A2862" t="s">
        <v>8</v>
      </c>
      <c r="B2862" t="s">
        <v>5</v>
      </c>
      <c r="C2862">
        <v>100</v>
      </c>
      <c r="D2862">
        <v>176.494</v>
      </c>
    </row>
    <row r="2863" spans="1:4" x14ac:dyDescent="0.25">
      <c r="A2863" t="s">
        <v>8</v>
      </c>
      <c r="B2863" t="s">
        <v>5</v>
      </c>
      <c r="C2863">
        <v>100</v>
      </c>
      <c r="D2863">
        <v>185.93199999999999</v>
      </c>
    </row>
    <row r="2864" spans="1:4" x14ac:dyDescent="0.25">
      <c r="A2864" t="s">
        <v>8</v>
      </c>
      <c r="B2864" t="s">
        <v>5</v>
      </c>
      <c r="C2864">
        <v>100</v>
      </c>
      <c r="D2864">
        <v>161.983</v>
      </c>
    </row>
    <row r="2865" spans="1:4" x14ac:dyDescent="0.25">
      <c r="A2865" t="s">
        <v>8</v>
      </c>
      <c r="B2865" t="s">
        <v>5</v>
      </c>
      <c r="C2865">
        <v>100</v>
      </c>
      <c r="D2865">
        <v>175.542</v>
      </c>
    </row>
    <row r="2866" spans="1:4" x14ac:dyDescent="0.25">
      <c r="A2866" t="s">
        <v>8</v>
      </c>
      <c r="B2866" t="s">
        <v>5</v>
      </c>
      <c r="C2866">
        <v>100</v>
      </c>
      <c r="D2866">
        <v>173.27600000000001</v>
      </c>
    </row>
    <row r="2867" spans="1:4" x14ac:dyDescent="0.25">
      <c r="A2867" t="s">
        <v>8</v>
      </c>
      <c r="B2867" t="s">
        <v>5</v>
      </c>
      <c r="C2867">
        <v>100</v>
      </c>
      <c r="D2867">
        <v>165.46899999999999</v>
      </c>
    </row>
    <row r="2868" spans="1:4" x14ac:dyDescent="0.25">
      <c r="A2868" t="s">
        <v>8</v>
      </c>
      <c r="B2868" t="s">
        <v>5</v>
      </c>
      <c r="C2868">
        <v>100</v>
      </c>
      <c r="D2868">
        <v>165.154</v>
      </c>
    </row>
    <row r="2869" spans="1:4" x14ac:dyDescent="0.25">
      <c r="A2869" t="s">
        <v>8</v>
      </c>
      <c r="B2869" t="s">
        <v>5</v>
      </c>
      <c r="C2869">
        <v>100</v>
      </c>
      <c r="D2869">
        <v>157.54599999999999</v>
      </c>
    </row>
    <row r="2870" spans="1:4" x14ac:dyDescent="0.25">
      <c r="A2870" t="s">
        <v>8</v>
      </c>
      <c r="B2870" t="s">
        <v>5</v>
      </c>
      <c r="C2870">
        <v>100</v>
      </c>
      <c r="D2870">
        <v>178.05699999999999</v>
      </c>
    </row>
    <row r="2871" spans="1:4" x14ac:dyDescent="0.25">
      <c r="A2871" t="s">
        <v>8</v>
      </c>
      <c r="B2871" t="s">
        <v>5</v>
      </c>
      <c r="C2871">
        <v>100</v>
      </c>
      <c r="D2871">
        <v>184.126</v>
      </c>
    </row>
    <row r="2872" spans="1:4" x14ac:dyDescent="0.25">
      <c r="A2872" t="s">
        <v>8</v>
      </c>
      <c r="B2872" t="s">
        <v>5</v>
      </c>
      <c r="C2872">
        <v>100</v>
      </c>
      <c r="D2872">
        <v>157.108</v>
      </c>
    </row>
    <row r="2873" spans="1:4" x14ac:dyDescent="0.25">
      <c r="A2873" t="s">
        <v>8</v>
      </c>
      <c r="B2873" t="s">
        <v>5</v>
      </c>
      <c r="C2873">
        <v>100</v>
      </c>
      <c r="D2873">
        <v>182.90700000000001</v>
      </c>
    </row>
    <row r="2874" spans="1:4" x14ac:dyDescent="0.25">
      <c r="A2874" t="s">
        <v>8</v>
      </c>
      <c r="B2874" t="s">
        <v>5</v>
      </c>
      <c r="C2874">
        <v>100</v>
      </c>
      <c r="D2874">
        <v>176.47</v>
      </c>
    </row>
    <row r="2875" spans="1:4" x14ac:dyDescent="0.25">
      <c r="A2875" t="s">
        <v>8</v>
      </c>
      <c r="B2875" t="s">
        <v>5</v>
      </c>
      <c r="C2875">
        <v>100</v>
      </c>
      <c r="D2875">
        <v>164.71700000000001</v>
      </c>
    </row>
    <row r="2876" spans="1:4" x14ac:dyDescent="0.25">
      <c r="A2876" t="s">
        <v>8</v>
      </c>
      <c r="B2876" t="s">
        <v>5</v>
      </c>
      <c r="C2876">
        <v>100</v>
      </c>
      <c r="D2876">
        <v>200.00200000000001</v>
      </c>
    </row>
    <row r="2877" spans="1:4" x14ac:dyDescent="0.25">
      <c r="A2877" t="s">
        <v>8</v>
      </c>
      <c r="B2877" t="s">
        <v>5</v>
      </c>
      <c r="C2877">
        <v>100</v>
      </c>
      <c r="D2877">
        <v>177.34899999999999</v>
      </c>
    </row>
    <row r="2878" spans="1:4" x14ac:dyDescent="0.25">
      <c r="A2878" t="s">
        <v>8</v>
      </c>
      <c r="B2878" t="s">
        <v>5</v>
      </c>
      <c r="C2878">
        <v>100</v>
      </c>
      <c r="D2878">
        <v>188.49100000000001</v>
      </c>
    </row>
    <row r="2879" spans="1:4" x14ac:dyDescent="0.25">
      <c r="A2879" t="s">
        <v>8</v>
      </c>
      <c r="B2879" t="s">
        <v>5</v>
      </c>
      <c r="C2879">
        <v>100</v>
      </c>
      <c r="D2879">
        <v>192.126</v>
      </c>
    </row>
    <row r="2880" spans="1:4" x14ac:dyDescent="0.25">
      <c r="A2880" t="s">
        <v>8</v>
      </c>
      <c r="B2880" t="s">
        <v>5</v>
      </c>
      <c r="C2880">
        <v>100</v>
      </c>
      <c r="D2880">
        <v>179.761</v>
      </c>
    </row>
    <row r="2881" spans="1:4" x14ac:dyDescent="0.25">
      <c r="A2881" t="s">
        <v>8</v>
      </c>
      <c r="B2881" t="s">
        <v>5</v>
      </c>
      <c r="C2881">
        <v>100</v>
      </c>
      <c r="D2881">
        <v>166.05600000000001</v>
      </c>
    </row>
    <row r="2882" spans="1:4" x14ac:dyDescent="0.25">
      <c r="A2882" t="s">
        <v>8</v>
      </c>
      <c r="B2882" t="s">
        <v>5</v>
      </c>
      <c r="C2882">
        <v>100</v>
      </c>
      <c r="D2882">
        <v>177.64099999999999</v>
      </c>
    </row>
    <row r="2883" spans="1:4" x14ac:dyDescent="0.25">
      <c r="A2883" t="s">
        <v>8</v>
      </c>
      <c r="B2883" t="s">
        <v>5</v>
      </c>
      <c r="C2883">
        <v>100</v>
      </c>
      <c r="D2883">
        <v>177.911</v>
      </c>
    </row>
    <row r="2884" spans="1:4" x14ac:dyDescent="0.25">
      <c r="A2884" t="s">
        <v>8</v>
      </c>
      <c r="B2884" t="s">
        <v>5</v>
      </c>
      <c r="C2884">
        <v>100</v>
      </c>
      <c r="D2884">
        <v>171.542</v>
      </c>
    </row>
    <row r="2885" spans="1:4" x14ac:dyDescent="0.25">
      <c r="A2885" t="s">
        <v>8</v>
      </c>
      <c r="B2885" t="s">
        <v>5</v>
      </c>
      <c r="C2885">
        <v>100</v>
      </c>
      <c r="D2885">
        <v>183.053</v>
      </c>
    </row>
    <row r="2886" spans="1:4" x14ac:dyDescent="0.25">
      <c r="A2886" t="s">
        <v>8</v>
      </c>
      <c r="B2886" t="s">
        <v>5</v>
      </c>
      <c r="C2886">
        <v>100</v>
      </c>
      <c r="D2886">
        <v>171.03200000000001</v>
      </c>
    </row>
    <row r="2887" spans="1:4" x14ac:dyDescent="0.25">
      <c r="A2887" t="s">
        <v>8</v>
      </c>
      <c r="B2887" t="s">
        <v>5</v>
      </c>
      <c r="C2887">
        <v>100</v>
      </c>
      <c r="D2887">
        <v>177.71299999999999</v>
      </c>
    </row>
    <row r="2888" spans="1:4" x14ac:dyDescent="0.25">
      <c r="A2888" t="s">
        <v>8</v>
      </c>
      <c r="B2888" t="s">
        <v>5</v>
      </c>
      <c r="C2888">
        <v>100</v>
      </c>
      <c r="D2888">
        <v>175.32400000000001</v>
      </c>
    </row>
    <row r="2889" spans="1:4" x14ac:dyDescent="0.25">
      <c r="A2889" t="s">
        <v>8</v>
      </c>
      <c r="B2889" t="s">
        <v>5</v>
      </c>
      <c r="C2889">
        <v>100</v>
      </c>
      <c r="D2889">
        <v>173.56700000000001</v>
      </c>
    </row>
    <row r="2890" spans="1:4" x14ac:dyDescent="0.25">
      <c r="A2890" t="s">
        <v>8</v>
      </c>
      <c r="B2890" t="s">
        <v>5</v>
      </c>
      <c r="C2890">
        <v>100</v>
      </c>
      <c r="D2890">
        <v>185.126</v>
      </c>
    </row>
    <row r="2891" spans="1:4" x14ac:dyDescent="0.25">
      <c r="A2891" t="s">
        <v>8</v>
      </c>
      <c r="B2891" t="s">
        <v>5</v>
      </c>
      <c r="C2891">
        <v>100</v>
      </c>
      <c r="D2891">
        <v>185.078</v>
      </c>
    </row>
    <row r="2892" spans="1:4" x14ac:dyDescent="0.25">
      <c r="A2892" t="s">
        <v>8</v>
      </c>
      <c r="B2892" t="s">
        <v>5</v>
      </c>
      <c r="C2892">
        <v>100</v>
      </c>
      <c r="D2892">
        <v>172.203</v>
      </c>
    </row>
    <row r="2893" spans="1:4" x14ac:dyDescent="0.25">
      <c r="A2893" t="s">
        <v>8</v>
      </c>
      <c r="B2893" t="s">
        <v>5</v>
      </c>
      <c r="C2893">
        <v>100</v>
      </c>
      <c r="D2893">
        <v>174.61500000000001</v>
      </c>
    </row>
    <row r="2894" spans="1:4" x14ac:dyDescent="0.25">
      <c r="A2894" t="s">
        <v>8</v>
      </c>
      <c r="B2894" t="s">
        <v>5</v>
      </c>
      <c r="C2894">
        <v>100</v>
      </c>
      <c r="D2894">
        <v>184.95699999999999</v>
      </c>
    </row>
    <row r="2895" spans="1:4" x14ac:dyDescent="0.25">
      <c r="A2895" t="s">
        <v>8</v>
      </c>
      <c r="B2895" t="s">
        <v>5</v>
      </c>
      <c r="C2895">
        <v>100</v>
      </c>
      <c r="D2895">
        <v>178.54300000000001</v>
      </c>
    </row>
    <row r="2896" spans="1:4" x14ac:dyDescent="0.25">
      <c r="A2896" t="s">
        <v>8</v>
      </c>
      <c r="B2896" t="s">
        <v>5</v>
      </c>
      <c r="C2896">
        <v>100</v>
      </c>
      <c r="D2896">
        <v>178.422</v>
      </c>
    </row>
    <row r="2897" spans="1:4" x14ac:dyDescent="0.25">
      <c r="A2897" t="s">
        <v>8</v>
      </c>
      <c r="B2897" t="s">
        <v>5</v>
      </c>
      <c r="C2897">
        <v>100</v>
      </c>
      <c r="D2897">
        <v>165.203</v>
      </c>
    </row>
    <row r="2898" spans="1:4" x14ac:dyDescent="0.25">
      <c r="A2898" t="s">
        <v>8</v>
      </c>
      <c r="B2898" t="s">
        <v>5</v>
      </c>
      <c r="C2898">
        <v>100</v>
      </c>
      <c r="D2898">
        <v>184.834</v>
      </c>
    </row>
    <row r="2899" spans="1:4" x14ac:dyDescent="0.25">
      <c r="A2899" t="s">
        <v>8</v>
      </c>
      <c r="B2899" t="s">
        <v>5</v>
      </c>
      <c r="C2899">
        <v>100</v>
      </c>
      <c r="D2899">
        <v>176.494</v>
      </c>
    </row>
    <row r="2900" spans="1:4" x14ac:dyDescent="0.25">
      <c r="A2900" t="s">
        <v>8</v>
      </c>
      <c r="B2900" t="s">
        <v>5</v>
      </c>
      <c r="C2900">
        <v>100</v>
      </c>
      <c r="D2900">
        <v>182.762</v>
      </c>
    </row>
    <row r="2901" spans="1:4" x14ac:dyDescent="0.25">
      <c r="A2901" t="s">
        <v>8</v>
      </c>
      <c r="B2901" t="s">
        <v>5</v>
      </c>
      <c r="C2901">
        <v>100</v>
      </c>
      <c r="D2901">
        <v>171.834</v>
      </c>
    </row>
    <row r="2902" spans="1:4" x14ac:dyDescent="0.25">
      <c r="A2902" t="s">
        <v>8</v>
      </c>
      <c r="B2902" t="s">
        <v>5</v>
      </c>
      <c r="C2902">
        <v>120</v>
      </c>
      <c r="D2902">
        <v>199.73500000000001</v>
      </c>
    </row>
    <row r="2903" spans="1:4" x14ac:dyDescent="0.25">
      <c r="A2903" t="s">
        <v>8</v>
      </c>
      <c r="B2903" t="s">
        <v>5</v>
      </c>
      <c r="C2903">
        <v>120</v>
      </c>
      <c r="D2903">
        <v>200.78299999999999</v>
      </c>
    </row>
    <row r="2904" spans="1:4" x14ac:dyDescent="0.25">
      <c r="A2904" t="s">
        <v>8</v>
      </c>
      <c r="B2904" t="s">
        <v>5</v>
      </c>
      <c r="C2904">
        <v>120</v>
      </c>
      <c r="D2904">
        <v>191.346</v>
      </c>
    </row>
    <row r="2905" spans="1:4" x14ac:dyDescent="0.25">
      <c r="A2905" t="s">
        <v>8</v>
      </c>
      <c r="B2905" t="s">
        <v>5</v>
      </c>
      <c r="C2905">
        <v>120</v>
      </c>
      <c r="D2905">
        <v>208.221</v>
      </c>
    </row>
    <row r="2906" spans="1:4" x14ac:dyDescent="0.25">
      <c r="A2906" t="s">
        <v>8</v>
      </c>
      <c r="B2906" t="s">
        <v>5</v>
      </c>
      <c r="C2906">
        <v>120</v>
      </c>
      <c r="D2906">
        <v>219.983</v>
      </c>
    </row>
    <row r="2907" spans="1:4" x14ac:dyDescent="0.25">
      <c r="A2907" t="s">
        <v>8</v>
      </c>
      <c r="B2907" t="s">
        <v>5</v>
      </c>
      <c r="C2907">
        <v>120</v>
      </c>
      <c r="D2907">
        <v>193.49100000000001</v>
      </c>
    </row>
    <row r="2908" spans="1:4" x14ac:dyDescent="0.25">
      <c r="A2908" t="s">
        <v>8</v>
      </c>
      <c r="B2908" t="s">
        <v>5</v>
      </c>
      <c r="C2908">
        <v>120</v>
      </c>
      <c r="D2908">
        <v>195.27199999999999</v>
      </c>
    </row>
    <row r="2909" spans="1:4" x14ac:dyDescent="0.25">
      <c r="A2909" t="s">
        <v>8</v>
      </c>
      <c r="B2909" t="s">
        <v>5</v>
      </c>
      <c r="C2909">
        <v>120</v>
      </c>
      <c r="D2909">
        <v>185.101</v>
      </c>
    </row>
    <row r="2910" spans="1:4" x14ac:dyDescent="0.25">
      <c r="A2910" t="s">
        <v>8</v>
      </c>
      <c r="B2910" t="s">
        <v>5</v>
      </c>
      <c r="C2910">
        <v>120</v>
      </c>
      <c r="D2910">
        <v>216.65899999999999</v>
      </c>
    </row>
    <row r="2911" spans="1:4" x14ac:dyDescent="0.25">
      <c r="A2911" t="s">
        <v>8</v>
      </c>
      <c r="B2911" t="s">
        <v>5</v>
      </c>
      <c r="C2911">
        <v>120</v>
      </c>
      <c r="D2911">
        <v>204.71</v>
      </c>
    </row>
    <row r="2912" spans="1:4" x14ac:dyDescent="0.25">
      <c r="A2912" t="s">
        <v>8</v>
      </c>
      <c r="B2912" t="s">
        <v>5</v>
      </c>
      <c r="C2912">
        <v>120</v>
      </c>
      <c r="D2912">
        <v>214.51300000000001</v>
      </c>
    </row>
    <row r="2913" spans="1:4" x14ac:dyDescent="0.25">
      <c r="A2913" t="s">
        <v>8</v>
      </c>
      <c r="B2913" t="s">
        <v>5</v>
      </c>
      <c r="C2913">
        <v>120</v>
      </c>
      <c r="D2913">
        <v>213.36699999999999</v>
      </c>
    </row>
    <row r="2914" spans="1:4" x14ac:dyDescent="0.25">
      <c r="A2914" t="s">
        <v>8</v>
      </c>
      <c r="B2914" t="s">
        <v>5</v>
      </c>
      <c r="C2914">
        <v>120</v>
      </c>
      <c r="D2914">
        <v>218.732</v>
      </c>
    </row>
    <row r="2915" spans="1:4" x14ac:dyDescent="0.25">
      <c r="A2915" t="s">
        <v>8</v>
      </c>
      <c r="B2915" t="s">
        <v>5</v>
      </c>
      <c r="C2915">
        <v>120</v>
      </c>
      <c r="D2915">
        <v>201.221</v>
      </c>
    </row>
    <row r="2916" spans="1:4" x14ac:dyDescent="0.25">
      <c r="A2916" t="s">
        <v>8</v>
      </c>
      <c r="B2916" t="s">
        <v>5</v>
      </c>
      <c r="C2916">
        <v>120</v>
      </c>
      <c r="D2916">
        <v>208.41499999999999</v>
      </c>
    </row>
    <row r="2917" spans="1:4" x14ac:dyDescent="0.25">
      <c r="A2917" t="s">
        <v>8</v>
      </c>
      <c r="B2917" t="s">
        <v>5</v>
      </c>
      <c r="C2917">
        <v>120</v>
      </c>
      <c r="D2917">
        <v>194.22399999999999</v>
      </c>
    </row>
    <row r="2918" spans="1:4" x14ac:dyDescent="0.25">
      <c r="A2918" t="s">
        <v>8</v>
      </c>
      <c r="B2918" t="s">
        <v>5</v>
      </c>
      <c r="C2918">
        <v>120</v>
      </c>
      <c r="D2918">
        <v>181.90700000000001</v>
      </c>
    </row>
    <row r="2919" spans="1:4" x14ac:dyDescent="0.25">
      <c r="A2919" t="s">
        <v>8</v>
      </c>
      <c r="B2919" t="s">
        <v>5</v>
      </c>
      <c r="C2919">
        <v>120</v>
      </c>
      <c r="D2919">
        <v>206.929</v>
      </c>
    </row>
    <row r="2920" spans="1:4" x14ac:dyDescent="0.25">
      <c r="A2920" t="s">
        <v>8</v>
      </c>
      <c r="B2920" t="s">
        <v>5</v>
      </c>
      <c r="C2920">
        <v>120</v>
      </c>
      <c r="D2920">
        <v>190.51599999999999</v>
      </c>
    </row>
    <row r="2921" spans="1:4" x14ac:dyDescent="0.25">
      <c r="A2921" t="s">
        <v>8</v>
      </c>
      <c r="B2921" t="s">
        <v>5</v>
      </c>
      <c r="C2921">
        <v>120</v>
      </c>
      <c r="D2921">
        <v>231.59100000000001</v>
      </c>
    </row>
    <row r="2922" spans="1:4" x14ac:dyDescent="0.25">
      <c r="A2922" t="s">
        <v>8</v>
      </c>
      <c r="B2922" t="s">
        <v>5</v>
      </c>
      <c r="C2922">
        <v>120</v>
      </c>
      <c r="D2922">
        <v>205.00200000000001</v>
      </c>
    </row>
    <row r="2923" spans="1:4" x14ac:dyDescent="0.25">
      <c r="A2923" t="s">
        <v>8</v>
      </c>
      <c r="B2923" t="s">
        <v>5</v>
      </c>
      <c r="C2923">
        <v>120</v>
      </c>
      <c r="D2923">
        <v>215.78</v>
      </c>
    </row>
    <row r="2924" spans="1:4" x14ac:dyDescent="0.25">
      <c r="A2924" t="s">
        <v>8</v>
      </c>
      <c r="B2924" t="s">
        <v>5</v>
      </c>
      <c r="C2924">
        <v>120</v>
      </c>
      <c r="D2924">
        <v>191.71</v>
      </c>
    </row>
    <row r="2925" spans="1:4" x14ac:dyDescent="0.25">
      <c r="A2925" t="s">
        <v>8</v>
      </c>
      <c r="B2925" t="s">
        <v>5</v>
      </c>
      <c r="C2925">
        <v>120</v>
      </c>
      <c r="D2925">
        <v>204.87799999999999</v>
      </c>
    </row>
    <row r="2926" spans="1:4" x14ac:dyDescent="0.25">
      <c r="A2926" t="s">
        <v>8</v>
      </c>
      <c r="B2926" t="s">
        <v>5</v>
      </c>
      <c r="C2926">
        <v>120</v>
      </c>
      <c r="D2926">
        <v>201.26900000000001</v>
      </c>
    </row>
    <row r="2927" spans="1:4" x14ac:dyDescent="0.25">
      <c r="A2927" t="s">
        <v>8</v>
      </c>
      <c r="B2927" t="s">
        <v>5</v>
      </c>
      <c r="C2927">
        <v>120</v>
      </c>
      <c r="D2927">
        <v>193.27199999999999</v>
      </c>
    </row>
    <row r="2928" spans="1:4" x14ac:dyDescent="0.25">
      <c r="A2928" t="s">
        <v>8</v>
      </c>
      <c r="B2928" t="s">
        <v>5</v>
      </c>
      <c r="C2928">
        <v>120</v>
      </c>
      <c r="D2928">
        <v>217.86099999999999</v>
      </c>
    </row>
    <row r="2929" spans="1:4" x14ac:dyDescent="0.25">
      <c r="A2929" t="s">
        <v>8</v>
      </c>
      <c r="B2929" t="s">
        <v>5</v>
      </c>
      <c r="C2929">
        <v>120</v>
      </c>
      <c r="D2929">
        <v>194.2</v>
      </c>
    </row>
    <row r="2930" spans="1:4" x14ac:dyDescent="0.25">
      <c r="A2930" t="s">
        <v>8</v>
      </c>
      <c r="B2930" t="s">
        <v>5</v>
      </c>
      <c r="C2930">
        <v>120</v>
      </c>
      <c r="D2930">
        <v>182.90700000000001</v>
      </c>
    </row>
    <row r="2931" spans="1:4" x14ac:dyDescent="0.25">
      <c r="A2931" t="s">
        <v>8</v>
      </c>
      <c r="B2931" t="s">
        <v>5</v>
      </c>
      <c r="C2931">
        <v>120</v>
      </c>
      <c r="D2931">
        <v>228.64699999999999</v>
      </c>
    </row>
    <row r="2932" spans="1:4" x14ac:dyDescent="0.25">
      <c r="A2932" t="s">
        <v>8</v>
      </c>
      <c r="B2932" t="s">
        <v>5</v>
      </c>
      <c r="C2932">
        <v>120</v>
      </c>
      <c r="D2932">
        <v>224.274</v>
      </c>
    </row>
    <row r="2933" spans="1:4" x14ac:dyDescent="0.25">
      <c r="A2933" t="s">
        <v>8</v>
      </c>
      <c r="B2933" t="s">
        <v>5</v>
      </c>
      <c r="C2933">
        <v>120</v>
      </c>
      <c r="D2933">
        <v>194.78299999999999</v>
      </c>
    </row>
    <row r="2934" spans="1:4" x14ac:dyDescent="0.25">
      <c r="A2934" t="s">
        <v>8</v>
      </c>
      <c r="B2934" t="s">
        <v>5</v>
      </c>
      <c r="C2934">
        <v>120</v>
      </c>
      <c r="D2934">
        <v>227.21799999999999</v>
      </c>
    </row>
    <row r="2935" spans="1:4" x14ac:dyDescent="0.25">
      <c r="A2935" t="s">
        <v>8</v>
      </c>
      <c r="B2935" t="s">
        <v>5</v>
      </c>
      <c r="C2935">
        <v>120</v>
      </c>
      <c r="D2935">
        <v>195.80799999999999</v>
      </c>
    </row>
    <row r="2936" spans="1:4" x14ac:dyDescent="0.25">
      <c r="A2936" t="s">
        <v>8</v>
      </c>
      <c r="B2936" t="s">
        <v>5</v>
      </c>
      <c r="C2936">
        <v>120</v>
      </c>
      <c r="D2936">
        <v>214.58600000000001</v>
      </c>
    </row>
    <row r="2937" spans="1:4" x14ac:dyDescent="0.25">
      <c r="A2937" t="s">
        <v>8</v>
      </c>
      <c r="B2937" t="s">
        <v>5</v>
      </c>
      <c r="C2937">
        <v>120</v>
      </c>
      <c r="D2937">
        <v>209.857</v>
      </c>
    </row>
    <row r="2938" spans="1:4" x14ac:dyDescent="0.25">
      <c r="A2938" t="s">
        <v>8</v>
      </c>
      <c r="B2938" t="s">
        <v>5</v>
      </c>
      <c r="C2938">
        <v>120</v>
      </c>
      <c r="D2938">
        <v>197.12700000000001</v>
      </c>
    </row>
    <row r="2939" spans="1:4" x14ac:dyDescent="0.25">
      <c r="A2939" t="s">
        <v>8</v>
      </c>
      <c r="B2939" t="s">
        <v>5</v>
      </c>
      <c r="C2939">
        <v>120</v>
      </c>
      <c r="D2939">
        <v>218.29900000000001</v>
      </c>
    </row>
    <row r="2940" spans="1:4" x14ac:dyDescent="0.25">
      <c r="A2940" t="s">
        <v>8</v>
      </c>
      <c r="B2940" t="s">
        <v>5</v>
      </c>
      <c r="C2940">
        <v>120</v>
      </c>
      <c r="D2940">
        <v>192.71</v>
      </c>
    </row>
    <row r="2941" spans="1:4" x14ac:dyDescent="0.25">
      <c r="A2941" t="s">
        <v>8</v>
      </c>
      <c r="B2941" t="s">
        <v>5</v>
      </c>
      <c r="C2941">
        <v>120</v>
      </c>
      <c r="D2941">
        <v>215.46100000000001</v>
      </c>
    </row>
    <row r="2942" spans="1:4" x14ac:dyDescent="0.25">
      <c r="A2942" t="s">
        <v>8</v>
      </c>
      <c r="B2942" t="s">
        <v>5</v>
      </c>
      <c r="C2942">
        <v>120</v>
      </c>
      <c r="D2942">
        <v>188.71</v>
      </c>
    </row>
    <row r="2943" spans="1:4" x14ac:dyDescent="0.25">
      <c r="A2943" t="s">
        <v>8</v>
      </c>
      <c r="B2943" t="s">
        <v>5</v>
      </c>
      <c r="C2943">
        <v>120</v>
      </c>
      <c r="D2943">
        <v>208.131</v>
      </c>
    </row>
    <row r="2944" spans="1:4" x14ac:dyDescent="0.25">
      <c r="A2944" t="s">
        <v>8</v>
      </c>
      <c r="B2944" t="s">
        <v>5</v>
      </c>
      <c r="C2944">
        <v>120</v>
      </c>
      <c r="D2944">
        <v>206.36699999999999</v>
      </c>
    </row>
    <row r="2945" spans="1:4" x14ac:dyDescent="0.25">
      <c r="A2945" t="s">
        <v>8</v>
      </c>
      <c r="B2945" t="s">
        <v>5</v>
      </c>
      <c r="C2945">
        <v>120</v>
      </c>
      <c r="D2945">
        <v>208.148</v>
      </c>
    </row>
    <row r="2946" spans="1:4" x14ac:dyDescent="0.25">
      <c r="A2946" t="s">
        <v>8</v>
      </c>
      <c r="B2946" t="s">
        <v>5</v>
      </c>
      <c r="C2946">
        <v>120</v>
      </c>
      <c r="D2946">
        <v>206.00200000000001</v>
      </c>
    </row>
    <row r="2947" spans="1:4" x14ac:dyDescent="0.25">
      <c r="A2947" t="s">
        <v>8</v>
      </c>
      <c r="B2947" t="s">
        <v>5</v>
      </c>
      <c r="C2947">
        <v>120</v>
      </c>
      <c r="D2947">
        <v>187.393</v>
      </c>
    </row>
    <row r="2948" spans="1:4" x14ac:dyDescent="0.25">
      <c r="A2948" t="s">
        <v>8</v>
      </c>
      <c r="B2948" t="s">
        <v>5</v>
      </c>
      <c r="C2948">
        <v>120</v>
      </c>
      <c r="D2948">
        <v>205.36699999999999</v>
      </c>
    </row>
    <row r="2949" spans="1:4" x14ac:dyDescent="0.25">
      <c r="A2949" t="s">
        <v>8</v>
      </c>
      <c r="B2949" t="s">
        <v>5</v>
      </c>
      <c r="C2949">
        <v>120</v>
      </c>
      <c r="D2949">
        <v>199.27199999999999</v>
      </c>
    </row>
    <row r="2950" spans="1:4" x14ac:dyDescent="0.25">
      <c r="A2950" t="s">
        <v>8</v>
      </c>
      <c r="B2950" t="s">
        <v>5</v>
      </c>
      <c r="C2950">
        <v>120</v>
      </c>
      <c r="D2950">
        <v>213.58600000000001</v>
      </c>
    </row>
    <row r="2951" spans="1:4" x14ac:dyDescent="0.25">
      <c r="A2951" t="s">
        <v>8</v>
      </c>
      <c r="B2951" t="s">
        <v>5</v>
      </c>
      <c r="C2951">
        <v>120</v>
      </c>
      <c r="D2951">
        <v>212.934</v>
      </c>
    </row>
    <row r="2952" spans="1:4" x14ac:dyDescent="0.25">
      <c r="A2952" t="s">
        <v>8</v>
      </c>
      <c r="B2952" t="s">
        <v>5</v>
      </c>
      <c r="C2952">
        <v>120</v>
      </c>
      <c r="D2952">
        <v>226.37200000000001</v>
      </c>
    </row>
    <row r="2953" spans="1:4" x14ac:dyDescent="0.25">
      <c r="A2953" t="s">
        <v>8</v>
      </c>
      <c r="B2953" t="s">
        <v>5</v>
      </c>
      <c r="C2953">
        <v>120</v>
      </c>
      <c r="D2953">
        <v>202.78299999999999</v>
      </c>
    </row>
    <row r="2954" spans="1:4" x14ac:dyDescent="0.25">
      <c r="A2954" t="s">
        <v>8</v>
      </c>
      <c r="B2954" t="s">
        <v>5</v>
      </c>
      <c r="C2954">
        <v>120</v>
      </c>
      <c r="D2954">
        <v>211.642</v>
      </c>
    </row>
    <row r="2955" spans="1:4" x14ac:dyDescent="0.25">
      <c r="A2955" t="s">
        <v>8</v>
      </c>
      <c r="B2955" t="s">
        <v>5</v>
      </c>
      <c r="C2955">
        <v>120</v>
      </c>
      <c r="D2955">
        <v>216.934</v>
      </c>
    </row>
    <row r="2956" spans="1:4" x14ac:dyDescent="0.25">
      <c r="A2956" t="s">
        <v>8</v>
      </c>
      <c r="B2956" t="s">
        <v>5</v>
      </c>
      <c r="C2956">
        <v>120</v>
      </c>
      <c r="D2956">
        <v>213.58600000000001</v>
      </c>
    </row>
    <row r="2957" spans="1:4" x14ac:dyDescent="0.25">
      <c r="A2957" t="s">
        <v>8</v>
      </c>
      <c r="B2957" t="s">
        <v>5</v>
      </c>
      <c r="C2957">
        <v>120</v>
      </c>
      <c r="D2957">
        <v>201.51300000000001</v>
      </c>
    </row>
    <row r="2958" spans="1:4" x14ac:dyDescent="0.25">
      <c r="A2958" t="s">
        <v>8</v>
      </c>
      <c r="B2958" t="s">
        <v>5</v>
      </c>
      <c r="C2958">
        <v>120</v>
      </c>
      <c r="D2958">
        <v>218.90899999999999</v>
      </c>
    </row>
    <row r="2959" spans="1:4" x14ac:dyDescent="0.25">
      <c r="A2959" t="s">
        <v>8</v>
      </c>
      <c r="B2959" t="s">
        <v>5</v>
      </c>
      <c r="C2959">
        <v>120</v>
      </c>
      <c r="D2959">
        <v>209.87799999999999</v>
      </c>
    </row>
    <row r="2960" spans="1:4" x14ac:dyDescent="0.25">
      <c r="A2960" t="s">
        <v>8</v>
      </c>
      <c r="B2960" t="s">
        <v>5</v>
      </c>
      <c r="C2960">
        <v>120</v>
      </c>
      <c r="D2960">
        <v>201.26900000000001</v>
      </c>
    </row>
    <row r="2961" spans="1:4" x14ac:dyDescent="0.25">
      <c r="A2961" t="s">
        <v>8</v>
      </c>
      <c r="B2961" t="s">
        <v>5</v>
      </c>
      <c r="C2961">
        <v>120</v>
      </c>
      <c r="D2961">
        <v>208.56899999999999</v>
      </c>
    </row>
    <row r="2962" spans="1:4" x14ac:dyDescent="0.25">
      <c r="A2962" t="s">
        <v>8</v>
      </c>
      <c r="B2962" t="s">
        <v>5</v>
      </c>
      <c r="C2962">
        <v>120</v>
      </c>
      <c r="D2962">
        <v>194.41800000000001</v>
      </c>
    </row>
    <row r="2963" spans="1:4" x14ac:dyDescent="0.25">
      <c r="A2963" t="s">
        <v>8</v>
      </c>
      <c r="B2963" t="s">
        <v>5</v>
      </c>
      <c r="C2963">
        <v>120</v>
      </c>
      <c r="D2963">
        <v>186.88399999999999</v>
      </c>
    </row>
    <row r="2964" spans="1:4" x14ac:dyDescent="0.25">
      <c r="A2964" t="s">
        <v>8</v>
      </c>
      <c r="B2964" t="s">
        <v>5</v>
      </c>
      <c r="C2964">
        <v>120</v>
      </c>
      <c r="D2964">
        <v>227.535</v>
      </c>
    </row>
    <row r="2965" spans="1:4" x14ac:dyDescent="0.25">
      <c r="A2965" t="s">
        <v>8</v>
      </c>
      <c r="B2965" t="s">
        <v>5</v>
      </c>
      <c r="C2965">
        <v>120</v>
      </c>
      <c r="D2965">
        <v>187.297</v>
      </c>
    </row>
    <row r="2966" spans="1:4" x14ac:dyDescent="0.25">
      <c r="A2966" t="s">
        <v>8</v>
      </c>
      <c r="B2966" t="s">
        <v>5</v>
      </c>
      <c r="C2966">
        <v>120</v>
      </c>
      <c r="D2966">
        <v>188.19900000000001</v>
      </c>
    </row>
    <row r="2967" spans="1:4" x14ac:dyDescent="0.25">
      <c r="A2967" t="s">
        <v>8</v>
      </c>
      <c r="B2967" t="s">
        <v>5</v>
      </c>
      <c r="C2967">
        <v>120</v>
      </c>
      <c r="D2967">
        <v>200.572</v>
      </c>
    </row>
    <row r="2968" spans="1:4" x14ac:dyDescent="0.25">
      <c r="A2968" t="s">
        <v>8</v>
      </c>
      <c r="B2968" t="s">
        <v>5</v>
      </c>
      <c r="C2968">
        <v>120</v>
      </c>
      <c r="D2968">
        <v>210.221</v>
      </c>
    </row>
    <row r="2969" spans="1:4" x14ac:dyDescent="0.25">
      <c r="A2969" t="s">
        <v>8</v>
      </c>
      <c r="B2969" t="s">
        <v>5</v>
      </c>
      <c r="C2969">
        <v>120</v>
      </c>
      <c r="D2969">
        <v>220.982</v>
      </c>
    </row>
    <row r="2970" spans="1:4" x14ac:dyDescent="0.25">
      <c r="A2970" t="s">
        <v>8</v>
      </c>
      <c r="B2970" t="s">
        <v>5</v>
      </c>
      <c r="C2970">
        <v>120</v>
      </c>
      <c r="D2970">
        <v>189.126</v>
      </c>
    </row>
    <row r="2971" spans="1:4" x14ac:dyDescent="0.25">
      <c r="A2971" t="s">
        <v>8</v>
      </c>
      <c r="B2971" t="s">
        <v>5</v>
      </c>
      <c r="C2971">
        <v>120</v>
      </c>
      <c r="D2971">
        <v>203.148</v>
      </c>
    </row>
    <row r="2972" spans="1:4" x14ac:dyDescent="0.25">
      <c r="A2972" t="s">
        <v>8</v>
      </c>
      <c r="B2972" t="s">
        <v>5</v>
      </c>
      <c r="C2972">
        <v>120</v>
      </c>
      <c r="D2972">
        <v>213.715</v>
      </c>
    </row>
    <row r="2973" spans="1:4" x14ac:dyDescent="0.25">
      <c r="A2973" t="s">
        <v>8</v>
      </c>
      <c r="B2973" t="s">
        <v>5</v>
      </c>
      <c r="C2973">
        <v>120</v>
      </c>
      <c r="D2973">
        <v>214.51300000000001</v>
      </c>
    </row>
    <row r="2974" spans="1:4" x14ac:dyDescent="0.25">
      <c r="A2974" t="s">
        <v>8</v>
      </c>
      <c r="B2974" t="s">
        <v>5</v>
      </c>
      <c r="C2974">
        <v>120</v>
      </c>
      <c r="D2974">
        <v>201.488</v>
      </c>
    </row>
    <row r="2975" spans="1:4" x14ac:dyDescent="0.25">
      <c r="A2975" t="s">
        <v>8</v>
      </c>
      <c r="B2975" t="s">
        <v>5</v>
      </c>
      <c r="C2975">
        <v>120</v>
      </c>
      <c r="D2975">
        <v>208.65899999999999</v>
      </c>
    </row>
    <row r="2976" spans="1:4" x14ac:dyDescent="0.25">
      <c r="A2976" t="s">
        <v>8</v>
      </c>
      <c r="B2976" t="s">
        <v>5</v>
      </c>
      <c r="C2976">
        <v>120</v>
      </c>
      <c r="D2976">
        <v>203.929</v>
      </c>
    </row>
    <row r="2977" spans="1:4" x14ac:dyDescent="0.25">
      <c r="A2977" t="s">
        <v>8</v>
      </c>
      <c r="B2977" t="s">
        <v>5</v>
      </c>
      <c r="C2977">
        <v>120</v>
      </c>
      <c r="D2977">
        <v>225.518</v>
      </c>
    </row>
    <row r="2978" spans="1:4" x14ac:dyDescent="0.25">
      <c r="A2978" t="s">
        <v>8</v>
      </c>
      <c r="B2978" t="s">
        <v>5</v>
      </c>
      <c r="C2978">
        <v>120</v>
      </c>
      <c r="D2978">
        <v>207.36699999999999</v>
      </c>
    </row>
    <row r="2979" spans="1:4" x14ac:dyDescent="0.25">
      <c r="A2979" t="s">
        <v>8</v>
      </c>
      <c r="B2979" t="s">
        <v>5</v>
      </c>
      <c r="C2979">
        <v>120</v>
      </c>
      <c r="D2979">
        <v>204.00200000000001</v>
      </c>
    </row>
    <row r="2980" spans="1:4" x14ac:dyDescent="0.25">
      <c r="A2980" t="s">
        <v>8</v>
      </c>
      <c r="B2980" t="s">
        <v>5</v>
      </c>
      <c r="C2980">
        <v>120</v>
      </c>
      <c r="D2980">
        <v>194.66200000000001</v>
      </c>
    </row>
    <row r="2981" spans="1:4" x14ac:dyDescent="0.25">
      <c r="A2981" t="s">
        <v>8</v>
      </c>
      <c r="B2981" t="s">
        <v>5</v>
      </c>
      <c r="C2981">
        <v>120</v>
      </c>
      <c r="D2981">
        <v>213.05</v>
      </c>
    </row>
    <row r="2982" spans="1:4" x14ac:dyDescent="0.25">
      <c r="A2982" t="s">
        <v>8</v>
      </c>
      <c r="B2982" t="s">
        <v>5</v>
      </c>
      <c r="C2982">
        <v>120</v>
      </c>
      <c r="D2982">
        <v>194.27199999999999</v>
      </c>
    </row>
    <row r="2983" spans="1:4" x14ac:dyDescent="0.25">
      <c r="A2983" t="s">
        <v>8</v>
      </c>
      <c r="B2983" t="s">
        <v>5</v>
      </c>
      <c r="C2983">
        <v>120</v>
      </c>
      <c r="D2983">
        <v>187.053</v>
      </c>
    </row>
    <row r="2984" spans="1:4" x14ac:dyDescent="0.25">
      <c r="A2984" t="s">
        <v>8</v>
      </c>
      <c r="B2984" t="s">
        <v>5</v>
      </c>
      <c r="C2984">
        <v>120</v>
      </c>
      <c r="D2984">
        <v>210.29400000000001</v>
      </c>
    </row>
    <row r="2985" spans="1:4" x14ac:dyDescent="0.25">
      <c r="A2985" t="s">
        <v>8</v>
      </c>
      <c r="B2985" t="s">
        <v>5</v>
      </c>
      <c r="C2985">
        <v>120</v>
      </c>
      <c r="D2985">
        <v>216.642</v>
      </c>
    </row>
    <row r="2986" spans="1:4" x14ac:dyDescent="0.25">
      <c r="A2986" t="s">
        <v>8</v>
      </c>
      <c r="B2986" t="s">
        <v>5</v>
      </c>
      <c r="C2986">
        <v>120</v>
      </c>
      <c r="D2986">
        <v>217.51300000000001</v>
      </c>
    </row>
    <row r="2987" spans="1:4" x14ac:dyDescent="0.25">
      <c r="A2987" t="s">
        <v>8</v>
      </c>
      <c r="B2987" t="s">
        <v>5</v>
      </c>
      <c r="C2987">
        <v>120</v>
      </c>
      <c r="D2987">
        <v>204.732</v>
      </c>
    </row>
    <row r="2988" spans="1:4" x14ac:dyDescent="0.25">
      <c r="A2988" t="s">
        <v>8</v>
      </c>
      <c r="B2988" t="s">
        <v>5</v>
      </c>
      <c r="C2988">
        <v>120</v>
      </c>
      <c r="D2988">
        <v>208.34200000000001</v>
      </c>
    </row>
    <row r="2989" spans="1:4" x14ac:dyDescent="0.25">
      <c r="A2989" t="s">
        <v>8</v>
      </c>
      <c r="B2989" t="s">
        <v>5</v>
      </c>
      <c r="C2989">
        <v>120</v>
      </c>
      <c r="D2989">
        <v>211.65899999999999</v>
      </c>
    </row>
    <row r="2990" spans="1:4" x14ac:dyDescent="0.25">
      <c r="A2990" t="s">
        <v>8</v>
      </c>
      <c r="B2990" t="s">
        <v>5</v>
      </c>
      <c r="C2990">
        <v>120</v>
      </c>
      <c r="D2990">
        <v>209.49600000000001</v>
      </c>
    </row>
    <row r="2991" spans="1:4" x14ac:dyDescent="0.25">
      <c r="A2991" t="s">
        <v>8</v>
      </c>
      <c r="B2991" t="s">
        <v>5</v>
      </c>
      <c r="C2991">
        <v>120</v>
      </c>
      <c r="D2991">
        <v>202.345</v>
      </c>
    </row>
    <row r="2992" spans="1:4" x14ac:dyDescent="0.25">
      <c r="A2992" t="s">
        <v>8</v>
      </c>
      <c r="B2992" t="s">
        <v>5</v>
      </c>
      <c r="C2992">
        <v>120</v>
      </c>
      <c r="D2992">
        <v>197.637</v>
      </c>
    </row>
    <row r="2993" spans="1:4" x14ac:dyDescent="0.25">
      <c r="A2993" t="s">
        <v>8</v>
      </c>
      <c r="B2993" t="s">
        <v>5</v>
      </c>
      <c r="C2993">
        <v>120</v>
      </c>
      <c r="D2993">
        <v>215.80500000000001</v>
      </c>
    </row>
    <row r="2994" spans="1:4" x14ac:dyDescent="0.25">
      <c r="A2994" t="s">
        <v>8</v>
      </c>
      <c r="B2994" t="s">
        <v>5</v>
      </c>
      <c r="C2994">
        <v>120</v>
      </c>
      <c r="D2994">
        <v>224.09700000000001</v>
      </c>
    </row>
    <row r="2995" spans="1:4" x14ac:dyDescent="0.25">
      <c r="A2995" t="s">
        <v>8</v>
      </c>
      <c r="B2995" t="s">
        <v>5</v>
      </c>
      <c r="C2995">
        <v>120</v>
      </c>
      <c r="D2995">
        <v>222.14500000000001</v>
      </c>
    </row>
    <row r="2996" spans="1:4" x14ac:dyDescent="0.25">
      <c r="A2996" t="s">
        <v>8</v>
      </c>
      <c r="B2996" t="s">
        <v>5</v>
      </c>
      <c r="C2996">
        <v>120</v>
      </c>
      <c r="D2996">
        <v>212.148</v>
      </c>
    </row>
    <row r="2997" spans="1:4" x14ac:dyDescent="0.25">
      <c r="A2997" t="s">
        <v>8</v>
      </c>
      <c r="B2997" t="s">
        <v>5</v>
      </c>
      <c r="C2997">
        <v>120</v>
      </c>
      <c r="D2997">
        <v>208.07499999999999</v>
      </c>
    </row>
    <row r="2998" spans="1:4" x14ac:dyDescent="0.25">
      <c r="A2998" t="s">
        <v>8</v>
      </c>
      <c r="B2998" t="s">
        <v>5</v>
      </c>
      <c r="C2998">
        <v>120</v>
      </c>
      <c r="D2998">
        <v>212.36699999999999</v>
      </c>
    </row>
    <row r="2999" spans="1:4" x14ac:dyDescent="0.25">
      <c r="A2999" t="s">
        <v>8</v>
      </c>
      <c r="B2999" t="s">
        <v>5</v>
      </c>
      <c r="C2999">
        <v>120</v>
      </c>
      <c r="D2999">
        <v>213.131</v>
      </c>
    </row>
    <row r="3000" spans="1:4" x14ac:dyDescent="0.25">
      <c r="A3000" t="s">
        <v>8</v>
      </c>
      <c r="B3000" t="s">
        <v>5</v>
      </c>
      <c r="C3000">
        <v>120</v>
      </c>
      <c r="D3000">
        <v>201.51300000000001</v>
      </c>
    </row>
    <row r="3001" spans="1:4" x14ac:dyDescent="0.25">
      <c r="A3001" t="s">
        <v>8</v>
      </c>
      <c r="B3001" t="s">
        <v>5</v>
      </c>
      <c r="C3001">
        <v>120</v>
      </c>
      <c r="D3001">
        <v>231.827</v>
      </c>
    </row>
    <row r="3002" spans="1:4" x14ac:dyDescent="0.25">
      <c r="A3002" t="s">
        <v>8</v>
      </c>
      <c r="B3002" t="s">
        <v>7</v>
      </c>
      <c r="C3002">
        <v>20</v>
      </c>
      <c r="D3002">
        <v>966.82799999999997</v>
      </c>
    </row>
    <row r="3003" spans="1:4" x14ac:dyDescent="0.25">
      <c r="A3003" t="s">
        <v>8</v>
      </c>
      <c r="B3003" t="s">
        <v>7</v>
      </c>
      <c r="C3003">
        <v>20</v>
      </c>
      <c r="D3003">
        <v>969.82799999999997</v>
      </c>
    </row>
    <row r="3004" spans="1:4" x14ac:dyDescent="0.25">
      <c r="A3004" t="s">
        <v>8</v>
      </c>
      <c r="B3004" t="s">
        <v>7</v>
      </c>
      <c r="C3004">
        <v>20</v>
      </c>
      <c r="D3004">
        <v>967.82799999999997</v>
      </c>
    </row>
    <row r="3005" spans="1:4" x14ac:dyDescent="0.25">
      <c r="A3005" t="s">
        <v>8</v>
      </c>
      <c r="B3005" t="s">
        <v>7</v>
      </c>
      <c r="C3005">
        <v>20</v>
      </c>
      <c r="D3005">
        <v>969.82799999999997</v>
      </c>
    </row>
    <row r="3006" spans="1:4" x14ac:dyDescent="0.25">
      <c r="A3006" t="s">
        <v>8</v>
      </c>
      <c r="B3006" t="s">
        <v>7</v>
      </c>
      <c r="C3006">
        <v>20</v>
      </c>
      <c r="D3006">
        <v>966.82799999999997</v>
      </c>
    </row>
    <row r="3007" spans="1:4" x14ac:dyDescent="0.25">
      <c r="A3007" t="s">
        <v>8</v>
      </c>
      <c r="B3007" t="s">
        <v>7</v>
      </c>
      <c r="C3007">
        <v>20</v>
      </c>
      <c r="D3007">
        <v>973.82799999999997</v>
      </c>
    </row>
    <row r="3008" spans="1:4" x14ac:dyDescent="0.25">
      <c r="A3008" t="s">
        <v>8</v>
      </c>
      <c r="B3008" t="s">
        <v>7</v>
      </c>
      <c r="C3008">
        <v>20</v>
      </c>
      <c r="D3008">
        <v>971.82799999999997</v>
      </c>
    </row>
    <row r="3009" spans="1:4" x14ac:dyDescent="0.25">
      <c r="A3009" t="s">
        <v>8</v>
      </c>
      <c r="B3009" t="s">
        <v>7</v>
      </c>
      <c r="C3009">
        <v>20</v>
      </c>
      <c r="D3009">
        <v>966.82799999999997</v>
      </c>
    </row>
    <row r="3010" spans="1:4" x14ac:dyDescent="0.25">
      <c r="A3010" t="s">
        <v>8</v>
      </c>
      <c r="B3010" t="s">
        <v>7</v>
      </c>
      <c r="C3010">
        <v>20</v>
      </c>
      <c r="D3010">
        <v>970.82799999999997</v>
      </c>
    </row>
    <row r="3011" spans="1:4" x14ac:dyDescent="0.25">
      <c r="A3011" t="s">
        <v>8</v>
      </c>
      <c r="B3011" t="s">
        <v>7</v>
      </c>
      <c r="C3011">
        <v>20</v>
      </c>
      <c r="D3011">
        <v>969.82799999999997</v>
      </c>
    </row>
    <row r="3012" spans="1:4" x14ac:dyDescent="0.25">
      <c r="A3012" t="s">
        <v>8</v>
      </c>
      <c r="B3012" t="s">
        <v>7</v>
      </c>
      <c r="C3012">
        <v>20</v>
      </c>
      <c r="D3012">
        <v>966.82799999999997</v>
      </c>
    </row>
    <row r="3013" spans="1:4" x14ac:dyDescent="0.25">
      <c r="A3013" t="s">
        <v>8</v>
      </c>
      <c r="B3013" t="s">
        <v>7</v>
      </c>
      <c r="C3013">
        <v>20</v>
      </c>
      <c r="D3013">
        <v>969.82799999999997</v>
      </c>
    </row>
    <row r="3014" spans="1:4" x14ac:dyDescent="0.25">
      <c r="A3014" t="s">
        <v>8</v>
      </c>
      <c r="B3014" t="s">
        <v>7</v>
      </c>
      <c r="C3014">
        <v>20</v>
      </c>
      <c r="D3014">
        <v>971.82799999999997</v>
      </c>
    </row>
    <row r="3015" spans="1:4" x14ac:dyDescent="0.25">
      <c r="A3015" t="s">
        <v>8</v>
      </c>
      <c r="B3015" t="s">
        <v>7</v>
      </c>
      <c r="C3015">
        <v>20</v>
      </c>
      <c r="D3015">
        <v>963.82799999999997</v>
      </c>
    </row>
    <row r="3016" spans="1:4" x14ac:dyDescent="0.25">
      <c r="A3016" t="s">
        <v>8</v>
      </c>
      <c r="B3016" t="s">
        <v>7</v>
      </c>
      <c r="C3016">
        <v>20</v>
      </c>
      <c r="D3016">
        <v>965.82799999999997</v>
      </c>
    </row>
    <row r="3017" spans="1:4" x14ac:dyDescent="0.25">
      <c r="A3017" t="s">
        <v>8</v>
      </c>
      <c r="B3017" t="s">
        <v>7</v>
      </c>
      <c r="C3017">
        <v>20</v>
      </c>
      <c r="D3017">
        <v>969.82799999999997</v>
      </c>
    </row>
    <row r="3018" spans="1:4" x14ac:dyDescent="0.25">
      <c r="A3018" t="s">
        <v>8</v>
      </c>
      <c r="B3018" t="s">
        <v>7</v>
      </c>
      <c r="C3018">
        <v>20</v>
      </c>
      <c r="D3018">
        <v>970.82799999999997</v>
      </c>
    </row>
    <row r="3019" spans="1:4" x14ac:dyDescent="0.25">
      <c r="A3019" t="s">
        <v>8</v>
      </c>
      <c r="B3019" t="s">
        <v>7</v>
      </c>
      <c r="C3019">
        <v>20</v>
      </c>
      <c r="D3019">
        <v>965.82799999999997</v>
      </c>
    </row>
    <row r="3020" spans="1:4" x14ac:dyDescent="0.25">
      <c r="A3020" t="s">
        <v>8</v>
      </c>
      <c r="B3020" t="s">
        <v>7</v>
      </c>
      <c r="C3020">
        <v>20</v>
      </c>
      <c r="D3020">
        <v>970.82799999999997</v>
      </c>
    </row>
    <row r="3021" spans="1:4" x14ac:dyDescent="0.25">
      <c r="A3021" t="s">
        <v>8</v>
      </c>
      <c r="B3021" t="s">
        <v>7</v>
      </c>
      <c r="C3021">
        <v>20</v>
      </c>
      <c r="D3021">
        <v>967.82799999999997</v>
      </c>
    </row>
    <row r="3022" spans="1:4" x14ac:dyDescent="0.25">
      <c r="A3022" t="s">
        <v>8</v>
      </c>
      <c r="B3022" t="s">
        <v>7</v>
      </c>
      <c r="C3022">
        <v>20</v>
      </c>
      <c r="D3022">
        <v>965.82799999999997</v>
      </c>
    </row>
    <row r="3023" spans="1:4" x14ac:dyDescent="0.25">
      <c r="A3023" t="s">
        <v>8</v>
      </c>
      <c r="B3023" t="s">
        <v>7</v>
      </c>
      <c r="C3023">
        <v>20</v>
      </c>
      <c r="D3023">
        <v>966.82799999999997</v>
      </c>
    </row>
    <row r="3024" spans="1:4" x14ac:dyDescent="0.25">
      <c r="A3024" t="s">
        <v>8</v>
      </c>
      <c r="B3024" t="s">
        <v>7</v>
      </c>
      <c r="C3024">
        <v>20</v>
      </c>
      <c r="D3024">
        <v>969.82799999999997</v>
      </c>
    </row>
    <row r="3025" spans="1:4" x14ac:dyDescent="0.25">
      <c r="A3025" t="s">
        <v>8</v>
      </c>
      <c r="B3025" t="s">
        <v>7</v>
      </c>
      <c r="C3025">
        <v>20</v>
      </c>
      <c r="D3025">
        <v>963.82799999999997</v>
      </c>
    </row>
    <row r="3026" spans="1:4" x14ac:dyDescent="0.25">
      <c r="A3026" t="s">
        <v>8</v>
      </c>
      <c r="B3026" t="s">
        <v>7</v>
      </c>
      <c r="C3026">
        <v>20</v>
      </c>
      <c r="D3026">
        <v>969.82799999999997</v>
      </c>
    </row>
    <row r="3027" spans="1:4" x14ac:dyDescent="0.25">
      <c r="A3027" t="s">
        <v>8</v>
      </c>
      <c r="B3027" t="s">
        <v>7</v>
      </c>
      <c r="C3027">
        <v>20</v>
      </c>
      <c r="D3027">
        <v>966.82799999999997</v>
      </c>
    </row>
    <row r="3028" spans="1:4" x14ac:dyDescent="0.25">
      <c r="A3028" t="s">
        <v>8</v>
      </c>
      <c r="B3028" t="s">
        <v>7</v>
      </c>
      <c r="C3028">
        <v>20</v>
      </c>
      <c r="D3028">
        <v>966.82799999999997</v>
      </c>
    </row>
    <row r="3029" spans="1:4" x14ac:dyDescent="0.25">
      <c r="A3029" t="s">
        <v>8</v>
      </c>
      <c r="B3029" t="s">
        <v>7</v>
      </c>
      <c r="C3029">
        <v>20</v>
      </c>
      <c r="D3029">
        <v>975.82799999999997</v>
      </c>
    </row>
    <row r="3030" spans="1:4" x14ac:dyDescent="0.25">
      <c r="A3030" t="s">
        <v>8</v>
      </c>
      <c r="B3030" t="s">
        <v>7</v>
      </c>
      <c r="C3030">
        <v>20</v>
      </c>
      <c r="D3030">
        <v>972.82799999999997</v>
      </c>
    </row>
    <row r="3031" spans="1:4" x14ac:dyDescent="0.25">
      <c r="A3031" t="s">
        <v>8</v>
      </c>
      <c r="B3031" t="s">
        <v>7</v>
      </c>
      <c r="C3031">
        <v>20</v>
      </c>
      <c r="D3031">
        <v>970.82799999999997</v>
      </c>
    </row>
    <row r="3032" spans="1:4" x14ac:dyDescent="0.25">
      <c r="A3032" t="s">
        <v>8</v>
      </c>
      <c r="B3032" t="s">
        <v>7</v>
      </c>
      <c r="C3032">
        <v>20</v>
      </c>
      <c r="D3032">
        <v>967.82799999999997</v>
      </c>
    </row>
    <row r="3033" spans="1:4" x14ac:dyDescent="0.25">
      <c r="A3033" t="s">
        <v>8</v>
      </c>
      <c r="B3033" t="s">
        <v>7</v>
      </c>
      <c r="C3033">
        <v>20</v>
      </c>
      <c r="D3033">
        <v>971.82799999999997</v>
      </c>
    </row>
    <row r="3034" spans="1:4" x14ac:dyDescent="0.25">
      <c r="A3034" t="s">
        <v>8</v>
      </c>
      <c r="B3034" t="s">
        <v>7</v>
      </c>
      <c r="C3034">
        <v>20</v>
      </c>
      <c r="D3034">
        <v>966.82799999999997</v>
      </c>
    </row>
    <row r="3035" spans="1:4" x14ac:dyDescent="0.25">
      <c r="A3035" t="s">
        <v>8</v>
      </c>
      <c r="B3035" t="s">
        <v>7</v>
      </c>
      <c r="C3035">
        <v>20</v>
      </c>
      <c r="D3035">
        <v>967.82799999999997</v>
      </c>
    </row>
    <row r="3036" spans="1:4" x14ac:dyDescent="0.25">
      <c r="A3036" t="s">
        <v>8</v>
      </c>
      <c r="B3036" t="s">
        <v>7</v>
      </c>
      <c r="C3036">
        <v>20</v>
      </c>
      <c r="D3036">
        <v>974.82799999999997</v>
      </c>
    </row>
    <row r="3037" spans="1:4" x14ac:dyDescent="0.25">
      <c r="A3037" t="s">
        <v>8</v>
      </c>
      <c r="B3037" t="s">
        <v>7</v>
      </c>
      <c r="C3037">
        <v>20</v>
      </c>
      <c r="D3037">
        <v>970.82799999999997</v>
      </c>
    </row>
    <row r="3038" spans="1:4" x14ac:dyDescent="0.25">
      <c r="A3038" t="s">
        <v>8</v>
      </c>
      <c r="B3038" t="s">
        <v>7</v>
      </c>
      <c r="C3038">
        <v>20</v>
      </c>
      <c r="D3038">
        <v>962.82799999999997</v>
      </c>
    </row>
    <row r="3039" spans="1:4" x14ac:dyDescent="0.25">
      <c r="A3039" t="s">
        <v>8</v>
      </c>
      <c r="B3039" t="s">
        <v>7</v>
      </c>
      <c r="C3039">
        <v>20</v>
      </c>
      <c r="D3039">
        <v>970.82799999999997</v>
      </c>
    </row>
    <row r="3040" spans="1:4" x14ac:dyDescent="0.25">
      <c r="A3040" t="s">
        <v>8</v>
      </c>
      <c r="B3040" t="s">
        <v>7</v>
      </c>
      <c r="C3040">
        <v>20</v>
      </c>
      <c r="D3040">
        <v>970.82799999999997</v>
      </c>
    </row>
    <row r="3041" spans="1:4" x14ac:dyDescent="0.25">
      <c r="A3041" t="s">
        <v>8</v>
      </c>
      <c r="B3041" t="s">
        <v>7</v>
      </c>
      <c r="C3041">
        <v>20</v>
      </c>
      <c r="D3041">
        <v>969.82799999999997</v>
      </c>
    </row>
    <row r="3042" spans="1:4" x14ac:dyDescent="0.25">
      <c r="A3042" t="s">
        <v>8</v>
      </c>
      <c r="B3042" t="s">
        <v>7</v>
      </c>
      <c r="C3042">
        <v>20</v>
      </c>
      <c r="D3042">
        <v>969.82799999999997</v>
      </c>
    </row>
    <row r="3043" spans="1:4" x14ac:dyDescent="0.25">
      <c r="A3043" t="s">
        <v>8</v>
      </c>
      <c r="B3043" t="s">
        <v>7</v>
      </c>
      <c r="C3043">
        <v>20</v>
      </c>
      <c r="D3043">
        <v>969.82799999999997</v>
      </c>
    </row>
    <row r="3044" spans="1:4" x14ac:dyDescent="0.25">
      <c r="A3044" t="s">
        <v>8</v>
      </c>
      <c r="B3044" t="s">
        <v>7</v>
      </c>
      <c r="C3044">
        <v>20</v>
      </c>
      <c r="D3044">
        <v>965.82799999999997</v>
      </c>
    </row>
    <row r="3045" spans="1:4" x14ac:dyDescent="0.25">
      <c r="A3045" t="s">
        <v>8</v>
      </c>
      <c r="B3045" t="s">
        <v>7</v>
      </c>
      <c r="C3045">
        <v>20</v>
      </c>
      <c r="D3045">
        <v>975.82799999999997</v>
      </c>
    </row>
    <row r="3046" spans="1:4" x14ac:dyDescent="0.25">
      <c r="A3046" t="s">
        <v>8</v>
      </c>
      <c r="B3046" t="s">
        <v>7</v>
      </c>
      <c r="C3046">
        <v>20</v>
      </c>
      <c r="D3046">
        <v>968.82799999999997</v>
      </c>
    </row>
    <row r="3047" spans="1:4" x14ac:dyDescent="0.25">
      <c r="A3047" t="s">
        <v>8</v>
      </c>
      <c r="B3047" t="s">
        <v>7</v>
      </c>
      <c r="C3047">
        <v>20</v>
      </c>
      <c r="D3047">
        <v>969.82799999999997</v>
      </c>
    </row>
    <row r="3048" spans="1:4" x14ac:dyDescent="0.25">
      <c r="A3048" t="s">
        <v>8</v>
      </c>
      <c r="B3048" t="s">
        <v>7</v>
      </c>
      <c r="C3048">
        <v>20</v>
      </c>
      <c r="D3048">
        <v>966.82799999999997</v>
      </c>
    </row>
    <row r="3049" spans="1:4" x14ac:dyDescent="0.25">
      <c r="A3049" t="s">
        <v>8</v>
      </c>
      <c r="B3049" t="s">
        <v>7</v>
      </c>
      <c r="C3049">
        <v>20</v>
      </c>
      <c r="D3049">
        <v>966.82799999999997</v>
      </c>
    </row>
    <row r="3050" spans="1:4" x14ac:dyDescent="0.25">
      <c r="A3050" t="s">
        <v>8</v>
      </c>
      <c r="B3050" t="s">
        <v>7</v>
      </c>
      <c r="C3050">
        <v>20</v>
      </c>
      <c r="D3050">
        <v>966.82799999999997</v>
      </c>
    </row>
    <row r="3051" spans="1:4" x14ac:dyDescent="0.25">
      <c r="A3051" t="s">
        <v>8</v>
      </c>
      <c r="B3051" t="s">
        <v>7</v>
      </c>
      <c r="C3051">
        <v>20</v>
      </c>
      <c r="D3051">
        <v>966.82799999999997</v>
      </c>
    </row>
    <row r="3052" spans="1:4" x14ac:dyDescent="0.25">
      <c r="A3052" t="s">
        <v>8</v>
      </c>
      <c r="B3052" t="s">
        <v>7</v>
      </c>
      <c r="C3052">
        <v>20</v>
      </c>
      <c r="D3052">
        <v>966.82799999999997</v>
      </c>
    </row>
    <row r="3053" spans="1:4" x14ac:dyDescent="0.25">
      <c r="A3053" t="s">
        <v>8</v>
      </c>
      <c r="B3053" t="s">
        <v>7</v>
      </c>
      <c r="C3053">
        <v>20</v>
      </c>
      <c r="D3053">
        <v>972.82799999999997</v>
      </c>
    </row>
    <row r="3054" spans="1:4" x14ac:dyDescent="0.25">
      <c r="A3054" t="s">
        <v>8</v>
      </c>
      <c r="B3054" t="s">
        <v>7</v>
      </c>
      <c r="C3054">
        <v>20</v>
      </c>
      <c r="D3054">
        <v>970.82799999999997</v>
      </c>
    </row>
    <row r="3055" spans="1:4" x14ac:dyDescent="0.25">
      <c r="A3055" t="s">
        <v>8</v>
      </c>
      <c r="B3055" t="s">
        <v>7</v>
      </c>
      <c r="C3055">
        <v>20</v>
      </c>
      <c r="D3055">
        <v>970.82799999999997</v>
      </c>
    </row>
    <row r="3056" spans="1:4" x14ac:dyDescent="0.25">
      <c r="A3056" t="s">
        <v>8</v>
      </c>
      <c r="B3056" t="s">
        <v>7</v>
      </c>
      <c r="C3056">
        <v>20</v>
      </c>
      <c r="D3056">
        <v>975.82799999999997</v>
      </c>
    </row>
    <row r="3057" spans="1:4" x14ac:dyDescent="0.25">
      <c r="A3057" t="s">
        <v>8</v>
      </c>
      <c r="B3057" t="s">
        <v>7</v>
      </c>
      <c r="C3057">
        <v>20</v>
      </c>
      <c r="D3057">
        <v>969.82799999999997</v>
      </c>
    </row>
    <row r="3058" spans="1:4" x14ac:dyDescent="0.25">
      <c r="A3058" t="s">
        <v>8</v>
      </c>
      <c r="B3058" t="s">
        <v>7</v>
      </c>
      <c r="C3058">
        <v>20</v>
      </c>
      <c r="D3058">
        <v>968.82799999999997</v>
      </c>
    </row>
    <row r="3059" spans="1:4" x14ac:dyDescent="0.25">
      <c r="A3059" t="s">
        <v>8</v>
      </c>
      <c r="B3059" t="s">
        <v>7</v>
      </c>
      <c r="C3059">
        <v>20</v>
      </c>
      <c r="D3059">
        <v>967.82799999999997</v>
      </c>
    </row>
    <row r="3060" spans="1:4" x14ac:dyDescent="0.25">
      <c r="A3060" t="s">
        <v>8</v>
      </c>
      <c r="B3060" t="s">
        <v>7</v>
      </c>
      <c r="C3060">
        <v>20</v>
      </c>
      <c r="D3060">
        <v>965.82799999999997</v>
      </c>
    </row>
    <row r="3061" spans="1:4" x14ac:dyDescent="0.25">
      <c r="A3061" t="s">
        <v>8</v>
      </c>
      <c r="B3061" t="s">
        <v>7</v>
      </c>
      <c r="C3061">
        <v>20</v>
      </c>
      <c r="D3061">
        <v>967.82799999999997</v>
      </c>
    </row>
    <row r="3062" spans="1:4" x14ac:dyDescent="0.25">
      <c r="A3062" t="s">
        <v>8</v>
      </c>
      <c r="B3062" t="s">
        <v>7</v>
      </c>
      <c r="C3062">
        <v>20</v>
      </c>
      <c r="D3062">
        <v>964.82799999999997</v>
      </c>
    </row>
    <row r="3063" spans="1:4" x14ac:dyDescent="0.25">
      <c r="A3063" t="s">
        <v>8</v>
      </c>
      <c r="B3063" t="s">
        <v>7</v>
      </c>
      <c r="C3063">
        <v>20</v>
      </c>
      <c r="D3063">
        <v>966.82799999999997</v>
      </c>
    </row>
    <row r="3064" spans="1:4" x14ac:dyDescent="0.25">
      <c r="A3064" t="s">
        <v>8</v>
      </c>
      <c r="B3064" t="s">
        <v>7</v>
      </c>
      <c r="C3064">
        <v>20</v>
      </c>
      <c r="D3064">
        <v>968.82799999999997</v>
      </c>
    </row>
    <row r="3065" spans="1:4" x14ac:dyDescent="0.25">
      <c r="A3065" t="s">
        <v>8</v>
      </c>
      <c r="B3065" t="s">
        <v>7</v>
      </c>
      <c r="C3065">
        <v>20</v>
      </c>
      <c r="D3065">
        <v>966.82799999999997</v>
      </c>
    </row>
    <row r="3066" spans="1:4" x14ac:dyDescent="0.25">
      <c r="A3066" t="s">
        <v>8</v>
      </c>
      <c r="B3066" t="s">
        <v>7</v>
      </c>
      <c r="C3066">
        <v>20</v>
      </c>
      <c r="D3066">
        <v>969.82799999999997</v>
      </c>
    </row>
    <row r="3067" spans="1:4" x14ac:dyDescent="0.25">
      <c r="A3067" t="s">
        <v>8</v>
      </c>
      <c r="B3067" t="s">
        <v>7</v>
      </c>
      <c r="C3067">
        <v>20</v>
      </c>
      <c r="D3067">
        <v>972.82799999999997</v>
      </c>
    </row>
    <row r="3068" spans="1:4" x14ac:dyDescent="0.25">
      <c r="A3068" t="s">
        <v>8</v>
      </c>
      <c r="B3068" t="s">
        <v>7</v>
      </c>
      <c r="C3068">
        <v>20</v>
      </c>
      <c r="D3068">
        <v>966.82799999999997</v>
      </c>
    </row>
    <row r="3069" spans="1:4" x14ac:dyDescent="0.25">
      <c r="A3069" t="s">
        <v>8</v>
      </c>
      <c r="B3069" t="s">
        <v>7</v>
      </c>
      <c r="C3069">
        <v>20</v>
      </c>
      <c r="D3069">
        <v>974.82799999999997</v>
      </c>
    </row>
    <row r="3070" spans="1:4" x14ac:dyDescent="0.25">
      <c r="A3070" t="s">
        <v>8</v>
      </c>
      <c r="B3070" t="s">
        <v>7</v>
      </c>
      <c r="C3070">
        <v>20</v>
      </c>
      <c r="D3070">
        <v>964.82799999999997</v>
      </c>
    </row>
    <row r="3071" spans="1:4" x14ac:dyDescent="0.25">
      <c r="A3071" t="s">
        <v>8</v>
      </c>
      <c r="B3071" t="s">
        <v>7</v>
      </c>
      <c r="C3071">
        <v>20</v>
      </c>
      <c r="D3071">
        <v>965.82799999999997</v>
      </c>
    </row>
    <row r="3072" spans="1:4" x14ac:dyDescent="0.25">
      <c r="A3072" t="s">
        <v>8</v>
      </c>
      <c r="B3072" t="s">
        <v>7</v>
      </c>
      <c r="C3072">
        <v>20</v>
      </c>
      <c r="D3072">
        <v>966.82799999999997</v>
      </c>
    </row>
    <row r="3073" spans="1:4" x14ac:dyDescent="0.25">
      <c r="A3073" t="s">
        <v>8</v>
      </c>
      <c r="B3073" t="s">
        <v>7</v>
      </c>
      <c r="C3073">
        <v>20</v>
      </c>
      <c r="D3073">
        <v>968.82799999999997</v>
      </c>
    </row>
    <row r="3074" spans="1:4" x14ac:dyDescent="0.25">
      <c r="A3074" t="s">
        <v>8</v>
      </c>
      <c r="B3074" t="s">
        <v>7</v>
      </c>
      <c r="C3074">
        <v>20</v>
      </c>
      <c r="D3074">
        <v>961.82799999999997</v>
      </c>
    </row>
    <row r="3075" spans="1:4" x14ac:dyDescent="0.25">
      <c r="A3075" t="s">
        <v>8</v>
      </c>
      <c r="B3075" t="s">
        <v>7</v>
      </c>
      <c r="C3075">
        <v>20</v>
      </c>
      <c r="D3075">
        <v>966.82799999999997</v>
      </c>
    </row>
    <row r="3076" spans="1:4" x14ac:dyDescent="0.25">
      <c r="A3076" t="s">
        <v>8</v>
      </c>
      <c r="B3076" t="s">
        <v>7</v>
      </c>
      <c r="C3076">
        <v>20</v>
      </c>
      <c r="D3076">
        <v>967.82799999999997</v>
      </c>
    </row>
    <row r="3077" spans="1:4" x14ac:dyDescent="0.25">
      <c r="A3077" t="s">
        <v>8</v>
      </c>
      <c r="B3077" t="s">
        <v>7</v>
      </c>
      <c r="C3077">
        <v>20</v>
      </c>
      <c r="D3077">
        <v>966.82799999999997</v>
      </c>
    </row>
    <row r="3078" spans="1:4" x14ac:dyDescent="0.25">
      <c r="A3078" t="s">
        <v>8</v>
      </c>
      <c r="B3078" t="s">
        <v>7</v>
      </c>
      <c r="C3078">
        <v>20</v>
      </c>
      <c r="D3078">
        <v>968.82799999999997</v>
      </c>
    </row>
    <row r="3079" spans="1:4" x14ac:dyDescent="0.25">
      <c r="A3079" t="s">
        <v>8</v>
      </c>
      <c r="B3079" t="s">
        <v>7</v>
      </c>
      <c r="C3079">
        <v>20</v>
      </c>
      <c r="D3079">
        <v>966.82799999999997</v>
      </c>
    </row>
    <row r="3080" spans="1:4" x14ac:dyDescent="0.25">
      <c r="A3080" t="s">
        <v>8</v>
      </c>
      <c r="B3080" t="s">
        <v>7</v>
      </c>
      <c r="C3080">
        <v>20</v>
      </c>
      <c r="D3080">
        <v>969.82799999999997</v>
      </c>
    </row>
    <row r="3081" spans="1:4" x14ac:dyDescent="0.25">
      <c r="A3081" t="s">
        <v>8</v>
      </c>
      <c r="B3081" t="s">
        <v>7</v>
      </c>
      <c r="C3081">
        <v>20</v>
      </c>
      <c r="D3081">
        <v>969.82799999999997</v>
      </c>
    </row>
    <row r="3082" spans="1:4" x14ac:dyDescent="0.25">
      <c r="A3082" t="s">
        <v>8</v>
      </c>
      <c r="B3082" t="s">
        <v>7</v>
      </c>
      <c r="C3082">
        <v>20</v>
      </c>
      <c r="D3082">
        <v>966.82799999999997</v>
      </c>
    </row>
    <row r="3083" spans="1:4" x14ac:dyDescent="0.25">
      <c r="A3083" t="s">
        <v>8</v>
      </c>
      <c r="B3083" t="s">
        <v>7</v>
      </c>
      <c r="C3083">
        <v>20</v>
      </c>
      <c r="D3083">
        <v>966.82799999999997</v>
      </c>
    </row>
    <row r="3084" spans="1:4" x14ac:dyDescent="0.25">
      <c r="A3084" t="s">
        <v>8</v>
      </c>
      <c r="B3084" t="s">
        <v>7</v>
      </c>
      <c r="C3084">
        <v>20</v>
      </c>
      <c r="D3084">
        <v>970.82799999999997</v>
      </c>
    </row>
    <row r="3085" spans="1:4" x14ac:dyDescent="0.25">
      <c r="A3085" t="s">
        <v>8</v>
      </c>
      <c r="B3085" t="s">
        <v>7</v>
      </c>
      <c r="C3085">
        <v>20</v>
      </c>
      <c r="D3085">
        <v>968.82799999999997</v>
      </c>
    </row>
    <row r="3086" spans="1:4" x14ac:dyDescent="0.25">
      <c r="A3086" t="s">
        <v>8</v>
      </c>
      <c r="B3086" t="s">
        <v>7</v>
      </c>
      <c r="C3086">
        <v>20</v>
      </c>
      <c r="D3086">
        <v>972.82799999999997</v>
      </c>
    </row>
    <row r="3087" spans="1:4" x14ac:dyDescent="0.25">
      <c r="A3087" t="s">
        <v>8</v>
      </c>
      <c r="B3087" t="s">
        <v>7</v>
      </c>
      <c r="C3087">
        <v>20</v>
      </c>
      <c r="D3087">
        <v>970.82799999999997</v>
      </c>
    </row>
    <row r="3088" spans="1:4" x14ac:dyDescent="0.25">
      <c r="A3088" t="s">
        <v>8</v>
      </c>
      <c r="B3088" t="s">
        <v>7</v>
      </c>
      <c r="C3088">
        <v>20</v>
      </c>
      <c r="D3088">
        <v>967.82799999999997</v>
      </c>
    </row>
    <row r="3089" spans="1:4" x14ac:dyDescent="0.25">
      <c r="A3089" t="s">
        <v>8</v>
      </c>
      <c r="B3089" t="s">
        <v>7</v>
      </c>
      <c r="C3089">
        <v>20</v>
      </c>
      <c r="D3089">
        <v>970.82799999999997</v>
      </c>
    </row>
    <row r="3090" spans="1:4" x14ac:dyDescent="0.25">
      <c r="A3090" t="s">
        <v>8</v>
      </c>
      <c r="B3090" t="s">
        <v>7</v>
      </c>
      <c r="C3090">
        <v>20</v>
      </c>
      <c r="D3090">
        <v>969.82799999999997</v>
      </c>
    </row>
    <row r="3091" spans="1:4" x14ac:dyDescent="0.25">
      <c r="A3091" t="s">
        <v>8</v>
      </c>
      <c r="B3091" t="s">
        <v>7</v>
      </c>
      <c r="C3091">
        <v>20</v>
      </c>
      <c r="D3091">
        <v>969.82799999999997</v>
      </c>
    </row>
    <row r="3092" spans="1:4" x14ac:dyDescent="0.25">
      <c r="A3092" t="s">
        <v>8</v>
      </c>
      <c r="B3092" t="s">
        <v>7</v>
      </c>
      <c r="C3092">
        <v>20</v>
      </c>
      <c r="D3092">
        <v>968.82799999999997</v>
      </c>
    </row>
    <row r="3093" spans="1:4" x14ac:dyDescent="0.25">
      <c r="A3093" t="s">
        <v>8</v>
      </c>
      <c r="B3093" t="s">
        <v>7</v>
      </c>
      <c r="C3093">
        <v>20</v>
      </c>
      <c r="D3093">
        <v>969.82799999999997</v>
      </c>
    </row>
    <row r="3094" spans="1:4" x14ac:dyDescent="0.25">
      <c r="A3094" t="s">
        <v>8</v>
      </c>
      <c r="B3094" t="s">
        <v>7</v>
      </c>
      <c r="C3094">
        <v>20</v>
      </c>
      <c r="D3094">
        <v>971.82799999999997</v>
      </c>
    </row>
    <row r="3095" spans="1:4" x14ac:dyDescent="0.25">
      <c r="A3095" t="s">
        <v>8</v>
      </c>
      <c r="B3095" t="s">
        <v>7</v>
      </c>
      <c r="C3095">
        <v>20</v>
      </c>
      <c r="D3095">
        <v>969.82799999999997</v>
      </c>
    </row>
    <row r="3096" spans="1:4" x14ac:dyDescent="0.25">
      <c r="A3096" t="s">
        <v>8</v>
      </c>
      <c r="B3096" t="s">
        <v>7</v>
      </c>
      <c r="C3096">
        <v>20</v>
      </c>
      <c r="D3096">
        <v>972.82799999999997</v>
      </c>
    </row>
    <row r="3097" spans="1:4" x14ac:dyDescent="0.25">
      <c r="A3097" t="s">
        <v>8</v>
      </c>
      <c r="B3097" t="s">
        <v>7</v>
      </c>
      <c r="C3097">
        <v>20</v>
      </c>
      <c r="D3097">
        <v>971.82799999999997</v>
      </c>
    </row>
    <row r="3098" spans="1:4" x14ac:dyDescent="0.25">
      <c r="A3098" t="s">
        <v>8</v>
      </c>
      <c r="B3098" t="s">
        <v>7</v>
      </c>
      <c r="C3098">
        <v>20</v>
      </c>
      <c r="D3098">
        <v>967.82799999999997</v>
      </c>
    </row>
    <row r="3099" spans="1:4" x14ac:dyDescent="0.25">
      <c r="A3099" t="s">
        <v>8</v>
      </c>
      <c r="B3099" t="s">
        <v>7</v>
      </c>
      <c r="C3099">
        <v>20</v>
      </c>
      <c r="D3099">
        <v>971.82799999999997</v>
      </c>
    </row>
    <row r="3100" spans="1:4" x14ac:dyDescent="0.25">
      <c r="A3100" t="s">
        <v>8</v>
      </c>
      <c r="B3100" t="s">
        <v>7</v>
      </c>
      <c r="C3100">
        <v>20</v>
      </c>
      <c r="D3100">
        <v>966.82799999999997</v>
      </c>
    </row>
    <row r="3101" spans="1:4" x14ac:dyDescent="0.25">
      <c r="A3101" t="s">
        <v>8</v>
      </c>
      <c r="B3101" t="s">
        <v>7</v>
      </c>
      <c r="C3101">
        <v>20</v>
      </c>
      <c r="D3101">
        <v>969.82799999999997</v>
      </c>
    </row>
    <row r="3102" spans="1:4" x14ac:dyDescent="0.25">
      <c r="A3102" t="s">
        <v>8</v>
      </c>
      <c r="B3102" t="s">
        <v>7</v>
      </c>
      <c r="C3102">
        <v>40</v>
      </c>
      <c r="D3102">
        <v>1607.0740000000001</v>
      </c>
    </row>
    <row r="3103" spans="1:4" x14ac:dyDescent="0.25">
      <c r="A3103" t="s">
        <v>8</v>
      </c>
      <c r="B3103" t="s">
        <v>7</v>
      </c>
      <c r="C3103">
        <v>40</v>
      </c>
      <c r="D3103">
        <v>1611.146</v>
      </c>
    </row>
    <row r="3104" spans="1:4" x14ac:dyDescent="0.25">
      <c r="A3104" t="s">
        <v>8</v>
      </c>
      <c r="B3104" t="s">
        <v>7</v>
      </c>
      <c r="C3104">
        <v>40</v>
      </c>
      <c r="D3104">
        <v>1600.7280000000001</v>
      </c>
    </row>
    <row r="3105" spans="1:4" x14ac:dyDescent="0.25">
      <c r="A3105" t="s">
        <v>8</v>
      </c>
      <c r="B3105" t="s">
        <v>7</v>
      </c>
      <c r="C3105">
        <v>40</v>
      </c>
      <c r="D3105">
        <v>1596.027</v>
      </c>
    </row>
    <row r="3106" spans="1:4" x14ac:dyDescent="0.25">
      <c r="A3106" t="s">
        <v>8</v>
      </c>
      <c r="B3106" t="s">
        <v>7</v>
      </c>
      <c r="C3106">
        <v>40</v>
      </c>
      <c r="D3106">
        <v>1604.471</v>
      </c>
    </row>
    <row r="3107" spans="1:4" x14ac:dyDescent="0.25">
      <c r="A3107" t="s">
        <v>8</v>
      </c>
      <c r="B3107" t="s">
        <v>7</v>
      </c>
      <c r="C3107">
        <v>40</v>
      </c>
      <c r="D3107">
        <v>1620.9059999999999</v>
      </c>
    </row>
    <row r="3108" spans="1:4" x14ac:dyDescent="0.25">
      <c r="A3108" t="s">
        <v>8</v>
      </c>
      <c r="B3108" t="s">
        <v>7</v>
      </c>
      <c r="C3108">
        <v>40</v>
      </c>
      <c r="D3108">
        <v>1598.229</v>
      </c>
    </row>
    <row r="3109" spans="1:4" x14ac:dyDescent="0.25">
      <c r="A3109" t="s">
        <v>8</v>
      </c>
      <c r="B3109" t="s">
        <v>7</v>
      </c>
      <c r="C3109">
        <v>40</v>
      </c>
      <c r="D3109">
        <v>1601.799</v>
      </c>
    </row>
    <row r="3110" spans="1:4" x14ac:dyDescent="0.25">
      <c r="A3110" t="s">
        <v>8</v>
      </c>
      <c r="B3110" t="s">
        <v>7</v>
      </c>
      <c r="C3110">
        <v>40</v>
      </c>
      <c r="D3110">
        <v>1575.5630000000001</v>
      </c>
    </row>
    <row r="3111" spans="1:4" x14ac:dyDescent="0.25">
      <c r="A3111" t="s">
        <v>8</v>
      </c>
      <c r="B3111" t="s">
        <v>7</v>
      </c>
      <c r="C3111">
        <v>40</v>
      </c>
      <c r="D3111">
        <v>1596.01</v>
      </c>
    </row>
    <row r="3112" spans="1:4" x14ac:dyDescent="0.25">
      <c r="A3112" t="s">
        <v>8</v>
      </c>
      <c r="B3112" t="s">
        <v>7</v>
      </c>
      <c r="C3112">
        <v>40</v>
      </c>
      <c r="D3112">
        <v>1573.7760000000001</v>
      </c>
    </row>
    <row r="3113" spans="1:4" x14ac:dyDescent="0.25">
      <c r="A3113" t="s">
        <v>8</v>
      </c>
      <c r="B3113" t="s">
        <v>7</v>
      </c>
      <c r="C3113">
        <v>40</v>
      </c>
      <c r="D3113">
        <v>1595.4870000000001</v>
      </c>
    </row>
    <row r="3114" spans="1:4" x14ac:dyDescent="0.25">
      <c r="A3114" t="s">
        <v>8</v>
      </c>
      <c r="B3114" t="s">
        <v>7</v>
      </c>
      <c r="C3114">
        <v>40</v>
      </c>
      <c r="D3114">
        <v>1604.6510000000001</v>
      </c>
    </row>
    <row r="3115" spans="1:4" x14ac:dyDescent="0.25">
      <c r="A3115" t="s">
        <v>8</v>
      </c>
      <c r="B3115" t="s">
        <v>7</v>
      </c>
      <c r="C3115">
        <v>40</v>
      </c>
      <c r="D3115">
        <v>1607.2239999999999</v>
      </c>
    </row>
    <row r="3116" spans="1:4" x14ac:dyDescent="0.25">
      <c r="A3116" t="s">
        <v>8</v>
      </c>
      <c r="B3116" t="s">
        <v>7</v>
      </c>
      <c r="C3116">
        <v>40</v>
      </c>
      <c r="D3116">
        <v>1585.7429999999999</v>
      </c>
    </row>
    <row r="3117" spans="1:4" x14ac:dyDescent="0.25">
      <c r="A3117" t="s">
        <v>8</v>
      </c>
      <c r="B3117" t="s">
        <v>7</v>
      </c>
      <c r="C3117">
        <v>40</v>
      </c>
      <c r="D3117">
        <v>1618.5709999999999</v>
      </c>
    </row>
    <row r="3118" spans="1:4" x14ac:dyDescent="0.25">
      <c r="A3118" t="s">
        <v>8</v>
      </c>
      <c r="B3118" t="s">
        <v>7</v>
      </c>
      <c r="C3118">
        <v>40</v>
      </c>
      <c r="D3118">
        <v>1581.4110000000001</v>
      </c>
    </row>
    <row r="3119" spans="1:4" x14ac:dyDescent="0.25">
      <c r="A3119" t="s">
        <v>8</v>
      </c>
      <c r="B3119" t="s">
        <v>7</v>
      </c>
      <c r="C3119">
        <v>40</v>
      </c>
      <c r="D3119">
        <v>1595.3309999999999</v>
      </c>
    </row>
    <row r="3120" spans="1:4" x14ac:dyDescent="0.25">
      <c r="A3120" t="s">
        <v>8</v>
      </c>
      <c r="B3120" t="s">
        <v>7</v>
      </c>
      <c r="C3120">
        <v>40</v>
      </c>
      <c r="D3120">
        <v>1596.751</v>
      </c>
    </row>
    <row r="3121" spans="1:4" x14ac:dyDescent="0.25">
      <c r="A3121" t="s">
        <v>8</v>
      </c>
      <c r="B3121" t="s">
        <v>7</v>
      </c>
      <c r="C3121">
        <v>40</v>
      </c>
      <c r="D3121">
        <v>1602.2159999999999</v>
      </c>
    </row>
    <row r="3122" spans="1:4" x14ac:dyDescent="0.25">
      <c r="A3122" t="s">
        <v>8</v>
      </c>
      <c r="B3122" t="s">
        <v>7</v>
      </c>
      <c r="C3122">
        <v>40</v>
      </c>
      <c r="D3122">
        <v>1590.058</v>
      </c>
    </row>
    <row r="3123" spans="1:4" x14ac:dyDescent="0.25">
      <c r="A3123" t="s">
        <v>8</v>
      </c>
      <c r="B3123" t="s">
        <v>7</v>
      </c>
      <c r="C3123">
        <v>40</v>
      </c>
      <c r="D3123">
        <v>1597.9469999999999</v>
      </c>
    </row>
    <row r="3124" spans="1:4" x14ac:dyDescent="0.25">
      <c r="A3124" t="s">
        <v>8</v>
      </c>
      <c r="B3124" t="s">
        <v>7</v>
      </c>
      <c r="C3124">
        <v>40</v>
      </c>
      <c r="D3124">
        <v>1621.5909999999999</v>
      </c>
    </row>
    <row r="3125" spans="1:4" x14ac:dyDescent="0.25">
      <c r="A3125" t="s">
        <v>8</v>
      </c>
      <c r="B3125" t="s">
        <v>7</v>
      </c>
      <c r="C3125">
        <v>40</v>
      </c>
      <c r="D3125">
        <v>1588.7239999999999</v>
      </c>
    </row>
    <row r="3126" spans="1:4" x14ac:dyDescent="0.25">
      <c r="A3126" t="s">
        <v>8</v>
      </c>
      <c r="B3126" t="s">
        <v>7</v>
      </c>
      <c r="C3126">
        <v>40</v>
      </c>
      <c r="D3126">
        <v>1603.0889999999999</v>
      </c>
    </row>
    <row r="3127" spans="1:4" x14ac:dyDescent="0.25">
      <c r="A3127" t="s">
        <v>8</v>
      </c>
      <c r="B3127" t="s">
        <v>7</v>
      </c>
      <c r="C3127">
        <v>40</v>
      </c>
      <c r="D3127">
        <v>1607.4549999999999</v>
      </c>
    </row>
    <row r="3128" spans="1:4" x14ac:dyDescent="0.25">
      <c r="A3128" t="s">
        <v>8</v>
      </c>
      <c r="B3128" t="s">
        <v>7</v>
      </c>
      <c r="C3128">
        <v>40</v>
      </c>
      <c r="D3128">
        <v>1581.633</v>
      </c>
    </row>
    <row r="3129" spans="1:4" x14ac:dyDescent="0.25">
      <c r="A3129" t="s">
        <v>8</v>
      </c>
      <c r="B3129" t="s">
        <v>7</v>
      </c>
      <c r="C3129">
        <v>40</v>
      </c>
      <c r="D3129">
        <v>1580.297</v>
      </c>
    </row>
    <row r="3130" spans="1:4" x14ac:dyDescent="0.25">
      <c r="A3130" t="s">
        <v>8</v>
      </c>
      <c r="B3130" t="s">
        <v>7</v>
      </c>
      <c r="C3130">
        <v>40</v>
      </c>
      <c r="D3130">
        <v>1605.58</v>
      </c>
    </row>
    <row r="3131" spans="1:4" x14ac:dyDescent="0.25">
      <c r="A3131" t="s">
        <v>8</v>
      </c>
      <c r="B3131" t="s">
        <v>7</v>
      </c>
      <c r="C3131">
        <v>40</v>
      </c>
      <c r="D3131">
        <v>1591.2650000000001</v>
      </c>
    </row>
    <row r="3132" spans="1:4" x14ac:dyDescent="0.25">
      <c r="A3132" t="s">
        <v>8</v>
      </c>
      <c r="B3132" t="s">
        <v>7</v>
      </c>
      <c r="C3132">
        <v>40</v>
      </c>
      <c r="D3132">
        <v>1596.278</v>
      </c>
    </row>
    <row r="3133" spans="1:4" x14ac:dyDescent="0.25">
      <c r="A3133" t="s">
        <v>8</v>
      </c>
      <c r="B3133" t="s">
        <v>7</v>
      </c>
      <c r="C3133">
        <v>40</v>
      </c>
      <c r="D3133">
        <v>1596.123</v>
      </c>
    </row>
    <row r="3134" spans="1:4" x14ac:dyDescent="0.25">
      <c r="A3134" t="s">
        <v>8</v>
      </c>
      <c r="B3134" t="s">
        <v>7</v>
      </c>
      <c r="C3134">
        <v>40</v>
      </c>
      <c r="D3134">
        <v>1621.02</v>
      </c>
    </row>
    <row r="3135" spans="1:4" x14ac:dyDescent="0.25">
      <c r="A3135" t="s">
        <v>8</v>
      </c>
      <c r="B3135" t="s">
        <v>7</v>
      </c>
      <c r="C3135">
        <v>40</v>
      </c>
      <c r="D3135">
        <v>1604.87</v>
      </c>
    </row>
    <row r="3136" spans="1:4" x14ac:dyDescent="0.25">
      <c r="A3136" t="s">
        <v>8</v>
      </c>
      <c r="B3136" t="s">
        <v>7</v>
      </c>
      <c r="C3136">
        <v>40</v>
      </c>
      <c r="D3136">
        <v>1590.2470000000001</v>
      </c>
    </row>
    <row r="3137" spans="1:4" x14ac:dyDescent="0.25">
      <c r="A3137" t="s">
        <v>8</v>
      </c>
      <c r="B3137" t="s">
        <v>7</v>
      </c>
      <c r="C3137">
        <v>40</v>
      </c>
      <c r="D3137">
        <v>1606.9169999999999</v>
      </c>
    </row>
    <row r="3138" spans="1:4" x14ac:dyDescent="0.25">
      <c r="A3138" t="s">
        <v>8</v>
      </c>
      <c r="B3138" t="s">
        <v>7</v>
      </c>
      <c r="C3138">
        <v>40</v>
      </c>
      <c r="D3138">
        <v>1578.6220000000001</v>
      </c>
    </row>
    <row r="3139" spans="1:4" x14ac:dyDescent="0.25">
      <c r="A3139" t="s">
        <v>8</v>
      </c>
      <c r="B3139" t="s">
        <v>7</v>
      </c>
      <c r="C3139">
        <v>40</v>
      </c>
      <c r="D3139">
        <v>1603.0540000000001</v>
      </c>
    </row>
    <row r="3140" spans="1:4" x14ac:dyDescent="0.25">
      <c r="A3140" t="s">
        <v>8</v>
      </c>
      <c r="B3140" t="s">
        <v>7</v>
      </c>
      <c r="C3140">
        <v>40</v>
      </c>
      <c r="D3140">
        <v>1596.8779999999999</v>
      </c>
    </row>
    <row r="3141" spans="1:4" x14ac:dyDescent="0.25">
      <c r="A3141" t="s">
        <v>8</v>
      </c>
      <c r="B3141" t="s">
        <v>7</v>
      </c>
      <c r="C3141">
        <v>40</v>
      </c>
      <c r="D3141">
        <v>1587.88</v>
      </c>
    </row>
    <row r="3142" spans="1:4" x14ac:dyDescent="0.25">
      <c r="A3142" t="s">
        <v>8</v>
      </c>
      <c r="B3142" t="s">
        <v>7</v>
      </c>
      <c r="C3142">
        <v>40</v>
      </c>
      <c r="D3142">
        <v>1594.1010000000001</v>
      </c>
    </row>
    <row r="3143" spans="1:4" x14ac:dyDescent="0.25">
      <c r="A3143" t="s">
        <v>8</v>
      </c>
      <c r="B3143" t="s">
        <v>7</v>
      </c>
      <c r="C3143">
        <v>40</v>
      </c>
      <c r="D3143">
        <v>1608.4159999999999</v>
      </c>
    </row>
    <row r="3144" spans="1:4" x14ac:dyDescent="0.25">
      <c r="A3144" t="s">
        <v>8</v>
      </c>
      <c r="B3144" t="s">
        <v>7</v>
      </c>
      <c r="C3144">
        <v>40</v>
      </c>
      <c r="D3144">
        <v>1613.626</v>
      </c>
    </row>
    <row r="3145" spans="1:4" x14ac:dyDescent="0.25">
      <c r="A3145" t="s">
        <v>8</v>
      </c>
      <c r="B3145" t="s">
        <v>7</v>
      </c>
      <c r="C3145">
        <v>40</v>
      </c>
      <c r="D3145">
        <v>1575.127</v>
      </c>
    </row>
    <row r="3146" spans="1:4" x14ac:dyDescent="0.25">
      <c r="A3146" t="s">
        <v>8</v>
      </c>
      <c r="B3146" t="s">
        <v>7</v>
      </c>
      <c r="C3146">
        <v>40</v>
      </c>
      <c r="D3146">
        <v>1598.6420000000001</v>
      </c>
    </row>
    <row r="3147" spans="1:4" x14ac:dyDescent="0.25">
      <c r="A3147" t="s">
        <v>8</v>
      </c>
      <c r="B3147" t="s">
        <v>7</v>
      </c>
      <c r="C3147">
        <v>40</v>
      </c>
      <c r="D3147">
        <v>1596.8820000000001</v>
      </c>
    </row>
    <row r="3148" spans="1:4" x14ac:dyDescent="0.25">
      <c r="A3148" t="s">
        <v>8</v>
      </c>
      <c r="B3148" t="s">
        <v>7</v>
      </c>
      <c r="C3148">
        <v>40</v>
      </c>
      <c r="D3148">
        <v>1602.864</v>
      </c>
    </row>
    <row r="3149" spans="1:4" x14ac:dyDescent="0.25">
      <c r="A3149" t="s">
        <v>8</v>
      </c>
      <c r="B3149" t="s">
        <v>7</v>
      </c>
      <c r="C3149">
        <v>40</v>
      </c>
      <c r="D3149">
        <v>1615.338</v>
      </c>
    </row>
    <row r="3150" spans="1:4" x14ac:dyDescent="0.25">
      <c r="A3150" t="s">
        <v>8</v>
      </c>
      <c r="B3150" t="s">
        <v>7</v>
      </c>
      <c r="C3150">
        <v>40</v>
      </c>
      <c r="D3150">
        <v>1613.0650000000001</v>
      </c>
    </row>
    <row r="3151" spans="1:4" x14ac:dyDescent="0.25">
      <c r="A3151" t="s">
        <v>8</v>
      </c>
      <c r="B3151" t="s">
        <v>7</v>
      </c>
      <c r="C3151">
        <v>40</v>
      </c>
      <c r="D3151">
        <v>1601.0350000000001</v>
      </c>
    </row>
    <row r="3152" spans="1:4" x14ac:dyDescent="0.25">
      <c r="A3152" t="s">
        <v>8</v>
      </c>
      <c r="B3152" t="s">
        <v>7</v>
      </c>
      <c r="C3152">
        <v>40</v>
      </c>
      <c r="D3152">
        <v>1594.681</v>
      </c>
    </row>
    <row r="3153" spans="1:4" x14ac:dyDescent="0.25">
      <c r="A3153" t="s">
        <v>8</v>
      </c>
      <c r="B3153" t="s">
        <v>7</v>
      </c>
      <c r="C3153">
        <v>40</v>
      </c>
      <c r="D3153">
        <v>1582.126</v>
      </c>
    </row>
    <row r="3154" spans="1:4" x14ac:dyDescent="0.25">
      <c r="A3154" t="s">
        <v>8</v>
      </c>
      <c r="B3154" t="s">
        <v>7</v>
      </c>
      <c r="C3154">
        <v>40</v>
      </c>
      <c r="D3154">
        <v>1607.28</v>
      </c>
    </row>
    <row r="3155" spans="1:4" x14ac:dyDescent="0.25">
      <c r="A3155" t="s">
        <v>8</v>
      </c>
      <c r="B3155" t="s">
        <v>7</v>
      </c>
      <c r="C3155">
        <v>40</v>
      </c>
      <c r="D3155">
        <v>1607.847</v>
      </c>
    </row>
    <row r="3156" spans="1:4" x14ac:dyDescent="0.25">
      <c r="A3156" t="s">
        <v>8</v>
      </c>
      <c r="B3156" t="s">
        <v>7</v>
      </c>
      <c r="C3156">
        <v>40</v>
      </c>
      <c r="D3156">
        <v>1610.7940000000001</v>
      </c>
    </row>
    <row r="3157" spans="1:4" x14ac:dyDescent="0.25">
      <c r="A3157" t="s">
        <v>8</v>
      </c>
      <c r="B3157" t="s">
        <v>7</v>
      </c>
      <c r="C3157">
        <v>40</v>
      </c>
      <c r="D3157">
        <v>1609.943</v>
      </c>
    </row>
    <row r="3158" spans="1:4" x14ac:dyDescent="0.25">
      <c r="A3158" t="s">
        <v>8</v>
      </c>
      <c r="B3158" t="s">
        <v>7</v>
      </c>
      <c r="C3158">
        <v>40</v>
      </c>
      <c r="D3158">
        <v>1596.4159999999999</v>
      </c>
    </row>
    <row r="3159" spans="1:4" x14ac:dyDescent="0.25">
      <c r="A3159" t="s">
        <v>8</v>
      </c>
      <c r="B3159" t="s">
        <v>7</v>
      </c>
      <c r="C3159">
        <v>40</v>
      </c>
      <c r="D3159">
        <v>1577.8779999999999</v>
      </c>
    </row>
    <row r="3160" spans="1:4" x14ac:dyDescent="0.25">
      <c r="A3160" t="s">
        <v>8</v>
      </c>
      <c r="B3160" t="s">
        <v>7</v>
      </c>
      <c r="C3160">
        <v>40</v>
      </c>
      <c r="D3160">
        <v>1609.944</v>
      </c>
    </row>
    <row r="3161" spans="1:4" x14ac:dyDescent="0.25">
      <c r="A3161" t="s">
        <v>8</v>
      </c>
      <c r="B3161" t="s">
        <v>7</v>
      </c>
      <c r="C3161">
        <v>40</v>
      </c>
      <c r="D3161">
        <v>1581.1179999999999</v>
      </c>
    </row>
    <row r="3162" spans="1:4" x14ac:dyDescent="0.25">
      <c r="A3162" t="s">
        <v>8</v>
      </c>
      <c r="B3162" t="s">
        <v>7</v>
      </c>
      <c r="C3162">
        <v>40</v>
      </c>
      <c r="D3162">
        <v>1601.63</v>
      </c>
    </row>
    <row r="3163" spans="1:4" x14ac:dyDescent="0.25">
      <c r="A3163" t="s">
        <v>8</v>
      </c>
      <c r="B3163" t="s">
        <v>7</v>
      </c>
      <c r="C3163">
        <v>40</v>
      </c>
      <c r="D3163">
        <v>1607.0029999999999</v>
      </c>
    </row>
    <row r="3164" spans="1:4" x14ac:dyDescent="0.25">
      <c r="A3164" t="s">
        <v>8</v>
      </c>
      <c r="B3164" t="s">
        <v>7</v>
      </c>
      <c r="C3164">
        <v>40</v>
      </c>
      <c r="D3164">
        <v>1618.106</v>
      </c>
    </row>
    <row r="3165" spans="1:4" x14ac:dyDescent="0.25">
      <c r="A3165" t="s">
        <v>8</v>
      </c>
      <c r="B3165" t="s">
        <v>7</v>
      </c>
      <c r="C3165">
        <v>40</v>
      </c>
      <c r="D3165">
        <v>1596.0609999999999</v>
      </c>
    </row>
    <row r="3166" spans="1:4" x14ac:dyDescent="0.25">
      <c r="A3166" t="s">
        <v>8</v>
      </c>
      <c r="B3166" t="s">
        <v>7</v>
      </c>
      <c r="C3166">
        <v>40</v>
      </c>
      <c r="D3166">
        <v>1588.0029999999999</v>
      </c>
    </row>
    <row r="3167" spans="1:4" x14ac:dyDescent="0.25">
      <c r="A3167" t="s">
        <v>8</v>
      </c>
      <c r="B3167" t="s">
        <v>7</v>
      </c>
      <c r="C3167">
        <v>40</v>
      </c>
      <c r="D3167">
        <v>1603.877</v>
      </c>
    </row>
    <row r="3168" spans="1:4" x14ac:dyDescent="0.25">
      <c r="A3168" t="s">
        <v>8</v>
      </c>
      <c r="B3168" t="s">
        <v>7</v>
      </c>
      <c r="C3168">
        <v>40</v>
      </c>
      <c r="D3168">
        <v>1618.7860000000001</v>
      </c>
    </row>
    <row r="3169" spans="1:4" x14ac:dyDescent="0.25">
      <c r="A3169" t="s">
        <v>8</v>
      </c>
      <c r="B3169" t="s">
        <v>7</v>
      </c>
      <c r="C3169">
        <v>40</v>
      </c>
      <c r="D3169">
        <v>1600.5940000000001</v>
      </c>
    </row>
    <row r="3170" spans="1:4" x14ac:dyDescent="0.25">
      <c r="A3170" t="s">
        <v>8</v>
      </c>
      <c r="B3170" t="s">
        <v>7</v>
      </c>
      <c r="C3170">
        <v>40</v>
      </c>
      <c r="D3170">
        <v>1597.771</v>
      </c>
    </row>
    <row r="3171" spans="1:4" x14ac:dyDescent="0.25">
      <c r="A3171" t="s">
        <v>8</v>
      </c>
      <c r="B3171" t="s">
        <v>7</v>
      </c>
      <c r="C3171">
        <v>40</v>
      </c>
      <c r="D3171">
        <v>1590.402</v>
      </c>
    </row>
    <row r="3172" spans="1:4" x14ac:dyDescent="0.25">
      <c r="A3172" t="s">
        <v>8</v>
      </c>
      <c r="B3172" t="s">
        <v>7</v>
      </c>
      <c r="C3172">
        <v>40</v>
      </c>
      <c r="D3172">
        <v>1607.028</v>
      </c>
    </row>
    <row r="3173" spans="1:4" x14ac:dyDescent="0.25">
      <c r="A3173" t="s">
        <v>8</v>
      </c>
      <c r="B3173" t="s">
        <v>7</v>
      </c>
      <c r="C3173">
        <v>40</v>
      </c>
      <c r="D3173">
        <v>1581.038</v>
      </c>
    </row>
    <row r="3174" spans="1:4" x14ac:dyDescent="0.25">
      <c r="A3174" t="s">
        <v>8</v>
      </c>
      <c r="B3174" t="s">
        <v>7</v>
      </c>
      <c r="C3174">
        <v>40</v>
      </c>
      <c r="D3174">
        <v>1592.52</v>
      </c>
    </row>
    <row r="3175" spans="1:4" x14ac:dyDescent="0.25">
      <c r="A3175" t="s">
        <v>8</v>
      </c>
      <c r="B3175" t="s">
        <v>7</v>
      </c>
      <c r="C3175">
        <v>40</v>
      </c>
      <c r="D3175">
        <v>1590.287</v>
      </c>
    </row>
    <row r="3176" spans="1:4" x14ac:dyDescent="0.25">
      <c r="A3176" t="s">
        <v>8</v>
      </c>
      <c r="B3176" t="s">
        <v>7</v>
      </c>
      <c r="C3176">
        <v>40</v>
      </c>
      <c r="D3176">
        <v>1588.6869999999999</v>
      </c>
    </row>
    <row r="3177" spans="1:4" x14ac:dyDescent="0.25">
      <c r="A3177" t="s">
        <v>8</v>
      </c>
      <c r="B3177" t="s">
        <v>7</v>
      </c>
      <c r="C3177">
        <v>40</v>
      </c>
      <c r="D3177">
        <v>1576.778</v>
      </c>
    </row>
    <row r="3178" spans="1:4" x14ac:dyDescent="0.25">
      <c r="A3178" t="s">
        <v>8</v>
      </c>
      <c r="B3178" t="s">
        <v>7</v>
      </c>
      <c r="C3178">
        <v>40</v>
      </c>
      <c r="D3178">
        <v>1594.374</v>
      </c>
    </row>
    <row r="3179" spans="1:4" x14ac:dyDescent="0.25">
      <c r="A3179" t="s">
        <v>8</v>
      </c>
      <c r="B3179" t="s">
        <v>7</v>
      </c>
      <c r="C3179">
        <v>40</v>
      </c>
      <c r="D3179">
        <v>1598.1690000000001</v>
      </c>
    </row>
    <row r="3180" spans="1:4" x14ac:dyDescent="0.25">
      <c r="A3180" t="s">
        <v>8</v>
      </c>
      <c r="B3180" t="s">
        <v>7</v>
      </c>
      <c r="C3180">
        <v>40</v>
      </c>
      <c r="D3180">
        <v>1599.826</v>
      </c>
    </row>
    <row r="3181" spans="1:4" x14ac:dyDescent="0.25">
      <c r="A3181" t="s">
        <v>8</v>
      </c>
      <c r="B3181" t="s">
        <v>7</v>
      </c>
      <c r="C3181">
        <v>40</v>
      </c>
      <c r="D3181">
        <v>1593.7049999999999</v>
      </c>
    </row>
    <row r="3182" spans="1:4" x14ac:dyDescent="0.25">
      <c r="A3182" t="s">
        <v>8</v>
      </c>
      <c r="B3182" t="s">
        <v>7</v>
      </c>
      <c r="C3182">
        <v>40</v>
      </c>
      <c r="D3182">
        <v>1572.3520000000001</v>
      </c>
    </row>
    <row r="3183" spans="1:4" x14ac:dyDescent="0.25">
      <c r="A3183" t="s">
        <v>8</v>
      </c>
      <c r="B3183" t="s">
        <v>7</v>
      </c>
      <c r="C3183">
        <v>40</v>
      </c>
      <c r="D3183">
        <v>1583.481</v>
      </c>
    </row>
    <row r="3184" spans="1:4" x14ac:dyDescent="0.25">
      <c r="A3184" t="s">
        <v>8</v>
      </c>
      <c r="B3184" t="s">
        <v>7</v>
      </c>
      <c r="C3184">
        <v>40</v>
      </c>
      <c r="D3184">
        <v>1593.7819999999999</v>
      </c>
    </row>
    <row r="3185" spans="1:4" x14ac:dyDescent="0.25">
      <c r="A3185" t="s">
        <v>8</v>
      </c>
      <c r="B3185" t="s">
        <v>7</v>
      </c>
      <c r="C3185">
        <v>40</v>
      </c>
      <c r="D3185">
        <v>1609.798</v>
      </c>
    </row>
    <row r="3186" spans="1:4" x14ac:dyDescent="0.25">
      <c r="A3186" t="s">
        <v>8</v>
      </c>
      <c r="B3186" t="s">
        <v>7</v>
      </c>
      <c r="C3186">
        <v>40</v>
      </c>
      <c r="D3186">
        <v>1592.67</v>
      </c>
    </row>
    <row r="3187" spans="1:4" x14ac:dyDescent="0.25">
      <c r="A3187" t="s">
        <v>8</v>
      </c>
      <c r="B3187" t="s">
        <v>7</v>
      </c>
      <c r="C3187">
        <v>40</v>
      </c>
      <c r="D3187">
        <v>1599.8969999999999</v>
      </c>
    </row>
    <row r="3188" spans="1:4" x14ac:dyDescent="0.25">
      <c r="A3188" t="s">
        <v>8</v>
      </c>
      <c r="B3188" t="s">
        <v>7</v>
      </c>
      <c r="C3188">
        <v>40</v>
      </c>
      <c r="D3188">
        <v>1581.6510000000001</v>
      </c>
    </row>
    <row r="3189" spans="1:4" x14ac:dyDescent="0.25">
      <c r="A3189" t="s">
        <v>8</v>
      </c>
      <c r="B3189" t="s">
        <v>7</v>
      </c>
      <c r="C3189">
        <v>40</v>
      </c>
      <c r="D3189">
        <v>1587.616</v>
      </c>
    </row>
    <row r="3190" spans="1:4" x14ac:dyDescent="0.25">
      <c r="A3190" t="s">
        <v>8</v>
      </c>
      <c r="B3190" t="s">
        <v>7</v>
      </c>
      <c r="C3190">
        <v>40</v>
      </c>
      <c r="D3190">
        <v>1603.356</v>
      </c>
    </row>
    <row r="3191" spans="1:4" x14ac:dyDescent="0.25">
      <c r="A3191" t="s">
        <v>8</v>
      </c>
      <c r="B3191" t="s">
        <v>7</v>
      </c>
      <c r="C3191">
        <v>40</v>
      </c>
      <c r="D3191">
        <v>1591.9380000000001</v>
      </c>
    </row>
    <row r="3192" spans="1:4" x14ac:dyDescent="0.25">
      <c r="A3192" t="s">
        <v>8</v>
      </c>
      <c r="B3192" t="s">
        <v>7</v>
      </c>
      <c r="C3192">
        <v>40</v>
      </c>
      <c r="D3192">
        <v>1618.9369999999999</v>
      </c>
    </row>
    <row r="3193" spans="1:4" x14ac:dyDescent="0.25">
      <c r="A3193" t="s">
        <v>8</v>
      </c>
      <c r="B3193" t="s">
        <v>7</v>
      </c>
      <c r="C3193">
        <v>40</v>
      </c>
      <c r="D3193">
        <v>1592.682</v>
      </c>
    </row>
    <row r="3194" spans="1:4" x14ac:dyDescent="0.25">
      <c r="A3194" t="s">
        <v>8</v>
      </c>
      <c r="B3194" t="s">
        <v>7</v>
      </c>
      <c r="C3194">
        <v>40</v>
      </c>
      <c r="D3194">
        <v>1598.239</v>
      </c>
    </row>
    <row r="3195" spans="1:4" x14ac:dyDescent="0.25">
      <c r="A3195" t="s">
        <v>8</v>
      </c>
      <c r="B3195" t="s">
        <v>7</v>
      </c>
      <c r="C3195">
        <v>40</v>
      </c>
      <c r="D3195">
        <v>1604.5229999999999</v>
      </c>
    </row>
    <row r="3196" spans="1:4" x14ac:dyDescent="0.25">
      <c r="A3196" t="s">
        <v>8</v>
      </c>
      <c r="B3196" t="s">
        <v>7</v>
      </c>
      <c r="C3196">
        <v>40</v>
      </c>
      <c r="D3196">
        <v>1617.412</v>
      </c>
    </row>
    <row r="3197" spans="1:4" x14ac:dyDescent="0.25">
      <c r="A3197" t="s">
        <v>8</v>
      </c>
      <c r="B3197" t="s">
        <v>7</v>
      </c>
      <c r="C3197">
        <v>40</v>
      </c>
      <c r="D3197">
        <v>1577.653</v>
      </c>
    </row>
    <row r="3198" spans="1:4" x14ac:dyDescent="0.25">
      <c r="A3198" t="s">
        <v>8</v>
      </c>
      <c r="B3198" t="s">
        <v>7</v>
      </c>
      <c r="C3198">
        <v>40</v>
      </c>
      <c r="D3198">
        <v>1600.357</v>
      </c>
    </row>
    <row r="3199" spans="1:4" x14ac:dyDescent="0.25">
      <c r="A3199" t="s">
        <v>8</v>
      </c>
      <c r="B3199" t="s">
        <v>7</v>
      </c>
      <c r="C3199">
        <v>40</v>
      </c>
      <c r="D3199">
        <v>1613.0029999999999</v>
      </c>
    </row>
    <row r="3200" spans="1:4" x14ac:dyDescent="0.25">
      <c r="A3200" t="s">
        <v>8</v>
      </c>
      <c r="B3200" t="s">
        <v>7</v>
      </c>
      <c r="C3200">
        <v>40</v>
      </c>
      <c r="D3200">
        <v>1591.9680000000001</v>
      </c>
    </row>
    <row r="3201" spans="1:4" x14ac:dyDescent="0.25">
      <c r="A3201" t="s">
        <v>8</v>
      </c>
      <c r="B3201" t="s">
        <v>7</v>
      </c>
      <c r="C3201">
        <v>40</v>
      </c>
      <c r="D3201">
        <v>1607.971</v>
      </c>
    </row>
    <row r="3202" spans="1:4" x14ac:dyDescent="0.25">
      <c r="A3202" t="s">
        <v>8</v>
      </c>
      <c r="B3202" t="s">
        <v>7</v>
      </c>
      <c r="C3202">
        <v>60</v>
      </c>
      <c r="D3202">
        <v>2145.9639999999999</v>
      </c>
    </row>
    <row r="3203" spans="1:4" x14ac:dyDescent="0.25">
      <c r="A3203" t="s">
        <v>8</v>
      </c>
      <c r="B3203" t="s">
        <v>7</v>
      </c>
      <c r="C3203">
        <v>60</v>
      </c>
      <c r="D3203">
        <v>2154.4920000000002</v>
      </c>
    </row>
    <row r="3204" spans="1:4" x14ac:dyDescent="0.25">
      <c r="A3204" t="s">
        <v>8</v>
      </c>
      <c r="B3204" t="s">
        <v>7</v>
      </c>
      <c r="C3204">
        <v>60</v>
      </c>
      <c r="D3204">
        <v>2188.0459999999998</v>
      </c>
    </row>
    <row r="3205" spans="1:4" x14ac:dyDescent="0.25">
      <c r="A3205" t="s">
        <v>8</v>
      </c>
      <c r="B3205" t="s">
        <v>7</v>
      </c>
      <c r="C3205">
        <v>60</v>
      </c>
      <c r="D3205">
        <v>2171.6779999999999</v>
      </c>
    </row>
    <row r="3206" spans="1:4" x14ac:dyDescent="0.25">
      <c r="A3206" t="s">
        <v>8</v>
      </c>
      <c r="B3206" t="s">
        <v>7</v>
      </c>
      <c r="C3206">
        <v>60</v>
      </c>
      <c r="D3206">
        <v>2208.6480000000001</v>
      </c>
    </row>
    <row r="3207" spans="1:4" x14ac:dyDescent="0.25">
      <c r="A3207" t="s">
        <v>8</v>
      </c>
      <c r="B3207" t="s">
        <v>7</v>
      </c>
      <c r="C3207">
        <v>60</v>
      </c>
      <c r="D3207">
        <v>2168.35</v>
      </c>
    </row>
    <row r="3208" spans="1:4" x14ac:dyDescent="0.25">
      <c r="A3208" t="s">
        <v>8</v>
      </c>
      <c r="B3208" t="s">
        <v>7</v>
      </c>
      <c r="C3208">
        <v>60</v>
      </c>
      <c r="D3208">
        <v>2206.6610000000001</v>
      </c>
    </row>
    <row r="3209" spans="1:4" x14ac:dyDescent="0.25">
      <c r="A3209" t="s">
        <v>8</v>
      </c>
      <c r="B3209" t="s">
        <v>7</v>
      </c>
      <c r="C3209">
        <v>60</v>
      </c>
      <c r="D3209">
        <v>2205.779</v>
      </c>
    </row>
    <row r="3210" spans="1:4" x14ac:dyDescent="0.25">
      <c r="A3210" t="s">
        <v>8</v>
      </c>
      <c r="B3210" t="s">
        <v>7</v>
      </c>
      <c r="C3210">
        <v>60</v>
      </c>
      <c r="D3210">
        <v>2145.4569999999999</v>
      </c>
    </row>
    <row r="3211" spans="1:4" x14ac:dyDescent="0.25">
      <c r="A3211" t="s">
        <v>8</v>
      </c>
      <c r="B3211" t="s">
        <v>7</v>
      </c>
      <c r="C3211">
        <v>60</v>
      </c>
      <c r="D3211">
        <v>2160.846</v>
      </c>
    </row>
    <row r="3212" spans="1:4" x14ac:dyDescent="0.25">
      <c r="A3212" t="s">
        <v>8</v>
      </c>
      <c r="B3212" t="s">
        <v>7</v>
      </c>
      <c r="C3212">
        <v>60</v>
      </c>
      <c r="D3212">
        <v>2175.1390000000001</v>
      </c>
    </row>
    <row r="3213" spans="1:4" x14ac:dyDescent="0.25">
      <c r="A3213" t="s">
        <v>8</v>
      </c>
      <c r="B3213" t="s">
        <v>7</v>
      </c>
      <c r="C3213">
        <v>60</v>
      </c>
      <c r="D3213">
        <v>2141.261</v>
      </c>
    </row>
    <row r="3214" spans="1:4" x14ac:dyDescent="0.25">
      <c r="A3214" t="s">
        <v>8</v>
      </c>
      <c r="B3214" t="s">
        <v>7</v>
      </c>
      <c r="C3214">
        <v>60</v>
      </c>
      <c r="D3214">
        <v>2193.7530000000002</v>
      </c>
    </row>
    <row r="3215" spans="1:4" x14ac:dyDescent="0.25">
      <c r="A3215" t="s">
        <v>8</v>
      </c>
      <c r="B3215" t="s">
        <v>7</v>
      </c>
      <c r="C3215">
        <v>60</v>
      </c>
      <c r="D3215">
        <v>2167.2339999999999</v>
      </c>
    </row>
    <row r="3216" spans="1:4" x14ac:dyDescent="0.25">
      <c r="A3216" t="s">
        <v>8</v>
      </c>
      <c r="B3216" t="s">
        <v>7</v>
      </c>
      <c r="C3216">
        <v>60</v>
      </c>
      <c r="D3216">
        <v>2144.9989999999998</v>
      </c>
    </row>
    <row r="3217" spans="1:4" x14ac:dyDescent="0.25">
      <c r="A3217" t="s">
        <v>8</v>
      </c>
      <c r="B3217" t="s">
        <v>7</v>
      </c>
      <c r="C3217">
        <v>60</v>
      </c>
      <c r="D3217">
        <v>2168.614</v>
      </c>
    </row>
    <row r="3218" spans="1:4" x14ac:dyDescent="0.25">
      <c r="A3218" t="s">
        <v>8</v>
      </c>
      <c r="B3218" t="s">
        <v>7</v>
      </c>
      <c r="C3218">
        <v>60</v>
      </c>
      <c r="D3218">
        <v>2126.645</v>
      </c>
    </row>
    <row r="3219" spans="1:4" x14ac:dyDescent="0.25">
      <c r="A3219" t="s">
        <v>8</v>
      </c>
      <c r="B3219" t="s">
        <v>7</v>
      </c>
      <c r="C3219">
        <v>60</v>
      </c>
      <c r="D3219">
        <v>2160.116</v>
      </c>
    </row>
    <row r="3220" spans="1:4" x14ac:dyDescent="0.25">
      <c r="A3220" t="s">
        <v>8</v>
      </c>
      <c r="B3220" t="s">
        <v>7</v>
      </c>
      <c r="C3220">
        <v>60</v>
      </c>
      <c r="D3220">
        <v>2167.567</v>
      </c>
    </row>
    <row r="3221" spans="1:4" x14ac:dyDescent="0.25">
      <c r="A3221" t="s">
        <v>8</v>
      </c>
      <c r="B3221" t="s">
        <v>7</v>
      </c>
      <c r="C3221">
        <v>60</v>
      </c>
      <c r="D3221">
        <v>2186.2139999999999</v>
      </c>
    </row>
    <row r="3222" spans="1:4" x14ac:dyDescent="0.25">
      <c r="A3222" t="s">
        <v>8</v>
      </c>
      <c r="B3222" t="s">
        <v>7</v>
      </c>
      <c r="C3222">
        <v>60</v>
      </c>
      <c r="D3222">
        <v>2157.578</v>
      </c>
    </row>
    <row r="3223" spans="1:4" x14ac:dyDescent="0.25">
      <c r="A3223" t="s">
        <v>8</v>
      </c>
      <c r="B3223" t="s">
        <v>7</v>
      </c>
      <c r="C3223">
        <v>60</v>
      </c>
      <c r="D3223">
        <v>2163.7040000000002</v>
      </c>
    </row>
    <row r="3224" spans="1:4" x14ac:dyDescent="0.25">
      <c r="A3224" t="s">
        <v>8</v>
      </c>
      <c r="B3224" t="s">
        <v>7</v>
      </c>
      <c r="C3224">
        <v>60</v>
      </c>
      <c r="D3224">
        <v>2167.23</v>
      </c>
    </row>
    <row r="3225" spans="1:4" x14ac:dyDescent="0.25">
      <c r="A3225" t="s">
        <v>8</v>
      </c>
      <c r="B3225" t="s">
        <v>7</v>
      </c>
      <c r="C3225">
        <v>60</v>
      </c>
      <c r="D3225">
        <v>2188.3119999999999</v>
      </c>
    </row>
    <row r="3226" spans="1:4" x14ac:dyDescent="0.25">
      <c r="A3226" t="s">
        <v>8</v>
      </c>
      <c r="B3226" t="s">
        <v>7</v>
      </c>
      <c r="C3226">
        <v>60</v>
      </c>
      <c r="D3226">
        <v>2162.453</v>
      </c>
    </row>
    <row r="3227" spans="1:4" x14ac:dyDescent="0.25">
      <c r="A3227" t="s">
        <v>8</v>
      </c>
      <c r="B3227" t="s">
        <v>7</v>
      </c>
      <c r="C3227">
        <v>60</v>
      </c>
      <c r="D3227">
        <v>2154.7249999999999</v>
      </c>
    </row>
    <row r="3228" spans="1:4" x14ac:dyDescent="0.25">
      <c r="A3228" t="s">
        <v>8</v>
      </c>
      <c r="B3228" t="s">
        <v>7</v>
      </c>
      <c r="C3228">
        <v>60</v>
      </c>
      <c r="D3228">
        <v>2148.069</v>
      </c>
    </row>
    <row r="3229" spans="1:4" x14ac:dyDescent="0.25">
      <c r="A3229" t="s">
        <v>8</v>
      </c>
      <c r="B3229" t="s">
        <v>7</v>
      </c>
      <c r="C3229">
        <v>60</v>
      </c>
      <c r="D3229">
        <v>2171.1750000000002</v>
      </c>
    </row>
    <row r="3230" spans="1:4" x14ac:dyDescent="0.25">
      <c r="A3230" t="s">
        <v>8</v>
      </c>
      <c r="B3230" t="s">
        <v>7</v>
      </c>
      <c r="C3230">
        <v>60</v>
      </c>
      <c r="D3230">
        <v>2159.3719999999998</v>
      </c>
    </row>
    <row r="3231" spans="1:4" x14ac:dyDescent="0.25">
      <c r="A3231" t="s">
        <v>8</v>
      </c>
      <c r="B3231" t="s">
        <v>7</v>
      </c>
      <c r="C3231">
        <v>60</v>
      </c>
      <c r="D3231">
        <v>2170.7190000000001</v>
      </c>
    </row>
    <row r="3232" spans="1:4" x14ac:dyDescent="0.25">
      <c r="A3232" t="s">
        <v>8</v>
      </c>
      <c r="B3232" t="s">
        <v>7</v>
      </c>
      <c r="C3232">
        <v>60</v>
      </c>
      <c r="D3232">
        <v>2151.5540000000001</v>
      </c>
    </row>
    <row r="3233" spans="1:4" x14ac:dyDescent="0.25">
      <c r="A3233" t="s">
        <v>8</v>
      </c>
      <c r="B3233" t="s">
        <v>7</v>
      </c>
      <c r="C3233">
        <v>60</v>
      </c>
      <c r="D3233">
        <v>2165.9169999999999</v>
      </c>
    </row>
    <row r="3234" spans="1:4" x14ac:dyDescent="0.25">
      <c r="A3234" t="s">
        <v>8</v>
      </c>
      <c r="B3234" t="s">
        <v>7</v>
      </c>
      <c r="C3234">
        <v>60</v>
      </c>
      <c r="D3234">
        <v>2168.6930000000002</v>
      </c>
    </row>
    <row r="3235" spans="1:4" x14ac:dyDescent="0.25">
      <c r="A3235" t="s">
        <v>8</v>
      </c>
      <c r="B3235" t="s">
        <v>7</v>
      </c>
      <c r="C3235">
        <v>60</v>
      </c>
      <c r="D3235">
        <v>2181.6640000000002</v>
      </c>
    </row>
    <row r="3236" spans="1:4" x14ac:dyDescent="0.25">
      <c r="A3236" t="s">
        <v>8</v>
      </c>
      <c r="B3236" t="s">
        <v>7</v>
      </c>
      <c r="C3236">
        <v>60</v>
      </c>
      <c r="D3236">
        <v>2161.346</v>
      </c>
    </row>
    <row r="3237" spans="1:4" x14ac:dyDescent="0.25">
      <c r="A3237" t="s">
        <v>8</v>
      </c>
      <c r="B3237" t="s">
        <v>7</v>
      </c>
      <c r="C3237">
        <v>60</v>
      </c>
      <c r="D3237">
        <v>2186.7240000000002</v>
      </c>
    </row>
    <row r="3238" spans="1:4" x14ac:dyDescent="0.25">
      <c r="A3238" t="s">
        <v>8</v>
      </c>
      <c r="B3238" t="s">
        <v>7</v>
      </c>
      <c r="C3238">
        <v>60</v>
      </c>
      <c r="D3238">
        <v>2146.9450000000002</v>
      </c>
    </row>
    <row r="3239" spans="1:4" x14ac:dyDescent="0.25">
      <c r="A3239" t="s">
        <v>8</v>
      </c>
      <c r="B3239" t="s">
        <v>7</v>
      </c>
      <c r="C3239">
        <v>60</v>
      </c>
      <c r="D3239">
        <v>2164.1280000000002</v>
      </c>
    </row>
    <row r="3240" spans="1:4" x14ac:dyDescent="0.25">
      <c r="A3240" t="s">
        <v>8</v>
      </c>
      <c r="B3240" t="s">
        <v>7</v>
      </c>
      <c r="C3240">
        <v>60</v>
      </c>
      <c r="D3240">
        <v>2159.9479999999999</v>
      </c>
    </row>
    <row r="3241" spans="1:4" x14ac:dyDescent="0.25">
      <c r="A3241" t="s">
        <v>8</v>
      </c>
      <c r="B3241" t="s">
        <v>7</v>
      </c>
      <c r="C3241">
        <v>60</v>
      </c>
      <c r="D3241">
        <v>2147.1120000000001</v>
      </c>
    </row>
    <row r="3242" spans="1:4" x14ac:dyDescent="0.25">
      <c r="A3242" t="s">
        <v>8</v>
      </c>
      <c r="B3242" t="s">
        <v>7</v>
      </c>
      <c r="C3242">
        <v>60</v>
      </c>
      <c r="D3242">
        <v>2181.4690000000001</v>
      </c>
    </row>
    <row r="3243" spans="1:4" x14ac:dyDescent="0.25">
      <c r="A3243" t="s">
        <v>8</v>
      </c>
      <c r="B3243" t="s">
        <v>7</v>
      </c>
      <c r="C3243">
        <v>60</v>
      </c>
      <c r="D3243">
        <v>2148.4499999999998</v>
      </c>
    </row>
    <row r="3244" spans="1:4" x14ac:dyDescent="0.25">
      <c r="A3244" t="s">
        <v>8</v>
      </c>
      <c r="B3244" t="s">
        <v>7</v>
      </c>
      <c r="C3244">
        <v>60</v>
      </c>
      <c r="D3244">
        <v>2175.002</v>
      </c>
    </row>
    <row r="3245" spans="1:4" x14ac:dyDescent="0.25">
      <c r="A3245" t="s">
        <v>8</v>
      </c>
      <c r="B3245" t="s">
        <v>7</v>
      </c>
      <c r="C3245">
        <v>60</v>
      </c>
      <c r="D3245">
        <v>2134.3969999999999</v>
      </c>
    </row>
    <row r="3246" spans="1:4" x14ac:dyDescent="0.25">
      <c r="A3246" t="s">
        <v>8</v>
      </c>
      <c r="B3246" t="s">
        <v>7</v>
      </c>
      <c r="C3246">
        <v>60</v>
      </c>
      <c r="D3246">
        <v>2154.7280000000001</v>
      </c>
    </row>
    <row r="3247" spans="1:4" x14ac:dyDescent="0.25">
      <c r="A3247" t="s">
        <v>8</v>
      </c>
      <c r="B3247" t="s">
        <v>7</v>
      </c>
      <c r="C3247">
        <v>60</v>
      </c>
      <c r="D3247">
        <v>2183.6819999999998</v>
      </c>
    </row>
    <row r="3248" spans="1:4" x14ac:dyDescent="0.25">
      <c r="A3248" t="s">
        <v>8</v>
      </c>
      <c r="B3248" t="s">
        <v>7</v>
      </c>
      <c r="C3248">
        <v>60</v>
      </c>
      <c r="D3248">
        <v>2166.17</v>
      </c>
    </row>
    <row r="3249" spans="1:4" x14ac:dyDescent="0.25">
      <c r="A3249" t="s">
        <v>8</v>
      </c>
      <c r="B3249" t="s">
        <v>7</v>
      </c>
      <c r="C3249">
        <v>60</v>
      </c>
      <c r="D3249">
        <v>2178.8890000000001</v>
      </c>
    </row>
    <row r="3250" spans="1:4" x14ac:dyDescent="0.25">
      <c r="A3250" t="s">
        <v>8</v>
      </c>
      <c r="B3250" t="s">
        <v>7</v>
      </c>
      <c r="C3250">
        <v>60</v>
      </c>
      <c r="D3250">
        <v>2109.3980000000001</v>
      </c>
    </row>
    <row r="3251" spans="1:4" x14ac:dyDescent="0.25">
      <c r="A3251" t="s">
        <v>8</v>
      </c>
      <c r="B3251" t="s">
        <v>7</v>
      </c>
      <c r="C3251">
        <v>60</v>
      </c>
      <c r="D3251">
        <v>2167.5129999999999</v>
      </c>
    </row>
    <row r="3252" spans="1:4" x14ac:dyDescent="0.25">
      <c r="A3252" t="s">
        <v>8</v>
      </c>
      <c r="B3252" t="s">
        <v>7</v>
      </c>
      <c r="C3252">
        <v>60</v>
      </c>
      <c r="D3252">
        <v>2159.9720000000002</v>
      </c>
    </row>
    <row r="3253" spans="1:4" x14ac:dyDescent="0.25">
      <c r="A3253" t="s">
        <v>8</v>
      </c>
      <c r="B3253" t="s">
        <v>7</v>
      </c>
      <c r="C3253">
        <v>60</v>
      </c>
      <c r="D3253">
        <v>2159.6959999999999</v>
      </c>
    </row>
    <row r="3254" spans="1:4" x14ac:dyDescent="0.25">
      <c r="A3254" t="s">
        <v>8</v>
      </c>
      <c r="B3254" t="s">
        <v>7</v>
      </c>
      <c r="C3254">
        <v>60</v>
      </c>
      <c r="D3254">
        <v>2165.1060000000002</v>
      </c>
    </row>
    <row r="3255" spans="1:4" x14ac:dyDescent="0.25">
      <c r="A3255" t="s">
        <v>8</v>
      </c>
      <c r="B3255" t="s">
        <v>7</v>
      </c>
      <c r="C3255">
        <v>60</v>
      </c>
      <c r="D3255">
        <v>2140.8919999999998</v>
      </c>
    </row>
    <row r="3256" spans="1:4" x14ac:dyDescent="0.25">
      <c r="A3256" t="s">
        <v>8</v>
      </c>
      <c r="B3256" t="s">
        <v>7</v>
      </c>
      <c r="C3256">
        <v>60</v>
      </c>
      <c r="D3256">
        <v>2144.5509999999999</v>
      </c>
    </row>
    <row r="3257" spans="1:4" x14ac:dyDescent="0.25">
      <c r="A3257" t="s">
        <v>8</v>
      </c>
      <c r="B3257" t="s">
        <v>7</v>
      </c>
      <c r="C3257">
        <v>60</v>
      </c>
      <c r="D3257">
        <v>2191.1660000000002</v>
      </c>
    </row>
    <row r="3258" spans="1:4" x14ac:dyDescent="0.25">
      <c r="A3258" t="s">
        <v>8</v>
      </c>
      <c r="B3258" t="s">
        <v>7</v>
      </c>
      <c r="C3258">
        <v>60</v>
      </c>
      <c r="D3258">
        <v>2175.5169999999998</v>
      </c>
    </row>
    <row r="3259" spans="1:4" x14ac:dyDescent="0.25">
      <c r="A3259" t="s">
        <v>8</v>
      </c>
      <c r="B3259" t="s">
        <v>7</v>
      </c>
      <c r="C3259">
        <v>60</v>
      </c>
      <c r="D3259">
        <v>2193.433</v>
      </c>
    </row>
    <row r="3260" spans="1:4" x14ac:dyDescent="0.25">
      <c r="A3260" t="s">
        <v>8</v>
      </c>
      <c r="B3260" t="s">
        <v>7</v>
      </c>
      <c r="C3260">
        <v>60</v>
      </c>
      <c r="D3260">
        <v>2161.52</v>
      </c>
    </row>
    <row r="3261" spans="1:4" x14ac:dyDescent="0.25">
      <c r="A3261" t="s">
        <v>8</v>
      </c>
      <c r="B3261" t="s">
        <v>7</v>
      </c>
      <c r="C3261">
        <v>60</v>
      </c>
      <c r="D3261">
        <v>2175.2689999999998</v>
      </c>
    </row>
    <row r="3262" spans="1:4" x14ac:dyDescent="0.25">
      <c r="A3262" t="s">
        <v>8</v>
      </c>
      <c r="B3262" t="s">
        <v>7</v>
      </c>
      <c r="C3262">
        <v>60</v>
      </c>
      <c r="D3262">
        <v>2192.5239999999999</v>
      </c>
    </row>
    <row r="3263" spans="1:4" x14ac:dyDescent="0.25">
      <c r="A3263" t="s">
        <v>8</v>
      </c>
      <c r="B3263" t="s">
        <v>7</v>
      </c>
      <c r="C3263">
        <v>60</v>
      </c>
      <c r="D3263">
        <v>2181.9079999999999</v>
      </c>
    </row>
    <row r="3264" spans="1:4" x14ac:dyDescent="0.25">
      <c r="A3264" t="s">
        <v>8</v>
      </c>
      <c r="B3264" t="s">
        <v>7</v>
      </c>
      <c r="C3264">
        <v>60</v>
      </c>
      <c r="D3264">
        <v>2173.9110000000001</v>
      </c>
    </row>
    <row r="3265" spans="1:4" x14ac:dyDescent="0.25">
      <c r="A3265" t="s">
        <v>8</v>
      </c>
      <c r="B3265" t="s">
        <v>7</v>
      </c>
      <c r="C3265">
        <v>60</v>
      </c>
      <c r="D3265">
        <v>2194.6439999999998</v>
      </c>
    </row>
    <row r="3266" spans="1:4" x14ac:dyDescent="0.25">
      <c r="A3266" t="s">
        <v>8</v>
      </c>
      <c r="B3266" t="s">
        <v>7</v>
      </c>
      <c r="C3266">
        <v>60</v>
      </c>
      <c r="D3266">
        <v>2152.9780000000001</v>
      </c>
    </row>
    <row r="3267" spans="1:4" x14ac:dyDescent="0.25">
      <c r="A3267" t="s">
        <v>8</v>
      </c>
      <c r="B3267" t="s">
        <v>7</v>
      </c>
      <c r="C3267">
        <v>60</v>
      </c>
      <c r="D3267">
        <v>2226.873</v>
      </c>
    </row>
    <row r="3268" spans="1:4" x14ac:dyDescent="0.25">
      <c r="A3268" t="s">
        <v>8</v>
      </c>
      <c r="B3268" t="s">
        <v>7</v>
      </c>
      <c r="C3268">
        <v>60</v>
      </c>
      <c r="D3268">
        <v>2186.6660000000002</v>
      </c>
    </row>
    <row r="3269" spans="1:4" x14ac:dyDescent="0.25">
      <c r="A3269" t="s">
        <v>8</v>
      </c>
      <c r="B3269" t="s">
        <v>7</v>
      </c>
      <c r="C3269">
        <v>60</v>
      </c>
      <c r="D3269">
        <v>2182.127</v>
      </c>
    </row>
    <row r="3270" spans="1:4" x14ac:dyDescent="0.25">
      <c r="A3270" t="s">
        <v>8</v>
      </c>
      <c r="B3270" t="s">
        <v>7</v>
      </c>
      <c r="C3270">
        <v>60</v>
      </c>
      <c r="D3270">
        <v>2190.9839999999999</v>
      </c>
    </row>
    <row r="3271" spans="1:4" x14ac:dyDescent="0.25">
      <c r="A3271" t="s">
        <v>8</v>
      </c>
      <c r="B3271" t="s">
        <v>7</v>
      </c>
      <c r="C3271">
        <v>60</v>
      </c>
      <c r="D3271">
        <v>2180.962</v>
      </c>
    </row>
    <row r="3272" spans="1:4" x14ac:dyDescent="0.25">
      <c r="A3272" t="s">
        <v>8</v>
      </c>
      <c r="B3272" t="s">
        <v>7</v>
      </c>
      <c r="C3272">
        <v>60</v>
      </c>
      <c r="D3272">
        <v>2137.3809999999999</v>
      </c>
    </row>
    <row r="3273" spans="1:4" x14ac:dyDescent="0.25">
      <c r="A3273" t="s">
        <v>8</v>
      </c>
      <c r="B3273" t="s">
        <v>7</v>
      </c>
      <c r="C3273">
        <v>60</v>
      </c>
      <c r="D3273">
        <v>2158.37</v>
      </c>
    </row>
    <row r="3274" spans="1:4" x14ac:dyDescent="0.25">
      <c r="A3274" t="s">
        <v>8</v>
      </c>
      <c r="B3274" t="s">
        <v>7</v>
      </c>
      <c r="C3274">
        <v>60</v>
      </c>
      <c r="D3274">
        <v>2163.674</v>
      </c>
    </row>
    <row r="3275" spans="1:4" x14ac:dyDescent="0.25">
      <c r="A3275" t="s">
        <v>8</v>
      </c>
      <c r="B3275" t="s">
        <v>7</v>
      </c>
      <c r="C3275">
        <v>60</v>
      </c>
      <c r="D3275">
        <v>2215.5549999999998</v>
      </c>
    </row>
    <row r="3276" spans="1:4" x14ac:dyDescent="0.25">
      <c r="A3276" t="s">
        <v>8</v>
      </c>
      <c r="B3276" t="s">
        <v>7</v>
      </c>
      <c r="C3276">
        <v>60</v>
      </c>
      <c r="D3276">
        <v>2159.056</v>
      </c>
    </row>
    <row r="3277" spans="1:4" x14ac:dyDescent="0.25">
      <c r="A3277" t="s">
        <v>8</v>
      </c>
      <c r="B3277" t="s">
        <v>7</v>
      </c>
      <c r="C3277">
        <v>60</v>
      </c>
      <c r="D3277">
        <v>2171.0929999999998</v>
      </c>
    </row>
    <row r="3278" spans="1:4" x14ac:dyDescent="0.25">
      <c r="A3278" t="s">
        <v>8</v>
      </c>
      <c r="B3278" t="s">
        <v>7</v>
      </c>
      <c r="C3278">
        <v>60</v>
      </c>
      <c r="D3278">
        <v>2189.8150000000001</v>
      </c>
    </row>
    <row r="3279" spans="1:4" x14ac:dyDescent="0.25">
      <c r="A3279" t="s">
        <v>8</v>
      </c>
      <c r="B3279" t="s">
        <v>7</v>
      </c>
      <c r="C3279">
        <v>60</v>
      </c>
      <c r="D3279">
        <v>2167.6559999999999</v>
      </c>
    </row>
    <row r="3280" spans="1:4" x14ac:dyDescent="0.25">
      <c r="A3280" t="s">
        <v>8</v>
      </c>
      <c r="B3280" t="s">
        <v>7</v>
      </c>
      <c r="C3280">
        <v>60</v>
      </c>
      <c r="D3280">
        <v>2172.4879999999998</v>
      </c>
    </row>
    <row r="3281" spans="1:4" x14ac:dyDescent="0.25">
      <c r="A3281" t="s">
        <v>8</v>
      </c>
      <c r="B3281" t="s">
        <v>7</v>
      </c>
      <c r="C3281">
        <v>60</v>
      </c>
      <c r="D3281">
        <v>2154.855</v>
      </c>
    </row>
    <row r="3282" spans="1:4" x14ac:dyDescent="0.25">
      <c r="A3282" t="s">
        <v>8</v>
      </c>
      <c r="B3282" t="s">
        <v>7</v>
      </c>
      <c r="C3282">
        <v>60</v>
      </c>
      <c r="D3282">
        <v>2183.681</v>
      </c>
    </row>
    <row r="3283" spans="1:4" x14ac:dyDescent="0.25">
      <c r="A3283" t="s">
        <v>8</v>
      </c>
      <c r="B3283" t="s">
        <v>7</v>
      </c>
      <c r="C3283">
        <v>60</v>
      </c>
      <c r="D3283">
        <v>2168.2399999999998</v>
      </c>
    </row>
    <row r="3284" spans="1:4" x14ac:dyDescent="0.25">
      <c r="A3284" t="s">
        <v>8</v>
      </c>
      <c r="B3284" t="s">
        <v>7</v>
      </c>
      <c r="C3284">
        <v>60</v>
      </c>
      <c r="D3284">
        <v>2144.9380000000001</v>
      </c>
    </row>
    <row r="3285" spans="1:4" x14ac:dyDescent="0.25">
      <c r="A3285" t="s">
        <v>8</v>
      </c>
      <c r="B3285" t="s">
        <v>7</v>
      </c>
      <c r="C3285">
        <v>60</v>
      </c>
      <c r="D3285">
        <v>2152.5940000000001</v>
      </c>
    </row>
    <row r="3286" spans="1:4" x14ac:dyDescent="0.25">
      <c r="A3286" t="s">
        <v>8</v>
      </c>
      <c r="B3286" t="s">
        <v>7</v>
      </c>
      <c r="C3286">
        <v>60</v>
      </c>
      <c r="D3286">
        <v>2148.6689999999999</v>
      </c>
    </row>
    <row r="3287" spans="1:4" x14ac:dyDescent="0.25">
      <c r="A3287" t="s">
        <v>8</v>
      </c>
      <c r="B3287" t="s">
        <v>7</v>
      </c>
      <c r="C3287">
        <v>60</v>
      </c>
      <c r="D3287">
        <v>2210.529</v>
      </c>
    </row>
    <row r="3288" spans="1:4" x14ac:dyDescent="0.25">
      <c r="A3288" t="s">
        <v>8</v>
      </c>
      <c r="B3288" t="s">
        <v>7</v>
      </c>
      <c r="C3288">
        <v>60</v>
      </c>
      <c r="D3288">
        <v>2172.123</v>
      </c>
    </row>
    <row r="3289" spans="1:4" x14ac:dyDescent="0.25">
      <c r="A3289" t="s">
        <v>8</v>
      </c>
      <c r="B3289" t="s">
        <v>7</v>
      </c>
      <c r="C3289">
        <v>60</v>
      </c>
      <c r="D3289">
        <v>2162.6239999999998</v>
      </c>
    </row>
    <row r="3290" spans="1:4" x14ac:dyDescent="0.25">
      <c r="A3290" t="s">
        <v>8</v>
      </c>
      <c r="B3290" t="s">
        <v>7</v>
      </c>
      <c r="C3290">
        <v>60</v>
      </c>
      <c r="D3290">
        <v>2177.7739999999999</v>
      </c>
    </row>
    <row r="3291" spans="1:4" x14ac:dyDescent="0.25">
      <c r="A3291" t="s">
        <v>8</v>
      </c>
      <c r="B3291" t="s">
        <v>7</v>
      </c>
      <c r="C3291">
        <v>60</v>
      </c>
      <c r="D3291">
        <v>2158.009</v>
      </c>
    </row>
    <row r="3292" spans="1:4" x14ac:dyDescent="0.25">
      <c r="A3292" t="s">
        <v>8</v>
      </c>
      <c r="B3292" t="s">
        <v>7</v>
      </c>
      <c r="C3292">
        <v>60</v>
      </c>
      <c r="D3292">
        <v>2145.6469999999999</v>
      </c>
    </row>
    <row r="3293" spans="1:4" x14ac:dyDescent="0.25">
      <c r="A3293" t="s">
        <v>8</v>
      </c>
      <c r="B3293" t="s">
        <v>7</v>
      </c>
      <c r="C3293">
        <v>60</v>
      </c>
      <c r="D3293">
        <v>2162.0970000000002</v>
      </c>
    </row>
    <row r="3294" spans="1:4" x14ac:dyDescent="0.25">
      <c r="A3294" t="s">
        <v>8</v>
      </c>
      <c r="B3294" t="s">
        <v>7</v>
      </c>
      <c r="C3294">
        <v>60</v>
      </c>
      <c r="D3294">
        <v>2174.5540000000001</v>
      </c>
    </row>
    <row r="3295" spans="1:4" x14ac:dyDescent="0.25">
      <c r="A3295" t="s">
        <v>8</v>
      </c>
      <c r="B3295" t="s">
        <v>7</v>
      </c>
      <c r="C3295">
        <v>60</v>
      </c>
      <c r="D3295">
        <v>2215.107</v>
      </c>
    </row>
    <row r="3296" spans="1:4" x14ac:dyDescent="0.25">
      <c r="A3296" t="s">
        <v>8</v>
      </c>
      <c r="B3296" t="s">
        <v>7</v>
      </c>
      <c r="C3296">
        <v>60</v>
      </c>
      <c r="D3296">
        <v>2188.2150000000001</v>
      </c>
    </row>
    <row r="3297" spans="1:4" x14ac:dyDescent="0.25">
      <c r="A3297" t="s">
        <v>8</v>
      </c>
      <c r="B3297" t="s">
        <v>7</v>
      </c>
      <c r="C3297">
        <v>60</v>
      </c>
      <c r="D3297">
        <v>2155.326</v>
      </c>
    </row>
    <row r="3298" spans="1:4" x14ac:dyDescent="0.25">
      <c r="A3298" t="s">
        <v>8</v>
      </c>
      <c r="B3298" t="s">
        <v>7</v>
      </c>
      <c r="C3298">
        <v>60</v>
      </c>
      <c r="D3298">
        <v>2143.7890000000002</v>
      </c>
    </row>
    <row r="3299" spans="1:4" x14ac:dyDescent="0.25">
      <c r="A3299" t="s">
        <v>8</v>
      </c>
      <c r="B3299" t="s">
        <v>7</v>
      </c>
      <c r="C3299">
        <v>60</v>
      </c>
      <c r="D3299">
        <v>2206.5230000000001</v>
      </c>
    </row>
    <row r="3300" spans="1:4" x14ac:dyDescent="0.25">
      <c r="A3300" t="s">
        <v>8</v>
      </c>
      <c r="B3300" t="s">
        <v>7</v>
      </c>
      <c r="C3300">
        <v>60</v>
      </c>
      <c r="D3300">
        <v>2198.56</v>
      </c>
    </row>
    <row r="3301" spans="1:4" x14ac:dyDescent="0.25">
      <c r="A3301" t="s">
        <v>8</v>
      </c>
      <c r="B3301" t="s">
        <v>7</v>
      </c>
      <c r="C3301">
        <v>60</v>
      </c>
      <c r="D3301">
        <v>2164.2840000000001</v>
      </c>
    </row>
    <row r="3302" spans="1:4" x14ac:dyDescent="0.25">
      <c r="A3302" t="s">
        <v>8</v>
      </c>
      <c r="B3302" t="s">
        <v>7</v>
      </c>
      <c r="C3302">
        <v>80</v>
      </c>
      <c r="D3302">
        <v>2765.6750000000002</v>
      </c>
    </row>
    <row r="3303" spans="1:4" x14ac:dyDescent="0.25">
      <c r="A3303" t="s">
        <v>8</v>
      </c>
      <c r="B3303" t="s">
        <v>7</v>
      </c>
      <c r="C3303">
        <v>80</v>
      </c>
      <c r="D3303">
        <v>2786.0160000000001</v>
      </c>
    </row>
    <row r="3304" spans="1:4" x14ac:dyDescent="0.25">
      <c r="A3304" t="s">
        <v>8</v>
      </c>
      <c r="B3304" t="s">
        <v>7</v>
      </c>
      <c r="C3304">
        <v>80</v>
      </c>
      <c r="D3304">
        <v>2754.1480000000001</v>
      </c>
    </row>
    <row r="3305" spans="1:4" x14ac:dyDescent="0.25">
      <c r="A3305" t="s">
        <v>8</v>
      </c>
      <c r="B3305" t="s">
        <v>7</v>
      </c>
      <c r="C3305">
        <v>80</v>
      </c>
      <c r="D3305">
        <v>2790.9989999999998</v>
      </c>
    </row>
    <row r="3306" spans="1:4" x14ac:dyDescent="0.25">
      <c r="A3306" t="s">
        <v>8</v>
      </c>
      <c r="B3306" t="s">
        <v>7</v>
      </c>
      <c r="C3306">
        <v>80</v>
      </c>
      <c r="D3306">
        <v>2785.377</v>
      </c>
    </row>
    <row r="3307" spans="1:4" x14ac:dyDescent="0.25">
      <c r="A3307" t="s">
        <v>8</v>
      </c>
      <c r="B3307" t="s">
        <v>7</v>
      </c>
      <c r="C3307">
        <v>80</v>
      </c>
      <c r="D3307">
        <v>2830.239</v>
      </c>
    </row>
    <row r="3308" spans="1:4" x14ac:dyDescent="0.25">
      <c r="A3308" t="s">
        <v>8</v>
      </c>
      <c r="B3308" t="s">
        <v>7</v>
      </c>
      <c r="C3308">
        <v>80</v>
      </c>
      <c r="D3308">
        <v>2815.4859999999999</v>
      </c>
    </row>
    <row r="3309" spans="1:4" x14ac:dyDescent="0.25">
      <c r="A3309" t="s">
        <v>8</v>
      </c>
      <c r="B3309" t="s">
        <v>7</v>
      </c>
      <c r="C3309">
        <v>80</v>
      </c>
      <c r="D3309">
        <v>2835.2979999999998</v>
      </c>
    </row>
    <row r="3310" spans="1:4" x14ac:dyDescent="0.25">
      <c r="A3310" t="s">
        <v>8</v>
      </c>
      <c r="B3310" t="s">
        <v>7</v>
      </c>
      <c r="C3310">
        <v>80</v>
      </c>
      <c r="D3310">
        <v>2730.556</v>
      </c>
    </row>
    <row r="3311" spans="1:4" x14ac:dyDescent="0.25">
      <c r="A3311" t="s">
        <v>8</v>
      </c>
      <c r="B3311" t="s">
        <v>7</v>
      </c>
      <c r="C3311">
        <v>80</v>
      </c>
      <c r="D3311">
        <v>2773.4470000000001</v>
      </c>
    </row>
    <row r="3312" spans="1:4" x14ac:dyDescent="0.25">
      <c r="A3312" t="s">
        <v>8</v>
      </c>
      <c r="B3312" t="s">
        <v>7</v>
      </c>
      <c r="C3312">
        <v>80</v>
      </c>
      <c r="D3312">
        <v>2779.0340000000001</v>
      </c>
    </row>
    <row r="3313" spans="1:4" x14ac:dyDescent="0.25">
      <c r="A3313" t="s">
        <v>8</v>
      </c>
      <c r="B3313" t="s">
        <v>7</v>
      </c>
      <c r="C3313">
        <v>80</v>
      </c>
      <c r="D3313">
        <v>2783.5540000000001</v>
      </c>
    </row>
    <row r="3314" spans="1:4" x14ac:dyDescent="0.25">
      <c r="A3314" t="s">
        <v>8</v>
      </c>
      <c r="B3314" t="s">
        <v>7</v>
      </c>
      <c r="C3314">
        <v>80</v>
      </c>
      <c r="D3314">
        <v>2804.18</v>
      </c>
    </row>
    <row r="3315" spans="1:4" x14ac:dyDescent="0.25">
      <c r="A3315" t="s">
        <v>8</v>
      </c>
      <c r="B3315" t="s">
        <v>7</v>
      </c>
      <c r="C3315">
        <v>80</v>
      </c>
      <c r="D3315">
        <v>2823.9119999999998</v>
      </c>
    </row>
    <row r="3316" spans="1:4" x14ac:dyDescent="0.25">
      <c r="A3316" t="s">
        <v>8</v>
      </c>
      <c r="B3316" t="s">
        <v>7</v>
      </c>
      <c r="C3316">
        <v>80</v>
      </c>
      <c r="D3316">
        <v>2775.8339999999998</v>
      </c>
    </row>
    <row r="3317" spans="1:4" x14ac:dyDescent="0.25">
      <c r="A3317" t="s">
        <v>8</v>
      </c>
      <c r="B3317" t="s">
        <v>7</v>
      </c>
      <c r="C3317">
        <v>80</v>
      </c>
      <c r="D3317">
        <v>2803.8270000000002</v>
      </c>
    </row>
    <row r="3318" spans="1:4" x14ac:dyDescent="0.25">
      <c r="A3318" t="s">
        <v>8</v>
      </c>
      <c r="B3318" t="s">
        <v>7</v>
      </c>
      <c r="C3318">
        <v>80</v>
      </c>
      <c r="D3318">
        <v>2788.7449999999999</v>
      </c>
    </row>
    <row r="3319" spans="1:4" x14ac:dyDescent="0.25">
      <c r="A3319" t="s">
        <v>8</v>
      </c>
      <c r="B3319" t="s">
        <v>7</v>
      </c>
      <c r="C3319">
        <v>80</v>
      </c>
      <c r="D3319">
        <v>2752.9470000000001</v>
      </c>
    </row>
    <row r="3320" spans="1:4" x14ac:dyDescent="0.25">
      <c r="A3320" t="s">
        <v>8</v>
      </c>
      <c r="B3320" t="s">
        <v>7</v>
      </c>
      <c r="C3320">
        <v>80</v>
      </c>
      <c r="D3320">
        <v>2742.5590000000002</v>
      </c>
    </row>
    <row r="3321" spans="1:4" x14ac:dyDescent="0.25">
      <c r="A3321" t="s">
        <v>8</v>
      </c>
      <c r="B3321" t="s">
        <v>7</v>
      </c>
      <c r="C3321">
        <v>80</v>
      </c>
      <c r="D3321">
        <v>2797.8069999999998</v>
      </c>
    </row>
    <row r="3322" spans="1:4" x14ac:dyDescent="0.25">
      <c r="A3322" t="s">
        <v>8</v>
      </c>
      <c r="B3322" t="s">
        <v>7</v>
      </c>
      <c r="C3322">
        <v>80</v>
      </c>
      <c r="D3322">
        <v>2816.4070000000002</v>
      </c>
    </row>
    <row r="3323" spans="1:4" x14ac:dyDescent="0.25">
      <c r="A3323" t="s">
        <v>8</v>
      </c>
      <c r="B3323" t="s">
        <v>7</v>
      </c>
      <c r="C3323">
        <v>80</v>
      </c>
      <c r="D3323">
        <v>2735.5430000000001</v>
      </c>
    </row>
    <row r="3324" spans="1:4" x14ac:dyDescent="0.25">
      <c r="A3324" t="s">
        <v>8</v>
      </c>
      <c r="B3324" t="s">
        <v>7</v>
      </c>
      <c r="C3324">
        <v>80</v>
      </c>
      <c r="D3324">
        <v>2719.6039999999998</v>
      </c>
    </row>
    <row r="3325" spans="1:4" x14ac:dyDescent="0.25">
      <c r="A3325" t="s">
        <v>8</v>
      </c>
      <c r="B3325" t="s">
        <v>7</v>
      </c>
      <c r="C3325">
        <v>80</v>
      </c>
      <c r="D3325">
        <v>2808.5039999999999</v>
      </c>
    </row>
    <row r="3326" spans="1:4" x14ac:dyDescent="0.25">
      <c r="A3326" t="s">
        <v>8</v>
      </c>
      <c r="B3326" t="s">
        <v>7</v>
      </c>
      <c r="C3326">
        <v>80</v>
      </c>
      <c r="D3326">
        <v>2792.4369999999999</v>
      </c>
    </row>
    <row r="3327" spans="1:4" x14ac:dyDescent="0.25">
      <c r="A3327" t="s">
        <v>8</v>
      </c>
      <c r="B3327" t="s">
        <v>7</v>
      </c>
      <c r="C3327">
        <v>80</v>
      </c>
      <c r="D3327">
        <v>2763.5059999999999</v>
      </c>
    </row>
    <row r="3328" spans="1:4" x14ac:dyDescent="0.25">
      <c r="A3328" t="s">
        <v>8</v>
      </c>
      <c r="B3328" t="s">
        <v>7</v>
      </c>
      <c r="C3328">
        <v>80</v>
      </c>
      <c r="D3328">
        <v>2765.36</v>
      </c>
    </row>
    <row r="3329" spans="1:4" x14ac:dyDescent="0.25">
      <c r="A3329" t="s">
        <v>8</v>
      </c>
      <c r="B3329" t="s">
        <v>7</v>
      </c>
      <c r="C3329">
        <v>80</v>
      </c>
      <c r="D3329">
        <v>2784.9850000000001</v>
      </c>
    </row>
    <row r="3330" spans="1:4" x14ac:dyDescent="0.25">
      <c r="A3330" t="s">
        <v>8</v>
      </c>
      <c r="B3330" t="s">
        <v>7</v>
      </c>
      <c r="C3330">
        <v>80</v>
      </c>
      <c r="D3330">
        <v>2808.471</v>
      </c>
    </row>
    <row r="3331" spans="1:4" x14ac:dyDescent="0.25">
      <c r="A3331" t="s">
        <v>8</v>
      </c>
      <c r="B3331" t="s">
        <v>7</v>
      </c>
      <c r="C3331">
        <v>80</v>
      </c>
      <c r="D3331">
        <v>2756.1289999999999</v>
      </c>
    </row>
    <row r="3332" spans="1:4" x14ac:dyDescent="0.25">
      <c r="A3332" t="s">
        <v>8</v>
      </c>
      <c r="B3332" t="s">
        <v>7</v>
      </c>
      <c r="C3332">
        <v>80</v>
      </c>
      <c r="D3332">
        <v>2729.1619999999998</v>
      </c>
    </row>
    <row r="3333" spans="1:4" x14ac:dyDescent="0.25">
      <c r="A3333" t="s">
        <v>8</v>
      </c>
      <c r="B3333" t="s">
        <v>7</v>
      </c>
      <c r="C3333">
        <v>80</v>
      </c>
      <c r="D3333">
        <v>2791.6909999999998</v>
      </c>
    </row>
    <row r="3334" spans="1:4" x14ac:dyDescent="0.25">
      <c r="A3334" t="s">
        <v>8</v>
      </c>
      <c r="B3334" t="s">
        <v>7</v>
      </c>
      <c r="C3334">
        <v>80</v>
      </c>
      <c r="D3334">
        <v>2760.6089999999999</v>
      </c>
    </row>
    <row r="3335" spans="1:4" x14ac:dyDescent="0.25">
      <c r="A3335" t="s">
        <v>8</v>
      </c>
      <c r="B3335" t="s">
        <v>7</v>
      </c>
      <c r="C3335">
        <v>80</v>
      </c>
      <c r="D3335">
        <v>2730.9290000000001</v>
      </c>
    </row>
    <row r="3336" spans="1:4" x14ac:dyDescent="0.25">
      <c r="A3336" t="s">
        <v>8</v>
      </c>
      <c r="B3336" t="s">
        <v>7</v>
      </c>
      <c r="C3336">
        <v>80</v>
      </c>
      <c r="D3336">
        <v>2746.087</v>
      </c>
    </row>
    <row r="3337" spans="1:4" x14ac:dyDescent="0.25">
      <c r="A3337" t="s">
        <v>8</v>
      </c>
      <c r="B3337" t="s">
        <v>7</v>
      </c>
      <c r="C3337">
        <v>80</v>
      </c>
      <c r="D3337">
        <v>2834.3560000000002</v>
      </c>
    </row>
    <row r="3338" spans="1:4" x14ac:dyDescent="0.25">
      <c r="A3338" t="s">
        <v>8</v>
      </c>
      <c r="B3338" t="s">
        <v>7</v>
      </c>
      <c r="C3338">
        <v>80</v>
      </c>
      <c r="D3338">
        <v>2825.8710000000001</v>
      </c>
    </row>
    <row r="3339" spans="1:4" x14ac:dyDescent="0.25">
      <c r="A3339" t="s">
        <v>8</v>
      </c>
      <c r="B3339" t="s">
        <v>7</v>
      </c>
      <c r="C3339">
        <v>80</v>
      </c>
      <c r="D3339">
        <v>2764.4</v>
      </c>
    </row>
    <row r="3340" spans="1:4" x14ac:dyDescent="0.25">
      <c r="A3340" t="s">
        <v>8</v>
      </c>
      <c r="B3340" t="s">
        <v>7</v>
      </c>
      <c r="C3340">
        <v>80</v>
      </c>
      <c r="D3340">
        <v>2839.6480000000001</v>
      </c>
    </row>
    <row r="3341" spans="1:4" x14ac:dyDescent="0.25">
      <c r="A3341" t="s">
        <v>8</v>
      </c>
      <c r="B3341" t="s">
        <v>7</v>
      </c>
      <c r="C3341">
        <v>80</v>
      </c>
      <c r="D3341">
        <v>2769.4960000000001</v>
      </c>
    </row>
    <row r="3342" spans="1:4" x14ac:dyDescent="0.25">
      <c r="A3342" t="s">
        <v>8</v>
      </c>
      <c r="B3342" t="s">
        <v>7</v>
      </c>
      <c r="C3342">
        <v>80</v>
      </c>
      <c r="D3342">
        <v>2827.038</v>
      </c>
    </row>
    <row r="3343" spans="1:4" x14ac:dyDescent="0.25">
      <c r="A3343" t="s">
        <v>8</v>
      </c>
      <c r="B3343" t="s">
        <v>7</v>
      </c>
      <c r="C3343">
        <v>80</v>
      </c>
      <c r="D3343">
        <v>2780.7689999999998</v>
      </c>
    </row>
    <row r="3344" spans="1:4" x14ac:dyDescent="0.25">
      <c r="A3344" t="s">
        <v>8</v>
      </c>
      <c r="B3344" t="s">
        <v>7</v>
      </c>
      <c r="C3344">
        <v>80</v>
      </c>
      <c r="D3344">
        <v>2892.1489999999999</v>
      </c>
    </row>
    <row r="3345" spans="1:4" x14ac:dyDescent="0.25">
      <c r="A3345" t="s">
        <v>8</v>
      </c>
      <c r="B3345" t="s">
        <v>7</v>
      </c>
      <c r="C3345">
        <v>80</v>
      </c>
      <c r="D3345">
        <v>2817.498</v>
      </c>
    </row>
    <row r="3346" spans="1:4" x14ac:dyDescent="0.25">
      <c r="A3346" t="s">
        <v>8</v>
      </c>
      <c r="B3346" t="s">
        <v>7</v>
      </c>
      <c r="C3346">
        <v>80</v>
      </c>
      <c r="D3346">
        <v>2776.4070000000002</v>
      </c>
    </row>
    <row r="3347" spans="1:4" x14ac:dyDescent="0.25">
      <c r="A3347" t="s">
        <v>8</v>
      </c>
      <c r="B3347" t="s">
        <v>7</v>
      </c>
      <c r="C3347">
        <v>80</v>
      </c>
      <c r="D3347">
        <v>2805.2330000000002</v>
      </c>
    </row>
    <row r="3348" spans="1:4" x14ac:dyDescent="0.25">
      <c r="A3348" t="s">
        <v>8</v>
      </c>
      <c r="B3348" t="s">
        <v>7</v>
      </c>
      <c r="C3348">
        <v>80</v>
      </c>
      <c r="D3348">
        <v>2725.12</v>
      </c>
    </row>
    <row r="3349" spans="1:4" x14ac:dyDescent="0.25">
      <c r="A3349" t="s">
        <v>8</v>
      </c>
      <c r="B3349" t="s">
        <v>7</v>
      </c>
      <c r="C3349">
        <v>80</v>
      </c>
      <c r="D3349">
        <v>2758.0720000000001</v>
      </c>
    </row>
    <row r="3350" spans="1:4" x14ac:dyDescent="0.25">
      <c r="A3350" t="s">
        <v>8</v>
      </c>
      <c r="B3350" t="s">
        <v>7</v>
      </c>
      <c r="C3350">
        <v>80</v>
      </c>
      <c r="D3350">
        <v>2776.654</v>
      </c>
    </row>
    <row r="3351" spans="1:4" x14ac:dyDescent="0.25">
      <c r="A3351" t="s">
        <v>8</v>
      </c>
      <c r="B3351" t="s">
        <v>7</v>
      </c>
      <c r="C3351">
        <v>80</v>
      </c>
      <c r="D3351">
        <v>2735.4839999999999</v>
      </c>
    </row>
    <row r="3352" spans="1:4" x14ac:dyDescent="0.25">
      <c r="A3352" t="s">
        <v>8</v>
      </c>
      <c r="B3352" t="s">
        <v>7</v>
      </c>
      <c r="C3352">
        <v>80</v>
      </c>
      <c r="D3352">
        <v>2798.18</v>
      </c>
    </row>
    <row r="3353" spans="1:4" x14ac:dyDescent="0.25">
      <c r="A3353" t="s">
        <v>8</v>
      </c>
      <c r="B3353" t="s">
        <v>7</v>
      </c>
      <c r="C3353">
        <v>80</v>
      </c>
      <c r="D3353">
        <v>2730.0279999999998</v>
      </c>
    </row>
    <row r="3354" spans="1:4" x14ac:dyDescent="0.25">
      <c r="A3354" t="s">
        <v>8</v>
      </c>
      <c r="B3354" t="s">
        <v>7</v>
      </c>
      <c r="C3354">
        <v>80</v>
      </c>
      <c r="D3354">
        <v>2736.7139999999999</v>
      </c>
    </row>
    <row r="3355" spans="1:4" x14ac:dyDescent="0.25">
      <c r="A3355" t="s">
        <v>8</v>
      </c>
      <c r="B3355" t="s">
        <v>7</v>
      </c>
      <c r="C3355">
        <v>80</v>
      </c>
      <c r="D3355">
        <v>2697.2820000000002</v>
      </c>
    </row>
    <row r="3356" spans="1:4" x14ac:dyDescent="0.25">
      <c r="A3356" t="s">
        <v>8</v>
      </c>
      <c r="B3356" t="s">
        <v>7</v>
      </c>
      <c r="C3356">
        <v>80</v>
      </c>
      <c r="D3356">
        <v>2850.0239999999999</v>
      </c>
    </row>
    <row r="3357" spans="1:4" x14ac:dyDescent="0.25">
      <c r="A3357" t="s">
        <v>8</v>
      </c>
      <c r="B3357" t="s">
        <v>7</v>
      </c>
      <c r="C3357">
        <v>80</v>
      </c>
      <c r="D3357">
        <v>2833.415</v>
      </c>
    </row>
    <row r="3358" spans="1:4" x14ac:dyDescent="0.25">
      <c r="A3358" t="s">
        <v>8</v>
      </c>
      <c r="B3358" t="s">
        <v>7</v>
      </c>
      <c r="C3358">
        <v>80</v>
      </c>
      <c r="D3358">
        <v>2750.5129999999999</v>
      </c>
    </row>
    <row r="3359" spans="1:4" x14ac:dyDescent="0.25">
      <c r="A3359" t="s">
        <v>8</v>
      </c>
      <c r="B3359" t="s">
        <v>7</v>
      </c>
      <c r="C3359">
        <v>80</v>
      </c>
      <c r="D3359">
        <v>2765.1370000000002</v>
      </c>
    </row>
    <row r="3360" spans="1:4" x14ac:dyDescent="0.25">
      <c r="A3360" t="s">
        <v>8</v>
      </c>
      <c r="B3360" t="s">
        <v>7</v>
      </c>
      <c r="C3360">
        <v>80</v>
      </c>
      <c r="D3360">
        <v>2743.4369999999999</v>
      </c>
    </row>
    <row r="3361" spans="1:4" x14ac:dyDescent="0.25">
      <c r="A3361" t="s">
        <v>8</v>
      </c>
      <c r="B3361" t="s">
        <v>7</v>
      </c>
      <c r="C3361">
        <v>80</v>
      </c>
      <c r="D3361">
        <v>2732.7370000000001</v>
      </c>
    </row>
    <row r="3362" spans="1:4" x14ac:dyDescent="0.25">
      <c r="A3362" t="s">
        <v>8</v>
      </c>
      <c r="B3362" t="s">
        <v>7</v>
      </c>
      <c r="C3362">
        <v>80</v>
      </c>
      <c r="D3362">
        <v>2813.259</v>
      </c>
    </row>
    <row r="3363" spans="1:4" x14ac:dyDescent="0.25">
      <c r="A3363" t="s">
        <v>8</v>
      </c>
      <c r="B3363" t="s">
        <v>7</v>
      </c>
      <c r="C3363">
        <v>80</v>
      </c>
      <c r="D3363">
        <v>2780.9789999999998</v>
      </c>
    </row>
    <row r="3364" spans="1:4" x14ac:dyDescent="0.25">
      <c r="A3364" t="s">
        <v>8</v>
      </c>
      <c r="B3364" t="s">
        <v>7</v>
      </c>
      <c r="C3364">
        <v>80</v>
      </c>
      <c r="D3364">
        <v>2729.5770000000002</v>
      </c>
    </row>
    <row r="3365" spans="1:4" x14ac:dyDescent="0.25">
      <c r="A3365" t="s">
        <v>8</v>
      </c>
      <c r="B3365" t="s">
        <v>7</v>
      </c>
      <c r="C3365">
        <v>80</v>
      </c>
      <c r="D3365">
        <v>2740.761</v>
      </c>
    </row>
    <row r="3366" spans="1:4" x14ac:dyDescent="0.25">
      <c r="A3366" t="s">
        <v>8</v>
      </c>
      <c r="B3366" t="s">
        <v>7</v>
      </c>
      <c r="C3366">
        <v>80</v>
      </c>
      <c r="D3366">
        <v>2749.2049999999999</v>
      </c>
    </row>
    <row r="3367" spans="1:4" x14ac:dyDescent="0.25">
      <c r="A3367" t="s">
        <v>8</v>
      </c>
      <c r="B3367" t="s">
        <v>7</v>
      </c>
      <c r="C3367">
        <v>80</v>
      </c>
      <c r="D3367">
        <v>2724.6410000000001</v>
      </c>
    </row>
    <row r="3368" spans="1:4" x14ac:dyDescent="0.25">
      <c r="A3368" t="s">
        <v>8</v>
      </c>
      <c r="B3368" t="s">
        <v>7</v>
      </c>
      <c r="C3368">
        <v>80</v>
      </c>
      <c r="D3368">
        <v>2858.1039999999998</v>
      </c>
    </row>
    <row r="3369" spans="1:4" x14ac:dyDescent="0.25">
      <c r="A3369" t="s">
        <v>8</v>
      </c>
      <c r="B3369" t="s">
        <v>7</v>
      </c>
      <c r="C3369">
        <v>80</v>
      </c>
      <c r="D3369">
        <v>2755.7350000000001</v>
      </c>
    </row>
    <row r="3370" spans="1:4" x14ac:dyDescent="0.25">
      <c r="A3370" t="s">
        <v>8</v>
      </c>
      <c r="B3370" t="s">
        <v>7</v>
      </c>
      <c r="C3370">
        <v>80</v>
      </c>
      <c r="D3370">
        <v>2837.1480000000001</v>
      </c>
    </row>
    <row r="3371" spans="1:4" x14ac:dyDescent="0.25">
      <c r="A3371" t="s">
        <v>8</v>
      </c>
      <c r="B3371" t="s">
        <v>7</v>
      </c>
      <c r="C3371">
        <v>80</v>
      </c>
      <c r="D3371">
        <v>2785.0120000000002</v>
      </c>
    </row>
    <row r="3372" spans="1:4" x14ac:dyDescent="0.25">
      <c r="A3372" t="s">
        <v>8</v>
      </c>
      <c r="B3372" t="s">
        <v>7</v>
      </c>
      <c r="C3372">
        <v>80</v>
      </c>
      <c r="D3372">
        <v>2792.8330000000001</v>
      </c>
    </row>
    <row r="3373" spans="1:4" x14ac:dyDescent="0.25">
      <c r="A3373" t="s">
        <v>8</v>
      </c>
      <c r="B3373" t="s">
        <v>7</v>
      </c>
      <c r="C3373">
        <v>80</v>
      </c>
      <c r="D3373">
        <v>2789.576</v>
      </c>
    </row>
    <row r="3374" spans="1:4" x14ac:dyDescent="0.25">
      <c r="A3374" t="s">
        <v>8</v>
      </c>
      <c r="B3374" t="s">
        <v>7</v>
      </c>
      <c r="C3374">
        <v>80</v>
      </c>
      <c r="D3374">
        <v>2874.48</v>
      </c>
    </row>
    <row r="3375" spans="1:4" x14ac:dyDescent="0.25">
      <c r="A3375" t="s">
        <v>8</v>
      </c>
      <c r="B3375" t="s">
        <v>7</v>
      </c>
      <c r="C3375">
        <v>80</v>
      </c>
      <c r="D3375">
        <v>2830.84</v>
      </c>
    </row>
    <row r="3376" spans="1:4" x14ac:dyDescent="0.25">
      <c r="A3376" t="s">
        <v>8</v>
      </c>
      <c r="B3376" t="s">
        <v>7</v>
      </c>
      <c r="C3376">
        <v>80</v>
      </c>
      <c r="D3376">
        <v>2750.2240000000002</v>
      </c>
    </row>
    <row r="3377" spans="1:4" x14ac:dyDescent="0.25">
      <c r="A3377" t="s">
        <v>8</v>
      </c>
      <c r="B3377" t="s">
        <v>7</v>
      </c>
      <c r="C3377">
        <v>80</v>
      </c>
      <c r="D3377">
        <v>2704.5830000000001</v>
      </c>
    </row>
    <row r="3378" spans="1:4" x14ac:dyDescent="0.25">
      <c r="A3378" t="s">
        <v>8</v>
      </c>
      <c r="B3378" t="s">
        <v>7</v>
      </c>
      <c r="C3378">
        <v>80</v>
      </c>
      <c r="D3378">
        <v>2804.0189999999998</v>
      </c>
    </row>
    <row r="3379" spans="1:4" x14ac:dyDescent="0.25">
      <c r="A3379" t="s">
        <v>8</v>
      </c>
      <c r="B3379" t="s">
        <v>7</v>
      </c>
      <c r="C3379">
        <v>80</v>
      </c>
      <c r="D3379">
        <v>2772.6660000000002</v>
      </c>
    </row>
    <row r="3380" spans="1:4" x14ac:dyDescent="0.25">
      <c r="A3380" t="s">
        <v>8</v>
      </c>
      <c r="B3380" t="s">
        <v>7</v>
      </c>
      <c r="C3380">
        <v>80</v>
      </c>
      <c r="D3380">
        <v>2816.9209999999998</v>
      </c>
    </row>
    <row r="3381" spans="1:4" x14ac:dyDescent="0.25">
      <c r="A3381" t="s">
        <v>8</v>
      </c>
      <c r="B3381" t="s">
        <v>7</v>
      </c>
      <c r="C3381">
        <v>80</v>
      </c>
      <c r="D3381">
        <v>2745.9940000000001</v>
      </c>
    </row>
    <row r="3382" spans="1:4" x14ac:dyDescent="0.25">
      <c r="A3382" t="s">
        <v>8</v>
      </c>
      <c r="B3382" t="s">
        <v>7</v>
      </c>
      <c r="C3382">
        <v>80</v>
      </c>
      <c r="D3382">
        <v>2831.596</v>
      </c>
    </row>
    <row r="3383" spans="1:4" x14ac:dyDescent="0.25">
      <c r="A3383" t="s">
        <v>8</v>
      </c>
      <c r="B3383" t="s">
        <v>7</v>
      </c>
      <c r="C3383">
        <v>80</v>
      </c>
      <c r="D3383">
        <v>2801.6790000000001</v>
      </c>
    </row>
    <row r="3384" spans="1:4" x14ac:dyDescent="0.25">
      <c r="A3384" t="s">
        <v>8</v>
      </c>
      <c r="B3384" t="s">
        <v>7</v>
      </c>
      <c r="C3384">
        <v>80</v>
      </c>
      <c r="D3384">
        <v>2863.1109999999999</v>
      </c>
    </row>
    <row r="3385" spans="1:4" x14ac:dyDescent="0.25">
      <c r="A3385" t="s">
        <v>8</v>
      </c>
      <c r="B3385" t="s">
        <v>7</v>
      </c>
      <c r="C3385">
        <v>80</v>
      </c>
      <c r="D3385">
        <v>2802.1320000000001</v>
      </c>
    </row>
    <row r="3386" spans="1:4" x14ac:dyDescent="0.25">
      <c r="A3386" t="s">
        <v>8</v>
      </c>
      <c r="B3386" t="s">
        <v>7</v>
      </c>
      <c r="C3386">
        <v>80</v>
      </c>
      <c r="D3386">
        <v>2795.2469999999998</v>
      </c>
    </row>
    <row r="3387" spans="1:4" x14ac:dyDescent="0.25">
      <c r="A3387" t="s">
        <v>8</v>
      </c>
      <c r="B3387" t="s">
        <v>7</v>
      </c>
      <c r="C3387">
        <v>80</v>
      </c>
      <c r="D3387">
        <v>2764.4009999999998</v>
      </c>
    </row>
    <row r="3388" spans="1:4" x14ac:dyDescent="0.25">
      <c r="A3388" t="s">
        <v>8</v>
      </c>
      <c r="B3388" t="s">
        <v>7</v>
      </c>
      <c r="C3388">
        <v>80</v>
      </c>
      <c r="D3388">
        <v>2792.9589999999998</v>
      </c>
    </row>
    <row r="3389" spans="1:4" x14ac:dyDescent="0.25">
      <c r="A3389" t="s">
        <v>8</v>
      </c>
      <c r="B3389" t="s">
        <v>7</v>
      </c>
      <c r="C3389">
        <v>80</v>
      </c>
      <c r="D3389">
        <v>2715.7550000000001</v>
      </c>
    </row>
    <row r="3390" spans="1:4" x14ac:dyDescent="0.25">
      <c r="A3390" t="s">
        <v>8</v>
      </c>
      <c r="B3390" t="s">
        <v>7</v>
      </c>
      <c r="C3390">
        <v>80</v>
      </c>
      <c r="D3390">
        <v>2759.2809999999999</v>
      </c>
    </row>
    <row r="3391" spans="1:4" x14ac:dyDescent="0.25">
      <c r="A3391" t="s">
        <v>8</v>
      </c>
      <c r="B3391" t="s">
        <v>7</v>
      </c>
      <c r="C3391">
        <v>80</v>
      </c>
      <c r="D3391">
        <v>2769.6709999999998</v>
      </c>
    </row>
    <row r="3392" spans="1:4" x14ac:dyDescent="0.25">
      <c r="A3392" t="s">
        <v>8</v>
      </c>
      <c r="B3392" t="s">
        <v>7</v>
      </c>
      <c r="C3392">
        <v>80</v>
      </c>
      <c r="D3392">
        <v>2816.6770000000001</v>
      </c>
    </row>
    <row r="3393" spans="1:4" x14ac:dyDescent="0.25">
      <c r="A3393" t="s">
        <v>8</v>
      </c>
      <c r="B3393" t="s">
        <v>7</v>
      </c>
      <c r="C3393">
        <v>80</v>
      </c>
      <c r="D3393">
        <v>2749.98</v>
      </c>
    </row>
    <row r="3394" spans="1:4" x14ac:dyDescent="0.25">
      <c r="A3394" t="s">
        <v>8</v>
      </c>
      <c r="B3394" t="s">
        <v>7</v>
      </c>
      <c r="C3394">
        <v>80</v>
      </c>
      <c r="D3394">
        <v>2770.1419999999998</v>
      </c>
    </row>
    <row r="3395" spans="1:4" x14ac:dyDescent="0.25">
      <c r="A3395" t="s">
        <v>8</v>
      </c>
      <c r="B3395" t="s">
        <v>7</v>
      </c>
      <c r="C3395">
        <v>80</v>
      </c>
      <c r="D3395">
        <v>2815.806</v>
      </c>
    </row>
    <row r="3396" spans="1:4" x14ac:dyDescent="0.25">
      <c r="A3396" t="s">
        <v>8</v>
      </c>
      <c r="B3396" t="s">
        <v>7</v>
      </c>
      <c r="C3396">
        <v>80</v>
      </c>
      <c r="D3396">
        <v>2766.7440000000001</v>
      </c>
    </row>
    <row r="3397" spans="1:4" x14ac:dyDescent="0.25">
      <c r="A3397" t="s">
        <v>8</v>
      </c>
      <c r="B3397" t="s">
        <v>7</v>
      </c>
      <c r="C3397">
        <v>80</v>
      </c>
      <c r="D3397">
        <v>2760.82</v>
      </c>
    </row>
    <row r="3398" spans="1:4" x14ac:dyDescent="0.25">
      <c r="A3398" t="s">
        <v>8</v>
      </c>
      <c r="B3398" t="s">
        <v>7</v>
      </c>
      <c r="C3398">
        <v>80</v>
      </c>
      <c r="D3398">
        <v>2742.4650000000001</v>
      </c>
    </row>
    <row r="3399" spans="1:4" x14ac:dyDescent="0.25">
      <c r="A3399" t="s">
        <v>8</v>
      </c>
      <c r="B3399" t="s">
        <v>7</v>
      </c>
      <c r="C3399">
        <v>80</v>
      </c>
      <c r="D3399">
        <v>2784.864</v>
      </c>
    </row>
    <row r="3400" spans="1:4" x14ac:dyDescent="0.25">
      <c r="A3400" t="s">
        <v>8</v>
      </c>
      <c r="B3400" t="s">
        <v>7</v>
      </c>
      <c r="C3400">
        <v>80</v>
      </c>
      <c r="D3400">
        <v>2827.509</v>
      </c>
    </row>
    <row r="3401" spans="1:4" x14ac:dyDescent="0.25">
      <c r="A3401" t="s">
        <v>8</v>
      </c>
      <c r="B3401" t="s">
        <v>7</v>
      </c>
      <c r="C3401">
        <v>80</v>
      </c>
      <c r="D3401">
        <v>2771.7649999999999</v>
      </c>
    </row>
    <row r="3402" spans="1:4" x14ac:dyDescent="0.25">
      <c r="A3402" t="s">
        <v>8</v>
      </c>
      <c r="B3402" t="s">
        <v>7</v>
      </c>
      <c r="C3402">
        <v>100</v>
      </c>
      <c r="D3402">
        <v>3381.8739999999998</v>
      </c>
    </row>
    <row r="3403" spans="1:4" x14ac:dyDescent="0.25">
      <c r="A3403" t="s">
        <v>8</v>
      </c>
      <c r="B3403" t="s">
        <v>7</v>
      </c>
      <c r="C3403">
        <v>100</v>
      </c>
      <c r="D3403">
        <v>3445.4960000000001</v>
      </c>
    </row>
    <row r="3404" spans="1:4" x14ac:dyDescent="0.25">
      <c r="A3404" t="s">
        <v>8</v>
      </c>
      <c r="B3404" t="s">
        <v>7</v>
      </c>
      <c r="C3404">
        <v>100</v>
      </c>
      <c r="D3404">
        <v>3388.3139999999999</v>
      </c>
    </row>
    <row r="3405" spans="1:4" x14ac:dyDescent="0.25">
      <c r="A3405" t="s">
        <v>8</v>
      </c>
      <c r="B3405" t="s">
        <v>7</v>
      </c>
      <c r="C3405">
        <v>100</v>
      </c>
      <c r="D3405">
        <v>3476.3180000000002</v>
      </c>
    </row>
    <row r="3406" spans="1:4" x14ac:dyDescent="0.25">
      <c r="A3406" t="s">
        <v>8</v>
      </c>
      <c r="B3406" t="s">
        <v>7</v>
      </c>
      <c r="C3406">
        <v>100</v>
      </c>
      <c r="D3406">
        <v>3458.1439999999998</v>
      </c>
    </row>
    <row r="3407" spans="1:4" x14ac:dyDescent="0.25">
      <c r="A3407" t="s">
        <v>8</v>
      </c>
      <c r="B3407" t="s">
        <v>7</v>
      </c>
      <c r="C3407">
        <v>100</v>
      </c>
      <c r="D3407">
        <v>3352.7530000000002</v>
      </c>
    </row>
    <row r="3408" spans="1:4" x14ac:dyDescent="0.25">
      <c r="A3408" t="s">
        <v>8</v>
      </c>
      <c r="B3408" t="s">
        <v>7</v>
      </c>
      <c r="C3408">
        <v>100</v>
      </c>
      <c r="D3408">
        <v>3437.1840000000002</v>
      </c>
    </row>
    <row r="3409" spans="1:4" x14ac:dyDescent="0.25">
      <c r="A3409" t="s">
        <v>8</v>
      </c>
      <c r="B3409" t="s">
        <v>7</v>
      </c>
      <c r="C3409">
        <v>100</v>
      </c>
      <c r="D3409">
        <v>3345.8319999999999</v>
      </c>
    </row>
    <row r="3410" spans="1:4" x14ac:dyDescent="0.25">
      <c r="A3410" t="s">
        <v>8</v>
      </c>
      <c r="B3410" t="s">
        <v>7</v>
      </c>
      <c r="C3410">
        <v>100</v>
      </c>
      <c r="D3410">
        <v>3354.0369999999998</v>
      </c>
    </row>
    <row r="3411" spans="1:4" x14ac:dyDescent="0.25">
      <c r="A3411" t="s">
        <v>8</v>
      </c>
      <c r="B3411" t="s">
        <v>7</v>
      </c>
      <c r="C3411">
        <v>100</v>
      </c>
      <c r="D3411">
        <v>3357.1210000000001</v>
      </c>
    </row>
    <row r="3412" spans="1:4" x14ac:dyDescent="0.25">
      <c r="A3412" t="s">
        <v>8</v>
      </c>
      <c r="B3412" t="s">
        <v>7</v>
      </c>
      <c r="C3412">
        <v>100</v>
      </c>
      <c r="D3412">
        <v>3452.8040000000001</v>
      </c>
    </row>
    <row r="3413" spans="1:4" x14ac:dyDescent="0.25">
      <c r="A3413" t="s">
        <v>8</v>
      </c>
      <c r="B3413" t="s">
        <v>7</v>
      </c>
      <c r="C3413">
        <v>100</v>
      </c>
      <c r="D3413">
        <v>3411.9459999999999</v>
      </c>
    </row>
    <row r="3414" spans="1:4" x14ac:dyDescent="0.25">
      <c r="A3414" t="s">
        <v>8</v>
      </c>
      <c r="B3414" t="s">
        <v>7</v>
      </c>
      <c r="C3414">
        <v>100</v>
      </c>
      <c r="D3414">
        <v>3453.395</v>
      </c>
    </row>
    <row r="3415" spans="1:4" x14ac:dyDescent="0.25">
      <c r="A3415" t="s">
        <v>8</v>
      </c>
      <c r="B3415" t="s">
        <v>7</v>
      </c>
      <c r="C3415">
        <v>100</v>
      </c>
      <c r="D3415">
        <v>3455.0810000000001</v>
      </c>
    </row>
    <row r="3416" spans="1:4" x14ac:dyDescent="0.25">
      <c r="A3416" t="s">
        <v>8</v>
      </c>
      <c r="B3416" t="s">
        <v>7</v>
      </c>
      <c r="C3416">
        <v>100</v>
      </c>
      <c r="D3416">
        <v>3367.4169999999999</v>
      </c>
    </row>
    <row r="3417" spans="1:4" x14ac:dyDescent="0.25">
      <c r="A3417" t="s">
        <v>8</v>
      </c>
      <c r="B3417" t="s">
        <v>7</v>
      </c>
      <c r="C3417">
        <v>100</v>
      </c>
      <c r="D3417">
        <v>3379.1590000000001</v>
      </c>
    </row>
    <row r="3418" spans="1:4" x14ac:dyDescent="0.25">
      <c r="A3418" t="s">
        <v>8</v>
      </c>
      <c r="B3418" t="s">
        <v>7</v>
      </c>
      <c r="C3418">
        <v>100</v>
      </c>
      <c r="D3418">
        <v>3455.0459999999998</v>
      </c>
    </row>
    <row r="3419" spans="1:4" x14ac:dyDescent="0.25">
      <c r="A3419" t="s">
        <v>8</v>
      </c>
      <c r="B3419" t="s">
        <v>7</v>
      </c>
      <c r="C3419">
        <v>100</v>
      </c>
      <c r="D3419">
        <v>3362.2429999999999</v>
      </c>
    </row>
    <row r="3420" spans="1:4" x14ac:dyDescent="0.25">
      <c r="A3420" t="s">
        <v>8</v>
      </c>
      <c r="B3420" t="s">
        <v>7</v>
      </c>
      <c r="C3420">
        <v>100</v>
      </c>
      <c r="D3420">
        <v>3461.116</v>
      </c>
    </row>
    <row r="3421" spans="1:4" x14ac:dyDescent="0.25">
      <c r="A3421" t="s">
        <v>8</v>
      </c>
      <c r="B3421" t="s">
        <v>7</v>
      </c>
      <c r="C3421">
        <v>100</v>
      </c>
      <c r="D3421">
        <v>3304.471</v>
      </c>
    </row>
    <row r="3422" spans="1:4" x14ac:dyDescent="0.25">
      <c r="A3422" t="s">
        <v>8</v>
      </c>
      <c r="B3422" t="s">
        <v>7</v>
      </c>
      <c r="C3422">
        <v>100</v>
      </c>
      <c r="D3422">
        <v>3420.0889999999999</v>
      </c>
    </row>
    <row r="3423" spans="1:4" x14ac:dyDescent="0.25">
      <c r="A3423" t="s">
        <v>8</v>
      </c>
      <c r="B3423" t="s">
        <v>7</v>
      </c>
      <c r="C3423">
        <v>100</v>
      </c>
      <c r="D3423">
        <v>3395.7669999999998</v>
      </c>
    </row>
    <row r="3424" spans="1:4" x14ac:dyDescent="0.25">
      <c r="A3424" t="s">
        <v>8</v>
      </c>
      <c r="B3424" t="s">
        <v>7</v>
      </c>
      <c r="C3424">
        <v>100</v>
      </c>
      <c r="D3424">
        <v>3372.2689999999998</v>
      </c>
    </row>
    <row r="3425" spans="1:4" x14ac:dyDescent="0.25">
      <c r="A3425" t="s">
        <v>8</v>
      </c>
      <c r="B3425" t="s">
        <v>7</v>
      </c>
      <c r="C3425">
        <v>100</v>
      </c>
      <c r="D3425">
        <v>3414.9319999999998</v>
      </c>
    </row>
    <row r="3426" spans="1:4" x14ac:dyDescent="0.25">
      <c r="A3426" t="s">
        <v>8</v>
      </c>
      <c r="B3426" t="s">
        <v>7</v>
      </c>
      <c r="C3426">
        <v>100</v>
      </c>
      <c r="D3426">
        <v>3449.6950000000002</v>
      </c>
    </row>
    <row r="3427" spans="1:4" x14ac:dyDescent="0.25">
      <c r="A3427" t="s">
        <v>8</v>
      </c>
      <c r="B3427" t="s">
        <v>7</v>
      </c>
      <c r="C3427">
        <v>100</v>
      </c>
      <c r="D3427">
        <v>3440.09</v>
      </c>
    </row>
    <row r="3428" spans="1:4" x14ac:dyDescent="0.25">
      <c r="A3428" t="s">
        <v>8</v>
      </c>
      <c r="B3428" t="s">
        <v>7</v>
      </c>
      <c r="C3428">
        <v>100</v>
      </c>
      <c r="D3428">
        <v>3398.2379999999998</v>
      </c>
    </row>
    <row r="3429" spans="1:4" x14ac:dyDescent="0.25">
      <c r="A3429" t="s">
        <v>8</v>
      </c>
      <c r="B3429" t="s">
        <v>7</v>
      </c>
      <c r="C3429">
        <v>100</v>
      </c>
      <c r="D3429">
        <v>3502.989</v>
      </c>
    </row>
    <row r="3430" spans="1:4" x14ac:dyDescent="0.25">
      <c r="A3430" t="s">
        <v>8</v>
      </c>
      <c r="B3430" t="s">
        <v>7</v>
      </c>
      <c r="C3430">
        <v>100</v>
      </c>
      <c r="D3430">
        <v>3409.2489999999998</v>
      </c>
    </row>
    <row r="3431" spans="1:4" x14ac:dyDescent="0.25">
      <c r="A3431" t="s">
        <v>8</v>
      </c>
      <c r="B3431" t="s">
        <v>7</v>
      </c>
      <c r="C3431">
        <v>100</v>
      </c>
      <c r="D3431">
        <v>3429.0320000000002</v>
      </c>
    </row>
    <row r="3432" spans="1:4" x14ac:dyDescent="0.25">
      <c r="A3432" t="s">
        <v>8</v>
      </c>
      <c r="B3432" t="s">
        <v>7</v>
      </c>
      <c r="C3432">
        <v>100</v>
      </c>
      <c r="D3432">
        <v>3321.5509999999999</v>
      </c>
    </row>
    <row r="3433" spans="1:4" x14ac:dyDescent="0.25">
      <c r="A3433" t="s">
        <v>8</v>
      </c>
      <c r="B3433" t="s">
        <v>7</v>
      </c>
      <c r="C3433">
        <v>100</v>
      </c>
      <c r="D3433">
        <v>3337.9279999999999</v>
      </c>
    </row>
    <row r="3434" spans="1:4" x14ac:dyDescent="0.25">
      <c r="A3434" t="s">
        <v>8</v>
      </c>
      <c r="B3434" t="s">
        <v>7</v>
      </c>
      <c r="C3434">
        <v>100</v>
      </c>
      <c r="D3434">
        <v>3439.643</v>
      </c>
    </row>
    <row r="3435" spans="1:4" x14ac:dyDescent="0.25">
      <c r="A3435" t="s">
        <v>8</v>
      </c>
      <c r="B3435" t="s">
        <v>7</v>
      </c>
      <c r="C3435">
        <v>100</v>
      </c>
      <c r="D3435">
        <v>3420.8960000000002</v>
      </c>
    </row>
    <row r="3436" spans="1:4" x14ac:dyDescent="0.25">
      <c r="A3436" t="s">
        <v>8</v>
      </c>
      <c r="B3436" t="s">
        <v>7</v>
      </c>
      <c r="C3436">
        <v>100</v>
      </c>
      <c r="D3436">
        <v>3435.5</v>
      </c>
    </row>
    <row r="3437" spans="1:4" x14ac:dyDescent="0.25">
      <c r="A3437" t="s">
        <v>8</v>
      </c>
      <c r="B3437" t="s">
        <v>7</v>
      </c>
      <c r="C3437">
        <v>100</v>
      </c>
      <c r="D3437">
        <v>3469.279</v>
      </c>
    </row>
    <row r="3438" spans="1:4" x14ac:dyDescent="0.25">
      <c r="A3438" t="s">
        <v>8</v>
      </c>
      <c r="B3438" t="s">
        <v>7</v>
      </c>
      <c r="C3438">
        <v>100</v>
      </c>
      <c r="D3438">
        <v>3468.3870000000002</v>
      </c>
    </row>
    <row r="3439" spans="1:4" x14ac:dyDescent="0.25">
      <c r="A3439" t="s">
        <v>8</v>
      </c>
      <c r="B3439" t="s">
        <v>7</v>
      </c>
      <c r="C3439">
        <v>100</v>
      </c>
      <c r="D3439">
        <v>3454.4479999999999</v>
      </c>
    </row>
    <row r="3440" spans="1:4" x14ac:dyDescent="0.25">
      <c r="A3440" t="s">
        <v>8</v>
      </c>
      <c r="B3440" t="s">
        <v>7</v>
      </c>
      <c r="C3440">
        <v>100</v>
      </c>
      <c r="D3440">
        <v>3414.346</v>
      </c>
    </row>
    <row r="3441" spans="1:4" x14ac:dyDescent="0.25">
      <c r="A3441" t="s">
        <v>8</v>
      </c>
      <c r="B3441" t="s">
        <v>7</v>
      </c>
      <c r="C3441">
        <v>100</v>
      </c>
      <c r="D3441">
        <v>3408.7069999999999</v>
      </c>
    </row>
    <row r="3442" spans="1:4" x14ac:dyDescent="0.25">
      <c r="A3442" t="s">
        <v>8</v>
      </c>
      <c r="B3442" t="s">
        <v>7</v>
      </c>
      <c r="C3442">
        <v>100</v>
      </c>
      <c r="D3442">
        <v>3428.17</v>
      </c>
    </row>
    <row r="3443" spans="1:4" x14ac:dyDescent="0.25">
      <c r="A3443" t="s">
        <v>8</v>
      </c>
      <c r="B3443" t="s">
        <v>7</v>
      </c>
      <c r="C3443">
        <v>100</v>
      </c>
      <c r="D3443">
        <v>3402.0169999999998</v>
      </c>
    </row>
    <row r="3444" spans="1:4" x14ac:dyDescent="0.25">
      <c r="A3444" t="s">
        <v>8</v>
      </c>
      <c r="B3444" t="s">
        <v>7</v>
      </c>
      <c r="C3444">
        <v>100</v>
      </c>
      <c r="D3444">
        <v>3374.5740000000001</v>
      </c>
    </row>
    <row r="3445" spans="1:4" x14ac:dyDescent="0.25">
      <c r="A3445" t="s">
        <v>8</v>
      </c>
      <c r="B3445" t="s">
        <v>7</v>
      </c>
      <c r="C3445">
        <v>100</v>
      </c>
      <c r="D3445">
        <v>3429.9180000000001</v>
      </c>
    </row>
    <row r="3446" spans="1:4" x14ac:dyDescent="0.25">
      <c r="A3446" t="s">
        <v>8</v>
      </c>
      <c r="B3446" t="s">
        <v>7</v>
      </c>
      <c r="C3446">
        <v>100</v>
      </c>
      <c r="D3446">
        <v>3469.2310000000002</v>
      </c>
    </row>
    <row r="3447" spans="1:4" x14ac:dyDescent="0.25">
      <c r="A3447" t="s">
        <v>8</v>
      </c>
      <c r="B3447" t="s">
        <v>7</v>
      </c>
      <c r="C3447">
        <v>100</v>
      </c>
      <c r="D3447">
        <v>3389.4659999999999</v>
      </c>
    </row>
    <row r="3448" spans="1:4" x14ac:dyDescent="0.25">
      <c r="A3448" t="s">
        <v>8</v>
      </c>
      <c r="B3448" t="s">
        <v>7</v>
      </c>
      <c r="C3448">
        <v>100</v>
      </c>
      <c r="D3448">
        <v>3427.248</v>
      </c>
    </row>
    <row r="3449" spans="1:4" x14ac:dyDescent="0.25">
      <c r="A3449" t="s">
        <v>8</v>
      </c>
      <c r="B3449" t="s">
        <v>7</v>
      </c>
      <c r="C3449">
        <v>100</v>
      </c>
      <c r="D3449">
        <v>3392.5210000000002</v>
      </c>
    </row>
    <row r="3450" spans="1:4" x14ac:dyDescent="0.25">
      <c r="A3450" t="s">
        <v>8</v>
      </c>
      <c r="B3450" t="s">
        <v>7</v>
      </c>
      <c r="C3450">
        <v>100</v>
      </c>
      <c r="D3450">
        <v>3372.1869999999999</v>
      </c>
    </row>
    <row r="3451" spans="1:4" x14ac:dyDescent="0.25">
      <c r="A3451" t="s">
        <v>8</v>
      </c>
      <c r="B3451" t="s">
        <v>7</v>
      </c>
      <c r="C3451">
        <v>100</v>
      </c>
      <c r="D3451">
        <v>3422.2710000000002</v>
      </c>
    </row>
    <row r="3452" spans="1:4" x14ac:dyDescent="0.25">
      <c r="A3452" t="s">
        <v>8</v>
      </c>
      <c r="B3452" t="s">
        <v>7</v>
      </c>
      <c r="C3452">
        <v>100</v>
      </c>
      <c r="D3452">
        <v>3338.2849999999999</v>
      </c>
    </row>
    <row r="3453" spans="1:4" x14ac:dyDescent="0.25">
      <c r="A3453" t="s">
        <v>8</v>
      </c>
      <c r="B3453" t="s">
        <v>7</v>
      </c>
      <c r="C3453">
        <v>100</v>
      </c>
      <c r="D3453">
        <v>3343.7759999999998</v>
      </c>
    </row>
    <row r="3454" spans="1:4" x14ac:dyDescent="0.25">
      <c r="A3454" t="s">
        <v>8</v>
      </c>
      <c r="B3454" t="s">
        <v>7</v>
      </c>
      <c r="C3454">
        <v>100</v>
      </c>
      <c r="D3454">
        <v>3384.5610000000001</v>
      </c>
    </row>
    <row r="3455" spans="1:4" x14ac:dyDescent="0.25">
      <c r="A3455" t="s">
        <v>8</v>
      </c>
      <c r="B3455" t="s">
        <v>7</v>
      </c>
      <c r="C3455">
        <v>100</v>
      </c>
      <c r="D3455">
        <v>3407.4679999999998</v>
      </c>
    </row>
    <row r="3456" spans="1:4" x14ac:dyDescent="0.25">
      <c r="A3456" t="s">
        <v>8</v>
      </c>
      <c r="B3456" t="s">
        <v>7</v>
      </c>
      <c r="C3456">
        <v>100</v>
      </c>
      <c r="D3456">
        <v>3412.1170000000002</v>
      </c>
    </row>
    <row r="3457" spans="1:4" x14ac:dyDescent="0.25">
      <c r="A3457" t="s">
        <v>8</v>
      </c>
      <c r="B3457" t="s">
        <v>7</v>
      </c>
      <c r="C3457">
        <v>100</v>
      </c>
      <c r="D3457">
        <v>3322.5120000000002</v>
      </c>
    </row>
    <row r="3458" spans="1:4" x14ac:dyDescent="0.25">
      <c r="A3458" t="s">
        <v>8</v>
      </c>
      <c r="B3458" t="s">
        <v>7</v>
      </c>
      <c r="C3458">
        <v>100</v>
      </c>
      <c r="D3458">
        <v>3404.8739999999998</v>
      </c>
    </row>
    <row r="3459" spans="1:4" x14ac:dyDescent="0.25">
      <c r="A3459" t="s">
        <v>8</v>
      </c>
      <c r="B3459" t="s">
        <v>7</v>
      </c>
      <c r="C3459">
        <v>100</v>
      </c>
      <c r="D3459">
        <v>3338.8510000000001</v>
      </c>
    </row>
    <row r="3460" spans="1:4" x14ac:dyDescent="0.25">
      <c r="A3460" t="s">
        <v>8</v>
      </c>
      <c r="B3460" t="s">
        <v>7</v>
      </c>
      <c r="C3460">
        <v>100</v>
      </c>
      <c r="D3460">
        <v>3394.3209999999999</v>
      </c>
    </row>
    <row r="3461" spans="1:4" x14ac:dyDescent="0.25">
      <c r="A3461" t="s">
        <v>8</v>
      </c>
      <c r="B3461" t="s">
        <v>7</v>
      </c>
      <c r="C3461">
        <v>100</v>
      </c>
      <c r="D3461">
        <v>3372.453</v>
      </c>
    </row>
    <row r="3462" spans="1:4" x14ac:dyDescent="0.25">
      <c r="A3462" t="s">
        <v>8</v>
      </c>
      <c r="B3462" t="s">
        <v>7</v>
      </c>
      <c r="C3462">
        <v>100</v>
      </c>
      <c r="D3462">
        <v>3406.1370000000002</v>
      </c>
    </row>
    <row r="3463" spans="1:4" x14ac:dyDescent="0.25">
      <c r="A3463" t="s">
        <v>8</v>
      </c>
      <c r="B3463" t="s">
        <v>7</v>
      </c>
      <c r="C3463">
        <v>100</v>
      </c>
      <c r="D3463">
        <v>3337.9479999999999</v>
      </c>
    </row>
    <row r="3464" spans="1:4" x14ac:dyDescent="0.25">
      <c r="A3464" t="s">
        <v>8</v>
      </c>
      <c r="B3464" t="s">
        <v>7</v>
      </c>
      <c r="C3464">
        <v>100</v>
      </c>
      <c r="D3464">
        <v>3503.261</v>
      </c>
    </row>
    <row r="3465" spans="1:4" x14ac:dyDescent="0.25">
      <c r="A3465" t="s">
        <v>8</v>
      </c>
      <c r="B3465" t="s">
        <v>7</v>
      </c>
      <c r="C3465">
        <v>100</v>
      </c>
      <c r="D3465">
        <v>3296.8310000000001</v>
      </c>
    </row>
    <row r="3466" spans="1:4" x14ac:dyDescent="0.25">
      <c r="A3466" t="s">
        <v>8</v>
      </c>
      <c r="B3466" t="s">
        <v>7</v>
      </c>
      <c r="C3466">
        <v>100</v>
      </c>
      <c r="D3466">
        <v>3412.828</v>
      </c>
    </row>
    <row r="3467" spans="1:4" x14ac:dyDescent="0.25">
      <c r="A3467" t="s">
        <v>8</v>
      </c>
      <c r="B3467" t="s">
        <v>7</v>
      </c>
      <c r="C3467">
        <v>100</v>
      </c>
      <c r="D3467">
        <v>3418.877</v>
      </c>
    </row>
    <row r="3468" spans="1:4" x14ac:dyDescent="0.25">
      <c r="A3468" t="s">
        <v>8</v>
      </c>
      <c r="B3468" t="s">
        <v>7</v>
      </c>
      <c r="C3468">
        <v>100</v>
      </c>
      <c r="D3468">
        <v>3329.098</v>
      </c>
    </row>
    <row r="3469" spans="1:4" x14ac:dyDescent="0.25">
      <c r="A3469" t="s">
        <v>8</v>
      </c>
      <c r="B3469" t="s">
        <v>7</v>
      </c>
      <c r="C3469">
        <v>100</v>
      </c>
      <c r="D3469">
        <v>3483.4160000000002</v>
      </c>
    </row>
    <row r="3470" spans="1:4" x14ac:dyDescent="0.25">
      <c r="A3470" t="s">
        <v>8</v>
      </c>
      <c r="B3470" t="s">
        <v>7</v>
      </c>
      <c r="C3470">
        <v>100</v>
      </c>
      <c r="D3470">
        <v>3336.2739999999999</v>
      </c>
    </row>
    <row r="3471" spans="1:4" x14ac:dyDescent="0.25">
      <c r="A3471" t="s">
        <v>8</v>
      </c>
      <c r="B3471" t="s">
        <v>7</v>
      </c>
      <c r="C3471">
        <v>100</v>
      </c>
      <c r="D3471">
        <v>3344.1480000000001</v>
      </c>
    </row>
    <row r="3472" spans="1:4" x14ac:dyDescent="0.25">
      <c r="A3472" t="s">
        <v>8</v>
      </c>
      <c r="B3472" t="s">
        <v>7</v>
      </c>
      <c r="C3472">
        <v>100</v>
      </c>
      <c r="D3472">
        <v>3316.8409999999999</v>
      </c>
    </row>
    <row r="3473" spans="1:4" x14ac:dyDescent="0.25">
      <c r="A3473" t="s">
        <v>8</v>
      </c>
      <c r="B3473" t="s">
        <v>7</v>
      </c>
      <c r="C3473">
        <v>100</v>
      </c>
      <c r="D3473">
        <v>3433.6640000000002</v>
      </c>
    </row>
    <row r="3474" spans="1:4" x14ac:dyDescent="0.25">
      <c r="A3474" t="s">
        <v>8</v>
      </c>
      <c r="B3474" t="s">
        <v>7</v>
      </c>
      <c r="C3474">
        <v>100</v>
      </c>
      <c r="D3474">
        <v>3375.0320000000002</v>
      </c>
    </row>
    <row r="3475" spans="1:4" x14ac:dyDescent="0.25">
      <c r="A3475" t="s">
        <v>8</v>
      </c>
      <c r="B3475" t="s">
        <v>7</v>
      </c>
      <c r="C3475">
        <v>100</v>
      </c>
      <c r="D3475">
        <v>3414.223</v>
      </c>
    </row>
    <row r="3476" spans="1:4" x14ac:dyDescent="0.25">
      <c r="A3476" t="s">
        <v>8</v>
      </c>
      <c r="B3476" t="s">
        <v>7</v>
      </c>
      <c r="C3476">
        <v>100</v>
      </c>
      <c r="D3476">
        <v>3411.2649999999999</v>
      </c>
    </row>
    <row r="3477" spans="1:4" x14ac:dyDescent="0.25">
      <c r="A3477" t="s">
        <v>8</v>
      </c>
      <c r="B3477" t="s">
        <v>7</v>
      </c>
      <c r="C3477">
        <v>100</v>
      </c>
      <c r="D3477">
        <v>3418.201</v>
      </c>
    </row>
    <row r="3478" spans="1:4" x14ac:dyDescent="0.25">
      <c r="A3478" t="s">
        <v>8</v>
      </c>
      <c r="B3478" t="s">
        <v>7</v>
      </c>
      <c r="C3478">
        <v>100</v>
      </c>
      <c r="D3478">
        <v>3408.8809999999999</v>
      </c>
    </row>
    <row r="3479" spans="1:4" x14ac:dyDescent="0.25">
      <c r="A3479" t="s">
        <v>8</v>
      </c>
      <c r="B3479" t="s">
        <v>7</v>
      </c>
      <c r="C3479">
        <v>100</v>
      </c>
      <c r="D3479">
        <v>3396.7190000000001</v>
      </c>
    </row>
    <row r="3480" spans="1:4" x14ac:dyDescent="0.25">
      <c r="A3480" t="s">
        <v>8</v>
      </c>
      <c r="B3480" t="s">
        <v>7</v>
      </c>
      <c r="C3480">
        <v>100</v>
      </c>
      <c r="D3480">
        <v>3343.7150000000001</v>
      </c>
    </row>
    <row r="3481" spans="1:4" x14ac:dyDescent="0.25">
      <c r="A3481" t="s">
        <v>8</v>
      </c>
      <c r="B3481" t="s">
        <v>7</v>
      </c>
      <c r="C3481">
        <v>100</v>
      </c>
      <c r="D3481">
        <v>3435.1010000000001</v>
      </c>
    </row>
    <row r="3482" spans="1:4" x14ac:dyDescent="0.25">
      <c r="A3482" t="s">
        <v>8</v>
      </c>
      <c r="B3482" t="s">
        <v>7</v>
      </c>
      <c r="C3482">
        <v>100</v>
      </c>
      <c r="D3482">
        <v>3421.6309999999999</v>
      </c>
    </row>
    <row r="3483" spans="1:4" x14ac:dyDescent="0.25">
      <c r="A3483" t="s">
        <v>8</v>
      </c>
      <c r="B3483" t="s">
        <v>7</v>
      </c>
      <c r="C3483">
        <v>100</v>
      </c>
      <c r="D3483">
        <v>3430.7730000000001</v>
      </c>
    </row>
    <row r="3484" spans="1:4" x14ac:dyDescent="0.25">
      <c r="A3484" t="s">
        <v>8</v>
      </c>
      <c r="B3484" t="s">
        <v>7</v>
      </c>
      <c r="C3484">
        <v>100</v>
      </c>
      <c r="D3484">
        <v>3368.431</v>
      </c>
    </row>
    <row r="3485" spans="1:4" x14ac:dyDescent="0.25">
      <c r="A3485" t="s">
        <v>8</v>
      </c>
      <c r="B3485" t="s">
        <v>7</v>
      </c>
      <c r="C3485">
        <v>100</v>
      </c>
      <c r="D3485">
        <v>3341.4279999999999</v>
      </c>
    </row>
    <row r="3486" spans="1:4" x14ac:dyDescent="0.25">
      <c r="A3486" t="s">
        <v>8</v>
      </c>
      <c r="B3486" t="s">
        <v>7</v>
      </c>
      <c r="C3486">
        <v>100</v>
      </c>
      <c r="D3486">
        <v>3362.8719999999998</v>
      </c>
    </row>
    <row r="3487" spans="1:4" x14ac:dyDescent="0.25">
      <c r="A3487" t="s">
        <v>8</v>
      </c>
      <c r="B3487" t="s">
        <v>7</v>
      </c>
      <c r="C3487">
        <v>100</v>
      </c>
      <c r="D3487">
        <v>3491.364</v>
      </c>
    </row>
    <row r="3488" spans="1:4" x14ac:dyDescent="0.25">
      <c r="A3488" t="s">
        <v>8</v>
      </c>
      <c r="B3488" t="s">
        <v>7</v>
      </c>
      <c r="C3488">
        <v>100</v>
      </c>
      <c r="D3488">
        <v>3426.0430000000001</v>
      </c>
    </row>
    <row r="3489" spans="1:4" x14ac:dyDescent="0.25">
      <c r="A3489" t="s">
        <v>8</v>
      </c>
      <c r="B3489" t="s">
        <v>7</v>
      </c>
      <c r="C3489">
        <v>100</v>
      </c>
      <c r="D3489">
        <v>3359.7750000000001</v>
      </c>
    </row>
    <row r="3490" spans="1:4" x14ac:dyDescent="0.25">
      <c r="A3490" t="s">
        <v>8</v>
      </c>
      <c r="B3490" t="s">
        <v>7</v>
      </c>
      <c r="C3490">
        <v>100</v>
      </c>
      <c r="D3490">
        <v>3329.8989999999999</v>
      </c>
    </row>
    <row r="3491" spans="1:4" x14ac:dyDescent="0.25">
      <c r="A3491" t="s">
        <v>8</v>
      </c>
      <c r="B3491" t="s">
        <v>7</v>
      </c>
      <c r="C3491">
        <v>100</v>
      </c>
      <c r="D3491">
        <v>3357.1239999999998</v>
      </c>
    </row>
    <row r="3492" spans="1:4" x14ac:dyDescent="0.25">
      <c r="A3492" t="s">
        <v>8</v>
      </c>
      <c r="B3492" t="s">
        <v>7</v>
      </c>
      <c r="C3492">
        <v>100</v>
      </c>
      <c r="D3492">
        <v>3395.41</v>
      </c>
    </row>
    <row r="3493" spans="1:4" x14ac:dyDescent="0.25">
      <c r="A3493" t="s">
        <v>8</v>
      </c>
      <c r="B3493" t="s">
        <v>7</v>
      </c>
      <c r="C3493">
        <v>100</v>
      </c>
      <c r="D3493">
        <v>3367.2930000000001</v>
      </c>
    </row>
    <row r="3494" spans="1:4" x14ac:dyDescent="0.25">
      <c r="A3494" t="s">
        <v>8</v>
      </c>
      <c r="B3494" t="s">
        <v>7</v>
      </c>
      <c r="C3494">
        <v>100</v>
      </c>
      <c r="D3494">
        <v>3315.9270000000001</v>
      </c>
    </row>
    <row r="3495" spans="1:4" x14ac:dyDescent="0.25">
      <c r="A3495" t="s">
        <v>8</v>
      </c>
      <c r="B3495" t="s">
        <v>7</v>
      </c>
      <c r="C3495">
        <v>100</v>
      </c>
      <c r="D3495">
        <v>3371.8229999999999</v>
      </c>
    </row>
    <row r="3496" spans="1:4" x14ac:dyDescent="0.25">
      <c r="A3496" t="s">
        <v>8</v>
      </c>
      <c r="B3496" t="s">
        <v>7</v>
      </c>
      <c r="C3496">
        <v>100</v>
      </c>
      <c r="D3496">
        <v>3479.28</v>
      </c>
    </row>
    <row r="3497" spans="1:4" x14ac:dyDescent="0.25">
      <c r="A3497" t="s">
        <v>8</v>
      </c>
      <c r="B3497" t="s">
        <v>7</v>
      </c>
      <c r="C3497">
        <v>100</v>
      </c>
      <c r="D3497">
        <v>3333.8229999999999</v>
      </c>
    </row>
    <row r="3498" spans="1:4" x14ac:dyDescent="0.25">
      <c r="A3498" t="s">
        <v>8</v>
      </c>
      <c r="B3498" t="s">
        <v>7</v>
      </c>
      <c r="C3498">
        <v>100</v>
      </c>
      <c r="D3498">
        <v>3510.482</v>
      </c>
    </row>
    <row r="3499" spans="1:4" x14ac:dyDescent="0.25">
      <c r="A3499" t="s">
        <v>8</v>
      </c>
      <c r="B3499" t="s">
        <v>7</v>
      </c>
      <c r="C3499">
        <v>100</v>
      </c>
      <c r="D3499">
        <v>3419.433</v>
      </c>
    </row>
    <row r="3500" spans="1:4" x14ac:dyDescent="0.25">
      <c r="A3500" t="s">
        <v>8</v>
      </c>
      <c r="B3500" t="s">
        <v>7</v>
      </c>
      <c r="C3500">
        <v>100</v>
      </c>
      <c r="D3500">
        <v>3380.44</v>
      </c>
    </row>
    <row r="3501" spans="1:4" x14ac:dyDescent="0.25">
      <c r="A3501" t="s">
        <v>8</v>
      </c>
      <c r="B3501" t="s">
        <v>7</v>
      </c>
      <c r="C3501">
        <v>100</v>
      </c>
      <c r="D3501">
        <v>3467.2339999999999</v>
      </c>
    </row>
    <row r="3502" spans="1:4" x14ac:dyDescent="0.25">
      <c r="A3502" t="s">
        <v>8</v>
      </c>
      <c r="B3502" t="s">
        <v>7</v>
      </c>
      <c r="C3502">
        <v>120</v>
      </c>
      <c r="D3502">
        <v>4054.4279999999999</v>
      </c>
    </row>
    <row r="3503" spans="1:4" x14ac:dyDescent="0.25">
      <c r="A3503" t="s">
        <v>8</v>
      </c>
      <c r="B3503" t="s">
        <v>7</v>
      </c>
      <c r="C3503">
        <v>120</v>
      </c>
      <c r="D3503">
        <v>4026.2420000000002</v>
      </c>
    </row>
    <row r="3504" spans="1:4" x14ac:dyDescent="0.25">
      <c r="A3504" t="s">
        <v>8</v>
      </c>
      <c r="B3504" t="s">
        <v>7</v>
      </c>
      <c r="C3504">
        <v>120</v>
      </c>
      <c r="D3504">
        <v>3956.444</v>
      </c>
    </row>
    <row r="3505" spans="1:4" x14ac:dyDescent="0.25">
      <c r="A3505" t="s">
        <v>8</v>
      </c>
      <c r="B3505" t="s">
        <v>7</v>
      </c>
      <c r="C3505">
        <v>120</v>
      </c>
      <c r="D3505">
        <v>3944.837</v>
      </c>
    </row>
    <row r="3506" spans="1:4" x14ac:dyDescent="0.25">
      <c r="A3506" t="s">
        <v>8</v>
      </c>
      <c r="B3506" t="s">
        <v>7</v>
      </c>
      <c r="C3506">
        <v>120</v>
      </c>
      <c r="D3506">
        <v>3873.7640000000001</v>
      </c>
    </row>
    <row r="3507" spans="1:4" x14ac:dyDescent="0.25">
      <c r="A3507" t="s">
        <v>8</v>
      </c>
      <c r="B3507" t="s">
        <v>7</v>
      </c>
      <c r="C3507">
        <v>120</v>
      </c>
      <c r="D3507">
        <v>4020.8150000000001</v>
      </c>
    </row>
    <row r="3508" spans="1:4" x14ac:dyDescent="0.25">
      <c r="A3508" t="s">
        <v>8</v>
      </c>
      <c r="B3508" t="s">
        <v>7</v>
      </c>
      <c r="C3508">
        <v>120</v>
      </c>
      <c r="D3508">
        <v>3989.6689999999999</v>
      </c>
    </row>
    <row r="3509" spans="1:4" x14ac:dyDescent="0.25">
      <c r="A3509" t="s">
        <v>8</v>
      </c>
      <c r="B3509" t="s">
        <v>7</v>
      </c>
      <c r="C3509">
        <v>120</v>
      </c>
      <c r="D3509">
        <v>4028.4960000000001</v>
      </c>
    </row>
    <row r="3510" spans="1:4" x14ac:dyDescent="0.25">
      <c r="A3510" t="s">
        <v>8</v>
      </c>
      <c r="B3510" t="s">
        <v>7</v>
      </c>
      <c r="C3510">
        <v>120</v>
      </c>
      <c r="D3510">
        <v>3919.6849999999999</v>
      </c>
    </row>
    <row r="3511" spans="1:4" x14ac:dyDescent="0.25">
      <c r="A3511" t="s">
        <v>8</v>
      </c>
      <c r="B3511" t="s">
        <v>7</v>
      </c>
      <c r="C3511">
        <v>120</v>
      </c>
      <c r="D3511">
        <v>3970.7530000000002</v>
      </c>
    </row>
    <row r="3512" spans="1:4" x14ac:dyDescent="0.25">
      <c r="A3512" t="s">
        <v>8</v>
      </c>
      <c r="B3512" t="s">
        <v>7</v>
      </c>
      <c r="C3512">
        <v>120</v>
      </c>
      <c r="D3512">
        <v>3965.1930000000002</v>
      </c>
    </row>
    <row r="3513" spans="1:4" x14ac:dyDescent="0.25">
      <c r="A3513" t="s">
        <v>8</v>
      </c>
      <c r="B3513" t="s">
        <v>7</v>
      </c>
      <c r="C3513">
        <v>120</v>
      </c>
      <c r="D3513">
        <v>3922.5610000000001</v>
      </c>
    </row>
    <row r="3514" spans="1:4" x14ac:dyDescent="0.25">
      <c r="A3514" t="s">
        <v>8</v>
      </c>
      <c r="B3514" t="s">
        <v>7</v>
      </c>
      <c r="C3514">
        <v>120</v>
      </c>
      <c r="D3514">
        <v>4052.2779999999998</v>
      </c>
    </row>
    <row r="3515" spans="1:4" x14ac:dyDescent="0.25">
      <c r="A3515" t="s">
        <v>8</v>
      </c>
      <c r="B3515" t="s">
        <v>7</v>
      </c>
      <c r="C3515">
        <v>120</v>
      </c>
      <c r="D3515">
        <v>3992.1660000000002</v>
      </c>
    </row>
    <row r="3516" spans="1:4" x14ac:dyDescent="0.25">
      <c r="A3516" t="s">
        <v>8</v>
      </c>
      <c r="B3516" t="s">
        <v>7</v>
      </c>
      <c r="C3516">
        <v>120</v>
      </c>
      <c r="D3516">
        <v>3936.0880000000002</v>
      </c>
    </row>
    <row r="3517" spans="1:4" x14ac:dyDescent="0.25">
      <c r="A3517" t="s">
        <v>8</v>
      </c>
      <c r="B3517" t="s">
        <v>7</v>
      </c>
      <c r="C3517">
        <v>120</v>
      </c>
      <c r="D3517">
        <v>4007.3249999999998</v>
      </c>
    </row>
    <row r="3518" spans="1:4" x14ac:dyDescent="0.25">
      <c r="A3518" t="s">
        <v>8</v>
      </c>
      <c r="B3518" t="s">
        <v>7</v>
      </c>
      <c r="C3518">
        <v>120</v>
      </c>
      <c r="D3518">
        <v>3923.3850000000002</v>
      </c>
    </row>
    <row r="3519" spans="1:4" x14ac:dyDescent="0.25">
      <c r="A3519" t="s">
        <v>8</v>
      </c>
      <c r="B3519" t="s">
        <v>7</v>
      </c>
      <c r="C3519">
        <v>120</v>
      </c>
      <c r="D3519">
        <v>4021.0369999999998</v>
      </c>
    </row>
    <row r="3520" spans="1:4" x14ac:dyDescent="0.25">
      <c r="A3520" t="s">
        <v>8</v>
      </c>
      <c r="B3520" t="s">
        <v>7</v>
      </c>
      <c r="C3520">
        <v>120</v>
      </c>
      <c r="D3520">
        <v>4036.9830000000002</v>
      </c>
    </row>
    <row r="3521" spans="1:4" x14ac:dyDescent="0.25">
      <c r="A3521" t="s">
        <v>8</v>
      </c>
      <c r="B3521" t="s">
        <v>7</v>
      </c>
      <c r="C3521">
        <v>120</v>
      </c>
      <c r="D3521">
        <v>3989.221</v>
      </c>
    </row>
    <row r="3522" spans="1:4" x14ac:dyDescent="0.25">
      <c r="A3522" t="s">
        <v>8</v>
      </c>
      <c r="B3522" t="s">
        <v>7</v>
      </c>
      <c r="C3522">
        <v>120</v>
      </c>
      <c r="D3522">
        <v>3973.1790000000001</v>
      </c>
    </row>
    <row r="3523" spans="1:4" x14ac:dyDescent="0.25">
      <c r="A3523" t="s">
        <v>8</v>
      </c>
      <c r="B3523" t="s">
        <v>7</v>
      </c>
      <c r="C3523">
        <v>120</v>
      </c>
      <c r="D3523">
        <v>3919.6239999999998</v>
      </c>
    </row>
    <row r="3524" spans="1:4" x14ac:dyDescent="0.25">
      <c r="A3524" t="s">
        <v>8</v>
      </c>
      <c r="B3524" t="s">
        <v>7</v>
      </c>
      <c r="C3524">
        <v>120</v>
      </c>
      <c r="D3524">
        <v>3959.5639999999999</v>
      </c>
    </row>
    <row r="3525" spans="1:4" x14ac:dyDescent="0.25">
      <c r="A3525" t="s">
        <v>8</v>
      </c>
      <c r="B3525" t="s">
        <v>7</v>
      </c>
      <c r="C3525">
        <v>120</v>
      </c>
      <c r="D3525">
        <v>4000.386</v>
      </c>
    </row>
    <row r="3526" spans="1:4" x14ac:dyDescent="0.25">
      <c r="A3526" t="s">
        <v>8</v>
      </c>
      <c r="B3526" t="s">
        <v>7</v>
      </c>
      <c r="C3526">
        <v>120</v>
      </c>
      <c r="D3526">
        <v>4010.7020000000002</v>
      </c>
    </row>
    <row r="3527" spans="1:4" x14ac:dyDescent="0.25">
      <c r="A3527" t="s">
        <v>8</v>
      </c>
      <c r="B3527" t="s">
        <v>7</v>
      </c>
      <c r="C3527">
        <v>120</v>
      </c>
      <c r="D3527">
        <v>3942.8</v>
      </c>
    </row>
    <row r="3528" spans="1:4" x14ac:dyDescent="0.25">
      <c r="A3528" t="s">
        <v>8</v>
      </c>
      <c r="B3528" t="s">
        <v>7</v>
      </c>
      <c r="C3528">
        <v>120</v>
      </c>
      <c r="D3528">
        <v>3993.1419999999998</v>
      </c>
    </row>
    <row r="3529" spans="1:4" x14ac:dyDescent="0.25">
      <c r="A3529" t="s">
        <v>8</v>
      </c>
      <c r="B3529" t="s">
        <v>7</v>
      </c>
      <c r="C3529">
        <v>120</v>
      </c>
      <c r="D3529">
        <v>4023.877</v>
      </c>
    </row>
    <row r="3530" spans="1:4" x14ac:dyDescent="0.25">
      <c r="A3530" t="s">
        <v>8</v>
      </c>
      <c r="B3530" t="s">
        <v>7</v>
      </c>
      <c r="C3530">
        <v>120</v>
      </c>
      <c r="D3530">
        <v>3967.2130000000002</v>
      </c>
    </row>
    <row r="3531" spans="1:4" x14ac:dyDescent="0.25">
      <c r="A3531" t="s">
        <v>8</v>
      </c>
      <c r="B3531" t="s">
        <v>7</v>
      </c>
      <c r="C3531">
        <v>120</v>
      </c>
      <c r="D3531">
        <v>3915.384</v>
      </c>
    </row>
    <row r="3532" spans="1:4" x14ac:dyDescent="0.25">
      <c r="A3532" t="s">
        <v>8</v>
      </c>
      <c r="B3532" t="s">
        <v>7</v>
      </c>
      <c r="C3532">
        <v>120</v>
      </c>
      <c r="D3532">
        <v>3914.5459999999998</v>
      </c>
    </row>
    <row r="3533" spans="1:4" x14ac:dyDescent="0.25">
      <c r="A3533" t="s">
        <v>8</v>
      </c>
      <c r="B3533" t="s">
        <v>7</v>
      </c>
      <c r="C3533">
        <v>120</v>
      </c>
      <c r="D3533">
        <v>3999.2269999999999</v>
      </c>
    </row>
    <row r="3534" spans="1:4" x14ac:dyDescent="0.25">
      <c r="A3534" t="s">
        <v>8</v>
      </c>
      <c r="B3534" t="s">
        <v>7</v>
      </c>
      <c r="C3534">
        <v>120</v>
      </c>
      <c r="D3534">
        <v>3935.3919999999998</v>
      </c>
    </row>
    <row r="3535" spans="1:4" x14ac:dyDescent="0.25">
      <c r="A3535" t="s">
        <v>8</v>
      </c>
      <c r="B3535" t="s">
        <v>7</v>
      </c>
      <c r="C3535">
        <v>120</v>
      </c>
      <c r="D3535">
        <v>3980.277</v>
      </c>
    </row>
    <row r="3536" spans="1:4" x14ac:dyDescent="0.25">
      <c r="A3536" t="s">
        <v>8</v>
      </c>
      <c r="B3536" t="s">
        <v>7</v>
      </c>
      <c r="C3536">
        <v>120</v>
      </c>
      <c r="D3536">
        <v>3950.2269999999999</v>
      </c>
    </row>
    <row r="3537" spans="1:4" x14ac:dyDescent="0.25">
      <c r="A3537" t="s">
        <v>8</v>
      </c>
      <c r="B3537" t="s">
        <v>7</v>
      </c>
      <c r="C3537">
        <v>120</v>
      </c>
      <c r="D3537">
        <v>3932.4479999999999</v>
      </c>
    </row>
    <row r="3538" spans="1:4" x14ac:dyDescent="0.25">
      <c r="A3538" t="s">
        <v>8</v>
      </c>
      <c r="B3538" t="s">
        <v>7</v>
      </c>
      <c r="C3538">
        <v>120</v>
      </c>
      <c r="D3538">
        <v>3997.9540000000002</v>
      </c>
    </row>
    <row r="3539" spans="1:4" x14ac:dyDescent="0.25">
      <c r="A3539" t="s">
        <v>8</v>
      </c>
      <c r="B3539" t="s">
        <v>7</v>
      </c>
      <c r="C3539">
        <v>120</v>
      </c>
      <c r="D3539">
        <v>3994.4609999999998</v>
      </c>
    </row>
    <row r="3540" spans="1:4" x14ac:dyDescent="0.25">
      <c r="A3540" t="s">
        <v>8</v>
      </c>
      <c r="B3540" t="s">
        <v>7</v>
      </c>
      <c r="C3540">
        <v>120</v>
      </c>
      <c r="D3540">
        <v>4013.3670000000002</v>
      </c>
    </row>
    <row r="3541" spans="1:4" x14ac:dyDescent="0.25">
      <c r="A3541" t="s">
        <v>8</v>
      </c>
      <c r="B3541" t="s">
        <v>7</v>
      </c>
      <c r="C3541">
        <v>120</v>
      </c>
      <c r="D3541">
        <v>3906.0160000000001</v>
      </c>
    </row>
    <row r="3542" spans="1:4" x14ac:dyDescent="0.25">
      <c r="A3542" t="s">
        <v>8</v>
      </c>
      <c r="B3542" t="s">
        <v>7</v>
      </c>
      <c r="C3542">
        <v>120</v>
      </c>
      <c r="D3542">
        <v>4041.4749999999999</v>
      </c>
    </row>
    <row r="3543" spans="1:4" x14ac:dyDescent="0.25">
      <c r="A3543" t="s">
        <v>8</v>
      </c>
      <c r="B3543" t="s">
        <v>7</v>
      </c>
      <c r="C3543">
        <v>120</v>
      </c>
      <c r="D3543">
        <v>4080.259</v>
      </c>
    </row>
    <row r="3544" spans="1:4" x14ac:dyDescent="0.25">
      <c r="A3544" t="s">
        <v>8</v>
      </c>
      <c r="B3544" t="s">
        <v>7</v>
      </c>
      <c r="C3544">
        <v>120</v>
      </c>
      <c r="D3544">
        <v>4054.1509999999998</v>
      </c>
    </row>
    <row r="3545" spans="1:4" x14ac:dyDescent="0.25">
      <c r="A3545" t="s">
        <v>8</v>
      </c>
      <c r="B3545" t="s">
        <v>7</v>
      </c>
      <c r="C3545">
        <v>120</v>
      </c>
      <c r="D3545">
        <v>4074.4459999999999</v>
      </c>
    </row>
    <row r="3546" spans="1:4" x14ac:dyDescent="0.25">
      <c r="A3546" t="s">
        <v>8</v>
      </c>
      <c r="B3546" t="s">
        <v>7</v>
      </c>
      <c r="C3546">
        <v>120</v>
      </c>
      <c r="D3546">
        <v>3975.9349999999999</v>
      </c>
    </row>
    <row r="3547" spans="1:4" x14ac:dyDescent="0.25">
      <c r="A3547" t="s">
        <v>8</v>
      </c>
      <c r="B3547" t="s">
        <v>7</v>
      </c>
      <c r="C3547">
        <v>120</v>
      </c>
      <c r="D3547">
        <v>3960.8330000000001</v>
      </c>
    </row>
    <row r="3548" spans="1:4" x14ac:dyDescent="0.25">
      <c r="A3548" t="s">
        <v>8</v>
      </c>
      <c r="B3548" t="s">
        <v>7</v>
      </c>
      <c r="C3548">
        <v>120</v>
      </c>
      <c r="D3548">
        <v>3927.1590000000001</v>
      </c>
    </row>
    <row r="3549" spans="1:4" x14ac:dyDescent="0.25">
      <c r="A3549" t="s">
        <v>8</v>
      </c>
      <c r="B3549" t="s">
        <v>7</v>
      </c>
      <c r="C3549">
        <v>120</v>
      </c>
      <c r="D3549">
        <v>3978.5729999999999</v>
      </c>
    </row>
    <row r="3550" spans="1:4" x14ac:dyDescent="0.25">
      <c r="A3550" t="s">
        <v>8</v>
      </c>
      <c r="B3550" t="s">
        <v>7</v>
      </c>
      <c r="C3550">
        <v>120</v>
      </c>
      <c r="D3550">
        <v>3949.7910000000002</v>
      </c>
    </row>
    <row r="3551" spans="1:4" x14ac:dyDescent="0.25">
      <c r="A3551" t="s">
        <v>8</v>
      </c>
      <c r="B3551" t="s">
        <v>7</v>
      </c>
      <c r="C3551">
        <v>120</v>
      </c>
      <c r="D3551">
        <v>3970.172</v>
      </c>
    </row>
    <row r="3552" spans="1:4" x14ac:dyDescent="0.25">
      <c r="A3552" t="s">
        <v>8</v>
      </c>
      <c r="B3552" t="s">
        <v>7</v>
      </c>
      <c r="C3552">
        <v>120</v>
      </c>
      <c r="D3552">
        <v>4024.0149999999999</v>
      </c>
    </row>
    <row r="3553" spans="1:4" x14ac:dyDescent="0.25">
      <c r="A3553" t="s">
        <v>8</v>
      </c>
      <c r="B3553" t="s">
        <v>7</v>
      </c>
      <c r="C3553">
        <v>120</v>
      </c>
      <c r="D3553">
        <v>4019.078</v>
      </c>
    </row>
    <row r="3554" spans="1:4" x14ac:dyDescent="0.25">
      <c r="A3554" t="s">
        <v>8</v>
      </c>
      <c r="B3554" t="s">
        <v>7</v>
      </c>
      <c r="C3554">
        <v>120</v>
      </c>
      <c r="D3554">
        <v>4047.3589999999999</v>
      </c>
    </row>
    <row r="3555" spans="1:4" x14ac:dyDescent="0.25">
      <c r="A3555" t="s">
        <v>8</v>
      </c>
      <c r="B3555" t="s">
        <v>7</v>
      </c>
      <c r="C3555">
        <v>120</v>
      </c>
      <c r="D3555">
        <v>4048.81</v>
      </c>
    </row>
    <row r="3556" spans="1:4" x14ac:dyDescent="0.25">
      <c r="A3556" t="s">
        <v>8</v>
      </c>
      <c r="B3556" t="s">
        <v>7</v>
      </c>
      <c r="C3556">
        <v>120</v>
      </c>
      <c r="D3556">
        <v>3985.2570000000001</v>
      </c>
    </row>
    <row r="3557" spans="1:4" x14ac:dyDescent="0.25">
      <c r="A3557" t="s">
        <v>8</v>
      </c>
      <c r="B3557" t="s">
        <v>7</v>
      </c>
      <c r="C3557">
        <v>120</v>
      </c>
      <c r="D3557">
        <v>3909.4870000000001</v>
      </c>
    </row>
    <row r="3558" spans="1:4" x14ac:dyDescent="0.25">
      <c r="A3558" t="s">
        <v>8</v>
      </c>
      <c r="B3558" t="s">
        <v>7</v>
      </c>
      <c r="C3558">
        <v>120</v>
      </c>
      <c r="D3558">
        <v>3987.0949999999998</v>
      </c>
    </row>
    <row r="3559" spans="1:4" x14ac:dyDescent="0.25">
      <c r="A3559" t="s">
        <v>8</v>
      </c>
      <c r="B3559" t="s">
        <v>7</v>
      </c>
      <c r="C3559">
        <v>120</v>
      </c>
      <c r="D3559">
        <v>3963.9459999999999</v>
      </c>
    </row>
    <row r="3560" spans="1:4" x14ac:dyDescent="0.25">
      <c r="A3560" t="s">
        <v>8</v>
      </c>
      <c r="B3560" t="s">
        <v>7</v>
      </c>
      <c r="C3560">
        <v>120</v>
      </c>
      <c r="D3560">
        <v>3908.2750000000001</v>
      </c>
    </row>
    <row r="3561" spans="1:4" x14ac:dyDescent="0.25">
      <c r="A3561" t="s">
        <v>8</v>
      </c>
      <c r="B3561" t="s">
        <v>7</v>
      </c>
      <c r="C3561">
        <v>120</v>
      </c>
      <c r="D3561">
        <v>4058.6709999999998</v>
      </c>
    </row>
    <row r="3562" spans="1:4" x14ac:dyDescent="0.25">
      <c r="A3562" t="s">
        <v>8</v>
      </c>
      <c r="B3562" t="s">
        <v>7</v>
      </c>
      <c r="C3562">
        <v>120</v>
      </c>
      <c r="D3562">
        <v>3970.7339999999999</v>
      </c>
    </row>
    <row r="3563" spans="1:4" x14ac:dyDescent="0.25">
      <c r="A3563" t="s">
        <v>8</v>
      </c>
      <c r="B3563" t="s">
        <v>7</v>
      </c>
      <c r="C3563">
        <v>120</v>
      </c>
      <c r="D3563">
        <v>4027.9229999999998</v>
      </c>
    </row>
    <row r="3564" spans="1:4" x14ac:dyDescent="0.25">
      <c r="A3564" t="s">
        <v>8</v>
      </c>
      <c r="B3564" t="s">
        <v>7</v>
      </c>
      <c r="C3564">
        <v>120</v>
      </c>
      <c r="D3564">
        <v>4038.9789999999998</v>
      </c>
    </row>
    <row r="3565" spans="1:4" x14ac:dyDescent="0.25">
      <c r="A3565" t="s">
        <v>8</v>
      </c>
      <c r="B3565" t="s">
        <v>7</v>
      </c>
      <c r="C3565">
        <v>120</v>
      </c>
      <c r="D3565">
        <v>3847.9479999999999</v>
      </c>
    </row>
    <row r="3566" spans="1:4" x14ac:dyDescent="0.25">
      <c r="A3566" t="s">
        <v>8</v>
      </c>
      <c r="B3566" t="s">
        <v>7</v>
      </c>
      <c r="C3566">
        <v>120</v>
      </c>
      <c r="D3566">
        <v>3969.0230000000001</v>
      </c>
    </row>
    <row r="3567" spans="1:4" x14ac:dyDescent="0.25">
      <c r="A3567" t="s">
        <v>8</v>
      </c>
      <c r="B3567" t="s">
        <v>7</v>
      </c>
      <c r="C3567">
        <v>120</v>
      </c>
      <c r="D3567">
        <v>4008.549</v>
      </c>
    </row>
    <row r="3568" spans="1:4" x14ac:dyDescent="0.25">
      <c r="A3568" t="s">
        <v>8</v>
      </c>
      <c r="B3568" t="s">
        <v>7</v>
      </c>
      <c r="C3568">
        <v>120</v>
      </c>
      <c r="D3568">
        <v>4051.1590000000001</v>
      </c>
    </row>
    <row r="3569" spans="1:4" x14ac:dyDescent="0.25">
      <c r="A3569" t="s">
        <v>8</v>
      </c>
      <c r="B3569" t="s">
        <v>7</v>
      </c>
      <c r="C3569">
        <v>120</v>
      </c>
      <c r="D3569">
        <v>4026.636</v>
      </c>
    </row>
    <row r="3570" spans="1:4" x14ac:dyDescent="0.25">
      <c r="A3570" t="s">
        <v>8</v>
      </c>
      <c r="B3570" t="s">
        <v>7</v>
      </c>
      <c r="C3570">
        <v>120</v>
      </c>
      <c r="D3570">
        <v>3931.0880000000002</v>
      </c>
    </row>
    <row r="3571" spans="1:4" x14ac:dyDescent="0.25">
      <c r="A3571" t="s">
        <v>8</v>
      </c>
      <c r="B3571" t="s">
        <v>7</v>
      </c>
      <c r="C3571">
        <v>120</v>
      </c>
      <c r="D3571">
        <v>4003.866</v>
      </c>
    </row>
    <row r="3572" spans="1:4" x14ac:dyDescent="0.25">
      <c r="A3572" t="s">
        <v>8</v>
      </c>
      <c r="B3572" t="s">
        <v>7</v>
      </c>
      <c r="C3572">
        <v>120</v>
      </c>
      <c r="D3572">
        <v>3895.6280000000002</v>
      </c>
    </row>
    <row r="3573" spans="1:4" x14ac:dyDescent="0.25">
      <c r="A3573" t="s">
        <v>8</v>
      </c>
      <c r="B3573" t="s">
        <v>7</v>
      </c>
      <c r="C3573">
        <v>120</v>
      </c>
      <c r="D3573">
        <v>3914.8739999999998</v>
      </c>
    </row>
    <row r="3574" spans="1:4" x14ac:dyDescent="0.25">
      <c r="A3574" t="s">
        <v>8</v>
      </c>
      <c r="B3574" t="s">
        <v>7</v>
      </c>
      <c r="C3574">
        <v>120</v>
      </c>
      <c r="D3574">
        <v>4021.567</v>
      </c>
    </row>
    <row r="3575" spans="1:4" x14ac:dyDescent="0.25">
      <c r="A3575" t="s">
        <v>8</v>
      </c>
      <c r="B3575" t="s">
        <v>7</v>
      </c>
      <c r="C3575">
        <v>120</v>
      </c>
      <c r="D3575">
        <v>3994.49</v>
      </c>
    </row>
    <row r="3576" spans="1:4" x14ac:dyDescent="0.25">
      <c r="A3576" t="s">
        <v>8</v>
      </c>
      <c r="B3576" t="s">
        <v>7</v>
      </c>
      <c r="C3576">
        <v>120</v>
      </c>
      <c r="D3576">
        <v>3990.2849999999999</v>
      </c>
    </row>
    <row r="3577" spans="1:4" x14ac:dyDescent="0.25">
      <c r="A3577" t="s">
        <v>8</v>
      </c>
      <c r="B3577" t="s">
        <v>7</v>
      </c>
      <c r="C3577">
        <v>120</v>
      </c>
      <c r="D3577">
        <v>4020.2489999999998</v>
      </c>
    </row>
    <row r="3578" spans="1:4" x14ac:dyDescent="0.25">
      <c r="A3578" t="s">
        <v>8</v>
      </c>
      <c r="B3578" t="s">
        <v>7</v>
      </c>
      <c r="C3578">
        <v>120</v>
      </c>
      <c r="D3578">
        <v>3962.3910000000001</v>
      </c>
    </row>
    <row r="3579" spans="1:4" x14ac:dyDescent="0.25">
      <c r="A3579" t="s">
        <v>8</v>
      </c>
      <c r="B3579" t="s">
        <v>7</v>
      </c>
      <c r="C3579">
        <v>120</v>
      </c>
      <c r="D3579">
        <v>4122.902</v>
      </c>
    </row>
    <row r="3580" spans="1:4" x14ac:dyDescent="0.25">
      <c r="A3580" t="s">
        <v>8</v>
      </c>
      <c r="B3580" t="s">
        <v>7</v>
      </c>
      <c r="C3580">
        <v>120</v>
      </c>
      <c r="D3580">
        <v>4024.569</v>
      </c>
    </row>
    <row r="3581" spans="1:4" x14ac:dyDescent="0.25">
      <c r="A3581" t="s">
        <v>8</v>
      </c>
      <c r="B3581" t="s">
        <v>7</v>
      </c>
      <c r="C3581">
        <v>120</v>
      </c>
      <c r="D3581">
        <v>3982.8960000000002</v>
      </c>
    </row>
    <row r="3582" spans="1:4" x14ac:dyDescent="0.25">
      <c r="A3582" t="s">
        <v>8</v>
      </c>
      <c r="B3582" t="s">
        <v>7</v>
      </c>
      <c r="C3582">
        <v>120</v>
      </c>
      <c r="D3582">
        <v>4011.4380000000001</v>
      </c>
    </row>
    <row r="3583" spans="1:4" x14ac:dyDescent="0.25">
      <c r="A3583" t="s">
        <v>8</v>
      </c>
      <c r="B3583" t="s">
        <v>7</v>
      </c>
      <c r="C3583">
        <v>120</v>
      </c>
      <c r="D3583">
        <v>4002.127</v>
      </c>
    </row>
    <row r="3584" spans="1:4" x14ac:dyDescent="0.25">
      <c r="A3584" t="s">
        <v>8</v>
      </c>
      <c r="B3584" t="s">
        <v>7</v>
      </c>
      <c r="C3584">
        <v>120</v>
      </c>
      <c r="D3584">
        <v>4084.7069999999999</v>
      </c>
    </row>
    <row r="3585" spans="1:4" x14ac:dyDescent="0.25">
      <c r="A3585" t="s">
        <v>8</v>
      </c>
      <c r="B3585" t="s">
        <v>7</v>
      </c>
      <c r="C3585">
        <v>120</v>
      </c>
      <c r="D3585">
        <v>3909.9430000000002</v>
      </c>
    </row>
    <row r="3586" spans="1:4" x14ac:dyDescent="0.25">
      <c r="A3586" t="s">
        <v>8</v>
      </c>
      <c r="B3586" t="s">
        <v>7</v>
      </c>
      <c r="C3586">
        <v>120</v>
      </c>
      <c r="D3586">
        <v>4025.7979999999998</v>
      </c>
    </row>
    <row r="3587" spans="1:4" x14ac:dyDescent="0.25">
      <c r="A3587" t="s">
        <v>8</v>
      </c>
      <c r="B3587" t="s">
        <v>7</v>
      </c>
      <c r="C3587">
        <v>120</v>
      </c>
      <c r="D3587">
        <v>3948.3159999999998</v>
      </c>
    </row>
    <row r="3588" spans="1:4" x14ac:dyDescent="0.25">
      <c r="A3588" t="s">
        <v>8</v>
      </c>
      <c r="B3588" t="s">
        <v>7</v>
      </c>
      <c r="C3588">
        <v>120</v>
      </c>
      <c r="D3588">
        <v>3936.002</v>
      </c>
    </row>
    <row r="3589" spans="1:4" x14ac:dyDescent="0.25">
      <c r="A3589" t="s">
        <v>8</v>
      </c>
      <c r="B3589" t="s">
        <v>7</v>
      </c>
      <c r="C3589">
        <v>120</v>
      </c>
      <c r="D3589">
        <v>3994.78</v>
      </c>
    </row>
    <row r="3590" spans="1:4" x14ac:dyDescent="0.25">
      <c r="A3590" t="s">
        <v>8</v>
      </c>
      <c r="B3590" t="s">
        <v>7</v>
      </c>
      <c r="C3590">
        <v>120</v>
      </c>
      <c r="D3590">
        <v>3887.6219999999998</v>
      </c>
    </row>
    <row r="3591" spans="1:4" x14ac:dyDescent="0.25">
      <c r="A3591" t="s">
        <v>8</v>
      </c>
      <c r="B3591" t="s">
        <v>7</v>
      </c>
      <c r="C3591">
        <v>120</v>
      </c>
      <c r="D3591">
        <v>3981.8629999999998</v>
      </c>
    </row>
    <row r="3592" spans="1:4" x14ac:dyDescent="0.25">
      <c r="A3592" t="s">
        <v>8</v>
      </c>
      <c r="B3592" t="s">
        <v>7</v>
      </c>
      <c r="C3592">
        <v>120</v>
      </c>
      <c r="D3592">
        <v>4003.5610000000001</v>
      </c>
    </row>
    <row r="3593" spans="1:4" x14ac:dyDescent="0.25">
      <c r="A3593" t="s">
        <v>8</v>
      </c>
      <c r="B3593" t="s">
        <v>7</v>
      </c>
      <c r="C3593">
        <v>120</v>
      </c>
      <c r="D3593">
        <v>3994.0619999999999</v>
      </c>
    </row>
    <row r="3594" spans="1:4" x14ac:dyDescent="0.25">
      <c r="A3594" t="s">
        <v>8</v>
      </c>
      <c r="B3594" t="s">
        <v>7</v>
      </c>
      <c r="C3594">
        <v>120</v>
      </c>
      <c r="D3594">
        <v>3877.6559999999999</v>
      </c>
    </row>
    <row r="3595" spans="1:4" x14ac:dyDescent="0.25">
      <c r="A3595" t="s">
        <v>8</v>
      </c>
      <c r="B3595" t="s">
        <v>7</v>
      </c>
      <c r="C3595">
        <v>120</v>
      </c>
      <c r="D3595">
        <v>4041.29</v>
      </c>
    </row>
    <row r="3596" spans="1:4" x14ac:dyDescent="0.25">
      <c r="A3596" t="s">
        <v>8</v>
      </c>
      <c r="B3596" t="s">
        <v>7</v>
      </c>
      <c r="C3596">
        <v>120</v>
      </c>
      <c r="D3596">
        <v>4093.6170000000002</v>
      </c>
    </row>
    <row r="3597" spans="1:4" x14ac:dyDescent="0.25">
      <c r="A3597" t="s">
        <v>8</v>
      </c>
      <c r="B3597" t="s">
        <v>7</v>
      </c>
      <c r="C3597">
        <v>120</v>
      </c>
      <c r="D3597">
        <v>3972.24</v>
      </c>
    </row>
    <row r="3598" spans="1:4" x14ac:dyDescent="0.25">
      <c r="A3598" t="s">
        <v>8</v>
      </c>
      <c r="B3598" t="s">
        <v>7</v>
      </c>
      <c r="C3598">
        <v>120</v>
      </c>
      <c r="D3598">
        <v>4006.8020000000001</v>
      </c>
    </row>
    <row r="3599" spans="1:4" x14ac:dyDescent="0.25">
      <c r="A3599" t="s">
        <v>8</v>
      </c>
      <c r="B3599" t="s">
        <v>7</v>
      </c>
      <c r="C3599">
        <v>120</v>
      </c>
      <c r="D3599">
        <v>3963.069</v>
      </c>
    </row>
    <row r="3600" spans="1:4" x14ac:dyDescent="0.25">
      <c r="A3600" t="s">
        <v>8</v>
      </c>
      <c r="B3600" t="s">
        <v>7</v>
      </c>
      <c r="C3600">
        <v>120</v>
      </c>
      <c r="D3600">
        <v>4011.59</v>
      </c>
    </row>
    <row r="3601" spans="1:4" x14ac:dyDescent="0.25">
      <c r="A3601" t="s">
        <v>8</v>
      </c>
      <c r="B3601" t="s">
        <v>7</v>
      </c>
      <c r="C3601">
        <v>120</v>
      </c>
      <c r="D3601">
        <v>3937.7139999999999</v>
      </c>
    </row>
    <row r="3602" spans="1:4" x14ac:dyDescent="0.25">
      <c r="A3602" t="s">
        <v>9</v>
      </c>
      <c r="B3602" t="s">
        <v>6</v>
      </c>
      <c r="C3602">
        <v>20</v>
      </c>
      <c r="D3602">
        <v>270.70600000000002</v>
      </c>
    </row>
    <row r="3603" spans="1:4" x14ac:dyDescent="0.25">
      <c r="A3603" t="s">
        <v>9</v>
      </c>
      <c r="B3603" t="s">
        <v>6</v>
      </c>
      <c r="C3603">
        <v>20</v>
      </c>
      <c r="D3603">
        <v>270.25599999999997</v>
      </c>
    </row>
    <row r="3604" spans="1:4" x14ac:dyDescent="0.25">
      <c r="A3604" t="s">
        <v>9</v>
      </c>
      <c r="B3604" t="s">
        <v>6</v>
      </c>
      <c r="C3604">
        <v>20</v>
      </c>
      <c r="D3604">
        <v>263.11500000000001</v>
      </c>
    </row>
    <row r="3605" spans="1:4" x14ac:dyDescent="0.25">
      <c r="A3605" t="s">
        <v>9</v>
      </c>
      <c r="B3605" t="s">
        <v>6</v>
      </c>
      <c r="C3605">
        <v>20</v>
      </c>
      <c r="D3605">
        <v>272.99799999999999</v>
      </c>
    </row>
    <row r="3606" spans="1:4" x14ac:dyDescent="0.25">
      <c r="A3606" t="s">
        <v>9</v>
      </c>
      <c r="B3606" t="s">
        <v>6</v>
      </c>
      <c r="C3606">
        <v>20</v>
      </c>
      <c r="D3606">
        <v>265.04899999999998</v>
      </c>
    </row>
    <row r="3607" spans="1:4" x14ac:dyDescent="0.25">
      <c r="A3607" t="s">
        <v>9</v>
      </c>
      <c r="B3607" t="s">
        <v>6</v>
      </c>
      <c r="C3607">
        <v>20</v>
      </c>
      <c r="D3607">
        <v>273.50200000000001</v>
      </c>
    </row>
    <row r="3608" spans="1:4" x14ac:dyDescent="0.25">
      <c r="A3608" t="s">
        <v>9</v>
      </c>
      <c r="B3608" t="s">
        <v>6</v>
      </c>
      <c r="C3608">
        <v>20</v>
      </c>
      <c r="D3608">
        <v>265.90300000000002</v>
      </c>
    </row>
    <row r="3609" spans="1:4" x14ac:dyDescent="0.25">
      <c r="A3609" t="s">
        <v>9</v>
      </c>
      <c r="B3609" t="s">
        <v>6</v>
      </c>
      <c r="C3609">
        <v>20</v>
      </c>
      <c r="D3609">
        <v>273.65499999999997</v>
      </c>
    </row>
    <row r="3610" spans="1:4" x14ac:dyDescent="0.25">
      <c r="A3610" t="s">
        <v>9</v>
      </c>
      <c r="B3610" t="s">
        <v>6</v>
      </c>
      <c r="C3610">
        <v>20</v>
      </c>
      <c r="D3610">
        <v>262.30799999999999</v>
      </c>
    </row>
    <row r="3611" spans="1:4" x14ac:dyDescent="0.25">
      <c r="A3611" t="s">
        <v>9</v>
      </c>
      <c r="B3611" t="s">
        <v>6</v>
      </c>
      <c r="C3611">
        <v>20</v>
      </c>
      <c r="D3611">
        <v>266.34100000000001</v>
      </c>
    </row>
    <row r="3612" spans="1:4" x14ac:dyDescent="0.25">
      <c r="A3612" t="s">
        <v>9</v>
      </c>
      <c r="B3612" t="s">
        <v>6</v>
      </c>
      <c r="C3612">
        <v>20</v>
      </c>
      <c r="D3612">
        <v>262.41399999999999</v>
      </c>
    </row>
    <row r="3613" spans="1:4" x14ac:dyDescent="0.25">
      <c r="A3613" t="s">
        <v>9</v>
      </c>
      <c r="B3613" t="s">
        <v>6</v>
      </c>
      <c r="C3613">
        <v>20</v>
      </c>
      <c r="D3613">
        <v>270.23899999999998</v>
      </c>
    </row>
    <row r="3614" spans="1:4" x14ac:dyDescent="0.25">
      <c r="A3614" t="s">
        <v>9</v>
      </c>
      <c r="B3614" t="s">
        <v>6</v>
      </c>
      <c r="C3614">
        <v>20</v>
      </c>
      <c r="D3614">
        <v>264.23899999999998</v>
      </c>
    </row>
    <row r="3615" spans="1:4" x14ac:dyDescent="0.25">
      <c r="A3615" t="s">
        <v>9</v>
      </c>
      <c r="B3615" t="s">
        <v>6</v>
      </c>
      <c r="C3615">
        <v>20</v>
      </c>
      <c r="D3615">
        <v>257.61500000000001</v>
      </c>
    </row>
    <row r="3616" spans="1:4" x14ac:dyDescent="0.25">
      <c r="A3616" t="s">
        <v>9</v>
      </c>
      <c r="B3616" t="s">
        <v>6</v>
      </c>
      <c r="C3616">
        <v>20</v>
      </c>
      <c r="D3616">
        <v>262.08499999999998</v>
      </c>
    </row>
    <row r="3617" spans="1:4" x14ac:dyDescent="0.25">
      <c r="A3617" t="s">
        <v>9</v>
      </c>
      <c r="B3617" t="s">
        <v>6</v>
      </c>
      <c r="C3617">
        <v>20</v>
      </c>
      <c r="D3617">
        <v>262.41800000000001</v>
      </c>
    </row>
    <row r="3618" spans="1:4" x14ac:dyDescent="0.25">
      <c r="A3618" t="s">
        <v>9</v>
      </c>
      <c r="B3618" t="s">
        <v>6</v>
      </c>
      <c r="C3618">
        <v>20</v>
      </c>
      <c r="D3618">
        <v>267.41399999999999</v>
      </c>
    </row>
    <row r="3619" spans="1:4" x14ac:dyDescent="0.25">
      <c r="A3619" t="s">
        <v>9</v>
      </c>
      <c r="B3619" t="s">
        <v>6</v>
      </c>
      <c r="C3619">
        <v>20</v>
      </c>
      <c r="D3619">
        <v>266.77199999999999</v>
      </c>
    </row>
    <row r="3620" spans="1:4" x14ac:dyDescent="0.25">
      <c r="A3620" t="s">
        <v>9</v>
      </c>
      <c r="B3620" t="s">
        <v>6</v>
      </c>
      <c r="C3620">
        <v>20</v>
      </c>
      <c r="D3620">
        <v>260.483</v>
      </c>
    </row>
    <row r="3621" spans="1:4" x14ac:dyDescent="0.25">
      <c r="A3621" t="s">
        <v>9</v>
      </c>
      <c r="B3621" t="s">
        <v>6</v>
      </c>
      <c r="C3621">
        <v>20</v>
      </c>
      <c r="D3621">
        <v>267.09300000000002</v>
      </c>
    </row>
    <row r="3622" spans="1:4" x14ac:dyDescent="0.25">
      <c r="A3622" t="s">
        <v>9</v>
      </c>
      <c r="B3622" t="s">
        <v>6</v>
      </c>
      <c r="C3622">
        <v>20</v>
      </c>
      <c r="D3622">
        <v>264.56</v>
      </c>
    </row>
    <row r="3623" spans="1:4" x14ac:dyDescent="0.25">
      <c r="A3623" t="s">
        <v>9</v>
      </c>
      <c r="B3623" t="s">
        <v>6</v>
      </c>
      <c r="C3623">
        <v>20</v>
      </c>
      <c r="D3623">
        <v>262.68799999999999</v>
      </c>
    </row>
    <row r="3624" spans="1:4" x14ac:dyDescent="0.25">
      <c r="A3624" t="s">
        <v>9</v>
      </c>
      <c r="B3624" t="s">
        <v>6</v>
      </c>
      <c r="C3624">
        <v>20</v>
      </c>
      <c r="D3624">
        <v>268.07100000000003</v>
      </c>
    </row>
    <row r="3625" spans="1:4" x14ac:dyDescent="0.25">
      <c r="A3625" t="s">
        <v>9</v>
      </c>
      <c r="B3625" t="s">
        <v>6</v>
      </c>
      <c r="C3625">
        <v>20</v>
      </c>
      <c r="D3625">
        <v>263.48700000000002</v>
      </c>
    </row>
    <row r="3626" spans="1:4" x14ac:dyDescent="0.25">
      <c r="A3626" t="s">
        <v>9</v>
      </c>
      <c r="B3626" t="s">
        <v>6</v>
      </c>
      <c r="C3626">
        <v>20</v>
      </c>
      <c r="D3626">
        <v>265.553</v>
      </c>
    </row>
    <row r="3627" spans="1:4" x14ac:dyDescent="0.25">
      <c r="A3627" t="s">
        <v>9</v>
      </c>
      <c r="B3627" t="s">
        <v>6</v>
      </c>
      <c r="C3627">
        <v>20</v>
      </c>
      <c r="D3627">
        <v>264.98700000000002</v>
      </c>
    </row>
    <row r="3628" spans="1:4" x14ac:dyDescent="0.25">
      <c r="A3628" t="s">
        <v>9</v>
      </c>
      <c r="B3628" t="s">
        <v>6</v>
      </c>
      <c r="C3628">
        <v>20</v>
      </c>
      <c r="D3628">
        <v>263.35599999999999</v>
      </c>
    </row>
    <row r="3629" spans="1:4" x14ac:dyDescent="0.25">
      <c r="A3629" t="s">
        <v>9</v>
      </c>
      <c r="B3629" t="s">
        <v>6</v>
      </c>
      <c r="C3629">
        <v>20</v>
      </c>
      <c r="D3629">
        <v>272.50900000000001</v>
      </c>
    </row>
    <row r="3630" spans="1:4" x14ac:dyDescent="0.25">
      <c r="A3630" t="s">
        <v>9</v>
      </c>
      <c r="B3630" t="s">
        <v>6</v>
      </c>
      <c r="C3630">
        <v>20</v>
      </c>
      <c r="D3630">
        <v>261.60399999999998</v>
      </c>
    </row>
    <row r="3631" spans="1:4" x14ac:dyDescent="0.25">
      <c r="A3631" t="s">
        <v>9</v>
      </c>
      <c r="B3631" t="s">
        <v>6</v>
      </c>
      <c r="C3631">
        <v>20</v>
      </c>
      <c r="D3631">
        <v>259.15499999999997</v>
      </c>
    </row>
    <row r="3632" spans="1:4" x14ac:dyDescent="0.25">
      <c r="A3632" t="s">
        <v>9</v>
      </c>
      <c r="B3632" t="s">
        <v>6</v>
      </c>
      <c r="C3632">
        <v>20</v>
      </c>
      <c r="D3632">
        <v>261.40699999999998</v>
      </c>
    </row>
    <row r="3633" spans="1:4" x14ac:dyDescent="0.25">
      <c r="A3633" t="s">
        <v>9</v>
      </c>
      <c r="B3633" t="s">
        <v>6</v>
      </c>
      <c r="C3633">
        <v>20</v>
      </c>
      <c r="D3633">
        <v>263.89100000000002</v>
      </c>
    </row>
    <row r="3634" spans="1:4" x14ac:dyDescent="0.25">
      <c r="A3634" t="s">
        <v>9</v>
      </c>
      <c r="B3634" t="s">
        <v>6</v>
      </c>
      <c r="C3634">
        <v>20</v>
      </c>
      <c r="D3634">
        <v>266.70600000000002</v>
      </c>
    </row>
    <row r="3635" spans="1:4" x14ac:dyDescent="0.25">
      <c r="A3635" t="s">
        <v>9</v>
      </c>
      <c r="B3635" t="s">
        <v>6</v>
      </c>
      <c r="C3635">
        <v>20</v>
      </c>
      <c r="D3635">
        <v>278.64299999999997</v>
      </c>
    </row>
    <row r="3636" spans="1:4" x14ac:dyDescent="0.25">
      <c r="A3636" t="s">
        <v>9</v>
      </c>
      <c r="B3636" t="s">
        <v>6</v>
      </c>
      <c r="C3636">
        <v>20</v>
      </c>
      <c r="D3636">
        <v>269.95</v>
      </c>
    </row>
    <row r="3637" spans="1:4" x14ac:dyDescent="0.25">
      <c r="A3637" t="s">
        <v>9</v>
      </c>
      <c r="B3637" t="s">
        <v>6</v>
      </c>
      <c r="C3637">
        <v>20</v>
      </c>
      <c r="D3637">
        <v>263.82299999999998</v>
      </c>
    </row>
    <row r="3638" spans="1:4" x14ac:dyDescent="0.25">
      <c r="A3638" t="s">
        <v>9</v>
      </c>
      <c r="B3638" t="s">
        <v>6</v>
      </c>
      <c r="C3638">
        <v>20</v>
      </c>
      <c r="D3638">
        <v>268.25700000000001</v>
      </c>
    </row>
    <row r="3639" spans="1:4" x14ac:dyDescent="0.25">
      <c r="A3639" t="s">
        <v>9</v>
      </c>
      <c r="B3639" t="s">
        <v>6</v>
      </c>
      <c r="C3639">
        <v>20</v>
      </c>
      <c r="D3639">
        <v>275.19799999999998</v>
      </c>
    </row>
    <row r="3640" spans="1:4" x14ac:dyDescent="0.25">
      <c r="A3640" t="s">
        <v>9</v>
      </c>
      <c r="B3640" t="s">
        <v>6</v>
      </c>
      <c r="C3640">
        <v>20</v>
      </c>
      <c r="D3640">
        <v>268.43599999999998</v>
      </c>
    </row>
    <row r="3641" spans="1:4" x14ac:dyDescent="0.25">
      <c r="A3641" t="s">
        <v>9</v>
      </c>
      <c r="B3641" t="s">
        <v>6</v>
      </c>
      <c r="C3641">
        <v>20</v>
      </c>
      <c r="D3641">
        <v>270.06400000000002</v>
      </c>
    </row>
    <row r="3642" spans="1:4" x14ac:dyDescent="0.25">
      <c r="A3642" t="s">
        <v>9</v>
      </c>
      <c r="B3642" t="s">
        <v>6</v>
      </c>
      <c r="C3642">
        <v>20</v>
      </c>
      <c r="D3642">
        <v>261.80200000000002</v>
      </c>
    </row>
    <row r="3643" spans="1:4" x14ac:dyDescent="0.25">
      <c r="A3643" t="s">
        <v>9</v>
      </c>
      <c r="B3643" t="s">
        <v>6</v>
      </c>
      <c r="C3643">
        <v>20</v>
      </c>
      <c r="D3643">
        <v>266.21699999999998</v>
      </c>
    </row>
    <row r="3644" spans="1:4" x14ac:dyDescent="0.25">
      <c r="A3644" t="s">
        <v>9</v>
      </c>
      <c r="B3644" t="s">
        <v>6</v>
      </c>
      <c r="C3644">
        <v>20</v>
      </c>
      <c r="D3644">
        <v>261.11500000000001</v>
      </c>
    </row>
    <row r="3645" spans="1:4" x14ac:dyDescent="0.25">
      <c r="A3645" t="s">
        <v>9</v>
      </c>
      <c r="B3645" t="s">
        <v>6</v>
      </c>
      <c r="C3645">
        <v>20</v>
      </c>
      <c r="D3645">
        <v>263.35199999999998</v>
      </c>
    </row>
    <row r="3646" spans="1:4" x14ac:dyDescent="0.25">
      <c r="A3646" t="s">
        <v>9</v>
      </c>
      <c r="B3646" t="s">
        <v>6</v>
      </c>
      <c r="C3646">
        <v>20</v>
      </c>
      <c r="D3646">
        <v>262.85500000000002</v>
      </c>
    </row>
    <row r="3647" spans="1:4" x14ac:dyDescent="0.25">
      <c r="A3647" t="s">
        <v>9</v>
      </c>
      <c r="B3647" t="s">
        <v>6</v>
      </c>
      <c r="C3647">
        <v>20</v>
      </c>
      <c r="D3647">
        <v>266.48700000000002</v>
      </c>
    </row>
    <row r="3648" spans="1:4" x14ac:dyDescent="0.25">
      <c r="A3648" t="s">
        <v>9</v>
      </c>
      <c r="B3648" t="s">
        <v>6</v>
      </c>
      <c r="C3648">
        <v>20</v>
      </c>
      <c r="D3648">
        <v>271.87400000000002</v>
      </c>
    </row>
    <row r="3649" spans="1:4" x14ac:dyDescent="0.25">
      <c r="A3649" t="s">
        <v>9</v>
      </c>
      <c r="B3649" t="s">
        <v>6</v>
      </c>
      <c r="C3649">
        <v>20</v>
      </c>
      <c r="D3649">
        <v>265.40699999999998</v>
      </c>
    </row>
    <row r="3650" spans="1:4" x14ac:dyDescent="0.25">
      <c r="A3650" t="s">
        <v>9</v>
      </c>
      <c r="B3650" t="s">
        <v>6</v>
      </c>
      <c r="C3650">
        <v>20</v>
      </c>
      <c r="D3650">
        <v>266.70600000000002</v>
      </c>
    </row>
    <row r="3651" spans="1:4" x14ac:dyDescent="0.25">
      <c r="A3651" t="s">
        <v>9</v>
      </c>
      <c r="B3651" t="s">
        <v>6</v>
      </c>
      <c r="C3651">
        <v>20</v>
      </c>
      <c r="D3651">
        <v>261.48700000000002</v>
      </c>
    </row>
    <row r="3652" spans="1:4" x14ac:dyDescent="0.25">
      <c r="A3652" t="s">
        <v>9</v>
      </c>
      <c r="B3652" t="s">
        <v>6</v>
      </c>
      <c r="C3652">
        <v>20</v>
      </c>
      <c r="D3652">
        <v>260.56400000000002</v>
      </c>
    </row>
    <row r="3653" spans="1:4" x14ac:dyDescent="0.25">
      <c r="A3653" t="s">
        <v>9</v>
      </c>
      <c r="B3653" t="s">
        <v>6</v>
      </c>
      <c r="C3653">
        <v>20</v>
      </c>
      <c r="D3653">
        <v>265.43599999999998</v>
      </c>
    </row>
    <row r="3654" spans="1:4" x14ac:dyDescent="0.25">
      <c r="A3654" t="s">
        <v>9</v>
      </c>
      <c r="B3654" t="s">
        <v>6</v>
      </c>
      <c r="C3654">
        <v>20</v>
      </c>
      <c r="D3654">
        <v>264.541</v>
      </c>
    </row>
    <row r="3655" spans="1:4" x14ac:dyDescent="0.25">
      <c r="A3655" t="s">
        <v>9</v>
      </c>
      <c r="B3655" t="s">
        <v>6</v>
      </c>
      <c r="C3655">
        <v>20</v>
      </c>
      <c r="D3655">
        <v>263.42500000000001</v>
      </c>
    </row>
    <row r="3656" spans="1:4" x14ac:dyDescent="0.25">
      <c r="A3656" t="s">
        <v>9</v>
      </c>
      <c r="B3656" t="s">
        <v>6</v>
      </c>
      <c r="C3656">
        <v>20</v>
      </c>
      <c r="D3656">
        <v>264.19499999999999</v>
      </c>
    </row>
    <row r="3657" spans="1:4" x14ac:dyDescent="0.25">
      <c r="A3657" t="s">
        <v>9</v>
      </c>
      <c r="B3657" t="s">
        <v>6</v>
      </c>
      <c r="C3657">
        <v>20</v>
      </c>
      <c r="D3657">
        <v>271.84500000000003</v>
      </c>
    </row>
    <row r="3658" spans="1:4" x14ac:dyDescent="0.25">
      <c r="A3658" t="s">
        <v>9</v>
      </c>
      <c r="B3658" t="s">
        <v>6</v>
      </c>
      <c r="C3658">
        <v>20</v>
      </c>
      <c r="D3658">
        <v>260.40699999999998</v>
      </c>
    </row>
    <row r="3659" spans="1:4" x14ac:dyDescent="0.25">
      <c r="A3659" t="s">
        <v>9</v>
      </c>
      <c r="B3659" t="s">
        <v>6</v>
      </c>
      <c r="C3659">
        <v>20</v>
      </c>
      <c r="D3659">
        <v>264.99799999999999</v>
      </c>
    </row>
    <row r="3660" spans="1:4" x14ac:dyDescent="0.25">
      <c r="A3660" t="s">
        <v>9</v>
      </c>
      <c r="B3660" t="s">
        <v>6</v>
      </c>
      <c r="C3660">
        <v>20</v>
      </c>
      <c r="D3660">
        <v>267.63299999999998</v>
      </c>
    </row>
    <row r="3661" spans="1:4" x14ac:dyDescent="0.25">
      <c r="A3661" t="s">
        <v>9</v>
      </c>
      <c r="B3661" t="s">
        <v>6</v>
      </c>
      <c r="C3661">
        <v>20</v>
      </c>
      <c r="D3661">
        <v>264.41000000000003</v>
      </c>
    </row>
    <row r="3662" spans="1:4" x14ac:dyDescent="0.25">
      <c r="A3662" t="s">
        <v>9</v>
      </c>
      <c r="B3662" t="s">
        <v>6</v>
      </c>
      <c r="C3662">
        <v>20</v>
      </c>
      <c r="D3662">
        <v>267.80399999999997</v>
      </c>
    </row>
    <row r="3663" spans="1:4" x14ac:dyDescent="0.25">
      <c r="A3663" t="s">
        <v>9</v>
      </c>
      <c r="B3663" t="s">
        <v>6</v>
      </c>
      <c r="C3663">
        <v>20</v>
      </c>
      <c r="D3663">
        <v>256.53100000000001</v>
      </c>
    </row>
    <row r="3664" spans="1:4" x14ac:dyDescent="0.25">
      <c r="A3664" t="s">
        <v>9</v>
      </c>
      <c r="B3664" t="s">
        <v>6</v>
      </c>
      <c r="C3664">
        <v>20</v>
      </c>
      <c r="D3664">
        <v>265.553</v>
      </c>
    </row>
    <row r="3665" spans="1:4" x14ac:dyDescent="0.25">
      <c r="A3665" t="s">
        <v>9</v>
      </c>
      <c r="B3665" t="s">
        <v>6</v>
      </c>
      <c r="C3665">
        <v>20</v>
      </c>
      <c r="D3665">
        <v>256.34100000000001</v>
      </c>
    </row>
    <row r="3666" spans="1:4" x14ac:dyDescent="0.25">
      <c r="A3666" t="s">
        <v>9</v>
      </c>
      <c r="B3666" t="s">
        <v>6</v>
      </c>
      <c r="C3666">
        <v>20</v>
      </c>
      <c r="D3666">
        <v>266.50900000000001</v>
      </c>
    </row>
    <row r="3667" spans="1:4" x14ac:dyDescent="0.25">
      <c r="A3667" t="s">
        <v>9</v>
      </c>
      <c r="B3667" t="s">
        <v>6</v>
      </c>
      <c r="C3667">
        <v>20</v>
      </c>
      <c r="D3667">
        <v>271.06400000000002</v>
      </c>
    </row>
    <row r="3668" spans="1:4" x14ac:dyDescent="0.25">
      <c r="A3668" t="s">
        <v>9</v>
      </c>
      <c r="B3668" t="s">
        <v>6</v>
      </c>
      <c r="C3668">
        <v>20</v>
      </c>
      <c r="D3668">
        <v>268.85199999999998</v>
      </c>
    </row>
    <row r="3669" spans="1:4" x14ac:dyDescent="0.25">
      <c r="A3669" t="s">
        <v>9</v>
      </c>
      <c r="B3669" t="s">
        <v>6</v>
      </c>
      <c r="C3669">
        <v>20</v>
      </c>
      <c r="D3669">
        <v>276.09300000000002</v>
      </c>
    </row>
    <row r="3670" spans="1:4" x14ac:dyDescent="0.25">
      <c r="A3670" t="s">
        <v>9</v>
      </c>
      <c r="B3670" t="s">
        <v>6</v>
      </c>
      <c r="C3670">
        <v>20</v>
      </c>
      <c r="D3670">
        <v>271.11</v>
      </c>
    </row>
    <row r="3671" spans="1:4" x14ac:dyDescent="0.25">
      <c r="A3671" t="s">
        <v>9</v>
      </c>
      <c r="B3671" t="s">
        <v>6</v>
      </c>
      <c r="C3671">
        <v>20</v>
      </c>
      <c r="D3671">
        <v>263.18799999999999</v>
      </c>
    </row>
    <row r="3672" spans="1:4" x14ac:dyDescent="0.25">
      <c r="A3672" t="s">
        <v>9</v>
      </c>
      <c r="B3672" t="s">
        <v>6</v>
      </c>
      <c r="C3672">
        <v>20</v>
      </c>
      <c r="D3672">
        <v>261.04899999999998</v>
      </c>
    </row>
    <row r="3673" spans="1:4" x14ac:dyDescent="0.25">
      <c r="A3673" t="s">
        <v>9</v>
      </c>
      <c r="B3673" t="s">
        <v>6</v>
      </c>
      <c r="C3673">
        <v>20</v>
      </c>
      <c r="D3673">
        <v>265.70600000000002</v>
      </c>
    </row>
    <row r="3674" spans="1:4" x14ac:dyDescent="0.25">
      <c r="A3674" t="s">
        <v>9</v>
      </c>
      <c r="B3674" t="s">
        <v>6</v>
      </c>
      <c r="C3674">
        <v>20</v>
      </c>
      <c r="D3674">
        <v>257.04899999999998</v>
      </c>
    </row>
    <row r="3675" spans="1:4" x14ac:dyDescent="0.25">
      <c r="A3675" t="s">
        <v>9</v>
      </c>
      <c r="B3675" t="s">
        <v>6</v>
      </c>
      <c r="C3675">
        <v>20</v>
      </c>
      <c r="D3675">
        <v>262.83</v>
      </c>
    </row>
    <row r="3676" spans="1:4" x14ac:dyDescent="0.25">
      <c r="A3676" t="s">
        <v>9</v>
      </c>
      <c r="B3676" t="s">
        <v>6</v>
      </c>
      <c r="C3676">
        <v>20</v>
      </c>
      <c r="D3676">
        <v>270.06400000000002</v>
      </c>
    </row>
    <row r="3677" spans="1:4" x14ac:dyDescent="0.25">
      <c r="A3677" t="s">
        <v>9</v>
      </c>
      <c r="B3677" t="s">
        <v>6</v>
      </c>
      <c r="C3677">
        <v>20</v>
      </c>
      <c r="D3677">
        <v>266.69900000000001</v>
      </c>
    </row>
    <row r="3678" spans="1:4" x14ac:dyDescent="0.25">
      <c r="A3678" t="s">
        <v>9</v>
      </c>
      <c r="B3678" t="s">
        <v>6</v>
      </c>
      <c r="C3678">
        <v>20</v>
      </c>
      <c r="D3678">
        <v>264.70600000000002</v>
      </c>
    </row>
    <row r="3679" spans="1:4" x14ac:dyDescent="0.25">
      <c r="A3679" t="s">
        <v>9</v>
      </c>
      <c r="B3679" t="s">
        <v>6</v>
      </c>
      <c r="C3679">
        <v>20</v>
      </c>
      <c r="D3679">
        <v>277.947</v>
      </c>
    </row>
    <row r="3680" spans="1:4" x14ac:dyDescent="0.25">
      <c r="A3680" t="s">
        <v>9</v>
      </c>
      <c r="B3680" t="s">
        <v>6</v>
      </c>
      <c r="C3680">
        <v>20</v>
      </c>
      <c r="D3680">
        <v>267.88400000000001</v>
      </c>
    </row>
    <row r="3681" spans="1:4" x14ac:dyDescent="0.25">
      <c r="A3681" t="s">
        <v>9</v>
      </c>
      <c r="B3681" t="s">
        <v>6</v>
      </c>
      <c r="C3681">
        <v>20</v>
      </c>
      <c r="D3681">
        <v>266.58199999999999</v>
      </c>
    </row>
    <row r="3682" spans="1:4" x14ac:dyDescent="0.25">
      <c r="A3682" t="s">
        <v>9</v>
      </c>
      <c r="B3682" t="s">
        <v>6</v>
      </c>
      <c r="C3682">
        <v>20</v>
      </c>
      <c r="D3682">
        <v>258.63299999999998</v>
      </c>
    </row>
    <row r="3683" spans="1:4" x14ac:dyDescent="0.25">
      <c r="A3683" t="s">
        <v>9</v>
      </c>
      <c r="B3683" t="s">
        <v>6</v>
      </c>
      <c r="C3683">
        <v>20</v>
      </c>
      <c r="D3683">
        <v>262.83</v>
      </c>
    </row>
    <row r="3684" spans="1:4" x14ac:dyDescent="0.25">
      <c r="A3684" t="s">
        <v>9</v>
      </c>
      <c r="B3684" t="s">
        <v>6</v>
      </c>
      <c r="C3684">
        <v>20</v>
      </c>
      <c r="D3684">
        <v>265.89600000000002</v>
      </c>
    </row>
    <row r="3685" spans="1:4" x14ac:dyDescent="0.25">
      <c r="A3685" t="s">
        <v>9</v>
      </c>
      <c r="B3685" t="s">
        <v>6</v>
      </c>
      <c r="C3685">
        <v>20</v>
      </c>
      <c r="D3685">
        <v>268.92399999999998</v>
      </c>
    </row>
    <row r="3686" spans="1:4" x14ac:dyDescent="0.25">
      <c r="A3686" t="s">
        <v>9</v>
      </c>
      <c r="B3686" t="s">
        <v>6</v>
      </c>
      <c r="C3686">
        <v>20</v>
      </c>
      <c r="D3686">
        <v>270.68</v>
      </c>
    </row>
    <row r="3687" spans="1:4" x14ac:dyDescent="0.25">
      <c r="A3687" t="s">
        <v>9</v>
      </c>
      <c r="B3687" t="s">
        <v>6</v>
      </c>
      <c r="C3687">
        <v>20</v>
      </c>
      <c r="D3687">
        <v>257.96899999999999</v>
      </c>
    </row>
    <row r="3688" spans="1:4" x14ac:dyDescent="0.25">
      <c r="A3688" t="s">
        <v>9</v>
      </c>
      <c r="B3688" t="s">
        <v>6</v>
      </c>
      <c r="C3688">
        <v>20</v>
      </c>
      <c r="D3688">
        <v>262.29300000000001</v>
      </c>
    </row>
    <row r="3689" spans="1:4" x14ac:dyDescent="0.25">
      <c r="A3689" t="s">
        <v>9</v>
      </c>
      <c r="B3689" t="s">
        <v>6</v>
      </c>
      <c r="C3689">
        <v>20</v>
      </c>
      <c r="D3689">
        <v>265.81200000000001</v>
      </c>
    </row>
    <row r="3690" spans="1:4" x14ac:dyDescent="0.25">
      <c r="A3690" t="s">
        <v>9</v>
      </c>
      <c r="B3690" t="s">
        <v>6</v>
      </c>
      <c r="C3690">
        <v>20</v>
      </c>
      <c r="D3690">
        <v>273.79399999999998</v>
      </c>
    </row>
    <row r="3691" spans="1:4" x14ac:dyDescent="0.25">
      <c r="A3691" t="s">
        <v>9</v>
      </c>
      <c r="B3691" t="s">
        <v>6</v>
      </c>
      <c r="C3691">
        <v>20</v>
      </c>
      <c r="D3691">
        <v>265.48700000000002</v>
      </c>
    </row>
    <row r="3692" spans="1:4" x14ac:dyDescent="0.25">
      <c r="A3692" t="s">
        <v>9</v>
      </c>
      <c r="B3692" t="s">
        <v>6</v>
      </c>
      <c r="C3692">
        <v>20</v>
      </c>
      <c r="D3692">
        <v>274.29000000000002</v>
      </c>
    </row>
    <row r="3693" spans="1:4" x14ac:dyDescent="0.25">
      <c r="A3693" t="s">
        <v>9</v>
      </c>
      <c r="B3693" t="s">
        <v>6</v>
      </c>
      <c r="C3693">
        <v>20</v>
      </c>
      <c r="D3693">
        <v>262.334</v>
      </c>
    </row>
    <row r="3694" spans="1:4" x14ac:dyDescent="0.25">
      <c r="A3694" t="s">
        <v>9</v>
      </c>
      <c r="B3694" t="s">
        <v>6</v>
      </c>
      <c r="C3694">
        <v>20</v>
      </c>
      <c r="D3694">
        <v>262.60399999999998</v>
      </c>
    </row>
    <row r="3695" spans="1:4" x14ac:dyDescent="0.25">
      <c r="A3695" t="s">
        <v>9</v>
      </c>
      <c r="B3695" t="s">
        <v>6</v>
      </c>
      <c r="C3695">
        <v>20</v>
      </c>
      <c r="D3695">
        <v>263.56</v>
      </c>
    </row>
    <row r="3696" spans="1:4" x14ac:dyDescent="0.25">
      <c r="A3696" t="s">
        <v>9</v>
      </c>
      <c r="B3696" t="s">
        <v>6</v>
      </c>
      <c r="C3696">
        <v>20</v>
      </c>
      <c r="D3696">
        <v>262.18799999999999</v>
      </c>
    </row>
    <row r="3697" spans="1:4" x14ac:dyDescent="0.25">
      <c r="A3697" t="s">
        <v>9</v>
      </c>
      <c r="B3697" t="s">
        <v>6</v>
      </c>
      <c r="C3697">
        <v>20</v>
      </c>
      <c r="D3697">
        <v>264.42500000000001</v>
      </c>
    </row>
    <row r="3698" spans="1:4" x14ac:dyDescent="0.25">
      <c r="A3698" t="s">
        <v>9</v>
      </c>
      <c r="B3698" t="s">
        <v>6</v>
      </c>
      <c r="C3698">
        <v>20</v>
      </c>
      <c r="D3698">
        <v>264.41399999999999</v>
      </c>
    </row>
    <row r="3699" spans="1:4" x14ac:dyDescent="0.25">
      <c r="A3699" t="s">
        <v>9</v>
      </c>
      <c r="B3699" t="s">
        <v>6</v>
      </c>
      <c r="C3699">
        <v>20</v>
      </c>
      <c r="D3699">
        <v>264.62599999999998</v>
      </c>
    </row>
    <row r="3700" spans="1:4" x14ac:dyDescent="0.25">
      <c r="A3700" t="s">
        <v>9</v>
      </c>
      <c r="B3700" t="s">
        <v>6</v>
      </c>
      <c r="C3700">
        <v>20</v>
      </c>
      <c r="D3700">
        <v>265.56</v>
      </c>
    </row>
    <row r="3701" spans="1:4" x14ac:dyDescent="0.25">
      <c r="A3701" t="s">
        <v>9</v>
      </c>
      <c r="B3701" t="s">
        <v>6</v>
      </c>
      <c r="C3701">
        <v>20</v>
      </c>
      <c r="D3701">
        <v>262.90699999999998</v>
      </c>
    </row>
    <row r="3702" spans="1:4" x14ac:dyDescent="0.25">
      <c r="A3702" t="s">
        <v>9</v>
      </c>
      <c r="B3702" t="s">
        <v>6</v>
      </c>
      <c r="C3702">
        <v>40</v>
      </c>
      <c r="D3702">
        <v>458.56799999999998</v>
      </c>
    </row>
    <row r="3703" spans="1:4" x14ac:dyDescent="0.25">
      <c r="A3703" t="s">
        <v>9</v>
      </c>
      <c r="B3703" t="s">
        <v>6</v>
      </c>
      <c r="C3703">
        <v>40</v>
      </c>
      <c r="D3703">
        <v>464.88499999999999</v>
      </c>
    </row>
    <row r="3704" spans="1:4" x14ac:dyDescent="0.25">
      <c r="A3704" t="s">
        <v>9</v>
      </c>
      <c r="B3704" t="s">
        <v>6</v>
      </c>
      <c r="C3704">
        <v>40</v>
      </c>
      <c r="D3704">
        <v>464.83</v>
      </c>
    </row>
    <row r="3705" spans="1:4" x14ac:dyDescent="0.25">
      <c r="A3705" t="s">
        <v>9</v>
      </c>
      <c r="B3705" t="s">
        <v>6</v>
      </c>
      <c r="C3705">
        <v>40</v>
      </c>
      <c r="D3705">
        <v>455.85</v>
      </c>
    </row>
    <row r="3706" spans="1:4" x14ac:dyDescent="0.25">
      <c r="A3706" t="s">
        <v>9</v>
      </c>
      <c r="B3706" t="s">
        <v>6</v>
      </c>
      <c r="C3706">
        <v>40</v>
      </c>
      <c r="D3706">
        <v>470.86</v>
      </c>
    </row>
    <row r="3707" spans="1:4" x14ac:dyDescent="0.25">
      <c r="A3707" t="s">
        <v>9</v>
      </c>
      <c r="B3707" t="s">
        <v>6</v>
      </c>
      <c r="C3707">
        <v>40</v>
      </c>
      <c r="D3707">
        <v>452.93599999999998</v>
      </c>
    </row>
    <row r="3708" spans="1:4" x14ac:dyDescent="0.25">
      <c r="A3708" t="s">
        <v>9</v>
      </c>
      <c r="B3708" t="s">
        <v>6</v>
      </c>
      <c r="C3708">
        <v>40</v>
      </c>
      <c r="D3708">
        <v>472.00599999999997</v>
      </c>
    </row>
    <row r="3709" spans="1:4" x14ac:dyDescent="0.25">
      <c r="A3709" t="s">
        <v>9</v>
      </c>
      <c r="B3709" t="s">
        <v>6</v>
      </c>
      <c r="C3709">
        <v>40</v>
      </c>
      <c r="D3709">
        <v>455.38299999999998</v>
      </c>
    </row>
    <row r="3710" spans="1:4" x14ac:dyDescent="0.25">
      <c r="A3710" t="s">
        <v>9</v>
      </c>
      <c r="B3710" t="s">
        <v>6</v>
      </c>
      <c r="C3710">
        <v>40</v>
      </c>
      <c r="D3710">
        <v>455.31900000000002</v>
      </c>
    </row>
    <row r="3711" spans="1:4" x14ac:dyDescent="0.25">
      <c r="A3711" t="s">
        <v>9</v>
      </c>
      <c r="B3711" t="s">
        <v>6</v>
      </c>
      <c r="C3711">
        <v>40</v>
      </c>
      <c r="D3711">
        <v>433.98</v>
      </c>
    </row>
    <row r="3712" spans="1:4" x14ac:dyDescent="0.25">
      <c r="A3712" t="s">
        <v>9</v>
      </c>
      <c r="B3712" t="s">
        <v>6</v>
      </c>
      <c r="C3712">
        <v>40</v>
      </c>
      <c r="D3712">
        <v>469.78699999999998</v>
      </c>
    </row>
    <row r="3713" spans="1:4" x14ac:dyDescent="0.25">
      <c r="A3713" t="s">
        <v>9</v>
      </c>
      <c r="B3713" t="s">
        <v>6</v>
      </c>
      <c r="C3713">
        <v>40</v>
      </c>
      <c r="D3713">
        <v>460.08800000000002</v>
      </c>
    </row>
    <row r="3714" spans="1:4" x14ac:dyDescent="0.25">
      <c r="A3714" t="s">
        <v>9</v>
      </c>
      <c r="B3714" t="s">
        <v>6</v>
      </c>
      <c r="C3714">
        <v>40</v>
      </c>
      <c r="D3714">
        <v>453.35700000000003</v>
      </c>
    </row>
    <row r="3715" spans="1:4" x14ac:dyDescent="0.25">
      <c r="A3715" t="s">
        <v>9</v>
      </c>
      <c r="B3715" t="s">
        <v>6</v>
      </c>
      <c r="C3715">
        <v>40</v>
      </c>
      <c r="D3715">
        <v>494.50599999999997</v>
      </c>
    </row>
    <row r="3716" spans="1:4" x14ac:dyDescent="0.25">
      <c r="A3716" t="s">
        <v>9</v>
      </c>
      <c r="B3716" t="s">
        <v>6</v>
      </c>
      <c r="C3716">
        <v>40</v>
      </c>
      <c r="D3716">
        <v>454.67200000000003</v>
      </c>
    </row>
    <row r="3717" spans="1:4" x14ac:dyDescent="0.25">
      <c r="A3717" t="s">
        <v>9</v>
      </c>
      <c r="B3717" t="s">
        <v>6</v>
      </c>
      <c r="C3717">
        <v>40</v>
      </c>
      <c r="D3717">
        <v>460.73899999999998</v>
      </c>
    </row>
    <row r="3718" spans="1:4" x14ac:dyDescent="0.25">
      <c r="A3718" t="s">
        <v>9</v>
      </c>
      <c r="B3718" t="s">
        <v>6</v>
      </c>
      <c r="C3718">
        <v>40</v>
      </c>
      <c r="D3718">
        <v>452.58699999999999</v>
      </c>
    </row>
    <row r="3719" spans="1:4" x14ac:dyDescent="0.25">
      <c r="A3719" t="s">
        <v>9</v>
      </c>
      <c r="B3719" t="s">
        <v>6</v>
      </c>
      <c r="C3719">
        <v>40</v>
      </c>
      <c r="D3719">
        <v>473.87200000000001</v>
      </c>
    </row>
    <row r="3720" spans="1:4" x14ac:dyDescent="0.25">
      <c r="A3720" t="s">
        <v>9</v>
      </c>
      <c r="B3720" t="s">
        <v>6</v>
      </c>
      <c r="C3720">
        <v>40</v>
      </c>
      <c r="D3720">
        <v>447.80399999999997</v>
      </c>
    </row>
    <row r="3721" spans="1:4" x14ac:dyDescent="0.25">
      <c r="A3721" t="s">
        <v>9</v>
      </c>
      <c r="B3721" t="s">
        <v>6</v>
      </c>
      <c r="C3721">
        <v>40</v>
      </c>
      <c r="D3721">
        <v>468.43</v>
      </c>
    </row>
    <row r="3722" spans="1:4" x14ac:dyDescent="0.25">
      <c r="A3722" t="s">
        <v>9</v>
      </c>
      <c r="B3722" t="s">
        <v>6</v>
      </c>
      <c r="C3722">
        <v>40</v>
      </c>
      <c r="D3722">
        <v>471.49200000000002</v>
      </c>
    </row>
    <row r="3723" spans="1:4" x14ac:dyDescent="0.25">
      <c r="A3723" t="s">
        <v>9</v>
      </c>
      <c r="B3723" t="s">
        <v>6</v>
      </c>
      <c r="C3723">
        <v>40</v>
      </c>
      <c r="D3723">
        <v>456.29199999999997</v>
      </c>
    </row>
    <row r="3724" spans="1:4" x14ac:dyDescent="0.25">
      <c r="A3724" t="s">
        <v>9</v>
      </c>
      <c r="B3724" t="s">
        <v>6</v>
      </c>
      <c r="C3724">
        <v>40</v>
      </c>
      <c r="D3724">
        <v>448.85</v>
      </c>
    </row>
    <row r="3725" spans="1:4" x14ac:dyDescent="0.25">
      <c r="A3725" t="s">
        <v>9</v>
      </c>
      <c r="B3725" t="s">
        <v>6</v>
      </c>
      <c r="C3725">
        <v>40</v>
      </c>
      <c r="D3725">
        <v>454.28800000000001</v>
      </c>
    </row>
    <row r="3726" spans="1:4" x14ac:dyDescent="0.25">
      <c r="A3726" t="s">
        <v>9</v>
      </c>
      <c r="B3726" t="s">
        <v>6</v>
      </c>
      <c r="C3726">
        <v>40</v>
      </c>
      <c r="D3726">
        <v>476.22899999999998</v>
      </c>
    </row>
    <row r="3727" spans="1:4" x14ac:dyDescent="0.25">
      <c r="A3727" t="s">
        <v>9</v>
      </c>
      <c r="B3727" t="s">
        <v>6</v>
      </c>
      <c r="C3727">
        <v>40</v>
      </c>
      <c r="D3727">
        <v>436.791</v>
      </c>
    </row>
    <row r="3728" spans="1:4" x14ac:dyDescent="0.25">
      <c r="A3728" t="s">
        <v>9</v>
      </c>
      <c r="B3728" t="s">
        <v>6</v>
      </c>
      <c r="C3728">
        <v>40</v>
      </c>
      <c r="D3728">
        <v>478.7</v>
      </c>
    </row>
    <row r="3729" spans="1:4" x14ac:dyDescent="0.25">
      <c r="A3729" t="s">
        <v>9</v>
      </c>
      <c r="B3729" t="s">
        <v>6</v>
      </c>
      <c r="C3729">
        <v>40</v>
      </c>
      <c r="D3729">
        <v>457.49299999999999</v>
      </c>
    </row>
    <row r="3730" spans="1:4" x14ac:dyDescent="0.25">
      <c r="A3730" t="s">
        <v>9</v>
      </c>
      <c r="B3730" t="s">
        <v>6</v>
      </c>
      <c r="C3730">
        <v>40</v>
      </c>
      <c r="D3730">
        <v>460.88499999999999</v>
      </c>
    </row>
    <row r="3731" spans="1:4" x14ac:dyDescent="0.25">
      <c r="A3731" t="s">
        <v>9</v>
      </c>
      <c r="B3731" t="s">
        <v>6</v>
      </c>
      <c r="C3731">
        <v>40</v>
      </c>
      <c r="D3731">
        <v>456.923</v>
      </c>
    </row>
    <row r="3732" spans="1:4" x14ac:dyDescent="0.25">
      <c r="A3732" t="s">
        <v>9</v>
      </c>
      <c r="B3732" t="s">
        <v>6</v>
      </c>
      <c r="C3732">
        <v>40</v>
      </c>
      <c r="D3732">
        <v>463.221</v>
      </c>
    </row>
    <row r="3733" spans="1:4" x14ac:dyDescent="0.25">
      <c r="A3733" t="s">
        <v>9</v>
      </c>
      <c r="B3733" t="s">
        <v>6</v>
      </c>
      <c r="C3733">
        <v>40</v>
      </c>
      <c r="D3733">
        <v>462.46300000000002</v>
      </c>
    </row>
    <row r="3734" spans="1:4" x14ac:dyDescent="0.25">
      <c r="A3734" t="s">
        <v>9</v>
      </c>
      <c r="B3734" t="s">
        <v>6</v>
      </c>
      <c r="C3734">
        <v>40</v>
      </c>
      <c r="D3734">
        <v>457.44</v>
      </c>
    </row>
    <row r="3735" spans="1:4" x14ac:dyDescent="0.25">
      <c r="A3735" t="s">
        <v>9</v>
      </c>
      <c r="B3735" t="s">
        <v>6</v>
      </c>
      <c r="C3735">
        <v>40</v>
      </c>
      <c r="D3735">
        <v>468.86</v>
      </c>
    </row>
    <row r="3736" spans="1:4" x14ac:dyDescent="0.25">
      <c r="A3736" t="s">
        <v>9</v>
      </c>
      <c r="B3736" t="s">
        <v>6</v>
      </c>
      <c r="C3736">
        <v>40</v>
      </c>
      <c r="D3736">
        <v>470.34100000000001</v>
      </c>
    </row>
    <row r="3737" spans="1:4" x14ac:dyDescent="0.25">
      <c r="A3737" t="s">
        <v>9</v>
      </c>
      <c r="B3737" t="s">
        <v>6</v>
      </c>
      <c r="C3737">
        <v>40</v>
      </c>
      <c r="D3737">
        <v>463.30099999999999</v>
      </c>
    </row>
    <row r="3738" spans="1:4" x14ac:dyDescent="0.25">
      <c r="A3738" t="s">
        <v>9</v>
      </c>
      <c r="B3738" t="s">
        <v>6</v>
      </c>
      <c r="C3738">
        <v>40</v>
      </c>
      <c r="D3738">
        <v>461.28800000000001</v>
      </c>
    </row>
    <row r="3739" spans="1:4" x14ac:dyDescent="0.25">
      <c r="A3739" t="s">
        <v>9</v>
      </c>
      <c r="B3739" t="s">
        <v>6</v>
      </c>
      <c r="C3739">
        <v>40</v>
      </c>
      <c r="D3739">
        <v>474.61200000000002</v>
      </c>
    </row>
    <row r="3740" spans="1:4" x14ac:dyDescent="0.25">
      <c r="A3740" t="s">
        <v>9</v>
      </c>
      <c r="B3740" t="s">
        <v>6</v>
      </c>
      <c r="C3740">
        <v>40</v>
      </c>
      <c r="D3740">
        <v>476.36700000000002</v>
      </c>
    </row>
    <row r="3741" spans="1:4" x14ac:dyDescent="0.25">
      <c r="A3741" t="s">
        <v>9</v>
      </c>
      <c r="B3741" t="s">
        <v>6</v>
      </c>
      <c r="C3741">
        <v>40</v>
      </c>
      <c r="D3741">
        <v>436.75</v>
      </c>
    </row>
    <row r="3742" spans="1:4" x14ac:dyDescent="0.25">
      <c r="A3742" t="s">
        <v>9</v>
      </c>
      <c r="B3742" t="s">
        <v>6</v>
      </c>
      <c r="C3742">
        <v>40</v>
      </c>
      <c r="D3742">
        <v>455.64100000000002</v>
      </c>
    </row>
    <row r="3743" spans="1:4" x14ac:dyDescent="0.25">
      <c r="A3743" t="s">
        <v>9</v>
      </c>
      <c r="B3743" t="s">
        <v>6</v>
      </c>
      <c r="C3743">
        <v>40</v>
      </c>
      <c r="D3743">
        <v>465.48500000000001</v>
      </c>
    </row>
    <row r="3744" spans="1:4" x14ac:dyDescent="0.25">
      <c r="A3744" t="s">
        <v>9</v>
      </c>
      <c r="B3744" t="s">
        <v>6</v>
      </c>
      <c r="C3744">
        <v>40</v>
      </c>
      <c r="D3744">
        <v>466.113</v>
      </c>
    </row>
    <row r="3745" spans="1:4" x14ac:dyDescent="0.25">
      <c r="A3745" t="s">
        <v>9</v>
      </c>
      <c r="B3745" t="s">
        <v>6</v>
      </c>
      <c r="C3745">
        <v>40</v>
      </c>
      <c r="D3745">
        <v>445.32600000000002</v>
      </c>
    </row>
    <row r="3746" spans="1:4" x14ac:dyDescent="0.25">
      <c r="A3746" t="s">
        <v>9</v>
      </c>
      <c r="B3746" t="s">
        <v>6</v>
      </c>
      <c r="C3746">
        <v>40</v>
      </c>
      <c r="D3746">
        <v>464.32499999999999</v>
      </c>
    </row>
    <row r="3747" spans="1:4" x14ac:dyDescent="0.25">
      <c r="A3747" t="s">
        <v>9</v>
      </c>
      <c r="B3747" t="s">
        <v>6</v>
      </c>
      <c r="C3747">
        <v>40</v>
      </c>
      <c r="D3747">
        <v>485.488</v>
      </c>
    </row>
    <row r="3748" spans="1:4" x14ac:dyDescent="0.25">
      <c r="A3748" t="s">
        <v>9</v>
      </c>
      <c r="B3748" t="s">
        <v>6</v>
      </c>
      <c r="C3748">
        <v>40</v>
      </c>
      <c r="D3748">
        <v>463.97300000000001</v>
      </c>
    </row>
    <row r="3749" spans="1:4" x14ac:dyDescent="0.25">
      <c r="A3749" t="s">
        <v>9</v>
      </c>
      <c r="B3749" t="s">
        <v>6</v>
      </c>
      <c r="C3749">
        <v>40</v>
      </c>
      <c r="D3749">
        <v>441.92500000000001</v>
      </c>
    </row>
    <row r="3750" spans="1:4" x14ac:dyDescent="0.25">
      <c r="A3750" t="s">
        <v>9</v>
      </c>
      <c r="B3750" t="s">
        <v>6</v>
      </c>
      <c r="C3750">
        <v>40</v>
      </c>
      <c r="D3750">
        <v>443.29700000000003</v>
      </c>
    </row>
    <row r="3751" spans="1:4" x14ac:dyDescent="0.25">
      <c r="A3751" t="s">
        <v>9</v>
      </c>
      <c r="B3751" t="s">
        <v>6</v>
      </c>
      <c r="C3751">
        <v>40</v>
      </c>
      <c r="D3751">
        <v>457.71899999999999</v>
      </c>
    </row>
    <row r="3752" spans="1:4" x14ac:dyDescent="0.25">
      <c r="A3752" t="s">
        <v>9</v>
      </c>
      <c r="B3752" t="s">
        <v>6</v>
      </c>
      <c r="C3752">
        <v>40</v>
      </c>
      <c r="D3752">
        <v>452.22899999999998</v>
      </c>
    </row>
    <row r="3753" spans="1:4" x14ac:dyDescent="0.25">
      <c r="A3753" t="s">
        <v>9</v>
      </c>
      <c r="B3753" t="s">
        <v>6</v>
      </c>
      <c r="C3753">
        <v>40</v>
      </c>
      <c r="D3753">
        <v>465.55099999999999</v>
      </c>
    </row>
    <row r="3754" spans="1:4" x14ac:dyDescent="0.25">
      <c r="A3754" t="s">
        <v>9</v>
      </c>
      <c r="B3754" t="s">
        <v>6</v>
      </c>
      <c r="C3754">
        <v>40</v>
      </c>
      <c r="D3754">
        <v>463.66</v>
      </c>
    </row>
    <row r="3755" spans="1:4" x14ac:dyDescent="0.25">
      <c r="A3755" t="s">
        <v>9</v>
      </c>
      <c r="B3755" t="s">
        <v>6</v>
      </c>
      <c r="C3755">
        <v>40</v>
      </c>
      <c r="D3755">
        <v>463.488</v>
      </c>
    </row>
    <row r="3756" spans="1:4" x14ac:dyDescent="0.25">
      <c r="A3756" t="s">
        <v>9</v>
      </c>
      <c r="B3756" t="s">
        <v>6</v>
      </c>
      <c r="C3756">
        <v>40</v>
      </c>
      <c r="D3756">
        <v>466.86</v>
      </c>
    </row>
    <row r="3757" spans="1:4" x14ac:dyDescent="0.25">
      <c r="A3757" t="s">
        <v>9</v>
      </c>
      <c r="B3757" t="s">
        <v>6</v>
      </c>
      <c r="C3757">
        <v>40</v>
      </c>
      <c r="D3757">
        <v>457.846</v>
      </c>
    </row>
    <row r="3758" spans="1:4" x14ac:dyDescent="0.25">
      <c r="A3758" t="s">
        <v>9</v>
      </c>
      <c r="B3758" t="s">
        <v>6</v>
      </c>
      <c r="C3758">
        <v>40</v>
      </c>
      <c r="D3758">
        <v>468.32</v>
      </c>
    </row>
    <row r="3759" spans="1:4" x14ac:dyDescent="0.25">
      <c r="A3759" t="s">
        <v>9</v>
      </c>
      <c r="B3759" t="s">
        <v>6</v>
      </c>
      <c r="C3759">
        <v>40</v>
      </c>
      <c r="D3759">
        <v>487.82400000000001</v>
      </c>
    </row>
    <row r="3760" spans="1:4" x14ac:dyDescent="0.25">
      <c r="A3760" t="s">
        <v>9</v>
      </c>
      <c r="B3760" t="s">
        <v>6</v>
      </c>
      <c r="C3760">
        <v>40</v>
      </c>
      <c r="D3760">
        <v>466.19799999999998</v>
      </c>
    </row>
    <row r="3761" spans="1:4" x14ac:dyDescent="0.25">
      <c r="A3761" t="s">
        <v>9</v>
      </c>
      <c r="B3761" t="s">
        <v>6</v>
      </c>
      <c r="C3761">
        <v>40</v>
      </c>
      <c r="D3761">
        <v>470.51799999999997</v>
      </c>
    </row>
    <row r="3762" spans="1:4" x14ac:dyDescent="0.25">
      <c r="A3762" t="s">
        <v>9</v>
      </c>
      <c r="B3762" t="s">
        <v>6</v>
      </c>
      <c r="C3762">
        <v>40</v>
      </c>
      <c r="D3762">
        <v>459.45499999999998</v>
      </c>
    </row>
    <row r="3763" spans="1:4" x14ac:dyDescent="0.25">
      <c r="A3763" t="s">
        <v>9</v>
      </c>
      <c r="B3763" t="s">
        <v>6</v>
      </c>
      <c r="C3763">
        <v>40</v>
      </c>
      <c r="D3763">
        <v>451.44499999999999</v>
      </c>
    </row>
    <row r="3764" spans="1:4" x14ac:dyDescent="0.25">
      <c r="A3764" t="s">
        <v>9</v>
      </c>
      <c r="B3764" t="s">
        <v>6</v>
      </c>
      <c r="C3764">
        <v>40</v>
      </c>
      <c r="D3764">
        <v>453.28199999999998</v>
      </c>
    </row>
    <row r="3765" spans="1:4" x14ac:dyDescent="0.25">
      <c r="A3765" t="s">
        <v>9</v>
      </c>
      <c r="B3765" t="s">
        <v>6</v>
      </c>
      <c r="C3765">
        <v>40</v>
      </c>
      <c r="D3765">
        <v>468.56</v>
      </c>
    </row>
    <row r="3766" spans="1:4" x14ac:dyDescent="0.25">
      <c r="A3766" t="s">
        <v>9</v>
      </c>
      <c r="B3766" t="s">
        <v>6</v>
      </c>
      <c r="C3766">
        <v>40</v>
      </c>
      <c r="D3766">
        <v>473.435</v>
      </c>
    </row>
    <row r="3767" spans="1:4" x14ac:dyDescent="0.25">
      <c r="A3767" t="s">
        <v>9</v>
      </c>
      <c r="B3767" t="s">
        <v>6</v>
      </c>
      <c r="C3767">
        <v>40</v>
      </c>
      <c r="D3767">
        <v>462.61599999999999</v>
      </c>
    </row>
    <row r="3768" spans="1:4" x14ac:dyDescent="0.25">
      <c r="A3768" t="s">
        <v>9</v>
      </c>
      <c r="B3768" t="s">
        <v>6</v>
      </c>
      <c r="C3768">
        <v>40</v>
      </c>
      <c r="D3768">
        <v>457.99200000000002</v>
      </c>
    </row>
    <row r="3769" spans="1:4" x14ac:dyDescent="0.25">
      <c r="A3769" t="s">
        <v>9</v>
      </c>
      <c r="B3769" t="s">
        <v>6</v>
      </c>
      <c r="C3769">
        <v>40</v>
      </c>
      <c r="D3769">
        <v>453.01499999999999</v>
      </c>
    </row>
    <row r="3770" spans="1:4" x14ac:dyDescent="0.25">
      <c r="A3770" t="s">
        <v>9</v>
      </c>
      <c r="B3770" t="s">
        <v>6</v>
      </c>
      <c r="C3770">
        <v>40</v>
      </c>
      <c r="D3770">
        <v>447.95</v>
      </c>
    </row>
    <row r="3771" spans="1:4" x14ac:dyDescent="0.25">
      <c r="A3771" t="s">
        <v>9</v>
      </c>
      <c r="B3771" t="s">
        <v>6</v>
      </c>
      <c r="C3771">
        <v>40</v>
      </c>
      <c r="D3771">
        <v>470.19200000000001</v>
      </c>
    </row>
    <row r="3772" spans="1:4" x14ac:dyDescent="0.25">
      <c r="A3772" t="s">
        <v>9</v>
      </c>
      <c r="B3772" t="s">
        <v>6</v>
      </c>
      <c r="C3772">
        <v>40</v>
      </c>
      <c r="D3772">
        <v>469.37799999999999</v>
      </c>
    </row>
    <row r="3773" spans="1:4" x14ac:dyDescent="0.25">
      <c r="A3773" t="s">
        <v>9</v>
      </c>
      <c r="B3773" t="s">
        <v>6</v>
      </c>
      <c r="C3773">
        <v>40</v>
      </c>
      <c r="D3773">
        <v>460.56299999999999</v>
      </c>
    </row>
    <row r="3774" spans="1:4" x14ac:dyDescent="0.25">
      <c r="A3774" t="s">
        <v>9</v>
      </c>
      <c r="B3774" t="s">
        <v>6</v>
      </c>
      <c r="C3774">
        <v>40</v>
      </c>
      <c r="D3774">
        <v>457.08300000000003</v>
      </c>
    </row>
    <row r="3775" spans="1:4" x14ac:dyDescent="0.25">
      <c r="A3775" t="s">
        <v>9</v>
      </c>
      <c r="B3775" t="s">
        <v>6</v>
      </c>
      <c r="C3775">
        <v>40</v>
      </c>
      <c r="D3775">
        <v>465.27600000000001</v>
      </c>
    </row>
    <row r="3776" spans="1:4" x14ac:dyDescent="0.25">
      <c r="A3776" t="s">
        <v>9</v>
      </c>
      <c r="B3776" t="s">
        <v>6</v>
      </c>
      <c r="C3776">
        <v>40</v>
      </c>
      <c r="D3776">
        <v>453.08</v>
      </c>
    </row>
    <row r="3777" spans="1:4" x14ac:dyDescent="0.25">
      <c r="A3777" t="s">
        <v>9</v>
      </c>
      <c r="B3777" t="s">
        <v>6</v>
      </c>
      <c r="C3777">
        <v>40</v>
      </c>
      <c r="D3777">
        <v>476.45100000000002</v>
      </c>
    </row>
    <row r="3778" spans="1:4" x14ac:dyDescent="0.25">
      <c r="A3778" t="s">
        <v>9</v>
      </c>
      <c r="B3778" t="s">
        <v>6</v>
      </c>
      <c r="C3778">
        <v>40</v>
      </c>
      <c r="D3778">
        <v>467.73599999999999</v>
      </c>
    </row>
    <row r="3779" spans="1:4" x14ac:dyDescent="0.25">
      <c r="A3779" t="s">
        <v>9</v>
      </c>
      <c r="B3779" t="s">
        <v>6</v>
      </c>
      <c r="C3779">
        <v>40</v>
      </c>
      <c r="D3779">
        <v>463.80200000000002</v>
      </c>
    </row>
    <row r="3780" spans="1:4" x14ac:dyDescent="0.25">
      <c r="A3780" t="s">
        <v>9</v>
      </c>
      <c r="B3780" t="s">
        <v>6</v>
      </c>
      <c r="C3780">
        <v>40</v>
      </c>
      <c r="D3780">
        <v>435.50299999999999</v>
      </c>
    </row>
    <row r="3781" spans="1:4" x14ac:dyDescent="0.25">
      <c r="A3781" t="s">
        <v>9</v>
      </c>
      <c r="B3781" t="s">
        <v>6</v>
      </c>
      <c r="C3781">
        <v>40</v>
      </c>
      <c r="D3781">
        <v>441.43200000000002</v>
      </c>
    </row>
    <row r="3782" spans="1:4" x14ac:dyDescent="0.25">
      <c r="A3782" t="s">
        <v>9</v>
      </c>
      <c r="B3782" t="s">
        <v>6</v>
      </c>
      <c r="C3782">
        <v>40</v>
      </c>
      <c r="D3782">
        <v>447.86900000000003</v>
      </c>
    </row>
    <row r="3783" spans="1:4" x14ac:dyDescent="0.25">
      <c r="A3783" t="s">
        <v>9</v>
      </c>
      <c r="B3783" t="s">
        <v>6</v>
      </c>
      <c r="C3783">
        <v>40</v>
      </c>
      <c r="D3783">
        <v>480.11099999999999</v>
      </c>
    </row>
    <row r="3784" spans="1:4" x14ac:dyDescent="0.25">
      <c r="A3784" t="s">
        <v>9</v>
      </c>
      <c r="B3784" t="s">
        <v>6</v>
      </c>
      <c r="C3784">
        <v>40</v>
      </c>
      <c r="D3784">
        <v>451.279</v>
      </c>
    </row>
    <row r="3785" spans="1:4" x14ac:dyDescent="0.25">
      <c r="A3785" t="s">
        <v>9</v>
      </c>
      <c r="B3785" t="s">
        <v>6</v>
      </c>
      <c r="C3785">
        <v>40</v>
      </c>
      <c r="D3785">
        <v>466.017</v>
      </c>
    </row>
    <row r="3786" spans="1:4" x14ac:dyDescent="0.25">
      <c r="A3786" t="s">
        <v>9</v>
      </c>
      <c r="B3786" t="s">
        <v>6</v>
      </c>
      <c r="C3786">
        <v>40</v>
      </c>
      <c r="D3786">
        <v>437.81099999999998</v>
      </c>
    </row>
    <row r="3787" spans="1:4" x14ac:dyDescent="0.25">
      <c r="A3787" t="s">
        <v>9</v>
      </c>
      <c r="B3787" t="s">
        <v>6</v>
      </c>
      <c r="C3787">
        <v>40</v>
      </c>
      <c r="D3787">
        <v>458.35199999999998</v>
      </c>
    </row>
    <row r="3788" spans="1:4" x14ac:dyDescent="0.25">
      <c r="A3788" t="s">
        <v>9</v>
      </c>
      <c r="B3788" t="s">
        <v>6</v>
      </c>
      <c r="C3788">
        <v>40</v>
      </c>
      <c r="D3788">
        <v>453.72500000000002</v>
      </c>
    </row>
    <row r="3789" spans="1:4" x14ac:dyDescent="0.25">
      <c r="A3789" t="s">
        <v>9</v>
      </c>
      <c r="B3789" t="s">
        <v>6</v>
      </c>
      <c r="C3789">
        <v>40</v>
      </c>
      <c r="D3789">
        <v>451.18299999999999</v>
      </c>
    </row>
    <row r="3790" spans="1:4" x14ac:dyDescent="0.25">
      <c r="A3790" t="s">
        <v>9</v>
      </c>
      <c r="B3790" t="s">
        <v>6</v>
      </c>
      <c r="C3790">
        <v>40</v>
      </c>
      <c r="D3790">
        <v>469.697</v>
      </c>
    </row>
    <row r="3791" spans="1:4" x14ac:dyDescent="0.25">
      <c r="A3791" t="s">
        <v>9</v>
      </c>
      <c r="B3791" t="s">
        <v>6</v>
      </c>
      <c r="C3791">
        <v>40</v>
      </c>
      <c r="D3791">
        <v>436.70299999999997</v>
      </c>
    </row>
    <row r="3792" spans="1:4" x14ac:dyDescent="0.25">
      <c r="A3792" t="s">
        <v>9</v>
      </c>
      <c r="B3792" t="s">
        <v>6</v>
      </c>
      <c r="C3792">
        <v>40</v>
      </c>
      <c r="D3792">
        <v>450.601</v>
      </c>
    </row>
    <row r="3793" spans="1:4" x14ac:dyDescent="0.25">
      <c r="A3793" t="s">
        <v>9</v>
      </c>
      <c r="B3793" t="s">
        <v>6</v>
      </c>
      <c r="C3793">
        <v>40</v>
      </c>
      <c r="D3793">
        <v>457.79599999999999</v>
      </c>
    </row>
    <row r="3794" spans="1:4" x14ac:dyDescent="0.25">
      <c r="A3794" t="s">
        <v>9</v>
      </c>
      <c r="B3794" t="s">
        <v>6</v>
      </c>
      <c r="C3794">
        <v>40</v>
      </c>
      <c r="D3794">
        <v>471.423</v>
      </c>
    </row>
    <row r="3795" spans="1:4" x14ac:dyDescent="0.25">
      <c r="A3795" t="s">
        <v>9</v>
      </c>
      <c r="B3795" t="s">
        <v>6</v>
      </c>
      <c r="C3795">
        <v>40</v>
      </c>
      <c r="D3795">
        <v>462.88499999999999</v>
      </c>
    </row>
    <row r="3796" spans="1:4" x14ac:dyDescent="0.25">
      <c r="A3796" t="s">
        <v>9</v>
      </c>
      <c r="B3796" t="s">
        <v>6</v>
      </c>
      <c r="C3796">
        <v>40</v>
      </c>
      <c r="D3796">
        <v>471.72899999999998</v>
      </c>
    </row>
    <row r="3797" spans="1:4" x14ac:dyDescent="0.25">
      <c r="A3797" t="s">
        <v>9</v>
      </c>
      <c r="B3797" t="s">
        <v>6</v>
      </c>
      <c r="C3797">
        <v>40</v>
      </c>
      <c r="D3797">
        <v>450.02800000000002</v>
      </c>
    </row>
    <row r="3798" spans="1:4" x14ac:dyDescent="0.25">
      <c r="A3798" t="s">
        <v>9</v>
      </c>
      <c r="B3798" t="s">
        <v>6</v>
      </c>
      <c r="C3798">
        <v>40</v>
      </c>
      <c r="D3798">
        <v>462.15499999999997</v>
      </c>
    </row>
    <row r="3799" spans="1:4" x14ac:dyDescent="0.25">
      <c r="A3799" t="s">
        <v>9</v>
      </c>
      <c r="B3799" t="s">
        <v>6</v>
      </c>
      <c r="C3799">
        <v>40</v>
      </c>
      <c r="D3799">
        <v>445.83699999999999</v>
      </c>
    </row>
    <row r="3800" spans="1:4" x14ac:dyDescent="0.25">
      <c r="A3800" t="s">
        <v>9</v>
      </c>
      <c r="B3800" t="s">
        <v>6</v>
      </c>
      <c r="C3800">
        <v>40</v>
      </c>
      <c r="D3800">
        <v>485.96600000000001</v>
      </c>
    </row>
    <row r="3801" spans="1:4" x14ac:dyDescent="0.25">
      <c r="A3801" t="s">
        <v>9</v>
      </c>
      <c r="B3801" t="s">
        <v>6</v>
      </c>
      <c r="C3801">
        <v>40</v>
      </c>
      <c r="D3801">
        <v>451.58600000000001</v>
      </c>
    </row>
    <row r="3802" spans="1:4" x14ac:dyDescent="0.25">
      <c r="A3802" t="s">
        <v>9</v>
      </c>
      <c r="B3802" t="s">
        <v>6</v>
      </c>
      <c r="C3802">
        <v>60</v>
      </c>
      <c r="D3802">
        <v>669.13</v>
      </c>
    </row>
    <row r="3803" spans="1:4" x14ac:dyDescent="0.25">
      <c r="A3803" t="s">
        <v>9</v>
      </c>
      <c r="B3803" t="s">
        <v>6</v>
      </c>
      <c r="C3803">
        <v>60</v>
      </c>
      <c r="D3803">
        <v>647.33399999999995</v>
      </c>
    </row>
    <row r="3804" spans="1:4" x14ac:dyDescent="0.25">
      <c r="A3804" t="s">
        <v>9</v>
      </c>
      <c r="B3804" t="s">
        <v>6</v>
      </c>
      <c r="C3804">
        <v>60</v>
      </c>
      <c r="D3804">
        <v>675.827</v>
      </c>
    </row>
    <row r="3805" spans="1:4" x14ac:dyDescent="0.25">
      <c r="A3805" t="s">
        <v>9</v>
      </c>
      <c r="B3805" t="s">
        <v>6</v>
      </c>
      <c r="C3805">
        <v>60</v>
      </c>
      <c r="D3805">
        <v>666.62300000000005</v>
      </c>
    </row>
    <row r="3806" spans="1:4" x14ac:dyDescent="0.25">
      <c r="A3806" t="s">
        <v>9</v>
      </c>
      <c r="B3806" t="s">
        <v>6</v>
      </c>
      <c r="C3806">
        <v>60</v>
      </c>
      <c r="D3806">
        <v>695.13400000000001</v>
      </c>
    </row>
    <row r="3807" spans="1:4" x14ac:dyDescent="0.25">
      <c r="A3807" t="s">
        <v>9</v>
      </c>
      <c r="B3807" t="s">
        <v>6</v>
      </c>
      <c r="C3807">
        <v>60</v>
      </c>
      <c r="D3807">
        <v>658.91099999999994</v>
      </c>
    </row>
    <row r="3808" spans="1:4" x14ac:dyDescent="0.25">
      <c r="A3808" t="s">
        <v>9</v>
      </c>
      <c r="B3808" t="s">
        <v>6</v>
      </c>
      <c r="C3808">
        <v>60</v>
      </c>
      <c r="D3808">
        <v>674.88699999999994</v>
      </c>
    </row>
    <row r="3809" spans="1:4" x14ac:dyDescent="0.25">
      <c r="A3809" t="s">
        <v>9</v>
      </c>
      <c r="B3809" t="s">
        <v>6</v>
      </c>
      <c r="C3809">
        <v>60</v>
      </c>
      <c r="D3809">
        <v>678.95500000000004</v>
      </c>
    </row>
    <row r="3810" spans="1:4" x14ac:dyDescent="0.25">
      <c r="A3810" t="s">
        <v>9</v>
      </c>
      <c r="B3810" t="s">
        <v>6</v>
      </c>
      <c r="C3810">
        <v>60</v>
      </c>
      <c r="D3810">
        <v>649.75</v>
      </c>
    </row>
    <row r="3811" spans="1:4" x14ac:dyDescent="0.25">
      <c r="A3811" t="s">
        <v>9</v>
      </c>
      <c r="B3811" t="s">
        <v>6</v>
      </c>
      <c r="C3811">
        <v>60</v>
      </c>
      <c r="D3811">
        <v>678.66</v>
      </c>
    </row>
    <row r="3812" spans="1:4" x14ac:dyDescent="0.25">
      <c r="A3812" t="s">
        <v>9</v>
      </c>
      <c r="B3812" t="s">
        <v>6</v>
      </c>
      <c r="C3812">
        <v>60</v>
      </c>
      <c r="D3812">
        <v>660.74599999999998</v>
      </c>
    </row>
    <row r="3813" spans="1:4" x14ac:dyDescent="0.25">
      <c r="A3813" t="s">
        <v>9</v>
      </c>
      <c r="B3813" t="s">
        <v>6</v>
      </c>
      <c r="C3813">
        <v>60</v>
      </c>
      <c r="D3813">
        <v>663.25</v>
      </c>
    </row>
    <row r="3814" spans="1:4" x14ac:dyDescent="0.25">
      <c r="A3814" t="s">
        <v>9</v>
      </c>
      <c r="B3814" t="s">
        <v>6</v>
      </c>
      <c r="C3814">
        <v>60</v>
      </c>
      <c r="D3814">
        <v>627.83199999999999</v>
      </c>
    </row>
    <row r="3815" spans="1:4" x14ac:dyDescent="0.25">
      <c r="A3815" t="s">
        <v>9</v>
      </c>
      <c r="B3815" t="s">
        <v>6</v>
      </c>
      <c r="C3815">
        <v>60</v>
      </c>
      <c r="D3815">
        <v>671.39700000000005</v>
      </c>
    </row>
    <row r="3816" spans="1:4" x14ac:dyDescent="0.25">
      <c r="A3816" t="s">
        <v>9</v>
      </c>
      <c r="B3816" t="s">
        <v>6</v>
      </c>
      <c r="C3816">
        <v>60</v>
      </c>
      <c r="D3816">
        <v>613.55899999999997</v>
      </c>
    </row>
    <row r="3817" spans="1:4" x14ac:dyDescent="0.25">
      <c r="A3817" t="s">
        <v>9</v>
      </c>
      <c r="B3817" t="s">
        <v>6</v>
      </c>
      <c r="C3817">
        <v>60</v>
      </c>
      <c r="D3817">
        <v>670.048</v>
      </c>
    </row>
    <row r="3818" spans="1:4" x14ac:dyDescent="0.25">
      <c r="A3818" t="s">
        <v>9</v>
      </c>
      <c r="B3818" t="s">
        <v>6</v>
      </c>
      <c r="C3818">
        <v>60</v>
      </c>
      <c r="D3818">
        <v>656.36699999999996</v>
      </c>
    </row>
    <row r="3819" spans="1:4" x14ac:dyDescent="0.25">
      <c r="A3819" t="s">
        <v>9</v>
      </c>
      <c r="B3819" t="s">
        <v>6</v>
      </c>
      <c r="C3819">
        <v>60</v>
      </c>
      <c r="D3819">
        <v>667.53800000000001</v>
      </c>
    </row>
    <row r="3820" spans="1:4" x14ac:dyDescent="0.25">
      <c r="A3820" t="s">
        <v>9</v>
      </c>
      <c r="B3820" t="s">
        <v>6</v>
      </c>
      <c r="C3820">
        <v>60</v>
      </c>
      <c r="D3820">
        <v>590.84199999999998</v>
      </c>
    </row>
    <row r="3821" spans="1:4" x14ac:dyDescent="0.25">
      <c r="A3821" t="s">
        <v>9</v>
      </c>
      <c r="B3821" t="s">
        <v>6</v>
      </c>
      <c r="C3821">
        <v>60</v>
      </c>
      <c r="D3821">
        <v>640.947</v>
      </c>
    </row>
    <row r="3822" spans="1:4" x14ac:dyDescent="0.25">
      <c r="A3822" t="s">
        <v>9</v>
      </c>
      <c r="B3822" t="s">
        <v>6</v>
      </c>
      <c r="C3822">
        <v>60</v>
      </c>
      <c r="D3822">
        <v>661.57500000000005</v>
      </c>
    </row>
    <row r="3823" spans="1:4" x14ac:dyDescent="0.25">
      <c r="A3823" t="s">
        <v>9</v>
      </c>
      <c r="B3823" t="s">
        <v>6</v>
      </c>
      <c r="C3823">
        <v>60</v>
      </c>
      <c r="D3823">
        <v>649.25800000000004</v>
      </c>
    </row>
    <row r="3824" spans="1:4" x14ac:dyDescent="0.25">
      <c r="A3824" t="s">
        <v>9</v>
      </c>
      <c r="B3824" t="s">
        <v>6</v>
      </c>
      <c r="C3824">
        <v>60</v>
      </c>
      <c r="D3824">
        <v>646.40800000000002</v>
      </c>
    </row>
    <row r="3825" spans="1:4" x14ac:dyDescent="0.25">
      <c r="A3825" t="s">
        <v>9</v>
      </c>
      <c r="B3825" t="s">
        <v>6</v>
      </c>
      <c r="C3825">
        <v>60</v>
      </c>
      <c r="D3825">
        <v>658.97500000000002</v>
      </c>
    </row>
    <row r="3826" spans="1:4" x14ac:dyDescent="0.25">
      <c r="A3826" t="s">
        <v>9</v>
      </c>
      <c r="B3826" t="s">
        <v>6</v>
      </c>
      <c r="C3826">
        <v>60</v>
      </c>
      <c r="D3826">
        <v>675.68799999999999</v>
      </c>
    </row>
    <row r="3827" spans="1:4" x14ac:dyDescent="0.25">
      <c r="A3827" t="s">
        <v>9</v>
      </c>
      <c r="B3827" t="s">
        <v>6</v>
      </c>
      <c r="C3827">
        <v>60</v>
      </c>
      <c r="D3827">
        <v>676.98699999999997</v>
      </c>
    </row>
    <row r="3828" spans="1:4" x14ac:dyDescent="0.25">
      <c r="A3828" t="s">
        <v>9</v>
      </c>
      <c r="B3828" t="s">
        <v>6</v>
      </c>
      <c r="C3828">
        <v>60</v>
      </c>
      <c r="D3828">
        <v>665.83900000000006</v>
      </c>
    </row>
    <row r="3829" spans="1:4" x14ac:dyDescent="0.25">
      <c r="A3829" t="s">
        <v>9</v>
      </c>
      <c r="B3829" t="s">
        <v>6</v>
      </c>
      <c r="C3829">
        <v>60</v>
      </c>
      <c r="D3829">
        <v>660.54200000000003</v>
      </c>
    </row>
    <row r="3830" spans="1:4" x14ac:dyDescent="0.25">
      <c r="A3830" t="s">
        <v>9</v>
      </c>
      <c r="B3830" t="s">
        <v>6</v>
      </c>
      <c r="C3830">
        <v>60</v>
      </c>
      <c r="D3830">
        <v>634.04300000000001</v>
      </c>
    </row>
    <row r="3831" spans="1:4" x14ac:dyDescent="0.25">
      <c r="A3831" t="s">
        <v>9</v>
      </c>
      <c r="B3831" t="s">
        <v>6</v>
      </c>
      <c r="C3831">
        <v>60</v>
      </c>
      <c r="D3831">
        <v>667.76900000000001</v>
      </c>
    </row>
    <row r="3832" spans="1:4" x14ac:dyDescent="0.25">
      <c r="A3832" t="s">
        <v>9</v>
      </c>
      <c r="B3832" t="s">
        <v>6</v>
      </c>
      <c r="C3832">
        <v>60</v>
      </c>
      <c r="D3832">
        <v>695.41300000000001</v>
      </c>
    </row>
    <row r="3833" spans="1:4" x14ac:dyDescent="0.25">
      <c r="A3833" t="s">
        <v>9</v>
      </c>
      <c r="B3833" t="s">
        <v>6</v>
      </c>
      <c r="C3833">
        <v>60</v>
      </c>
      <c r="D3833">
        <v>648.23199999999997</v>
      </c>
    </row>
    <row r="3834" spans="1:4" x14ac:dyDescent="0.25">
      <c r="A3834" t="s">
        <v>9</v>
      </c>
      <c r="B3834" t="s">
        <v>6</v>
      </c>
      <c r="C3834">
        <v>60</v>
      </c>
      <c r="D3834">
        <v>645.72199999999998</v>
      </c>
    </row>
    <row r="3835" spans="1:4" x14ac:dyDescent="0.25">
      <c r="A3835" t="s">
        <v>9</v>
      </c>
      <c r="B3835" t="s">
        <v>6</v>
      </c>
      <c r="C3835">
        <v>60</v>
      </c>
      <c r="D3835">
        <v>650.93600000000004</v>
      </c>
    </row>
    <row r="3836" spans="1:4" x14ac:dyDescent="0.25">
      <c r="A3836" t="s">
        <v>9</v>
      </c>
      <c r="B3836" t="s">
        <v>6</v>
      </c>
      <c r="C3836">
        <v>60</v>
      </c>
      <c r="D3836">
        <v>704.3</v>
      </c>
    </row>
    <row r="3837" spans="1:4" x14ac:dyDescent="0.25">
      <c r="A3837" t="s">
        <v>9</v>
      </c>
      <c r="B3837" t="s">
        <v>6</v>
      </c>
      <c r="C3837">
        <v>60</v>
      </c>
      <c r="D3837">
        <v>628.32899999999995</v>
      </c>
    </row>
    <row r="3838" spans="1:4" x14ac:dyDescent="0.25">
      <c r="A3838" t="s">
        <v>9</v>
      </c>
      <c r="B3838" t="s">
        <v>6</v>
      </c>
      <c r="C3838">
        <v>60</v>
      </c>
      <c r="D3838">
        <v>625.58699999999999</v>
      </c>
    </row>
    <row r="3839" spans="1:4" x14ac:dyDescent="0.25">
      <c r="A3839" t="s">
        <v>9</v>
      </c>
      <c r="B3839" t="s">
        <v>6</v>
      </c>
      <c r="C3839">
        <v>60</v>
      </c>
      <c r="D3839">
        <v>644.51499999999999</v>
      </c>
    </row>
    <row r="3840" spans="1:4" x14ac:dyDescent="0.25">
      <c r="A3840" t="s">
        <v>9</v>
      </c>
      <c r="B3840" t="s">
        <v>6</v>
      </c>
      <c r="C3840">
        <v>60</v>
      </c>
      <c r="D3840">
        <v>639.61699999999996</v>
      </c>
    </row>
    <row r="3841" spans="1:4" x14ac:dyDescent="0.25">
      <c r="A3841" t="s">
        <v>9</v>
      </c>
      <c r="B3841" t="s">
        <v>6</v>
      </c>
      <c r="C3841">
        <v>60</v>
      </c>
      <c r="D3841">
        <v>633.73500000000001</v>
      </c>
    </row>
    <row r="3842" spans="1:4" x14ac:dyDescent="0.25">
      <c r="A3842" t="s">
        <v>9</v>
      </c>
      <c r="B3842" t="s">
        <v>6</v>
      </c>
      <c r="C3842">
        <v>60</v>
      </c>
      <c r="D3842">
        <v>665.93899999999996</v>
      </c>
    </row>
    <row r="3843" spans="1:4" x14ac:dyDescent="0.25">
      <c r="A3843" t="s">
        <v>9</v>
      </c>
      <c r="B3843" t="s">
        <v>6</v>
      </c>
      <c r="C3843">
        <v>60</v>
      </c>
      <c r="D3843">
        <v>631.85599999999999</v>
      </c>
    </row>
    <row r="3844" spans="1:4" x14ac:dyDescent="0.25">
      <c r="A3844" t="s">
        <v>9</v>
      </c>
      <c r="B3844" t="s">
        <v>6</v>
      </c>
      <c r="C3844">
        <v>60</v>
      </c>
      <c r="D3844">
        <v>653.91899999999998</v>
      </c>
    </row>
    <row r="3845" spans="1:4" x14ac:dyDescent="0.25">
      <c r="A3845" t="s">
        <v>9</v>
      </c>
      <c r="B3845" t="s">
        <v>6</v>
      </c>
      <c r="C3845">
        <v>60</v>
      </c>
      <c r="D3845">
        <v>660.74400000000003</v>
      </c>
    </row>
    <row r="3846" spans="1:4" x14ac:dyDescent="0.25">
      <c r="A3846" t="s">
        <v>9</v>
      </c>
      <c r="B3846" t="s">
        <v>6</v>
      </c>
      <c r="C3846">
        <v>60</v>
      </c>
      <c r="D3846">
        <v>680.99199999999996</v>
      </c>
    </row>
    <row r="3847" spans="1:4" x14ac:dyDescent="0.25">
      <c r="A3847" t="s">
        <v>9</v>
      </c>
      <c r="B3847" t="s">
        <v>6</v>
      </c>
      <c r="C3847">
        <v>60</v>
      </c>
      <c r="D3847">
        <v>676.77499999999998</v>
      </c>
    </row>
    <row r="3848" spans="1:4" x14ac:dyDescent="0.25">
      <c r="A3848" t="s">
        <v>9</v>
      </c>
      <c r="B3848" t="s">
        <v>6</v>
      </c>
      <c r="C3848">
        <v>60</v>
      </c>
      <c r="D3848">
        <v>659.93700000000001</v>
      </c>
    </row>
    <row r="3849" spans="1:4" x14ac:dyDescent="0.25">
      <c r="A3849" t="s">
        <v>9</v>
      </c>
      <c r="B3849" t="s">
        <v>6</v>
      </c>
      <c r="C3849">
        <v>60</v>
      </c>
      <c r="D3849">
        <v>642.34</v>
      </c>
    </row>
    <row r="3850" spans="1:4" x14ac:dyDescent="0.25">
      <c r="A3850" t="s">
        <v>9</v>
      </c>
      <c r="B3850" t="s">
        <v>6</v>
      </c>
      <c r="C3850">
        <v>60</v>
      </c>
      <c r="D3850">
        <v>659.81500000000005</v>
      </c>
    </row>
    <row r="3851" spans="1:4" x14ac:dyDescent="0.25">
      <c r="A3851" t="s">
        <v>9</v>
      </c>
      <c r="B3851" t="s">
        <v>6</v>
      </c>
      <c r="C3851">
        <v>60</v>
      </c>
      <c r="D3851">
        <v>653.20899999999995</v>
      </c>
    </row>
    <row r="3852" spans="1:4" x14ac:dyDescent="0.25">
      <c r="A3852" t="s">
        <v>9</v>
      </c>
      <c r="B3852" t="s">
        <v>6</v>
      </c>
      <c r="C3852">
        <v>60</v>
      </c>
      <c r="D3852">
        <v>626.59299999999996</v>
      </c>
    </row>
    <row r="3853" spans="1:4" x14ac:dyDescent="0.25">
      <c r="A3853" t="s">
        <v>9</v>
      </c>
      <c r="B3853" t="s">
        <v>6</v>
      </c>
      <c r="C3853">
        <v>60</v>
      </c>
      <c r="D3853">
        <v>647.70699999999999</v>
      </c>
    </row>
    <row r="3854" spans="1:4" x14ac:dyDescent="0.25">
      <c r="A3854" t="s">
        <v>9</v>
      </c>
      <c r="B3854" t="s">
        <v>6</v>
      </c>
      <c r="C3854">
        <v>60</v>
      </c>
      <c r="D3854">
        <v>682.58399999999995</v>
      </c>
    </row>
    <row r="3855" spans="1:4" x14ac:dyDescent="0.25">
      <c r="A3855" t="s">
        <v>9</v>
      </c>
      <c r="B3855" t="s">
        <v>6</v>
      </c>
      <c r="C3855">
        <v>60</v>
      </c>
      <c r="D3855">
        <v>673.91200000000003</v>
      </c>
    </row>
    <row r="3856" spans="1:4" x14ac:dyDescent="0.25">
      <c r="A3856" t="s">
        <v>9</v>
      </c>
      <c r="B3856" t="s">
        <v>6</v>
      </c>
      <c r="C3856">
        <v>60</v>
      </c>
      <c r="D3856">
        <v>698.46</v>
      </c>
    </row>
    <row r="3857" spans="1:4" x14ac:dyDescent="0.25">
      <c r="A3857" t="s">
        <v>9</v>
      </c>
      <c r="B3857" t="s">
        <v>6</v>
      </c>
      <c r="C3857">
        <v>60</v>
      </c>
      <c r="D3857">
        <v>651.76499999999999</v>
      </c>
    </row>
    <row r="3858" spans="1:4" x14ac:dyDescent="0.25">
      <c r="A3858" t="s">
        <v>9</v>
      </c>
      <c r="B3858" t="s">
        <v>6</v>
      </c>
      <c r="C3858">
        <v>60</v>
      </c>
      <c r="D3858">
        <v>684.18700000000001</v>
      </c>
    </row>
    <row r="3859" spans="1:4" x14ac:dyDescent="0.25">
      <c r="A3859" t="s">
        <v>9</v>
      </c>
      <c r="B3859" t="s">
        <v>6</v>
      </c>
      <c r="C3859">
        <v>60</v>
      </c>
      <c r="D3859">
        <v>665.81100000000004</v>
      </c>
    </row>
    <row r="3860" spans="1:4" x14ac:dyDescent="0.25">
      <c r="A3860" t="s">
        <v>9</v>
      </c>
      <c r="B3860" t="s">
        <v>6</v>
      </c>
      <c r="C3860">
        <v>60</v>
      </c>
      <c r="D3860">
        <v>675.43299999999999</v>
      </c>
    </row>
    <row r="3861" spans="1:4" x14ac:dyDescent="0.25">
      <c r="A3861" t="s">
        <v>9</v>
      </c>
      <c r="B3861" t="s">
        <v>6</v>
      </c>
      <c r="C3861">
        <v>60</v>
      </c>
      <c r="D3861">
        <v>688.56700000000001</v>
      </c>
    </row>
    <row r="3862" spans="1:4" x14ac:dyDescent="0.25">
      <c r="A3862" t="s">
        <v>9</v>
      </c>
      <c r="B3862" t="s">
        <v>6</v>
      </c>
      <c r="C3862">
        <v>60</v>
      </c>
      <c r="D3862">
        <v>687.61599999999999</v>
      </c>
    </row>
    <row r="3863" spans="1:4" x14ac:dyDescent="0.25">
      <c r="A3863" t="s">
        <v>9</v>
      </c>
      <c r="B3863" t="s">
        <v>6</v>
      </c>
      <c r="C3863">
        <v>60</v>
      </c>
      <c r="D3863">
        <v>677.721</v>
      </c>
    </row>
    <row r="3864" spans="1:4" x14ac:dyDescent="0.25">
      <c r="A3864" t="s">
        <v>9</v>
      </c>
      <c r="B3864" t="s">
        <v>6</v>
      </c>
      <c r="C3864">
        <v>60</v>
      </c>
      <c r="D3864">
        <v>642.12300000000005</v>
      </c>
    </row>
    <row r="3865" spans="1:4" x14ac:dyDescent="0.25">
      <c r="A3865" t="s">
        <v>9</v>
      </c>
      <c r="B3865" t="s">
        <v>6</v>
      </c>
      <c r="C3865">
        <v>60</v>
      </c>
      <c r="D3865">
        <v>628.79200000000003</v>
      </c>
    </row>
    <row r="3866" spans="1:4" x14ac:dyDescent="0.25">
      <c r="A3866" t="s">
        <v>9</v>
      </c>
      <c r="B3866" t="s">
        <v>6</v>
      </c>
      <c r="C3866">
        <v>60</v>
      </c>
      <c r="D3866">
        <v>677.30100000000004</v>
      </c>
    </row>
    <row r="3867" spans="1:4" x14ac:dyDescent="0.25">
      <c r="A3867" t="s">
        <v>9</v>
      </c>
      <c r="B3867" t="s">
        <v>6</v>
      </c>
      <c r="C3867">
        <v>60</v>
      </c>
      <c r="D3867">
        <v>674.75800000000004</v>
      </c>
    </row>
    <row r="3868" spans="1:4" x14ac:dyDescent="0.25">
      <c r="A3868" t="s">
        <v>9</v>
      </c>
      <c r="B3868" t="s">
        <v>6</v>
      </c>
      <c r="C3868">
        <v>60</v>
      </c>
      <c r="D3868">
        <v>646.61599999999999</v>
      </c>
    </row>
    <row r="3869" spans="1:4" x14ac:dyDescent="0.25">
      <c r="A3869" t="s">
        <v>9</v>
      </c>
      <c r="B3869" t="s">
        <v>6</v>
      </c>
      <c r="C3869">
        <v>60</v>
      </c>
      <c r="D3869">
        <v>661.13400000000001</v>
      </c>
    </row>
    <row r="3870" spans="1:4" x14ac:dyDescent="0.25">
      <c r="A3870" t="s">
        <v>9</v>
      </c>
      <c r="B3870" t="s">
        <v>6</v>
      </c>
      <c r="C3870">
        <v>60</v>
      </c>
      <c r="D3870">
        <v>678.72900000000004</v>
      </c>
    </row>
    <row r="3871" spans="1:4" x14ac:dyDescent="0.25">
      <c r="A3871" t="s">
        <v>9</v>
      </c>
      <c r="B3871" t="s">
        <v>6</v>
      </c>
      <c r="C3871">
        <v>60</v>
      </c>
      <c r="D3871">
        <v>629.28399999999999</v>
      </c>
    </row>
    <row r="3872" spans="1:4" x14ac:dyDescent="0.25">
      <c r="A3872" t="s">
        <v>9</v>
      </c>
      <c r="B3872" t="s">
        <v>6</v>
      </c>
      <c r="C3872">
        <v>60</v>
      </c>
      <c r="D3872">
        <v>654.67100000000005</v>
      </c>
    </row>
    <row r="3873" spans="1:4" x14ac:dyDescent="0.25">
      <c r="A3873" t="s">
        <v>9</v>
      </c>
      <c r="B3873" t="s">
        <v>6</v>
      </c>
      <c r="C3873">
        <v>60</v>
      </c>
      <c r="D3873">
        <v>642.70899999999995</v>
      </c>
    </row>
    <row r="3874" spans="1:4" x14ac:dyDescent="0.25">
      <c r="A3874" t="s">
        <v>9</v>
      </c>
      <c r="B3874" t="s">
        <v>6</v>
      </c>
      <c r="C3874">
        <v>60</v>
      </c>
      <c r="D3874">
        <v>677.43</v>
      </c>
    </row>
    <row r="3875" spans="1:4" x14ac:dyDescent="0.25">
      <c r="A3875" t="s">
        <v>9</v>
      </c>
      <c r="B3875" t="s">
        <v>6</v>
      </c>
      <c r="C3875">
        <v>60</v>
      </c>
      <c r="D3875">
        <v>667.7</v>
      </c>
    </row>
    <row r="3876" spans="1:4" x14ac:dyDescent="0.25">
      <c r="A3876" t="s">
        <v>9</v>
      </c>
      <c r="B3876" t="s">
        <v>6</v>
      </c>
      <c r="C3876">
        <v>60</v>
      </c>
      <c r="D3876">
        <v>676.83699999999999</v>
      </c>
    </row>
    <row r="3877" spans="1:4" x14ac:dyDescent="0.25">
      <c r="A3877" t="s">
        <v>9</v>
      </c>
      <c r="B3877" t="s">
        <v>6</v>
      </c>
      <c r="C3877">
        <v>60</v>
      </c>
      <c r="D3877">
        <v>628.69000000000005</v>
      </c>
    </row>
    <row r="3878" spans="1:4" x14ac:dyDescent="0.25">
      <c r="A3878" t="s">
        <v>9</v>
      </c>
      <c r="B3878" t="s">
        <v>6</v>
      </c>
      <c r="C3878">
        <v>60</v>
      </c>
      <c r="D3878">
        <v>653.01300000000003</v>
      </c>
    </row>
    <row r="3879" spans="1:4" x14ac:dyDescent="0.25">
      <c r="A3879" t="s">
        <v>9</v>
      </c>
      <c r="B3879" t="s">
        <v>6</v>
      </c>
      <c r="C3879">
        <v>60</v>
      </c>
      <c r="D3879">
        <v>667.72699999999998</v>
      </c>
    </row>
    <row r="3880" spans="1:4" x14ac:dyDescent="0.25">
      <c r="A3880" t="s">
        <v>9</v>
      </c>
      <c r="B3880" t="s">
        <v>6</v>
      </c>
      <c r="C3880">
        <v>60</v>
      </c>
      <c r="D3880">
        <v>650.77200000000005</v>
      </c>
    </row>
    <row r="3881" spans="1:4" x14ac:dyDescent="0.25">
      <c r="A3881" t="s">
        <v>9</v>
      </c>
      <c r="B3881" t="s">
        <v>6</v>
      </c>
      <c r="C3881">
        <v>60</v>
      </c>
      <c r="D3881">
        <v>665.52700000000004</v>
      </c>
    </row>
    <row r="3882" spans="1:4" x14ac:dyDescent="0.25">
      <c r="A3882" t="s">
        <v>9</v>
      </c>
      <c r="B3882" t="s">
        <v>6</v>
      </c>
      <c r="C3882">
        <v>60</v>
      </c>
      <c r="D3882">
        <v>641.57399999999996</v>
      </c>
    </row>
    <row r="3883" spans="1:4" x14ac:dyDescent="0.25">
      <c r="A3883" t="s">
        <v>9</v>
      </c>
      <c r="B3883" t="s">
        <v>6</v>
      </c>
      <c r="C3883">
        <v>60</v>
      </c>
      <c r="D3883">
        <v>680.64700000000005</v>
      </c>
    </row>
    <row r="3884" spans="1:4" x14ac:dyDescent="0.25">
      <c r="A3884" t="s">
        <v>9</v>
      </c>
      <c r="B3884" t="s">
        <v>6</v>
      </c>
      <c r="C3884">
        <v>60</v>
      </c>
      <c r="D3884">
        <v>662.846</v>
      </c>
    </row>
    <row r="3885" spans="1:4" x14ac:dyDescent="0.25">
      <c r="A3885" t="s">
        <v>9</v>
      </c>
      <c r="B3885" t="s">
        <v>6</v>
      </c>
      <c r="C3885">
        <v>60</v>
      </c>
      <c r="D3885">
        <v>654.19299999999998</v>
      </c>
    </row>
    <row r="3886" spans="1:4" x14ac:dyDescent="0.25">
      <c r="A3886" t="s">
        <v>9</v>
      </c>
      <c r="B3886" t="s">
        <v>6</v>
      </c>
      <c r="C3886">
        <v>60</v>
      </c>
      <c r="D3886">
        <v>647.83199999999999</v>
      </c>
    </row>
    <row r="3887" spans="1:4" x14ac:dyDescent="0.25">
      <c r="A3887" t="s">
        <v>9</v>
      </c>
      <c r="B3887" t="s">
        <v>6</v>
      </c>
      <c r="C3887">
        <v>60</v>
      </c>
      <c r="D3887">
        <v>662.14800000000002</v>
      </c>
    </row>
    <row r="3888" spans="1:4" x14ac:dyDescent="0.25">
      <c r="A3888" t="s">
        <v>9</v>
      </c>
      <c r="B3888" t="s">
        <v>6</v>
      </c>
      <c r="C3888">
        <v>60</v>
      </c>
      <c r="D3888">
        <v>662.07299999999998</v>
      </c>
    </row>
    <row r="3889" spans="1:4" x14ac:dyDescent="0.25">
      <c r="A3889" t="s">
        <v>9</v>
      </c>
      <c r="B3889" t="s">
        <v>6</v>
      </c>
      <c r="C3889">
        <v>60</v>
      </c>
      <c r="D3889">
        <v>684.98900000000003</v>
      </c>
    </row>
    <row r="3890" spans="1:4" x14ac:dyDescent="0.25">
      <c r="A3890" t="s">
        <v>9</v>
      </c>
      <c r="B3890" t="s">
        <v>6</v>
      </c>
      <c r="C3890">
        <v>60</v>
      </c>
      <c r="D3890">
        <v>667.64200000000005</v>
      </c>
    </row>
    <row r="3891" spans="1:4" x14ac:dyDescent="0.25">
      <c r="A3891" t="s">
        <v>9</v>
      </c>
      <c r="B3891" t="s">
        <v>6</v>
      </c>
      <c r="C3891">
        <v>60</v>
      </c>
      <c r="D3891">
        <v>624.99099999999999</v>
      </c>
    </row>
    <row r="3892" spans="1:4" x14ac:dyDescent="0.25">
      <c r="A3892" t="s">
        <v>9</v>
      </c>
      <c r="B3892" t="s">
        <v>6</v>
      </c>
      <c r="C3892">
        <v>60</v>
      </c>
      <c r="D3892">
        <v>635.36300000000006</v>
      </c>
    </row>
    <row r="3893" spans="1:4" x14ac:dyDescent="0.25">
      <c r="A3893" t="s">
        <v>9</v>
      </c>
      <c r="B3893" t="s">
        <v>6</v>
      </c>
      <c r="C3893">
        <v>60</v>
      </c>
      <c r="D3893">
        <v>644.85299999999995</v>
      </c>
    </row>
    <row r="3894" spans="1:4" x14ac:dyDescent="0.25">
      <c r="A3894" t="s">
        <v>9</v>
      </c>
      <c r="B3894" t="s">
        <v>6</v>
      </c>
      <c r="C3894">
        <v>60</v>
      </c>
      <c r="D3894">
        <v>630.9</v>
      </c>
    </row>
    <row r="3895" spans="1:4" x14ac:dyDescent="0.25">
      <c r="A3895" t="s">
        <v>9</v>
      </c>
      <c r="B3895" t="s">
        <v>6</v>
      </c>
      <c r="C3895">
        <v>60</v>
      </c>
      <c r="D3895">
        <v>606.36400000000003</v>
      </c>
    </row>
    <row r="3896" spans="1:4" x14ac:dyDescent="0.25">
      <c r="A3896" t="s">
        <v>9</v>
      </c>
      <c r="B3896" t="s">
        <v>6</v>
      </c>
      <c r="C3896">
        <v>60</v>
      </c>
      <c r="D3896">
        <v>674.08</v>
      </c>
    </row>
    <row r="3897" spans="1:4" x14ac:dyDescent="0.25">
      <c r="A3897" t="s">
        <v>9</v>
      </c>
      <c r="B3897" t="s">
        <v>6</v>
      </c>
      <c r="C3897">
        <v>60</v>
      </c>
      <c r="D3897">
        <v>625.42499999999995</v>
      </c>
    </row>
    <row r="3898" spans="1:4" x14ac:dyDescent="0.25">
      <c r="A3898" t="s">
        <v>9</v>
      </c>
      <c r="B3898" t="s">
        <v>6</v>
      </c>
      <c r="C3898">
        <v>60</v>
      </c>
      <c r="D3898">
        <v>650.56200000000001</v>
      </c>
    </row>
    <row r="3899" spans="1:4" x14ac:dyDescent="0.25">
      <c r="A3899" t="s">
        <v>9</v>
      </c>
      <c r="B3899" t="s">
        <v>6</v>
      </c>
      <c r="C3899">
        <v>60</v>
      </c>
      <c r="D3899">
        <v>662.125</v>
      </c>
    </row>
    <row r="3900" spans="1:4" x14ac:dyDescent="0.25">
      <c r="A3900" t="s">
        <v>9</v>
      </c>
      <c r="B3900" t="s">
        <v>6</v>
      </c>
      <c r="C3900">
        <v>60</v>
      </c>
      <c r="D3900">
        <v>674.16200000000003</v>
      </c>
    </row>
    <row r="3901" spans="1:4" x14ac:dyDescent="0.25">
      <c r="A3901" t="s">
        <v>9</v>
      </c>
      <c r="B3901" t="s">
        <v>6</v>
      </c>
      <c r="C3901">
        <v>60</v>
      </c>
      <c r="D3901">
        <v>610.28899999999999</v>
      </c>
    </row>
    <row r="3902" spans="1:4" x14ac:dyDescent="0.25">
      <c r="A3902" t="s">
        <v>9</v>
      </c>
      <c r="B3902" t="s">
        <v>6</v>
      </c>
      <c r="C3902">
        <v>80</v>
      </c>
      <c r="D3902">
        <v>875.95899999999995</v>
      </c>
    </row>
    <row r="3903" spans="1:4" x14ac:dyDescent="0.25">
      <c r="A3903" t="s">
        <v>9</v>
      </c>
      <c r="B3903" t="s">
        <v>6</v>
      </c>
      <c r="C3903">
        <v>80</v>
      </c>
      <c r="D3903">
        <v>822.42899999999997</v>
      </c>
    </row>
    <row r="3904" spans="1:4" x14ac:dyDescent="0.25">
      <c r="A3904" t="s">
        <v>9</v>
      </c>
      <c r="B3904" t="s">
        <v>6</v>
      </c>
      <c r="C3904">
        <v>80</v>
      </c>
      <c r="D3904">
        <v>832.76800000000003</v>
      </c>
    </row>
    <row r="3905" spans="1:4" x14ac:dyDescent="0.25">
      <c r="A3905" t="s">
        <v>9</v>
      </c>
      <c r="B3905" t="s">
        <v>6</v>
      </c>
      <c r="C3905">
        <v>80</v>
      </c>
      <c r="D3905">
        <v>809.54899999999998</v>
      </c>
    </row>
    <row r="3906" spans="1:4" x14ac:dyDescent="0.25">
      <c r="A3906" t="s">
        <v>9</v>
      </c>
      <c r="B3906" t="s">
        <v>6</v>
      </c>
      <c r="C3906">
        <v>80</v>
      </c>
      <c r="D3906">
        <v>816.46699999999998</v>
      </c>
    </row>
    <row r="3907" spans="1:4" x14ac:dyDescent="0.25">
      <c r="A3907" t="s">
        <v>9</v>
      </c>
      <c r="B3907" t="s">
        <v>6</v>
      </c>
      <c r="C3907">
        <v>80</v>
      </c>
      <c r="D3907">
        <v>886.96199999999999</v>
      </c>
    </row>
    <row r="3908" spans="1:4" x14ac:dyDescent="0.25">
      <c r="A3908" t="s">
        <v>9</v>
      </c>
      <c r="B3908" t="s">
        <v>6</v>
      </c>
      <c r="C3908">
        <v>80</v>
      </c>
      <c r="D3908">
        <v>859.149</v>
      </c>
    </row>
    <row r="3909" spans="1:4" x14ac:dyDescent="0.25">
      <c r="A3909" t="s">
        <v>9</v>
      </c>
      <c r="B3909" t="s">
        <v>6</v>
      </c>
      <c r="C3909">
        <v>80</v>
      </c>
      <c r="D3909">
        <v>811.827</v>
      </c>
    </row>
    <row r="3910" spans="1:4" x14ac:dyDescent="0.25">
      <c r="A3910" t="s">
        <v>9</v>
      </c>
      <c r="B3910" t="s">
        <v>6</v>
      </c>
      <c r="C3910">
        <v>80</v>
      </c>
      <c r="D3910">
        <v>863.11900000000003</v>
      </c>
    </row>
    <row r="3911" spans="1:4" x14ac:dyDescent="0.25">
      <c r="A3911" t="s">
        <v>9</v>
      </c>
      <c r="B3911" t="s">
        <v>6</v>
      </c>
      <c r="C3911">
        <v>80</v>
      </c>
      <c r="D3911">
        <v>901.11800000000005</v>
      </c>
    </row>
    <row r="3912" spans="1:4" x14ac:dyDescent="0.25">
      <c r="A3912" t="s">
        <v>9</v>
      </c>
      <c r="B3912" t="s">
        <v>6</v>
      </c>
      <c r="C3912">
        <v>80</v>
      </c>
      <c r="D3912">
        <v>855.84199999999998</v>
      </c>
    </row>
    <row r="3913" spans="1:4" x14ac:dyDescent="0.25">
      <c r="A3913" t="s">
        <v>9</v>
      </c>
      <c r="B3913" t="s">
        <v>6</v>
      </c>
      <c r="C3913">
        <v>80</v>
      </c>
      <c r="D3913">
        <v>893.55700000000002</v>
      </c>
    </row>
    <row r="3914" spans="1:4" x14ac:dyDescent="0.25">
      <c r="A3914" t="s">
        <v>9</v>
      </c>
      <c r="B3914" t="s">
        <v>6</v>
      </c>
      <c r="C3914">
        <v>80</v>
      </c>
      <c r="D3914">
        <v>865</v>
      </c>
    </row>
    <row r="3915" spans="1:4" x14ac:dyDescent="0.25">
      <c r="A3915" t="s">
        <v>9</v>
      </c>
      <c r="B3915" t="s">
        <v>6</v>
      </c>
      <c r="C3915">
        <v>80</v>
      </c>
      <c r="D3915">
        <v>890.80700000000002</v>
      </c>
    </row>
    <row r="3916" spans="1:4" x14ac:dyDescent="0.25">
      <c r="A3916" t="s">
        <v>9</v>
      </c>
      <c r="B3916" t="s">
        <v>6</v>
      </c>
      <c r="C3916">
        <v>80</v>
      </c>
      <c r="D3916">
        <v>898.09100000000001</v>
      </c>
    </row>
    <row r="3917" spans="1:4" x14ac:dyDescent="0.25">
      <c r="A3917" t="s">
        <v>9</v>
      </c>
      <c r="B3917" t="s">
        <v>6</v>
      </c>
      <c r="C3917">
        <v>80</v>
      </c>
      <c r="D3917">
        <v>891.75900000000001</v>
      </c>
    </row>
    <row r="3918" spans="1:4" x14ac:dyDescent="0.25">
      <c r="A3918" t="s">
        <v>9</v>
      </c>
      <c r="B3918" t="s">
        <v>6</v>
      </c>
      <c r="C3918">
        <v>80</v>
      </c>
      <c r="D3918">
        <v>882.75199999999995</v>
      </c>
    </row>
    <row r="3919" spans="1:4" x14ac:dyDescent="0.25">
      <c r="A3919" t="s">
        <v>9</v>
      </c>
      <c r="B3919" t="s">
        <v>6</v>
      </c>
      <c r="C3919">
        <v>80</v>
      </c>
      <c r="D3919">
        <v>868.04200000000003</v>
      </c>
    </row>
    <row r="3920" spans="1:4" x14ac:dyDescent="0.25">
      <c r="A3920" t="s">
        <v>9</v>
      </c>
      <c r="B3920" t="s">
        <v>6</v>
      </c>
      <c r="C3920">
        <v>80</v>
      </c>
      <c r="D3920">
        <v>862.10299999999995</v>
      </c>
    </row>
    <row r="3921" spans="1:4" x14ac:dyDescent="0.25">
      <c r="A3921" t="s">
        <v>9</v>
      </c>
      <c r="B3921" t="s">
        <v>6</v>
      </c>
      <c r="C3921">
        <v>80</v>
      </c>
      <c r="D3921">
        <v>858.45799999999997</v>
      </c>
    </row>
    <row r="3922" spans="1:4" x14ac:dyDescent="0.25">
      <c r="A3922" t="s">
        <v>9</v>
      </c>
      <c r="B3922" t="s">
        <v>6</v>
      </c>
      <c r="C3922">
        <v>80</v>
      </c>
      <c r="D3922">
        <v>885.96100000000001</v>
      </c>
    </row>
    <row r="3923" spans="1:4" x14ac:dyDescent="0.25">
      <c r="A3923" t="s">
        <v>9</v>
      </c>
      <c r="B3923" t="s">
        <v>6</v>
      </c>
      <c r="C3923">
        <v>80</v>
      </c>
      <c r="D3923">
        <v>852.07100000000003</v>
      </c>
    </row>
    <row r="3924" spans="1:4" x14ac:dyDescent="0.25">
      <c r="A3924" t="s">
        <v>9</v>
      </c>
      <c r="B3924" t="s">
        <v>6</v>
      </c>
      <c r="C3924">
        <v>80</v>
      </c>
      <c r="D3924">
        <v>792.56600000000003</v>
      </c>
    </row>
    <row r="3925" spans="1:4" x14ac:dyDescent="0.25">
      <c r="A3925" t="s">
        <v>9</v>
      </c>
      <c r="B3925" t="s">
        <v>6</v>
      </c>
      <c r="C3925">
        <v>80</v>
      </c>
      <c r="D3925">
        <v>833.79300000000001</v>
      </c>
    </row>
    <row r="3926" spans="1:4" x14ac:dyDescent="0.25">
      <c r="A3926" t="s">
        <v>9</v>
      </c>
      <c r="B3926" t="s">
        <v>6</v>
      </c>
      <c r="C3926">
        <v>80</v>
      </c>
      <c r="D3926">
        <v>809.09</v>
      </c>
    </row>
    <row r="3927" spans="1:4" x14ac:dyDescent="0.25">
      <c r="A3927" t="s">
        <v>9</v>
      </c>
      <c r="B3927" t="s">
        <v>6</v>
      </c>
      <c r="C3927">
        <v>80</v>
      </c>
      <c r="D3927">
        <v>826.2</v>
      </c>
    </row>
    <row r="3928" spans="1:4" x14ac:dyDescent="0.25">
      <c r="A3928" t="s">
        <v>9</v>
      </c>
      <c r="B3928" t="s">
        <v>6</v>
      </c>
      <c r="C3928">
        <v>80</v>
      </c>
      <c r="D3928">
        <v>862.58</v>
      </c>
    </row>
    <row r="3929" spans="1:4" x14ac:dyDescent="0.25">
      <c r="A3929" t="s">
        <v>9</v>
      </c>
      <c r="B3929" t="s">
        <v>6</v>
      </c>
      <c r="C3929">
        <v>80</v>
      </c>
      <c r="D3929">
        <v>914.93499999999995</v>
      </c>
    </row>
    <row r="3930" spans="1:4" x14ac:dyDescent="0.25">
      <c r="A3930" t="s">
        <v>9</v>
      </c>
      <c r="B3930" t="s">
        <v>6</v>
      </c>
      <c r="C3930">
        <v>80</v>
      </c>
      <c r="D3930">
        <v>861.71900000000005</v>
      </c>
    </row>
    <row r="3931" spans="1:4" x14ac:dyDescent="0.25">
      <c r="A3931" t="s">
        <v>9</v>
      </c>
      <c r="B3931" t="s">
        <v>6</v>
      </c>
      <c r="C3931">
        <v>80</v>
      </c>
      <c r="D3931">
        <v>905.697</v>
      </c>
    </row>
    <row r="3932" spans="1:4" x14ac:dyDescent="0.25">
      <c r="A3932" t="s">
        <v>9</v>
      </c>
      <c r="B3932" t="s">
        <v>6</v>
      </c>
      <c r="C3932">
        <v>80</v>
      </c>
      <c r="D3932">
        <v>859.89599999999996</v>
      </c>
    </row>
    <row r="3933" spans="1:4" x14ac:dyDescent="0.25">
      <c r="A3933" t="s">
        <v>9</v>
      </c>
      <c r="B3933" t="s">
        <v>6</v>
      </c>
      <c r="C3933">
        <v>80</v>
      </c>
      <c r="D3933">
        <v>851.94799999999998</v>
      </c>
    </row>
    <row r="3934" spans="1:4" x14ac:dyDescent="0.25">
      <c r="A3934" t="s">
        <v>9</v>
      </c>
      <c r="B3934" t="s">
        <v>6</v>
      </c>
      <c r="C3934">
        <v>80</v>
      </c>
      <c r="D3934">
        <v>884.61500000000001</v>
      </c>
    </row>
    <row r="3935" spans="1:4" x14ac:dyDescent="0.25">
      <c r="A3935" t="s">
        <v>9</v>
      </c>
      <c r="B3935" t="s">
        <v>6</v>
      </c>
      <c r="C3935">
        <v>80</v>
      </c>
      <c r="D3935">
        <v>837.56100000000004</v>
      </c>
    </row>
    <row r="3936" spans="1:4" x14ac:dyDescent="0.25">
      <c r="A3936" t="s">
        <v>9</v>
      </c>
      <c r="B3936" t="s">
        <v>6</v>
      </c>
      <c r="C3936">
        <v>80</v>
      </c>
      <c r="D3936">
        <v>865.73800000000006</v>
      </c>
    </row>
    <row r="3937" spans="1:4" x14ac:dyDescent="0.25">
      <c r="A3937" t="s">
        <v>9</v>
      </c>
      <c r="B3937" t="s">
        <v>6</v>
      </c>
      <c r="C3937">
        <v>80</v>
      </c>
      <c r="D3937">
        <v>840.11199999999997</v>
      </c>
    </row>
    <row r="3938" spans="1:4" x14ac:dyDescent="0.25">
      <c r="A3938" t="s">
        <v>9</v>
      </c>
      <c r="B3938" t="s">
        <v>6</v>
      </c>
      <c r="C3938">
        <v>80</v>
      </c>
      <c r="D3938">
        <v>838.22500000000002</v>
      </c>
    </row>
    <row r="3939" spans="1:4" x14ac:dyDescent="0.25">
      <c r="A3939" t="s">
        <v>9</v>
      </c>
      <c r="B3939" t="s">
        <v>6</v>
      </c>
      <c r="C3939">
        <v>80</v>
      </c>
      <c r="D3939">
        <v>804.53700000000003</v>
      </c>
    </row>
    <row r="3940" spans="1:4" x14ac:dyDescent="0.25">
      <c r="A3940" t="s">
        <v>9</v>
      </c>
      <c r="B3940" t="s">
        <v>6</v>
      </c>
      <c r="C3940">
        <v>80</v>
      </c>
      <c r="D3940">
        <v>858.90099999999995</v>
      </c>
    </row>
    <row r="3941" spans="1:4" x14ac:dyDescent="0.25">
      <c r="A3941" t="s">
        <v>9</v>
      </c>
      <c r="B3941" t="s">
        <v>6</v>
      </c>
      <c r="C3941">
        <v>80</v>
      </c>
      <c r="D3941">
        <v>851.66099999999994</v>
      </c>
    </row>
    <row r="3942" spans="1:4" x14ac:dyDescent="0.25">
      <c r="A3942" t="s">
        <v>9</v>
      </c>
      <c r="B3942" t="s">
        <v>6</v>
      </c>
      <c r="C3942">
        <v>80</v>
      </c>
      <c r="D3942">
        <v>837.52800000000002</v>
      </c>
    </row>
    <row r="3943" spans="1:4" x14ac:dyDescent="0.25">
      <c r="A3943" t="s">
        <v>9</v>
      </c>
      <c r="B3943" t="s">
        <v>6</v>
      </c>
      <c r="C3943">
        <v>80</v>
      </c>
      <c r="D3943">
        <v>896.07299999999998</v>
      </c>
    </row>
    <row r="3944" spans="1:4" x14ac:dyDescent="0.25">
      <c r="A3944" t="s">
        <v>9</v>
      </c>
      <c r="B3944" t="s">
        <v>6</v>
      </c>
      <c r="C3944">
        <v>80</v>
      </c>
      <c r="D3944">
        <v>894.33</v>
      </c>
    </row>
    <row r="3945" spans="1:4" x14ac:dyDescent="0.25">
      <c r="A3945" t="s">
        <v>9</v>
      </c>
      <c r="B3945" t="s">
        <v>6</v>
      </c>
      <c r="C3945">
        <v>80</v>
      </c>
      <c r="D3945">
        <v>882.06899999999996</v>
      </c>
    </row>
    <row r="3946" spans="1:4" x14ac:dyDescent="0.25">
      <c r="A3946" t="s">
        <v>9</v>
      </c>
      <c r="B3946" t="s">
        <v>6</v>
      </c>
      <c r="C3946">
        <v>80</v>
      </c>
      <c r="D3946">
        <v>856.803</v>
      </c>
    </row>
    <row r="3947" spans="1:4" x14ac:dyDescent="0.25">
      <c r="A3947" t="s">
        <v>9</v>
      </c>
      <c r="B3947" t="s">
        <v>6</v>
      </c>
      <c r="C3947">
        <v>80</v>
      </c>
      <c r="D3947">
        <v>878.12400000000002</v>
      </c>
    </row>
    <row r="3948" spans="1:4" x14ac:dyDescent="0.25">
      <c r="A3948" t="s">
        <v>9</v>
      </c>
      <c r="B3948" t="s">
        <v>6</v>
      </c>
      <c r="C3948">
        <v>80</v>
      </c>
      <c r="D3948">
        <v>829.21799999999996</v>
      </c>
    </row>
    <row r="3949" spans="1:4" x14ac:dyDescent="0.25">
      <c r="A3949" t="s">
        <v>9</v>
      </c>
      <c r="B3949" t="s">
        <v>6</v>
      </c>
      <c r="C3949">
        <v>80</v>
      </c>
      <c r="D3949">
        <v>899.57600000000002</v>
      </c>
    </row>
    <row r="3950" spans="1:4" x14ac:dyDescent="0.25">
      <c r="A3950" t="s">
        <v>9</v>
      </c>
      <c r="B3950" t="s">
        <v>6</v>
      </c>
      <c r="C3950">
        <v>80</v>
      </c>
      <c r="D3950">
        <v>863.74699999999996</v>
      </c>
    </row>
    <row r="3951" spans="1:4" x14ac:dyDescent="0.25">
      <c r="A3951" t="s">
        <v>9</v>
      </c>
      <c r="B3951" t="s">
        <v>6</v>
      </c>
      <c r="C3951">
        <v>80</v>
      </c>
      <c r="D3951">
        <v>852.64700000000005</v>
      </c>
    </row>
    <row r="3952" spans="1:4" x14ac:dyDescent="0.25">
      <c r="A3952" t="s">
        <v>9</v>
      </c>
      <c r="B3952" t="s">
        <v>6</v>
      </c>
      <c r="C3952">
        <v>80</v>
      </c>
      <c r="D3952">
        <v>837.15300000000002</v>
      </c>
    </row>
    <row r="3953" spans="1:4" x14ac:dyDescent="0.25">
      <c r="A3953" t="s">
        <v>9</v>
      </c>
      <c r="B3953" t="s">
        <v>6</v>
      </c>
      <c r="C3953">
        <v>80</v>
      </c>
      <c r="D3953">
        <v>875.42499999999995</v>
      </c>
    </row>
    <row r="3954" spans="1:4" x14ac:dyDescent="0.25">
      <c r="A3954" t="s">
        <v>9</v>
      </c>
      <c r="B3954" t="s">
        <v>6</v>
      </c>
      <c r="C3954">
        <v>80</v>
      </c>
      <c r="D3954">
        <v>851.73699999999997</v>
      </c>
    </row>
    <row r="3955" spans="1:4" x14ac:dyDescent="0.25">
      <c r="A3955" t="s">
        <v>9</v>
      </c>
      <c r="B3955" t="s">
        <v>6</v>
      </c>
      <c r="C3955">
        <v>80</v>
      </c>
      <c r="D3955">
        <v>902.01499999999999</v>
      </c>
    </row>
    <row r="3956" spans="1:4" x14ac:dyDescent="0.25">
      <c r="A3956" t="s">
        <v>9</v>
      </c>
      <c r="B3956" t="s">
        <v>6</v>
      </c>
      <c r="C3956">
        <v>80</v>
      </c>
      <c r="D3956">
        <v>853.18</v>
      </c>
    </row>
    <row r="3957" spans="1:4" x14ac:dyDescent="0.25">
      <c r="A3957" t="s">
        <v>9</v>
      </c>
      <c r="B3957" t="s">
        <v>6</v>
      </c>
      <c r="C3957">
        <v>80</v>
      </c>
      <c r="D3957">
        <v>813.74800000000005</v>
      </c>
    </row>
    <row r="3958" spans="1:4" x14ac:dyDescent="0.25">
      <c r="A3958" t="s">
        <v>9</v>
      </c>
      <c r="B3958" t="s">
        <v>6</v>
      </c>
      <c r="C3958">
        <v>80</v>
      </c>
      <c r="D3958">
        <v>868.83799999999997</v>
      </c>
    </row>
    <row r="3959" spans="1:4" x14ac:dyDescent="0.25">
      <c r="A3959" t="s">
        <v>9</v>
      </c>
      <c r="B3959" t="s">
        <v>6</v>
      </c>
      <c r="C3959">
        <v>80</v>
      </c>
      <c r="D3959">
        <v>912.80399999999997</v>
      </c>
    </row>
    <row r="3960" spans="1:4" x14ac:dyDescent="0.25">
      <c r="A3960" t="s">
        <v>9</v>
      </c>
      <c r="B3960" t="s">
        <v>6</v>
      </c>
      <c r="C3960">
        <v>80</v>
      </c>
      <c r="D3960">
        <v>886.923</v>
      </c>
    </row>
    <row r="3961" spans="1:4" x14ac:dyDescent="0.25">
      <c r="A3961" t="s">
        <v>9</v>
      </c>
      <c r="B3961" t="s">
        <v>6</v>
      </c>
      <c r="C3961">
        <v>80</v>
      </c>
      <c r="D3961">
        <v>866.452</v>
      </c>
    </row>
    <row r="3962" spans="1:4" x14ac:dyDescent="0.25">
      <c r="A3962" t="s">
        <v>9</v>
      </c>
      <c r="B3962" t="s">
        <v>6</v>
      </c>
      <c r="C3962">
        <v>80</v>
      </c>
      <c r="D3962">
        <v>856.54499999999996</v>
      </c>
    </row>
    <row r="3963" spans="1:4" x14ac:dyDescent="0.25">
      <c r="A3963" t="s">
        <v>9</v>
      </c>
      <c r="B3963" t="s">
        <v>6</v>
      </c>
      <c r="C3963">
        <v>80</v>
      </c>
      <c r="D3963">
        <v>865.58799999999997</v>
      </c>
    </row>
    <row r="3964" spans="1:4" x14ac:dyDescent="0.25">
      <c r="A3964" t="s">
        <v>9</v>
      </c>
      <c r="B3964" t="s">
        <v>6</v>
      </c>
      <c r="C3964">
        <v>80</v>
      </c>
      <c r="D3964">
        <v>871.77599999999995</v>
      </c>
    </row>
    <row r="3965" spans="1:4" x14ac:dyDescent="0.25">
      <c r="A3965" t="s">
        <v>9</v>
      </c>
      <c r="B3965" t="s">
        <v>6</v>
      </c>
      <c r="C3965">
        <v>80</v>
      </c>
      <c r="D3965">
        <v>874.404</v>
      </c>
    </row>
    <row r="3966" spans="1:4" x14ac:dyDescent="0.25">
      <c r="A3966" t="s">
        <v>9</v>
      </c>
      <c r="B3966" t="s">
        <v>6</v>
      </c>
      <c r="C3966">
        <v>80</v>
      </c>
      <c r="D3966">
        <v>876.05200000000002</v>
      </c>
    </row>
    <row r="3967" spans="1:4" x14ac:dyDescent="0.25">
      <c r="A3967" t="s">
        <v>9</v>
      </c>
      <c r="B3967" t="s">
        <v>6</v>
      </c>
      <c r="C3967">
        <v>80</v>
      </c>
      <c r="D3967">
        <v>859.35</v>
      </c>
    </row>
    <row r="3968" spans="1:4" x14ac:dyDescent="0.25">
      <c r="A3968" t="s">
        <v>9</v>
      </c>
      <c r="B3968" t="s">
        <v>6</v>
      </c>
      <c r="C3968">
        <v>80</v>
      </c>
      <c r="D3968">
        <v>806.399</v>
      </c>
    </row>
    <row r="3969" spans="1:4" x14ac:dyDescent="0.25">
      <c r="A3969" t="s">
        <v>9</v>
      </c>
      <c r="B3969" t="s">
        <v>6</v>
      </c>
      <c r="C3969">
        <v>80</v>
      </c>
      <c r="D3969">
        <v>876.39300000000003</v>
      </c>
    </row>
    <row r="3970" spans="1:4" x14ac:dyDescent="0.25">
      <c r="A3970" t="s">
        <v>9</v>
      </c>
      <c r="B3970" t="s">
        <v>6</v>
      </c>
      <c r="C3970">
        <v>80</v>
      </c>
      <c r="D3970">
        <v>856.31399999999996</v>
      </c>
    </row>
    <row r="3971" spans="1:4" x14ac:dyDescent="0.25">
      <c r="A3971" t="s">
        <v>9</v>
      </c>
      <c r="B3971" t="s">
        <v>6</v>
      </c>
      <c r="C3971">
        <v>80</v>
      </c>
      <c r="D3971">
        <v>859.154</v>
      </c>
    </row>
    <row r="3972" spans="1:4" x14ac:dyDescent="0.25">
      <c r="A3972" t="s">
        <v>9</v>
      </c>
      <c r="B3972" t="s">
        <v>6</v>
      </c>
      <c r="C3972">
        <v>80</v>
      </c>
      <c r="D3972">
        <v>842.14499999999998</v>
      </c>
    </row>
    <row r="3973" spans="1:4" x14ac:dyDescent="0.25">
      <c r="A3973" t="s">
        <v>9</v>
      </c>
      <c r="B3973" t="s">
        <v>6</v>
      </c>
      <c r="C3973">
        <v>80</v>
      </c>
      <c r="D3973">
        <v>888.36500000000001</v>
      </c>
    </row>
    <row r="3974" spans="1:4" x14ac:dyDescent="0.25">
      <c r="A3974" t="s">
        <v>9</v>
      </c>
      <c r="B3974" t="s">
        <v>6</v>
      </c>
      <c r="C3974">
        <v>80</v>
      </c>
      <c r="D3974">
        <v>831.00199999999995</v>
      </c>
    </row>
    <row r="3975" spans="1:4" x14ac:dyDescent="0.25">
      <c r="A3975" t="s">
        <v>9</v>
      </c>
      <c r="B3975" t="s">
        <v>6</v>
      </c>
      <c r="C3975">
        <v>80</v>
      </c>
      <c r="D3975">
        <v>858.96600000000001</v>
      </c>
    </row>
    <row r="3976" spans="1:4" x14ac:dyDescent="0.25">
      <c r="A3976" t="s">
        <v>9</v>
      </c>
      <c r="B3976" t="s">
        <v>6</v>
      </c>
      <c r="C3976">
        <v>80</v>
      </c>
      <c r="D3976">
        <v>907.57</v>
      </c>
    </row>
    <row r="3977" spans="1:4" x14ac:dyDescent="0.25">
      <c r="A3977" t="s">
        <v>9</v>
      </c>
      <c r="B3977" t="s">
        <v>6</v>
      </c>
      <c r="C3977">
        <v>80</v>
      </c>
      <c r="D3977">
        <v>810.56500000000005</v>
      </c>
    </row>
    <row r="3978" spans="1:4" x14ac:dyDescent="0.25">
      <c r="A3978" t="s">
        <v>9</v>
      </c>
      <c r="B3978" t="s">
        <v>6</v>
      </c>
      <c r="C3978">
        <v>80</v>
      </c>
      <c r="D3978">
        <v>827.34299999999996</v>
      </c>
    </row>
    <row r="3979" spans="1:4" x14ac:dyDescent="0.25">
      <c r="A3979" t="s">
        <v>9</v>
      </c>
      <c r="B3979" t="s">
        <v>6</v>
      </c>
      <c r="C3979">
        <v>80</v>
      </c>
      <c r="D3979">
        <v>808.72500000000002</v>
      </c>
    </row>
    <row r="3980" spans="1:4" x14ac:dyDescent="0.25">
      <c r="A3980" t="s">
        <v>9</v>
      </c>
      <c r="B3980" t="s">
        <v>6</v>
      </c>
      <c r="C3980">
        <v>80</v>
      </c>
      <c r="D3980">
        <v>920.45299999999997</v>
      </c>
    </row>
    <row r="3981" spans="1:4" x14ac:dyDescent="0.25">
      <c r="A3981" t="s">
        <v>9</v>
      </c>
      <c r="B3981" t="s">
        <v>6</v>
      </c>
      <c r="C3981">
        <v>80</v>
      </c>
      <c r="D3981">
        <v>837.47</v>
      </c>
    </row>
    <row r="3982" spans="1:4" x14ac:dyDescent="0.25">
      <c r="A3982" t="s">
        <v>9</v>
      </c>
      <c r="B3982" t="s">
        <v>6</v>
      </c>
      <c r="C3982">
        <v>80</v>
      </c>
      <c r="D3982">
        <v>867.22400000000005</v>
      </c>
    </row>
    <row r="3983" spans="1:4" x14ac:dyDescent="0.25">
      <c r="A3983" t="s">
        <v>9</v>
      </c>
      <c r="B3983" t="s">
        <v>6</v>
      </c>
      <c r="C3983">
        <v>80</v>
      </c>
      <c r="D3983">
        <v>841.01499999999999</v>
      </c>
    </row>
    <row r="3984" spans="1:4" x14ac:dyDescent="0.25">
      <c r="A3984" t="s">
        <v>9</v>
      </c>
      <c r="B3984" t="s">
        <v>6</v>
      </c>
      <c r="C3984">
        <v>80</v>
      </c>
      <c r="D3984">
        <v>836.27599999999995</v>
      </c>
    </row>
    <row r="3985" spans="1:4" x14ac:dyDescent="0.25">
      <c r="A3985" t="s">
        <v>9</v>
      </c>
      <c r="B3985" t="s">
        <v>6</v>
      </c>
      <c r="C3985">
        <v>80</v>
      </c>
      <c r="D3985">
        <v>807.68499999999995</v>
      </c>
    </row>
    <row r="3986" spans="1:4" x14ac:dyDescent="0.25">
      <c r="A3986" t="s">
        <v>9</v>
      </c>
      <c r="B3986" t="s">
        <v>6</v>
      </c>
      <c r="C3986">
        <v>80</v>
      </c>
      <c r="D3986">
        <v>860.28700000000003</v>
      </c>
    </row>
    <row r="3987" spans="1:4" x14ac:dyDescent="0.25">
      <c r="A3987" t="s">
        <v>9</v>
      </c>
      <c r="B3987" t="s">
        <v>6</v>
      </c>
      <c r="C3987">
        <v>80</v>
      </c>
      <c r="D3987">
        <v>845.90200000000004</v>
      </c>
    </row>
    <row r="3988" spans="1:4" x14ac:dyDescent="0.25">
      <c r="A3988" t="s">
        <v>9</v>
      </c>
      <c r="B3988" t="s">
        <v>6</v>
      </c>
      <c r="C3988">
        <v>80</v>
      </c>
      <c r="D3988">
        <v>809.96100000000001</v>
      </c>
    </row>
    <row r="3989" spans="1:4" x14ac:dyDescent="0.25">
      <c r="A3989" t="s">
        <v>9</v>
      </c>
      <c r="B3989" t="s">
        <v>6</v>
      </c>
      <c r="C3989">
        <v>80</v>
      </c>
      <c r="D3989">
        <v>886.69100000000003</v>
      </c>
    </row>
    <row r="3990" spans="1:4" x14ac:dyDescent="0.25">
      <c r="A3990" t="s">
        <v>9</v>
      </c>
      <c r="B3990" t="s">
        <v>6</v>
      </c>
      <c r="C3990">
        <v>80</v>
      </c>
      <c r="D3990">
        <v>818.47400000000005</v>
      </c>
    </row>
    <row r="3991" spans="1:4" x14ac:dyDescent="0.25">
      <c r="A3991" t="s">
        <v>9</v>
      </c>
      <c r="B3991" t="s">
        <v>6</v>
      </c>
      <c r="C3991">
        <v>80</v>
      </c>
      <c r="D3991">
        <v>844.24099999999999</v>
      </c>
    </row>
    <row r="3992" spans="1:4" x14ac:dyDescent="0.25">
      <c r="A3992" t="s">
        <v>9</v>
      </c>
      <c r="B3992" t="s">
        <v>6</v>
      </c>
      <c r="C3992">
        <v>80</v>
      </c>
      <c r="D3992">
        <v>888.33399999999995</v>
      </c>
    </row>
    <row r="3993" spans="1:4" x14ac:dyDescent="0.25">
      <c r="A3993" t="s">
        <v>9</v>
      </c>
      <c r="B3993" t="s">
        <v>6</v>
      </c>
      <c r="C3993">
        <v>80</v>
      </c>
      <c r="D3993">
        <v>849.01900000000001</v>
      </c>
    </row>
    <row r="3994" spans="1:4" x14ac:dyDescent="0.25">
      <c r="A3994" t="s">
        <v>9</v>
      </c>
      <c r="B3994" t="s">
        <v>6</v>
      </c>
      <c r="C3994">
        <v>80</v>
      </c>
      <c r="D3994">
        <v>868.61800000000005</v>
      </c>
    </row>
    <row r="3995" spans="1:4" x14ac:dyDescent="0.25">
      <c r="A3995" t="s">
        <v>9</v>
      </c>
      <c r="B3995" t="s">
        <v>6</v>
      </c>
      <c r="C3995">
        <v>80</v>
      </c>
      <c r="D3995">
        <v>855.55</v>
      </c>
    </row>
    <row r="3996" spans="1:4" x14ac:dyDescent="0.25">
      <c r="A3996" t="s">
        <v>9</v>
      </c>
      <c r="B3996" t="s">
        <v>6</v>
      </c>
      <c r="C3996">
        <v>80</v>
      </c>
      <c r="D3996">
        <v>806.65200000000004</v>
      </c>
    </row>
    <row r="3997" spans="1:4" x14ac:dyDescent="0.25">
      <c r="A3997" t="s">
        <v>9</v>
      </c>
      <c r="B3997" t="s">
        <v>6</v>
      </c>
      <c r="C3997">
        <v>80</v>
      </c>
      <c r="D3997">
        <v>880.94799999999998</v>
      </c>
    </row>
    <row r="3998" spans="1:4" x14ac:dyDescent="0.25">
      <c r="A3998" t="s">
        <v>9</v>
      </c>
      <c r="B3998" t="s">
        <v>6</v>
      </c>
      <c r="C3998">
        <v>80</v>
      </c>
      <c r="D3998">
        <v>889.41099999999994</v>
      </c>
    </row>
    <row r="3999" spans="1:4" x14ac:dyDescent="0.25">
      <c r="A3999" t="s">
        <v>9</v>
      </c>
      <c r="B3999" t="s">
        <v>6</v>
      </c>
      <c r="C3999">
        <v>80</v>
      </c>
      <c r="D3999">
        <v>873.23299999999995</v>
      </c>
    </row>
    <row r="4000" spans="1:4" x14ac:dyDescent="0.25">
      <c r="A4000" t="s">
        <v>9</v>
      </c>
      <c r="B4000" t="s">
        <v>6</v>
      </c>
      <c r="C4000">
        <v>80</v>
      </c>
      <c r="D4000">
        <v>892.35699999999997</v>
      </c>
    </row>
    <row r="4001" spans="1:4" x14ac:dyDescent="0.25">
      <c r="A4001" t="s">
        <v>9</v>
      </c>
      <c r="B4001" t="s">
        <v>6</v>
      </c>
      <c r="C4001">
        <v>80</v>
      </c>
      <c r="D4001">
        <v>831.10199999999998</v>
      </c>
    </row>
    <row r="4002" spans="1:4" x14ac:dyDescent="0.25">
      <c r="A4002" t="s">
        <v>9</v>
      </c>
      <c r="B4002" t="s">
        <v>6</v>
      </c>
      <c r="C4002">
        <v>100</v>
      </c>
      <c r="D4002">
        <v>1032.71</v>
      </c>
    </row>
    <row r="4003" spans="1:4" x14ac:dyDescent="0.25">
      <c r="A4003" t="s">
        <v>9</v>
      </c>
      <c r="B4003" t="s">
        <v>6</v>
      </c>
      <c r="C4003">
        <v>100</v>
      </c>
      <c r="D4003">
        <v>1018.2380000000001</v>
      </c>
    </row>
    <row r="4004" spans="1:4" x14ac:dyDescent="0.25">
      <c r="A4004" t="s">
        <v>9</v>
      </c>
      <c r="B4004" t="s">
        <v>6</v>
      </c>
      <c r="C4004">
        <v>100</v>
      </c>
      <c r="D4004">
        <v>1087.02</v>
      </c>
    </row>
    <row r="4005" spans="1:4" x14ac:dyDescent="0.25">
      <c r="A4005" t="s">
        <v>9</v>
      </c>
      <c r="B4005" t="s">
        <v>6</v>
      </c>
      <c r="C4005">
        <v>100</v>
      </c>
      <c r="D4005">
        <v>1074.9069999999999</v>
      </c>
    </row>
    <row r="4006" spans="1:4" x14ac:dyDescent="0.25">
      <c r="A4006" t="s">
        <v>9</v>
      </c>
      <c r="B4006" t="s">
        <v>6</v>
      </c>
      <c r="C4006">
        <v>100</v>
      </c>
      <c r="D4006">
        <v>1065.348</v>
      </c>
    </row>
    <row r="4007" spans="1:4" x14ac:dyDescent="0.25">
      <c r="A4007" t="s">
        <v>9</v>
      </c>
      <c r="B4007" t="s">
        <v>6</v>
      </c>
      <c r="C4007">
        <v>100</v>
      </c>
      <c r="D4007">
        <v>1110.135</v>
      </c>
    </row>
    <row r="4008" spans="1:4" x14ac:dyDescent="0.25">
      <c r="A4008" t="s">
        <v>9</v>
      </c>
      <c r="B4008" t="s">
        <v>6</v>
      </c>
      <c r="C4008">
        <v>100</v>
      </c>
      <c r="D4008">
        <v>1030.018</v>
      </c>
    </row>
    <row r="4009" spans="1:4" x14ac:dyDescent="0.25">
      <c r="A4009" t="s">
        <v>9</v>
      </c>
      <c r="B4009" t="s">
        <v>6</v>
      </c>
      <c r="C4009">
        <v>100</v>
      </c>
      <c r="D4009">
        <v>981.37400000000002</v>
      </c>
    </row>
    <row r="4010" spans="1:4" x14ac:dyDescent="0.25">
      <c r="A4010" t="s">
        <v>9</v>
      </c>
      <c r="B4010" t="s">
        <v>6</v>
      </c>
      <c r="C4010">
        <v>100</v>
      </c>
      <c r="D4010">
        <v>1064.385</v>
      </c>
    </row>
    <row r="4011" spans="1:4" x14ac:dyDescent="0.25">
      <c r="A4011" t="s">
        <v>9</v>
      </c>
      <c r="B4011" t="s">
        <v>6</v>
      </c>
      <c r="C4011">
        <v>100</v>
      </c>
      <c r="D4011">
        <v>1055.7470000000001</v>
      </c>
    </row>
    <row r="4012" spans="1:4" x14ac:dyDescent="0.25">
      <c r="A4012" t="s">
        <v>9</v>
      </c>
      <c r="B4012" t="s">
        <v>6</v>
      </c>
      <c r="C4012">
        <v>100</v>
      </c>
      <c r="D4012">
        <v>1059.32</v>
      </c>
    </row>
    <row r="4013" spans="1:4" x14ac:dyDescent="0.25">
      <c r="A4013" t="s">
        <v>9</v>
      </c>
      <c r="B4013" t="s">
        <v>6</v>
      </c>
      <c r="C4013">
        <v>100</v>
      </c>
      <c r="D4013">
        <v>1094.7270000000001</v>
      </c>
    </row>
    <row r="4014" spans="1:4" x14ac:dyDescent="0.25">
      <c r="A4014" t="s">
        <v>9</v>
      </c>
      <c r="B4014" t="s">
        <v>6</v>
      </c>
      <c r="C4014">
        <v>100</v>
      </c>
      <c r="D4014">
        <v>1012.46</v>
      </c>
    </row>
    <row r="4015" spans="1:4" x14ac:dyDescent="0.25">
      <c r="A4015" t="s">
        <v>9</v>
      </c>
      <c r="B4015" t="s">
        <v>6</v>
      </c>
      <c r="C4015">
        <v>100</v>
      </c>
      <c r="D4015">
        <v>992.40599999999995</v>
      </c>
    </row>
    <row r="4016" spans="1:4" x14ac:dyDescent="0.25">
      <c r="A4016" t="s">
        <v>9</v>
      </c>
      <c r="B4016" t="s">
        <v>6</v>
      </c>
      <c r="C4016">
        <v>100</v>
      </c>
      <c r="D4016">
        <v>1038.3430000000001</v>
      </c>
    </row>
    <row r="4017" spans="1:4" x14ac:dyDescent="0.25">
      <c r="A4017" t="s">
        <v>9</v>
      </c>
      <c r="B4017" t="s">
        <v>6</v>
      </c>
      <c r="C4017">
        <v>100</v>
      </c>
      <c r="D4017">
        <v>1068.172</v>
      </c>
    </row>
    <row r="4018" spans="1:4" x14ac:dyDescent="0.25">
      <c r="A4018" t="s">
        <v>9</v>
      </c>
      <c r="B4018" t="s">
        <v>6</v>
      </c>
      <c r="C4018">
        <v>100</v>
      </c>
      <c r="D4018">
        <v>1110.2360000000001</v>
      </c>
    </row>
    <row r="4019" spans="1:4" x14ac:dyDescent="0.25">
      <c r="A4019" t="s">
        <v>9</v>
      </c>
      <c r="B4019" t="s">
        <v>6</v>
      </c>
      <c r="C4019">
        <v>100</v>
      </c>
      <c r="D4019">
        <v>1109.9939999999999</v>
      </c>
    </row>
    <row r="4020" spans="1:4" x14ac:dyDescent="0.25">
      <c r="A4020" t="s">
        <v>9</v>
      </c>
      <c r="B4020" t="s">
        <v>6</v>
      </c>
      <c r="C4020">
        <v>100</v>
      </c>
      <c r="D4020">
        <v>1093.902</v>
      </c>
    </row>
    <row r="4021" spans="1:4" x14ac:dyDescent="0.25">
      <c r="A4021" t="s">
        <v>9</v>
      </c>
      <c r="B4021" t="s">
        <v>6</v>
      </c>
      <c r="C4021">
        <v>100</v>
      </c>
      <c r="D4021">
        <v>1026.741</v>
      </c>
    </row>
    <row r="4022" spans="1:4" x14ac:dyDescent="0.25">
      <c r="A4022" t="s">
        <v>9</v>
      </c>
      <c r="B4022" t="s">
        <v>6</v>
      </c>
      <c r="C4022">
        <v>100</v>
      </c>
      <c r="D4022">
        <v>1077.499</v>
      </c>
    </row>
    <row r="4023" spans="1:4" x14ac:dyDescent="0.25">
      <c r="A4023" t="s">
        <v>9</v>
      </c>
      <c r="B4023" t="s">
        <v>6</v>
      </c>
      <c r="C4023">
        <v>100</v>
      </c>
      <c r="D4023">
        <v>1033.2260000000001</v>
      </c>
    </row>
    <row r="4024" spans="1:4" x14ac:dyDescent="0.25">
      <c r="A4024" t="s">
        <v>9</v>
      </c>
      <c r="B4024" t="s">
        <v>6</v>
      </c>
      <c r="C4024">
        <v>100</v>
      </c>
      <c r="D4024">
        <v>981.89400000000001</v>
      </c>
    </row>
    <row r="4025" spans="1:4" x14ac:dyDescent="0.25">
      <c r="A4025" t="s">
        <v>9</v>
      </c>
      <c r="B4025" t="s">
        <v>6</v>
      </c>
      <c r="C4025">
        <v>100</v>
      </c>
      <c r="D4025">
        <v>1093.087</v>
      </c>
    </row>
    <row r="4026" spans="1:4" x14ac:dyDescent="0.25">
      <c r="A4026" t="s">
        <v>9</v>
      </c>
      <c r="B4026" t="s">
        <v>6</v>
      </c>
      <c r="C4026">
        <v>100</v>
      </c>
      <c r="D4026">
        <v>1082.251</v>
      </c>
    </row>
    <row r="4027" spans="1:4" x14ac:dyDescent="0.25">
      <c r="A4027" t="s">
        <v>9</v>
      </c>
      <c r="B4027" t="s">
        <v>6</v>
      </c>
      <c r="C4027">
        <v>100</v>
      </c>
      <c r="D4027">
        <v>1071.107</v>
      </c>
    </row>
    <row r="4028" spans="1:4" x14ac:dyDescent="0.25">
      <c r="A4028" t="s">
        <v>9</v>
      </c>
      <c r="B4028" t="s">
        <v>6</v>
      </c>
      <c r="C4028">
        <v>100</v>
      </c>
      <c r="D4028">
        <v>1056.76</v>
      </c>
    </row>
    <row r="4029" spans="1:4" x14ac:dyDescent="0.25">
      <c r="A4029" t="s">
        <v>9</v>
      </c>
      <c r="B4029" t="s">
        <v>6</v>
      </c>
      <c r="C4029">
        <v>100</v>
      </c>
      <c r="D4029">
        <v>1056.4090000000001</v>
      </c>
    </row>
    <row r="4030" spans="1:4" x14ac:dyDescent="0.25">
      <c r="A4030" t="s">
        <v>9</v>
      </c>
      <c r="B4030" t="s">
        <v>6</v>
      </c>
      <c r="C4030">
        <v>100</v>
      </c>
      <c r="D4030">
        <v>1105.1120000000001</v>
      </c>
    </row>
    <row r="4031" spans="1:4" x14ac:dyDescent="0.25">
      <c r="A4031" t="s">
        <v>9</v>
      </c>
      <c r="B4031" t="s">
        <v>6</v>
      </c>
      <c r="C4031">
        <v>100</v>
      </c>
      <c r="D4031">
        <v>1064.576</v>
      </c>
    </row>
    <row r="4032" spans="1:4" x14ac:dyDescent="0.25">
      <c r="A4032" t="s">
        <v>9</v>
      </c>
      <c r="B4032" t="s">
        <v>6</v>
      </c>
      <c r="C4032">
        <v>100</v>
      </c>
      <c r="D4032">
        <v>1125.893</v>
      </c>
    </row>
    <row r="4033" spans="1:4" x14ac:dyDescent="0.25">
      <c r="A4033" t="s">
        <v>9</v>
      </c>
      <c r="B4033" t="s">
        <v>6</v>
      </c>
      <c r="C4033">
        <v>100</v>
      </c>
      <c r="D4033">
        <v>1010.329</v>
      </c>
    </row>
    <row r="4034" spans="1:4" x14ac:dyDescent="0.25">
      <c r="A4034" t="s">
        <v>9</v>
      </c>
      <c r="B4034" t="s">
        <v>6</v>
      </c>
      <c r="C4034">
        <v>100</v>
      </c>
      <c r="D4034">
        <v>1042.537</v>
      </c>
    </row>
    <row r="4035" spans="1:4" x14ac:dyDescent="0.25">
      <c r="A4035" t="s">
        <v>9</v>
      </c>
      <c r="B4035" t="s">
        <v>6</v>
      </c>
      <c r="C4035">
        <v>100</v>
      </c>
      <c r="D4035">
        <v>1102.3599999999999</v>
      </c>
    </row>
    <row r="4036" spans="1:4" x14ac:dyDescent="0.25">
      <c r="A4036" t="s">
        <v>9</v>
      </c>
      <c r="B4036" t="s">
        <v>6</v>
      </c>
      <c r="C4036">
        <v>100</v>
      </c>
      <c r="D4036">
        <v>1044.0229999999999</v>
      </c>
    </row>
    <row r="4037" spans="1:4" x14ac:dyDescent="0.25">
      <c r="A4037" t="s">
        <v>9</v>
      </c>
      <c r="B4037" t="s">
        <v>6</v>
      </c>
      <c r="C4037">
        <v>100</v>
      </c>
      <c r="D4037">
        <v>1065.818</v>
      </c>
    </row>
    <row r="4038" spans="1:4" x14ac:dyDescent="0.25">
      <c r="A4038" t="s">
        <v>9</v>
      </c>
      <c r="B4038" t="s">
        <v>6</v>
      </c>
      <c r="C4038">
        <v>100</v>
      </c>
      <c r="D4038">
        <v>1070.9390000000001</v>
      </c>
    </row>
    <row r="4039" spans="1:4" x14ac:dyDescent="0.25">
      <c r="A4039" t="s">
        <v>9</v>
      </c>
      <c r="B4039" t="s">
        <v>6</v>
      </c>
      <c r="C4039">
        <v>100</v>
      </c>
      <c r="D4039">
        <v>1054.4159999999999</v>
      </c>
    </row>
    <row r="4040" spans="1:4" x14ac:dyDescent="0.25">
      <c r="A4040" t="s">
        <v>9</v>
      </c>
      <c r="B4040" t="s">
        <v>6</v>
      </c>
      <c r="C4040">
        <v>100</v>
      </c>
      <c r="D4040">
        <v>981.91800000000001</v>
      </c>
    </row>
    <row r="4041" spans="1:4" x14ac:dyDescent="0.25">
      <c r="A4041" t="s">
        <v>9</v>
      </c>
      <c r="B4041" t="s">
        <v>6</v>
      </c>
      <c r="C4041">
        <v>100</v>
      </c>
      <c r="D4041">
        <v>1098.384</v>
      </c>
    </row>
    <row r="4042" spans="1:4" x14ac:dyDescent="0.25">
      <c r="A4042" t="s">
        <v>9</v>
      </c>
      <c r="B4042" t="s">
        <v>6</v>
      </c>
      <c r="C4042">
        <v>100</v>
      </c>
      <c r="D4042">
        <v>1091.1379999999999</v>
      </c>
    </row>
    <row r="4043" spans="1:4" x14ac:dyDescent="0.25">
      <c r="A4043" t="s">
        <v>9</v>
      </c>
      <c r="B4043" t="s">
        <v>6</v>
      </c>
      <c r="C4043">
        <v>100</v>
      </c>
      <c r="D4043">
        <v>1035.6869999999999</v>
      </c>
    </row>
    <row r="4044" spans="1:4" x14ac:dyDescent="0.25">
      <c r="A4044" t="s">
        <v>9</v>
      </c>
      <c r="B4044" t="s">
        <v>6</v>
      </c>
      <c r="C4044">
        <v>100</v>
      </c>
      <c r="D4044">
        <v>1021.827</v>
      </c>
    </row>
    <row r="4045" spans="1:4" x14ac:dyDescent="0.25">
      <c r="A4045" t="s">
        <v>9</v>
      </c>
      <c r="B4045" t="s">
        <v>6</v>
      </c>
      <c r="C4045">
        <v>100</v>
      </c>
      <c r="D4045">
        <v>1101.0229999999999</v>
      </c>
    </row>
    <row r="4046" spans="1:4" x14ac:dyDescent="0.25">
      <c r="A4046" t="s">
        <v>9</v>
      </c>
      <c r="B4046" t="s">
        <v>6</v>
      </c>
      <c r="C4046">
        <v>100</v>
      </c>
      <c r="D4046">
        <v>1048.499</v>
      </c>
    </row>
    <row r="4047" spans="1:4" x14ac:dyDescent="0.25">
      <c r="A4047" t="s">
        <v>9</v>
      </c>
      <c r="B4047" t="s">
        <v>6</v>
      </c>
      <c r="C4047">
        <v>100</v>
      </c>
      <c r="D4047">
        <v>1051.3710000000001</v>
      </c>
    </row>
    <row r="4048" spans="1:4" x14ac:dyDescent="0.25">
      <c r="A4048" t="s">
        <v>9</v>
      </c>
      <c r="B4048" t="s">
        <v>6</v>
      </c>
      <c r="C4048">
        <v>100</v>
      </c>
      <c r="D4048">
        <v>1106.203</v>
      </c>
    </row>
    <row r="4049" spans="1:4" x14ac:dyDescent="0.25">
      <c r="A4049" t="s">
        <v>9</v>
      </c>
      <c r="B4049" t="s">
        <v>6</v>
      </c>
      <c r="C4049">
        <v>100</v>
      </c>
      <c r="D4049">
        <v>1121.039</v>
      </c>
    </row>
    <row r="4050" spans="1:4" x14ac:dyDescent="0.25">
      <c r="A4050" t="s">
        <v>9</v>
      </c>
      <c r="B4050" t="s">
        <v>6</v>
      </c>
      <c r="C4050">
        <v>100</v>
      </c>
      <c r="D4050">
        <v>1059.2070000000001</v>
      </c>
    </row>
    <row r="4051" spans="1:4" x14ac:dyDescent="0.25">
      <c r="A4051" t="s">
        <v>9</v>
      </c>
      <c r="B4051" t="s">
        <v>6</v>
      </c>
      <c r="C4051">
        <v>100</v>
      </c>
      <c r="D4051">
        <v>1079.6769999999999</v>
      </c>
    </row>
    <row r="4052" spans="1:4" x14ac:dyDescent="0.25">
      <c r="A4052" t="s">
        <v>9</v>
      </c>
      <c r="B4052" t="s">
        <v>6</v>
      </c>
      <c r="C4052">
        <v>100</v>
      </c>
      <c r="D4052">
        <v>1022.476</v>
      </c>
    </row>
    <row r="4053" spans="1:4" x14ac:dyDescent="0.25">
      <c r="A4053" t="s">
        <v>9</v>
      </c>
      <c r="B4053" t="s">
        <v>6</v>
      </c>
      <c r="C4053">
        <v>100</v>
      </c>
      <c r="D4053">
        <v>1010.413</v>
      </c>
    </row>
    <row r="4054" spans="1:4" x14ac:dyDescent="0.25">
      <c r="A4054" t="s">
        <v>9</v>
      </c>
      <c r="B4054" t="s">
        <v>6</v>
      </c>
      <c r="C4054">
        <v>100</v>
      </c>
      <c r="D4054">
        <v>1040.6600000000001</v>
      </c>
    </row>
    <row r="4055" spans="1:4" x14ac:dyDescent="0.25">
      <c r="A4055" t="s">
        <v>9</v>
      </c>
      <c r="B4055" t="s">
        <v>6</v>
      </c>
      <c r="C4055">
        <v>100</v>
      </c>
      <c r="D4055">
        <v>1025.4760000000001</v>
      </c>
    </row>
    <row r="4056" spans="1:4" x14ac:dyDescent="0.25">
      <c r="A4056" t="s">
        <v>9</v>
      </c>
      <c r="B4056" t="s">
        <v>6</v>
      </c>
      <c r="C4056">
        <v>100</v>
      </c>
      <c r="D4056">
        <v>1087.9949999999999</v>
      </c>
    </row>
    <row r="4057" spans="1:4" x14ac:dyDescent="0.25">
      <c r="A4057" t="s">
        <v>9</v>
      </c>
      <c r="B4057" t="s">
        <v>6</v>
      </c>
      <c r="C4057">
        <v>100</v>
      </c>
      <c r="D4057">
        <v>1063.0519999999999</v>
      </c>
    </row>
    <row r="4058" spans="1:4" x14ac:dyDescent="0.25">
      <c r="A4058" t="s">
        <v>9</v>
      </c>
      <c r="B4058" t="s">
        <v>6</v>
      </c>
      <c r="C4058">
        <v>100</v>
      </c>
      <c r="D4058">
        <v>1111.098</v>
      </c>
    </row>
    <row r="4059" spans="1:4" x14ac:dyDescent="0.25">
      <c r="A4059" t="s">
        <v>9</v>
      </c>
      <c r="B4059" t="s">
        <v>6</v>
      </c>
      <c r="C4059">
        <v>100</v>
      </c>
      <c r="D4059">
        <v>1084.7190000000001</v>
      </c>
    </row>
    <row r="4060" spans="1:4" x14ac:dyDescent="0.25">
      <c r="A4060" t="s">
        <v>9</v>
      </c>
      <c r="B4060" t="s">
        <v>6</v>
      </c>
      <c r="C4060">
        <v>100</v>
      </c>
      <c r="D4060">
        <v>1039.675</v>
      </c>
    </row>
    <row r="4061" spans="1:4" x14ac:dyDescent="0.25">
      <c r="A4061" t="s">
        <v>9</v>
      </c>
      <c r="B4061" t="s">
        <v>6</v>
      </c>
      <c r="C4061">
        <v>100</v>
      </c>
      <c r="D4061">
        <v>1119.0909999999999</v>
      </c>
    </row>
    <row r="4062" spans="1:4" x14ac:dyDescent="0.25">
      <c r="A4062" t="s">
        <v>9</v>
      </c>
      <c r="B4062" t="s">
        <v>6</v>
      </c>
      <c r="C4062">
        <v>100</v>
      </c>
      <c r="D4062">
        <v>1075.925</v>
      </c>
    </row>
    <row r="4063" spans="1:4" x14ac:dyDescent="0.25">
      <c r="A4063" t="s">
        <v>9</v>
      </c>
      <c r="B4063" t="s">
        <v>6</v>
      </c>
      <c r="C4063">
        <v>100</v>
      </c>
      <c r="D4063">
        <v>1060.2560000000001</v>
      </c>
    </row>
    <row r="4064" spans="1:4" x14ac:dyDescent="0.25">
      <c r="A4064" t="s">
        <v>9</v>
      </c>
      <c r="B4064" t="s">
        <v>6</v>
      </c>
      <c r="C4064">
        <v>100</v>
      </c>
      <c r="D4064">
        <v>996.23699999999997</v>
      </c>
    </row>
    <row r="4065" spans="1:4" x14ac:dyDescent="0.25">
      <c r="A4065" t="s">
        <v>9</v>
      </c>
      <c r="B4065" t="s">
        <v>6</v>
      </c>
      <c r="C4065">
        <v>100</v>
      </c>
      <c r="D4065">
        <v>1047.5170000000001</v>
      </c>
    </row>
    <row r="4066" spans="1:4" x14ac:dyDescent="0.25">
      <c r="A4066" t="s">
        <v>9</v>
      </c>
      <c r="B4066" t="s">
        <v>6</v>
      </c>
      <c r="C4066">
        <v>100</v>
      </c>
      <c r="D4066">
        <v>1087.31</v>
      </c>
    </row>
    <row r="4067" spans="1:4" x14ac:dyDescent="0.25">
      <c r="A4067" t="s">
        <v>9</v>
      </c>
      <c r="B4067" t="s">
        <v>6</v>
      </c>
      <c r="C4067">
        <v>100</v>
      </c>
      <c r="D4067">
        <v>1054.4690000000001</v>
      </c>
    </row>
    <row r="4068" spans="1:4" x14ac:dyDescent="0.25">
      <c r="A4068" t="s">
        <v>9</v>
      </c>
      <c r="B4068" t="s">
        <v>6</v>
      </c>
      <c r="C4068">
        <v>100</v>
      </c>
      <c r="D4068">
        <v>1036.5409999999999</v>
      </c>
    </row>
    <row r="4069" spans="1:4" x14ac:dyDescent="0.25">
      <c r="A4069" t="s">
        <v>9</v>
      </c>
      <c r="B4069" t="s">
        <v>6</v>
      </c>
      <c r="C4069">
        <v>100</v>
      </c>
      <c r="D4069">
        <v>1064.355</v>
      </c>
    </row>
    <row r="4070" spans="1:4" x14ac:dyDescent="0.25">
      <c r="A4070" t="s">
        <v>9</v>
      </c>
      <c r="B4070" t="s">
        <v>6</v>
      </c>
      <c r="C4070">
        <v>100</v>
      </c>
      <c r="D4070">
        <v>1005.522</v>
      </c>
    </row>
    <row r="4071" spans="1:4" x14ac:dyDescent="0.25">
      <c r="A4071" t="s">
        <v>9</v>
      </c>
      <c r="B4071" t="s">
        <v>6</v>
      </c>
      <c r="C4071">
        <v>100</v>
      </c>
      <c r="D4071">
        <v>1015.438</v>
      </c>
    </row>
    <row r="4072" spans="1:4" x14ac:dyDescent="0.25">
      <c r="A4072" t="s">
        <v>9</v>
      </c>
      <c r="B4072" t="s">
        <v>6</v>
      </c>
      <c r="C4072">
        <v>100</v>
      </c>
      <c r="D4072">
        <v>1106.3209999999999</v>
      </c>
    </row>
    <row r="4073" spans="1:4" x14ac:dyDescent="0.25">
      <c r="A4073" t="s">
        <v>9</v>
      </c>
      <c r="B4073" t="s">
        <v>6</v>
      </c>
      <c r="C4073">
        <v>100</v>
      </c>
      <c r="D4073">
        <v>1042.3779999999999</v>
      </c>
    </row>
    <row r="4074" spans="1:4" x14ac:dyDescent="0.25">
      <c r="A4074" t="s">
        <v>9</v>
      </c>
      <c r="B4074" t="s">
        <v>6</v>
      </c>
      <c r="C4074">
        <v>100</v>
      </c>
      <c r="D4074">
        <v>1039.51</v>
      </c>
    </row>
    <row r="4075" spans="1:4" x14ac:dyDescent="0.25">
      <c r="A4075" t="s">
        <v>9</v>
      </c>
      <c r="B4075" t="s">
        <v>6</v>
      </c>
      <c r="C4075">
        <v>100</v>
      </c>
      <c r="D4075">
        <v>1073.5640000000001</v>
      </c>
    </row>
    <row r="4076" spans="1:4" x14ac:dyDescent="0.25">
      <c r="A4076" t="s">
        <v>9</v>
      </c>
      <c r="B4076" t="s">
        <v>6</v>
      </c>
      <c r="C4076">
        <v>100</v>
      </c>
      <c r="D4076">
        <v>1038.5519999999999</v>
      </c>
    </row>
    <row r="4077" spans="1:4" x14ac:dyDescent="0.25">
      <c r="A4077" t="s">
        <v>9</v>
      </c>
      <c r="B4077" t="s">
        <v>6</v>
      </c>
      <c r="C4077">
        <v>100</v>
      </c>
      <c r="D4077">
        <v>1076.634</v>
      </c>
    </row>
    <row r="4078" spans="1:4" x14ac:dyDescent="0.25">
      <c r="A4078" t="s">
        <v>9</v>
      </c>
      <c r="B4078" t="s">
        <v>6</v>
      </c>
      <c r="C4078">
        <v>100</v>
      </c>
      <c r="D4078">
        <v>1050.289</v>
      </c>
    </row>
    <row r="4079" spans="1:4" x14ac:dyDescent="0.25">
      <c r="A4079" t="s">
        <v>9</v>
      </c>
      <c r="B4079" t="s">
        <v>6</v>
      </c>
      <c r="C4079">
        <v>100</v>
      </c>
      <c r="D4079">
        <v>1071.5889999999999</v>
      </c>
    </row>
    <row r="4080" spans="1:4" x14ac:dyDescent="0.25">
      <c r="A4080" t="s">
        <v>9</v>
      </c>
      <c r="B4080" t="s">
        <v>6</v>
      </c>
      <c r="C4080">
        <v>100</v>
      </c>
      <c r="D4080">
        <v>1107.19</v>
      </c>
    </row>
    <row r="4081" spans="1:4" x14ac:dyDescent="0.25">
      <c r="A4081" t="s">
        <v>9</v>
      </c>
      <c r="B4081" t="s">
        <v>6</v>
      </c>
      <c r="C4081">
        <v>100</v>
      </c>
      <c r="D4081">
        <v>1110.21</v>
      </c>
    </row>
    <row r="4082" spans="1:4" x14ac:dyDescent="0.25">
      <c r="A4082" t="s">
        <v>9</v>
      </c>
      <c r="B4082" t="s">
        <v>6</v>
      </c>
      <c r="C4082">
        <v>100</v>
      </c>
      <c r="D4082">
        <v>1082.808</v>
      </c>
    </row>
    <row r="4083" spans="1:4" x14ac:dyDescent="0.25">
      <c r="A4083" t="s">
        <v>9</v>
      </c>
      <c r="B4083" t="s">
        <v>6</v>
      </c>
      <c r="C4083">
        <v>100</v>
      </c>
      <c r="D4083">
        <v>999.83100000000002</v>
      </c>
    </row>
    <row r="4084" spans="1:4" x14ac:dyDescent="0.25">
      <c r="A4084" t="s">
        <v>9</v>
      </c>
      <c r="B4084" t="s">
        <v>6</v>
      </c>
      <c r="C4084">
        <v>100</v>
      </c>
      <c r="D4084">
        <v>1022.212</v>
      </c>
    </row>
    <row r="4085" spans="1:4" x14ac:dyDescent="0.25">
      <c r="A4085" t="s">
        <v>9</v>
      </c>
      <c r="B4085" t="s">
        <v>6</v>
      </c>
      <c r="C4085">
        <v>100</v>
      </c>
      <c r="D4085">
        <v>999.7</v>
      </c>
    </row>
    <row r="4086" spans="1:4" x14ac:dyDescent="0.25">
      <c r="A4086" t="s">
        <v>9</v>
      </c>
      <c r="B4086" t="s">
        <v>6</v>
      </c>
      <c r="C4086">
        <v>100</v>
      </c>
      <c r="D4086">
        <v>1053.8240000000001</v>
      </c>
    </row>
    <row r="4087" spans="1:4" x14ac:dyDescent="0.25">
      <c r="A4087" t="s">
        <v>9</v>
      </c>
      <c r="B4087" t="s">
        <v>6</v>
      </c>
      <c r="C4087">
        <v>100</v>
      </c>
      <c r="D4087">
        <v>995.73800000000006</v>
      </c>
    </row>
    <row r="4088" spans="1:4" x14ac:dyDescent="0.25">
      <c r="A4088" t="s">
        <v>9</v>
      </c>
      <c r="B4088" t="s">
        <v>6</v>
      </c>
      <c r="C4088">
        <v>100</v>
      </c>
      <c r="D4088">
        <v>1040.193</v>
      </c>
    </row>
    <row r="4089" spans="1:4" x14ac:dyDescent="0.25">
      <c r="A4089" t="s">
        <v>9</v>
      </c>
      <c r="B4089" t="s">
        <v>6</v>
      </c>
      <c r="C4089">
        <v>100</v>
      </c>
      <c r="D4089">
        <v>1030.9849999999999</v>
      </c>
    </row>
    <row r="4090" spans="1:4" x14ac:dyDescent="0.25">
      <c r="A4090" t="s">
        <v>9</v>
      </c>
      <c r="B4090" t="s">
        <v>6</v>
      </c>
      <c r="C4090">
        <v>100</v>
      </c>
      <c r="D4090">
        <v>1046.115</v>
      </c>
    </row>
    <row r="4091" spans="1:4" x14ac:dyDescent="0.25">
      <c r="A4091" t="s">
        <v>9</v>
      </c>
      <c r="B4091" t="s">
        <v>6</v>
      </c>
      <c r="C4091">
        <v>100</v>
      </c>
      <c r="D4091">
        <v>1162.944</v>
      </c>
    </row>
    <row r="4092" spans="1:4" x14ac:dyDescent="0.25">
      <c r="A4092" t="s">
        <v>9</v>
      </c>
      <c r="B4092" t="s">
        <v>6</v>
      </c>
      <c r="C4092">
        <v>100</v>
      </c>
      <c r="D4092">
        <v>1073.903</v>
      </c>
    </row>
    <row r="4093" spans="1:4" x14ac:dyDescent="0.25">
      <c r="A4093" t="s">
        <v>9</v>
      </c>
      <c r="B4093" t="s">
        <v>6</v>
      </c>
      <c r="C4093">
        <v>100</v>
      </c>
      <c r="D4093">
        <v>1046.222</v>
      </c>
    </row>
    <row r="4094" spans="1:4" x14ac:dyDescent="0.25">
      <c r="A4094" t="s">
        <v>9</v>
      </c>
      <c r="B4094" t="s">
        <v>6</v>
      </c>
      <c r="C4094">
        <v>100</v>
      </c>
      <c r="D4094">
        <v>1067.1379999999999</v>
      </c>
    </row>
    <row r="4095" spans="1:4" x14ac:dyDescent="0.25">
      <c r="A4095" t="s">
        <v>9</v>
      </c>
      <c r="B4095" t="s">
        <v>6</v>
      </c>
      <c r="C4095">
        <v>100</v>
      </c>
      <c r="D4095">
        <v>1105.18</v>
      </c>
    </row>
    <row r="4096" spans="1:4" x14ac:dyDescent="0.25">
      <c r="A4096" t="s">
        <v>9</v>
      </c>
      <c r="B4096" t="s">
        <v>6</v>
      </c>
      <c r="C4096">
        <v>100</v>
      </c>
      <c r="D4096">
        <v>1047.376</v>
      </c>
    </row>
    <row r="4097" spans="1:4" x14ac:dyDescent="0.25">
      <c r="A4097" t="s">
        <v>9</v>
      </c>
      <c r="B4097" t="s">
        <v>6</v>
      </c>
      <c r="C4097">
        <v>100</v>
      </c>
      <c r="D4097">
        <v>1019.954</v>
      </c>
    </row>
    <row r="4098" spans="1:4" x14ac:dyDescent="0.25">
      <c r="A4098" t="s">
        <v>9</v>
      </c>
      <c r="B4098" t="s">
        <v>6</v>
      </c>
      <c r="C4098">
        <v>100</v>
      </c>
      <c r="D4098">
        <v>1036.8209999999999</v>
      </c>
    </row>
    <row r="4099" spans="1:4" x14ac:dyDescent="0.25">
      <c r="A4099" t="s">
        <v>9</v>
      </c>
      <c r="B4099" t="s">
        <v>6</v>
      </c>
      <c r="C4099">
        <v>100</v>
      </c>
      <c r="D4099">
        <v>1044.78</v>
      </c>
    </row>
    <row r="4100" spans="1:4" x14ac:dyDescent="0.25">
      <c r="A4100" t="s">
        <v>9</v>
      </c>
      <c r="B4100" t="s">
        <v>6</v>
      </c>
      <c r="C4100">
        <v>100</v>
      </c>
      <c r="D4100">
        <v>1041.105</v>
      </c>
    </row>
    <row r="4101" spans="1:4" x14ac:dyDescent="0.25">
      <c r="A4101" t="s">
        <v>9</v>
      </c>
      <c r="B4101" t="s">
        <v>6</v>
      </c>
      <c r="C4101">
        <v>100</v>
      </c>
      <c r="D4101">
        <v>1061.4359999999999</v>
      </c>
    </row>
    <row r="4102" spans="1:4" x14ac:dyDescent="0.25">
      <c r="A4102" t="s">
        <v>9</v>
      </c>
      <c r="B4102" t="s">
        <v>6</v>
      </c>
      <c r="C4102">
        <v>120</v>
      </c>
      <c r="D4102">
        <v>1311.8130000000001</v>
      </c>
    </row>
    <row r="4103" spans="1:4" x14ac:dyDescent="0.25">
      <c r="A4103" t="s">
        <v>9</v>
      </c>
      <c r="B4103" t="s">
        <v>6</v>
      </c>
      <c r="C4103">
        <v>120</v>
      </c>
      <c r="D4103">
        <v>1209.723</v>
      </c>
    </row>
    <row r="4104" spans="1:4" x14ac:dyDescent="0.25">
      <c r="A4104" t="s">
        <v>9</v>
      </c>
      <c r="B4104" t="s">
        <v>6</v>
      </c>
      <c r="C4104">
        <v>120</v>
      </c>
      <c r="D4104">
        <v>1275.4960000000001</v>
      </c>
    </row>
    <row r="4105" spans="1:4" x14ac:dyDescent="0.25">
      <c r="A4105" t="s">
        <v>9</v>
      </c>
      <c r="B4105" t="s">
        <v>6</v>
      </c>
      <c r="C4105">
        <v>120</v>
      </c>
      <c r="D4105">
        <v>1303.0999999999999</v>
      </c>
    </row>
    <row r="4106" spans="1:4" x14ac:dyDescent="0.25">
      <c r="A4106" t="s">
        <v>9</v>
      </c>
      <c r="B4106" t="s">
        <v>6</v>
      </c>
      <c r="C4106">
        <v>120</v>
      </c>
      <c r="D4106">
        <v>1278.847</v>
      </c>
    </row>
    <row r="4107" spans="1:4" x14ac:dyDescent="0.25">
      <c r="A4107" t="s">
        <v>9</v>
      </c>
      <c r="B4107" t="s">
        <v>6</v>
      </c>
      <c r="C4107">
        <v>120</v>
      </c>
      <c r="D4107">
        <v>1193.1759999999999</v>
      </c>
    </row>
    <row r="4108" spans="1:4" x14ac:dyDescent="0.25">
      <c r="A4108" t="s">
        <v>9</v>
      </c>
      <c r="B4108" t="s">
        <v>6</v>
      </c>
      <c r="C4108">
        <v>120</v>
      </c>
      <c r="D4108">
        <v>1267.412</v>
      </c>
    </row>
    <row r="4109" spans="1:4" x14ac:dyDescent="0.25">
      <c r="A4109" t="s">
        <v>9</v>
      </c>
      <c r="B4109" t="s">
        <v>6</v>
      </c>
      <c r="C4109">
        <v>120</v>
      </c>
      <c r="D4109">
        <v>1220.3330000000001</v>
      </c>
    </row>
    <row r="4110" spans="1:4" x14ac:dyDescent="0.25">
      <c r="A4110" t="s">
        <v>9</v>
      </c>
      <c r="B4110" t="s">
        <v>6</v>
      </c>
      <c r="C4110">
        <v>120</v>
      </c>
      <c r="D4110">
        <v>1306.915</v>
      </c>
    </row>
    <row r="4111" spans="1:4" x14ac:dyDescent="0.25">
      <c r="A4111" t="s">
        <v>9</v>
      </c>
      <c r="B4111" t="s">
        <v>6</v>
      </c>
      <c r="C4111">
        <v>120</v>
      </c>
      <c r="D4111">
        <v>1285.9590000000001</v>
      </c>
    </row>
    <row r="4112" spans="1:4" x14ac:dyDescent="0.25">
      <c r="A4112" t="s">
        <v>9</v>
      </c>
      <c r="B4112" t="s">
        <v>6</v>
      </c>
      <c r="C4112">
        <v>120</v>
      </c>
      <c r="D4112">
        <v>1186.123</v>
      </c>
    </row>
    <row r="4113" spans="1:4" x14ac:dyDescent="0.25">
      <c r="A4113" t="s">
        <v>9</v>
      </c>
      <c r="B4113" t="s">
        <v>6</v>
      </c>
      <c r="C4113">
        <v>120</v>
      </c>
      <c r="D4113">
        <v>1300.1679999999999</v>
      </c>
    </row>
    <row r="4114" spans="1:4" x14ac:dyDescent="0.25">
      <c r="A4114" t="s">
        <v>9</v>
      </c>
      <c r="B4114" t="s">
        <v>6</v>
      </c>
      <c r="C4114">
        <v>120</v>
      </c>
      <c r="D4114">
        <v>1346.31</v>
      </c>
    </row>
    <row r="4115" spans="1:4" x14ac:dyDescent="0.25">
      <c r="A4115" t="s">
        <v>9</v>
      </c>
      <c r="B4115" t="s">
        <v>6</v>
      </c>
      <c r="C4115">
        <v>120</v>
      </c>
      <c r="D4115">
        <v>1255.3699999999999</v>
      </c>
    </row>
    <row r="4116" spans="1:4" x14ac:dyDescent="0.25">
      <c r="A4116" t="s">
        <v>9</v>
      </c>
      <c r="B4116" t="s">
        <v>6</v>
      </c>
      <c r="C4116">
        <v>120</v>
      </c>
      <c r="D4116">
        <v>1230.345</v>
      </c>
    </row>
    <row r="4117" spans="1:4" x14ac:dyDescent="0.25">
      <c r="A4117" t="s">
        <v>9</v>
      </c>
      <c r="B4117" t="s">
        <v>6</v>
      </c>
      <c r="C4117">
        <v>120</v>
      </c>
      <c r="D4117">
        <v>1364.365</v>
      </c>
    </row>
    <row r="4118" spans="1:4" x14ac:dyDescent="0.25">
      <c r="A4118" t="s">
        <v>9</v>
      </c>
      <c r="B4118" t="s">
        <v>6</v>
      </c>
      <c r="C4118">
        <v>120</v>
      </c>
      <c r="D4118">
        <v>1288.308</v>
      </c>
    </row>
    <row r="4119" spans="1:4" x14ac:dyDescent="0.25">
      <c r="A4119" t="s">
        <v>9</v>
      </c>
      <c r="B4119" t="s">
        <v>6</v>
      </c>
      <c r="C4119">
        <v>120</v>
      </c>
      <c r="D4119">
        <v>1306.934</v>
      </c>
    </row>
    <row r="4120" spans="1:4" x14ac:dyDescent="0.25">
      <c r="A4120" t="s">
        <v>9</v>
      </c>
      <c r="B4120" t="s">
        <v>6</v>
      </c>
      <c r="C4120">
        <v>120</v>
      </c>
      <c r="D4120">
        <v>1234.8340000000001</v>
      </c>
    </row>
    <row r="4121" spans="1:4" x14ac:dyDescent="0.25">
      <c r="A4121" t="s">
        <v>9</v>
      </c>
      <c r="B4121" t="s">
        <v>6</v>
      </c>
      <c r="C4121">
        <v>120</v>
      </c>
      <c r="D4121">
        <v>1178.366</v>
      </c>
    </row>
    <row r="4122" spans="1:4" x14ac:dyDescent="0.25">
      <c r="A4122" t="s">
        <v>9</v>
      </c>
      <c r="B4122" t="s">
        <v>6</v>
      </c>
      <c r="C4122">
        <v>120</v>
      </c>
      <c r="D4122">
        <v>1224.8019999999999</v>
      </c>
    </row>
    <row r="4123" spans="1:4" x14ac:dyDescent="0.25">
      <c r="A4123" t="s">
        <v>9</v>
      </c>
      <c r="B4123" t="s">
        <v>6</v>
      </c>
      <c r="C4123">
        <v>120</v>
      </c>
      <c r="D4123">
        <v>1307.1420000000001</v>
      </c>
    </row>
    <row r="4124" spans="1:4" x14ac:dyDescent="0.25">
      <c r="A4124" t="s">
        <v>9</v>
      </c>
      <c r="B4124" t="s">
        <v>6</v>
      </c>
      <c r="C4124">
        <v>120</v>
      </c>
      <c r="D4124">
        <v>1225.721</v>
      </c>
    </row>
    <row r="4125" spans="1:4" x14ac:dyDescent="0.25">
      <c r="A4125" t="s">
        <v>9</v>
      </c>
      <c r="B4125" t="s">
        <v>6</v>
      </c>
      <c r="C4125">
        <v>120</v>
      </c>
      <c r="D4125">
        <v>1251.146</v>
      </c>
    </row>
    <row r="4126" spans="1:4" x14ac:dyDescent="0.25">
      <c r="A4126" t="s">
        <v>9</v>
      </c>
      <c r="B4126" t="s">
        <v>6</v>
      </c>
      <c r="C4126">
        <v>120</v>
      </c>
      <c r="D4126">
        <v>1330.194</v>
      </c>
    </row>
    <row r="4127" spans="1:4" x14ac:dyDescent="0.25">
      <c r="A4127" t="s">
        <v>9</v>
      </c>
      <c r="B4127" t="s">
        <v>6</v>
      </c>
      <c r="C4127">
        <v>120</v>
      </c>
      <c r="D4127">
        <v>1307.4469999999999</v>
      </c>
    </row>
    <row r="4128" spans="1:4" x14ac:dyDescent="0.25">
      <c r="A4128" t="s">
        <v>9</v>
      </c>
      <c r="B4128" t="s">
        <v>6</v>
      </c>
      <c r="C4128">
        <v>120</v>
      </c>
      <c r="D4128">
        <v>1293.3489999999999</v>
      </c>
    </row>
    <row r="4129" spans="1:4" x14ac:dyDescent="0.25">
      <c r="A4129" t="s">
        <v>9</v>
      </c>
      <c r="B4129" t="s">
        <v>6</v>
      </c>
      <c r="C4129">
        <v>120</v>
      </c>
      <c r="D4129">
        <v>1242.145</v>
      </c>
    </row>
    <row r="4130" spans="1:4" x14ac:dyDescent="0.25">
      <c r="A4130" t="s">
        <v>9</v>
      </c>
      <c r="B4130" t="s">
        <v>6</v>
      </c>
      <c r="C4130">
        <v>120</v>
      </c>
      <c r="D4130">
        <v>1173.5409999999999</v>
      </c>
    </row>
    <row r="4131" spans="1:4" x14ac:dyDescent="0.25">
      <c r="A4131" t="s">
        <v>9</v>
      </c>
      <c r="B4131" t="s">
        <v>6</v>
      </c>
      <c r="C4131">
        <v>120</v>
      </c>
      <c r="D4131">
        <v>1161.1400000000001</v>
      </c>
    </row>
    <row r="4132" spans="1:4" x14ac:dyDescent="0.25">
      <c r="A4132" t="s">
        <v>9</v>
      </c>
      <c r="B4132" t="s">
        <v>6</v>
      </c>
      <c r="C4132">
        <v>120</v>
      </c>
      <c r="D4132">
        <v>1231.43</v>
      </c>
    </row>
    <row r="4133" spans="1:4" x14ac:dyDescent="0.25">
      <c r="A4133" t="s">
        <v>9</v>
      </c>
      <c r="B4133" t="s">
        <v>6</v>
      </c>
      <c r="C4133">
        <v>120</v>
      </c>
      <c r="D4133">
        <v>1293.3489999999999</v>
      </c>
    </row>
    <row r="4134" spans="1:4" x14ac:dyDescent="0.25">
      <c r="A4134" t="s">
        <v>9</v>
      </c>
      <c r="B4134" t="s">
        <v>6</v>
      </c>
      <c r="C4134">
        <v>120</v>
      </c>
      <c r="D4134">
        <v>1306.2809999999999</v>
      </c>
    </row>
    <row r="4135" spans="1:4" x14ac:dyDescent="0.25">
      <c r="A4135" t="s">
        <v>9</v>
      </c>
      <c r="B4135" t="s">
        <v>6</v>
      </c>
      <c r="C4135">
        <v>120</v>
      </c>
      <c r="D4135">
        <v>1208.0650000000001</v>
      </c>
    </row>
    <row r="4136" spans="1:4" x14ac:dyDescent="0.25">
      <c r="A4136" t="s">
        <v>9</v>
      </c>
      <c r="B4136" t="s">
        <v>6</v>
      </c>
      <c r="C4136">
        <v>120</v>
      </c>
      <c r="D4136">
        <v>1263.886</v>
      </c>
    </row>
    <row r="4137" spans="1:4" x14ac:dyDescent="0.25">
      <c r="A4137" t="s">
        <v>9</v>
      </c>
      <c r="B4137" t="s">
        <v>6</v>
      </c>
      <c r="C4137">
        <v>120</v>
      </c>
      <c r="D4137">
        <v>1308.9929999999999</v>
      </c>
    </row>
    <row r="4138" spans="1:4" x14ac:dyDescent="0.25">
      <c r="A4138" t="s">
        <v>9</v>
      </c>
      <c r="B4138" t="s">
        <v>6</v>
      </c>
      <c r="C4138">
        <v>120</v>
      </c>
      <c r="D4138">
        <v>1264.7329999999999</v>
      </c>
    </row>
    <row r="4139" spans="1:4" x14ac:dyDescent="0.25">
      <c r="A4139" t="s">
        <v>9</v>
      </c>
      <c r="B4139" t="s">
        <v>6</v>
      </c>
      <c r="C4139">
        <v>120</v>
      </c>
      <c r="D4139">
        <v>1279.56</v>
      </c>
    </row>
    <row r="4140" spans="1:4" x14ac:dyDescent="0.25">
      <c r="A4140" t="s">
        <v>9</v>
      </c>
      <c r="B4140" t="s">
        <v>6</v>
      </c>
      <c r="C4140">
        <v>120</v>
      </c>
      <c r="D4140">
        <v>1315.942</v>
      </c>
    </row>
    <row r="4141" spans="1:4" x14ac:dyDescent="0.25">
      <c r="A4141" t="s">
        <v>9</v>
      </c>
      <c r="B4141" t="s">
        <v>6</v>
      </c>
      <c r="C4141">
        <v>120</v>
      </c>
      <c r="D4141">
        <v>1280.7950000000001</v>
      </c>
    </row>
    <row r="4142" spans="1:4" x14ac:dyDescent="0.25">
      <c r="A4142" t="s">
        <v>9</v>
      </c>
      <c r="B4142" t="s">
        <v>6</v>
      </c>
      <c r="C4142">
        <v>120</v>
      </c>
      <c r="D4142">
        <v>1292.691</v>
      </c>
    </row>
    <row r="4143" spans="1:4" x14ac:dyDescent="0.25">
      <c r="A4143" t="s">
        <v>9</v>
      </c>
      <c r="B4143" t="s">
        <v>6</v>
      </c>
      <c r="C4143">
        <v>120</v>
      </c>
      <c r="D4143">
        <v>1171.1110000000001</v>
      </c>
    </row>
    <row r="4144" spans="1:4" x14ac:dyDescent="0.25">
      <c r="A4144" t="s">
        <v>9</v>
      </c>
      <c r="B4144" t="s">
        <v>6</v>
      </c>
      <c r="C4144">
        <v>120</v>
      </c>
      <c r="D4144">
        <v>1230.8720000000001</v>
      </c>
    </row>
    <row r="4145" spans="1:4" x14ac:dyDescent="0.25">
      <c r="A4145" t="s">
        <v>9</v>
      </c>
      <c r="B4145" t="s">
        <v>6</v>
      </c>
      <c r="C4145">
        <v>120</v>
      </c>
      <c r="D4145">
        <v>1235.501</v>
      </c>
    </row>
    <row r="4146" spans="1:4" x14ac:dyDescent="0.25">
      <c r="A4146" t="s">
        <v>9</v>
      </c>
      <c r="B4146" t="s">
        <v>6</v>
      </c>
      <c r="C4146">
        <v>120</v>
      </c>
      <c r="D4146">
        <v>1239.6669999999999</v>
      </c>
    </row>
    <row r="4147" spans="1:4" x14ac:dyDescent="0.25">
      <c r="A4147" t="s">
        <v>9</v>
      </c>
      <c r="B4147" t="s">
        <v>6</v>
      </c>
      <c r="C4147">
        <v>120</v>
      </c>
      <c r="D4147">
        <v>1305.075</v>
      </c>
    </row>
    <row r="4148" spans="1:4" x14ac:dyDescent="0.25">
      <c r="A4148" t="s">
        <v>9</v>
      </c>
      <c r="B4148" t="s">
        <v>6</v>
      </c>
      <c r="C4148">
        <v>120</v>
      </c>
      <c r="D4148">
        <v>1282.6510000000001</v>
      </c>
    </row>
    <row r="4149" spans="1:4" x14ac:dyDescent="0.25">
      <c r="A4149" t="s">
        <v>9</v>
      </c>
      <c r="B4149" t="s">
        <v>6</v>
      </c>
      <c r="C4149">
        <v>120</v>
      </c>
      <c r="D4149">
        <v>1256.068</v>
      </c>
    </row>
    <row r="4150" spans="1:4" x14ac:dyDescent="0.25">
      <c r="A4150" t="s">
        <v>9</v>
      </c>
      <c r="B4150" t="s">
        <v>6</v>
      </c>
      <c r="C4150">
        <v>120</v>
      </c>
      <c r="D4150">
        <v>1194.4459999999999</v>
      </c>
    </row>
    <row r="4151" spans="1:4" x14ac:dyDescent="0.25">
      <c r="A4151" t="s">
        <v>9</v>
      </c>
      <c r="B4151" t="s">
        <v>6</v>
      </c>
      <c r="C4151">
        <v>120</v>
      </c>
      <c r="D4151">
        <v>1255.23</v>
      </c>
    </row>
    <row r="4152" spans="1:4" x14ac:dyDescent="0.25">
      <c r="A4152" t="s">
        <v>9</v>
      </c>
      <c r="B4152" t="s">
        <v>6</v>
      </c>
      <c r="C4152">
        <v>120</v>
      </c>
      <c r="D4152">
        <v>1262.5160000000001</v>
      </c>
    </row>
    <row r="4153" spans="1:4" x14ac:dyDescent="0.25">
      <c r="A4153" t="s">
        <v>9</v>
      </c>
      <c r="B4153" t="s">
        <v>6</v>
      </c>
      <c r="C4153">
        <v>120</v>
      </c>
      <c r="D4153">
        <v>1305.0899999999999</v>
      </c>
    </row>
    <row r="4154" spans="1:4" x14ac:dyDescent="0.25">
      <c r="A4154" t="s">
        <v>9</v>
      </c>
      <c r="B4154" t="s">
        <v>6</v>
      </c>
      <c r="C4154">
        <v>120</v>
      </c>
      <c r="D4154">
        <v>1329.2860000000001</v>
      </c>
    </row>
    <row r="4155" spans="1:4" x14ac:dyDescent="0.25">
      <c r="A4155" t="s">
        <v>9</v>
      </c>
      <c r="B4155" t="s">
        <v>6</v>
      </c>
      <c r="C4155">
        <v>120</v>
      </c>
      <c r="D4155">
        <v>1323.845</v>
      </c>
    </row>
    <row r="4156" spans="1:4" x14ac:dyDescent="0.25">
      <c r="A4156" t="s">
        <v>9</v>
      </c>
      <c r="B4156" t="s">
        <v>6</v>
      </c>
      <c r="C4156">
        <v>120</v>
      </c>
      <c r="D4156">
        <v>1274.9580000000001</v>
      </c>
    </row>
    <row r="4157" spans="1:4" x14ac:dyDescent="0.25">
      <c r="A4157" t="s">
        <v>9</v>
      </c>
      <c r="B4157" t="s">
        <v>6</v>
      </c>
      <c r="C4157">
        <v>120</v>
      </c>
      <c r="D4157">
        <v>1213.356</v>
      </c>
    </row>
    <row r="4158" spans="1:4" x14ac:dyDescent="0.25">
      <c r="A4158" t="s">
        <v>9</v>
      </c>
      <c r="B4158" t="s">
        <v>6</v>
      </c>
      <c r="C4158">
        <v>120</v>
      </c>
      <c r="D4158">
        <v>1280.787</v>
      </c>
    </row>
    <row r="4159" spans="1:4" x14ac:dyDescent="0.25">
      <c r="A4159" t="s">
        <v>9</v>
      </c>
      <c r="B4159" t="s">
        <v>6</v>
      </c>
      <c r="C4159">
        <v>120</v>
      </c>
      <c r="D4159">
        <v>1247.8579999999999</v>
      </c>
    </row>
    <row r="4160" spans="1:4" x14ac:dyDescent="0.25">
      <c r="A4160" t="s">
        <v>9</v>
      </c>
      <c r="B4160" t="s">
        <v>6</v>
      </c>
      <c r="C4160">
        <v>120</v>
      </c>
      <c r="D4160">
        <v>1321.7840000000001</v>
      </c>
    </row>
    <row r="4161" spans="1:4" x14ac:dyDescent="0.25">
      <c r="A4161" t="s">
        <v>9</v>
      </c>
      <c r="B4161" t="s">
        <v>6</v>
      </c>
      <c r="C4161">
        <v>120</v>
      </c>
      <c r="D4161">
        <v>1281.009</v>
      </c>
    </row>
    <row r="4162" spans="1:4" x14ac:dyDescent="0.25">
      <c r="A4162" t="s">
        <v>9</v>
      </c>
      <c r="B4162" t="s">
        <v>6</v>
      </c>
      <c r="C4162">
        <v>120</v>
      </c>
      <c r="D4162">
        <v>1261.1010000000001</v>
      </c>
    </row>
    <row r="4163" spans="1:4" x14ac:dyDescent="0.25">
      <c r="A4163" t="s">
        <v>9</v>
      </c>
      <c r="B4163" t="s">
        <v>6</v>
      </c>
      <c r="C4163">
        <v>120</v>
      </c>
      <c r="D4163">
        <v>1300.5709999999999</v>
      </c>
    </row>
    <row r="4164" spans="1:4" x14ac:dyDescent="0.25">
      <c r="A4164" t="s">
        <v>9</v>
      </c>
      <c r="B4164" t="s">
        <v>6</v>
      </c>
      <c r="C4164">
        <v>120</v>
      </c>
      <c r="D4164">
        <v>1274.768</v>
      </c>
    </row>
    <row r="4165" spans="1:4" x14ac:dyDescent="0.25">
      <c r="A4165" t="s">
        <v>9</v>
      </c>
      <c r="B4165" t="s">
        <v>6</v>
      </c>
      <c r="C4165">
        <v>120</v>
      </c>
      <c r="D4165">
        <v>1210.2470000000001</v>
      </c>
    </row>
    <row r="4166" spans="1:4" x14ac:dyDescent="0.25">
      <c r="A4166" t="s">
        <v>9</v>
      </c>
      <c r="B4166" t="s">
        <v>6</v>
      </c>
      <c r="C4166">
        <v>120</v>
      </c>
      <c r="D4166">
        <v>1285.9760000000001</v>
      </c>
    </row>
    <row r="4167" spans="1:4" x14ac:dyDescent="0.25">
      <c r="A4167" t="s">
        <v>9</v>
      </c>
      <c r="B4167" t="s">
        <v>6</v>
      </c>
      <c r="C4167">
        <v>120</v>
      </c>
      <c r="D4167">
        <v>1272.165</v>
      </c>
    </row>
    <row r="4168" spans="1:4" x14ac:dyDescent="0.25">
      <c r="A4168" t="s">
        <v>9</v>
      </c>
      <c r="B4168" t="s">
        <v>6</v>
      </c>
      <c r="C4168">
        <v>120</v>
      </c>
      <c r="D4168">
        <v>1219.24</v>
      </c>
    </row>
    <row r="4169" spans="1:4" x14ac:dyDescent="0.25">
      <c r="A4169" t="s">
        <v>9</v>
      </c>
      <c r="B4169" t="s">
        <v>6</v>
      </c>
      <c r="C4169">
        <v>120</v>
      </c>
      <c r="D4169">
        <v>1242.643</v>
      </c>
    </row>
    <row r="4170" spans="1:4" x14ac:dyDescent="0.25">
      <c r="A4170" t="s">
        <v>9</v>
      </c>
      <c r="B4170" t="s">
        <v>6</v>
      </c>
      <c r="C4170">
        <v>120</v>
      </c>
      <c r="D4170">
        <v>1233.874</v>
      </c>
    </row>
    <row r="4171" spans="1:4" x14ac:dyDescent="0.25">
      <c r="A4171" t="s">
        <v>9</v>
      </c>
      <c r="B4171" t="s">
        <v>6</v>
      </c>
      <c r="C4171">
        <v>120</v>
      </c>
      <c r="D4171">
        <v>1298.9749999999999</v>
      </c>
    </row>
    <row r="4172" spans="1:4" x14ac:dyDescent="0.25">
      <c r="A4172" t="s">
        <v>9</v>
      </c>
      <c r="B4172" t="s">
        <v>6</v>
      </c>
      <c r="C4172">
        <v>120</v>
      </c>
      <c r="D4172">
        <v>1289.606</v>
      </c>
    </row>
    <row r="4173" spans="1:4" x14ac:dyDescent="0.25">
      <c r="A4173" t="s">
        <v>9</v>
      </c>
      <c r="B4173" t="s">
        <v>6</v>
      </c>
      <c r="C4173">
        <v>120</v>
      </c>
      <c r="D4173">
        <v>1246.8920000000001</v>
      </c>
    </row>
    <row r="4174" spans="1:4" x14ac:dyDescent="0.25">
      <c r="A4174" t="s">
        <v>9</v>
      </c>
      <c r="B4174" t="s">
        <v>6</v>
      </c>
      <c r="C4174">
        <v>120</v>
      </c>
      <c r="D4174">
        <v>1309.319</v>
      </c>
    </row>
    <row r="4175" spans="1:4" x14ac:dyDescent="0.25">
      <c r="A4175" t="s">
        <v>9</v>
      </c>
      <c r="B4175" t="s">
        <v>6</v>
      </c>
      <c r="C4175">
        <v>120</v>
      </c>
      <c r="D4175">
        <v>1230.9000000000001</v>
      </c>
    </row>
    <row r="4176" spans="1:4" x14ac:dyDescent="0.25">
      <c r="A4176" t="s">
        <v>9</v>
      </c>
      <c r="B4176" t="s">
        <v>6</v>
      </c>
      <c r="C4176">
        <v>120</v>
      </c>
      <c r="D4176">
        <v>1265.1569999999999</v>
      </c>
    </row>
    <row r="4177" spans="1:4" x14ac:dyDescent="0.25">
      <c r="A4177" t="s">
        <v>9</v>
      </c>
      <c r="B4177" t="s">
        <v>6</v>
      </c>
      <c r="C4177">
        <v>120</v>
      </c>
      <c r="D4177">
        <v>1212.9770000000001</v>
      </c>
    </row>
    <row r="4178" spans="1:4" x14ac:dyDescent="0.25">
      <c r="A4178" t="s">
        <v>9</v>
      </c>
      <c r="B4178" t="s">
        <v>6</v>
      </c>
      <c r="C4178">
        <v>120</v>
      </c>
      <c r="D4178">
        <v>1252.4780000000001</v>
      </c>
    </row>
    <row r="4179" spans="1:4" x14ac:dyDescent="0.25">
      <c r="A4179" t="s">
        <v>9</v>
      </c>
      <c r="B4179" t="s">
        <v>6</v>
      </c>
      <c r="C4179">
        <v>120</v>
      </c>
      <c r="D4179">
        <v>1170.355</v>
      </c>
    </row>
    <row r="4180" spans="1:4" x14ac:dyDescent="0.25">
      <c r="A4180" t="s">
        <v>9</v>
      </c>
      <c r="B4180" t="s">
        <v>6</v>
      </c>
      <c r="C4180">
        <v>120</v>
      </c>
      <c r="D4180">
        <v>1306.297</v>
      </c>
    </row>
    <row r="4181" spans="1:4" x14ac:dyDescent="0.25">
      <c r="A4181" t="s">
        <v>9</v>
      </c>
      <c r="B4181" t="s">
        <v>6</v>
      </c>
      <c r="C4181">
        <v>120</v>
      </c>
      <c r="D4181">
        <v>1245.3610000000001</v>
      </c>
    </row>
    <row r="4182" spans="1:4" x14ac:dyDescent="0.25">
      <c r="A4182" t="s">
        <v>9</v>
      </c>
      <c r="B4182" t="s">
        <v>6</v>
      </c>
      <c r="C4182">
        <v>120</v>
      </c>
      <c r="D4182">
        <v>1243.482</v>
      </c>
    </row>
    <row r="4183" spans="1:4" x14ac:dyDescent="0.25">
      <c r="A4183" t="s">
        <v>9</v>
      </c>
      <c r="B4183" t="s">
        <v>6</v>
      </c>
      <c r="C4183">
        <v>120</v>
      </c>
      <c r="D4183">
        <v>1189.527</v>
      </c>
    </row>
    <row r="4184" spans="1:4" x14ac:dyDescent="0.25">
      <c r="A4184" t="s">
        <v>9</v>
      </c>
      <c r="B4184" t="s">
        <v>6</v>
      </c>
      <c r="C4184">
        <v>120</v>
      </c>
      <c r="D4184">
        <v>1226.778</v>
      </c>
    </row>
    <row r="4185" spans="1:4" x14ac:dyDescent="0.25">
      <c r="A4185" t="s">
        <v>9</v>
      </c>
      <c r="B4185" t="s">
        <v>6</v>
      </c>
      <c r="C4185">
        <v>120</v>
      </c>
      <c r="D4185">
        <v>1307.002</v>
      </c>
    </row>
    <row r="4186" spans="1:4" x14ac:dyDescent="0.25">
      <c r="A4186" t="s">
        <v>9</v>
      </c>
      <c r="B4186" t="s">
        <v>6</v>
      </c>
      <c r="C4186">
        <v>120</v>
      </c>
      <c r="D4186">
        <v>1289.0619999999999</v>
      </c>
    </row>
    <row r="4187" spans="1:4" x14ac:dyDescent="0.25">
      <c r="A4187" t="s">
        <v>9</v>
      </c>
      <c r="B4187" t="s">
        <v>6</v>
      </c>
      <c r="C4187">
        <v>120</v>
      </c>
      <c r="D4187">
        <v>1289.2190000000001</v>
      </c>
    </row>
    <row r="4188" spans="1:4" x14ac:dyDescent="0.25">
      <c r="A4188" t="s">
        <v>9</v>
      </c>
      <c r="B4188" t="s">
        <v>6</v>
      </c>
      <c r="C4188">
        <v>120</v>
      </c>
      <c r="D4188">
        <v>1224.23</v>
      </c>
    </row>
    <row r="4189" spans="1:4" x14ac:dyDescent="0.25">
      <c r="A4189" t="s">
        <v>9</v>
      </c>
      <c r="B4189" t="s">
        <v>6</v>
      </c>
      <c r="C4189">
        <v>120</v>
      </c>
      <c r="D4189">
        <v>1250.7380000000001</v>
      </c>
    </row>
    <row r="4190" spans="1:4" x14ac:dyDescent="0.25">
      <c r="A4190" t="s">
        <v>9</v>
      </c>
      <c r="B4190" t="s">
        <v>6</v>
      </c>
      <c r="C4190">
        <v>120</v>
      </c>
      <c r="D4190">
        <v>1263.7829999999999</v>
      </c>
    </row>
    <row r="4191" spans="1:4" x14ac:dyDescent="0.25">
      <c r="A4191" t="s">
        <v>9</v>
      </c>
      <c r="B4191" t="s">
        <v>6</v>
      </c>
      <c r="C4191">
        <v>120</v>
      </c>
      <c r="D4191">
        <v>1198.4090000000001</v>
      </c>
    </row>
    <row r="4192" spans="1:4" x14ac:dyDescent="0.25">
      <c r="A4192" t="s">
        <v>9</v>
      </c>
      <c r="B4192" t="s">
        <v>6</v>
      </c>
      <c r="C4192">
        <v>120</v>
      </c>
      <c r="D4192">
        <v>1250.1790000000001</v>
      </c>
    </row>
    <row r="4193" spans="1:4" x14ac:dyDescent="0.25">
      <c r="A4193" t="s">
        <v>9</v>
      </c>
      <c r="B4193" t="s">
        <v>6</v>
      </c>
      <c r="C4193">
        <v>120</v>
      </c>
      <c r="D4193">
        <v>1226.203</v>
      </c>
    </row>
    <row r="4194" spans="1:4" x14ac:dyDescent="0.25">
      <c r="A4194" t="s">
        <v>9</v>
      </c>
      <c r="B4194" t="s">
        <v>6</v>
      </c>
      <c r="C4194">
        <v>120</v>
      </c>
      <c r="D4194">
        <v>1210.3900000000001</v>
      </c>
    </row>
    <row r="4195" spans="1:4" x14ac:dyDescent="0.25">
      <c r="A4195" t="s">
        <v>9</v>
      </c>
      <c r="B4195" t="s">
        <v>6</v>
      </c>
      <c r="C4195">
        <v>120</v>
      </c>
      <c r="D4195">
        <v>1342.579</v>
      </c>
    </row>
    <row r="4196" spans="1:4" x14ac:dyDescent="0.25">
      <c r="A4196" t="s">
        <v>9</v>
      </c>
      <c r="B4196" t="s">
        <v>6</v>
      </c>
      <c r="C4196">
        <v>120</v>
      </c>
      <c r="D4196">
        <v>1288.175</v>
      </c>
    </row>
    <row r="4197" spans="1:4" x14ac:dyDescent="0.25">
      <c r="A4197" t="s">
        <v>9</v>
      </c>
      <c r="B4197" t="s">
        <v>6</v>
      </c>
      <c r="C4197">
        <v>120</v>
      </c>
      <c r="D4197">
        <v>1233.8979999999999</v>
      </c>
    </row>
    <row r="4198" spans="1:4" x14ac:dyDescent="0.25">
      <c r="A4198" t="s">
        <v>9</v>
      </c>
      <c r="B4198" t="s">
        <v>6</v>
      </c>
      <c r="C4198">
        <v>120</v>
      </c>
      <c r="D4198">
        <v>1255.8409999999999</v>
      </c>
    </row>
    <row r="4199" spans="1:4" x14ac:dyDescent="0.25">
      <c r="A4199" t="s">
        <v>9</v>
      </c>
      <c r="B4199" t="s">
        <v>6</v>
      </c>
      <c r="C4199">
        <v>120</v>
      </c>
      <c r="D4199">
        <v>1295.318</v>
      </c>
    </row>
    <row r="4200" spans="1:4" x14ac:dyDescent="0.25">
      <c r="A4200" t="s">
        <v>9</v>
      </c>
      <c r="B4200" t="s">
        <v>6</v>
      </c>
      <c r="C4200">
        <v>120</v>
      </c>
      <c r="D4200">
        <v>1246.56</v>
      </c>
    </row>
    <row r="4201" spans="1:4" x14ac:dyDescent="0.25">
      <c r="A4201" t="s">
        <v>9</v>
      </c>
      <c r="B4201" t="s">
        <v>6</v>
      </c>
      <c r="C4201">
        <v>120</v>
      </c>
      <c r="D4201">
        <v>1204.2070000000001</v>
      </c>
    </row>
    <row r="4202" spans="1:4" x14ac:dyDescent="0.25">
      <c r="A4202" t="s">
        <v>9</v>
      </c>
      <c r="B4202" t="s">
        <v>5</v>
      </c>
      <c r="C4202">
        <v>20</v>
      </c>
      <c r="D4202">
        <v>44.222000000000001</v>
      </c>
    </row>
    <row r="4203" spans="1:4" x14ac:dyDescent="0.25">
      <c r="A4203" t="s">
        <v>9</v>
      </c>
      <c r="B4203" t="s">
        <v>5</v>
      </c>
      <c r="C4203">
        <v>20</v>
      </c>
      <c r="D4203">
        <v>43.003</v>
      </c>
    </row>
    <row r="4204" spans="1:4" x14ac:dyDescent="0.25">
      <c r="A4204" t="s">
        <v>9</v>
      </c>
      <c r="B4204" t="s">
        <v>5</v>
      </c>
      <c r="C4204">
        <v>20</v>
      </c>
      <c r="D4204">
        <v>48.295000000000002</v>
      </c>
    </row>
    <row r="4205" spans="1:4" x14ac:dyDescent="0.25">
      <c r="A4205" t="s">
        <v>9</v>
      </c>
      <c r="B4205" t="s">
        <v>5</v>
      </c>
      <c r="C4205">
        <v>20</v>
      </c>
      <c r="D4205">
        <v>43.003</v>
      </c>
    </row>
    <row r="4206" spans="1:4" x14ac:dyDescent="0.25">
      <c r="A4206" t="s">
        <v>9</v>
      </c>
      <c r="B4206" t="s">
        <v>5</v>
      </c>
      <c r="C4206">
        <v>20</v>
      </c>
      <c r="D4206">
        <v>45.295000000000002</v>
      </c>
    </row>
    <row r="4207" spans="1:4" x14ac:dyDescent="0.25">
      <c r="A4207" t="s">
        <v>9</v>
      </c>
      <c r="B4207" t="s">
        <v>5</v>
      </c>
      <c r="C4207">
        <v>20</v>
      </c>
      <c r="D4207">
        <v>42.003</v>
      </c>
    </row>
    <row r="4208" spans="1:4" x14ac:dyDescent="0.25">
      <c r="A4208" t="s">
        <v>9</v>
      </c>
      <c r="B4208" t="s">
        <v>5</v>
      </c>
      <c r="C4208">
        <v>20</v>
      </c>
      <c r="D4208">
        <v>45.003</v>
      </c>
    </row>
    <row r="4209" spans="1:4" x14ac:dyDescent="0.25">
      <c r="A4209" t="s">
        <v>9</v>
      </c>
      <c r="B4209" t="s">
        <v>5</v>
      </c>
      <c r="C4209">
        <v>20</v>
      </c>
      <c r="D4209">
        <v>45.003</v>
      </c>
    </row>
    <row r="4210" spans="1:4" x14ac:dyDescent="0.25">
      <c r="A4210" t="s">
        <v>9</v>
      </c>
      <c r="B4210" t="s">
        <v>5</v>
      </c>
      <c r="C4210">
        <v>20</v>
      </c>
      <c r="D4210">
        <v>46.295000000000002</v>
      </c>
    </row>
    <row r="4211" spans="1:4" x14ac:dyDescent="0.25">
      <c r="A4211" t="s">
        <v>9</v>
      </c>
      <c r="B4211" t="s">
        <v>5</v>
      </c>
      <c r="C4211">
        <v>20</v>
      </c>
      <c r="D4211">
        <v>44.076000000000001</v>
      </c>
    </row>
    <row r="4212" spans="1:4" x14ac:dyDescent="0.25">
      <c r="A4212" t="s">
        <v>9</v>
      </c>
      <c r="B4212" t="s">
        <v>5</v>
      </c>
      <c r="C4212">
        <v>20</v>
      </c>
      <c r="D4212">
        <v>43.93</v>
      </c>
    </row>
    <row r="4213" spans="1:4" x14ac:dyDescent="0.25">
      <c r="A4213" t="s">
        <v>9</v>
      </c>
      <c r="B4213" t="s">
        <v>5</v>
      </c>
      <c r="C4213">
        <v>20</v>
      </c>
      <c r="D4213">
        <v>44.076000000000001</v>
      </c>
    </row>
    <row r="4214" spans="1:4" x14ac:dyDescent="0.25">
      <c r="A4214" t="s">
        <v>9</v>
      </c>
      <c r="B4214" t="s">
        <v>5</v>
      </c>
      <c r="C4214">
        <v>20</v>
      </c>
      <c r="D4214">
        <v>44.93</v>
      </c>
    </row>
    <row r="4215" spans="1:4" x14ac:dyDescent="0.25">
      <c r="A4215" t="s">
        <v>9</v>
      </c>
      <c r="B4215" t="s">
        <v>5</v>
      </c>
      <c r="C4215">
        <v>20</v>
      </c>
      <c r="D4215">
        <v>45.076000000000001</v>
      </c>
    </row>
    <row r="4216" spans="1:4" x14ac:dyDescent="0.25">
      <c r="A4216" t="s">
        <v>9</v>
      </c>
      <c r="B4216" t="s">
        <v>5</v>
      </c>
      <c r="C4216">
        <v>20</v>
      </c>
      <c r="D4216">
        <v>45.076000000000001</v>
      </c>
    </row>
    <row r="4217" spans="1:4" x14ac:dyDescent="0.25">
      <c r="A4217" t="s">
        <v>9</v>
      </c>
      <c r="B4217" t="s">
        <v>5</v>
      </c>
      <c r="C4217">
        <v>20</v>
      </c>
      <c r="D4217">
        <v>45.222000000000001</v>
      </c>
    </row>
    <row r="4218" spans="1:4" x14ac:dyDescent="0.25">
      <c r="A4218" t="s">
        <v>9</v>
      </c>
      <c r="B4218" t="s">
        <v>5</v>
      </c>
      <c r="C4218">
        <v>20</v>
      </c>
      <c r="D4218">
        <v>44.003</v>
      </c>
    </row>
    <row r="4219" spans="1:4" x14ac:dyDescent="0.25">
      <c r="A4219" t="s">
        <v>9</v>
      </c>
      <c r="B4219" t="s">
        <v>5</v>
      </c>
      <c r="C4219">
        <v>20</v>
      </c>
      <c r="D4219">
        <v>43.149000000000001</v>
      </c>
    </row>
    <row r="4220" spans="1:4" x14ac:dyDescent="0.25">
      <c r="A4220" t="s">
        <v>9</v>
      </c>
      <c r="B4220" t="s">
        <v>5</v>
      </c>
      <c r="C4220">
        <v>20</v>
      </c>
      <c r="D4220">
        <v>47.295000000000002</v>
      </c>
    </row>
    <row r="4221" spans="1:4" x14ac:dyDescent="0.25">
      <c r="A4221" t="s">
        <v>9</v>
      </c>
      <c r="B4221" t="s">
        <v>5</v>
      </c>
      <c r="C4221">
        <v>20</v>
      </c>
      <c r="D4221">
        <v>46.222000000000001</v>
      </c>
    </row>
    <row r="4222" spans="1:4" x14ac:dyDescent="0.25">
      <c r="A4222" t="s">
        <v>9</v>
      </c>
      <c r="B4222" t="s">
        <v>5</v>
      </c>
      <c r="C4222">
        <v>20</v>
      </c>
      <c r="D4222">
        <v>46.368000000000002</v>
      </c>
    </row>
    <row r="4223" spans="1:4" x14ac:dyDescent="0.25">
      <c r="A4223" t="s">
        <v>9</v>
      </c>
      <c r="B4223" t="s">
        <v>5</v>
      </c>
      <c r="C4223">
        <v>20</v>
      </c>
      <c r="D4223">
        <v>45.076000000000001</v>
      </c>
    </row>
    <row r="4224" spans="1:4" x14ac:dyDescent="0.25">
      <c r="A4224" t="s">
        <v>9</v>
      </c>
      <c r="B4224" t="s">
        <v>5</v>
      </c>
      <c r="C4224">
        <v>20</v>
      </c>
      <c r="D4224">
        <v>43.93</v>
      </c>
    </row>
    <row r="4225" spans="1:4" x14ac:dyDescent="0.25">
      <c r="A4225" t="s">
        <v>9</v>
      </c>
      <c r="B4225" t="s">
        <v>5</v>
      </c>
      <c r="C4225">
        <v>20</v>
      </c>
      <c r="D4225">
        <v>46.368000000000002</v>
      </c>
    </row>
    <row r="4226" spans="1:4" x14ac:dyDescent="0.25">
      <c r="A4226" t="s">
        <v>9</v>
      </c>
      <c r="B4226" t="s">
        <v>5</v>
      </c>
      <c r="C4226">
        <v>20</v>
      </c>
      <c r="D4226">
        <v>43.003</v>
      </c>
    </row>
    <row r="4227" spans="1:4" x14ac:dyDescent="0.25">
      <c r="A4227" t="s">
        <v>9</v>
      </c>
      <c r="B4227" t="s">
        <v>5</v>
      </c>
      <c r="C4227">
        <v>20</v>
      </c>
      <c r="D4227">
        <v>43.003</v>
      </c>
    </row>
    <row r="4228" spans="1:4" x14ac:dyDescent="0.25">
      <c r="A4228" t="s">
        <v>9</v>
      </c>
      <c r="B4228" t="s">
        <v>5</v>
      </c>
      <c r="C4228">
        <v>20</v>
      </c>
      <c r="D4228">
        <v>42.93</v>
      </c>
    </row>
    <row r="4229" spans="1:4" x14ac:dyDescent="0.25">
      <c r="A4229" t="s">
        <v>9</v>
      </c>
      <c r="B4229" t="s">
        <v>5</v>
      </c>
      <c r="C4229">
        <v>20</v>
      </c>
      <c r="D4229">
        <v>44.003</v>
      </c>
    </row>
    <row r="4230" spans="1:4" x14ac:dyDescent="0.25">
      <c r="A4230" t="s">
        <v>9</v>
      </c>
      <c r="B4230" t="s">
        <v>5</v>
      </c>
      <c r="C4230">
        <v>20</v>
      </c>
      <c r="D4230">
        <v>43.149000000000001</v>
      </c>
    </row>
    <row r="4231" spans="1:4" x14ac:dyDescent="0.25">
      <c r="A4231" t="s">
        <v>9</v>
      </c>
      <c r="B4231" t="s">
        <v>5</v>
      </c>
      <c r="C4231">
        <v>20</v>
      </c>
      <c r="D4231">
        <v>45.222000000000001</v>
      </c>
    </row>
    <row r="4232" spans="1:4" x14ac:dyDescent="0.25">
      <c r="A4232" t="s">
        <v>9</v>
      </c>
      <c r="B4232" t="s">
        <v>5</v>
      </c>
      <c r="C4232">
        <v>20</v>
      </c>
      <c r="D4232">
        <v>47.222000000000001</v>
      </c>
    </row>
    <row r="4233" spans="1:4" x14ac:dyDescent="0.25">
      <c r="A4233" t="s">
        <v>9</v>
      </c>
      <c r="B4233" t="s">
        <v>5</v>
      </c>
      <c r="C4233">
        <v>20</v>
      </c>
      <c r="D4233">
        <v>43.076000000000001</v>
      </c>
    </row>
    <row r="4234" spans="1:4" x14ac:dyDescent="0.25">
      <c r="A4234" t="s">
        <v>9</v>
      </c>
      <c r="B4234" t="s">
        <v>5</v>
      </c>
      <c r="C4234">
        <v>20</v>
      </c>
      <c r="D4234">
        <v>47.368000000000002</v>
      </c>
    </row>
    <row r="4235" spans="1:4" x14ac:dyDescent="0.25">
      <c r="A4235" t="s">
        <v>9</v>
      </c>
      <c r="B4235" t="s">
        <v>5</v>
      </c>
      <c r="C4235">
        <v>20</v>
      </c>
      <c r="D4235">
        <v>47.368000000000002</v>
      </c>
    </row>
    <row r="4236" spans="1:4" x14ac:dyDescent="0.25">
      <c r="A4236" t="s">
        <v>9</v>
      </c>
      <c r="B4236" t="s">
        <v>5</v>
      </c>
      <c r="C4236">
        <v>20</v>
      </c>
      <c r="D4236">
        <v>41.783999999999999</v>
      </c>
    </row>
    <row r="4237" spans="1:4" x14ac:dyDescent="0.25">
      <c r="A4237" t="s">
        <v>9</v>
      </c>
      <c r="B4237" t="s">
        <v>5</v>
      </c>
      <c r="C4237">
        <v>20</v>
      </c>
      <c r="D4237">
        <v>46.368000000000002</v>
      </c>
    </row>
    <row r="4238" spans="1:4" x14ac:dyDescent="0.25">
      <c r="A4238" t="s">
        <v>9</v>
      </c>
      <c r="B4238" t="s">
        <v>5</v>
      </c>
      <c r="C4238">
        <v>20</v>
      </c>
      <c r="D4238">
        <v>45.076000000000001</v>
      </c>
    </row>
    <row r="4239" spans="1:4" x14ac:dyDescent="0.25">
      <c r="A4239" t="s">
        <v>9</v>
      </c>
      <c r="B4239" t="s">
        <v>5</v>
      </c>
      <c r="C4239">
        <v>20</v>
      </c>
      <c r="D4239">
        <v>47.368000000000002</v>
      </c>
    </row>
    <row r="4240" spans="1:4" x14ac:dyDescent="0.25">
      <c r="A4240" t="s">
        <v>9</v>
      </c>
      <c r="B4240" t="s">
        <v>5</v>
      </c>
      <c r="C4240">
        <v>20</v>
      </c>
      <c r="D4240">
        <v>47.368000000000002</v>
      </c>
    </row>
    <row r="4241" spans="1:4" x14ac:dyDescent="0.25">
      <c r="A4241" t="s">
        <v>9</v>
      </c>
      <c r="B4241" t="s">
        <v>5</v>
      </c>
      <c r="C4241">
        <v>20</v>
      </c>
      <c r="D4241">
        <v>44.149000000000001</v>
      </c>
    </row>
    <row r="4242" spans="1:4" x14ac:dyDescent="0.25">
      <c r="A4242" t="s">
        <v>9</v>
      </c>
      <c r="B4242" t="s">
        <v>5</v>
      </c>
      <c r="C4242">
        <v>20</v>
      </c>
      <c r="D4242">
        <v>45.222000000000001</v>
      </c>
    </row>
    <row r="4243" spans="1:4" x14ac:dyDescent="0.25">
      <c r="A4243" t="s">
        <v>9</v>
      </c>
      <c r="B4243" t="s">
        <v>5</v>
      </c>
      <c r="C4243">
        <v>20</v>
      </c>
      <c r="D4243">
        <v>41.856999999999999</v>
      </c>
    </row>
    <row r="4244" spans="1:4" x14ac:dyDescent="0.25">
      <c r="A4244" t="s">
        <v>9</v>
      </c>
      <c r="B4244" t="s">
        <v>5</v>
      </c>
      <c r="C4244">
        <v>20</v>
      </c>
      <c r="D4244">
        <v>42.783999999999999</v>
      </c>
    </row>
    <row r="4245" spans="1:4" x14ac:dyDescent="0.25">
      <c r="A4245" t="s">
        <v>9</v>
      </c>
      <c r="B4245" t="s">
        <v>5</v>
      </c>
      <c r="C4245">
        <v>20</v>
      </c>
      <c r="D4245">
        <v>44.222000000000001</v>
      </c>
    </row>
    <row r="4246" spans="1:4" x14ac:dyDescent="0.25">
      <c r="A4246" t="s">
        <v>9</v>
      </c>
      <c r="B4246" t="s">
        <v>5</v>
      </c>
      <c r="C4246">
        <v>20</v>
      </c>
      <c r="D4246">
        <v>47.441000000000003</v>
      </c>
    </row>
    <row r="4247" spans="1:4" x14ac:dyDescent="0.25">
      <c r="A4247" t="s">
        <v>9</v>
      </c>
      <c r="B4247" t="s">
        <v>5</v>
      </c>
      <c r="C4247">
        <v>20</v>
      </c>
      <c r="D4247">
        <v>46.003</v>
      </c>
    </row>
    <row r="4248" spans="1:4" x14ac:dyDescent="0.25">
      <c r="A4248" t="s">
        <v>9</v>
      </c>
      <c r="B4248" t="s">
        <v>5</v>
      </c>
      <c r="C4248">
        <v>20</v>
      </c>
      <c r="D4248">
        <v>46.295000000000002</v>
      </c>
    </row>
    <row r="4249" spans="1:4" x14ac:dyDescent="0.25">
      <c r="A4249" t="s">
        <v>9</v>
      </c>
      <c r="B4249" t="s">
        <v>5</v>
      </c>
      <c r="C4249">
        <v>20</v>
      </c>
      <c r="D4249">
        <v>45.222000000000001</v>
      </c>
    </row>
    <row r="4250" spans="1:4" x14ac:dyDescent="0.25">
      <c r="A4250" t="s">
        <v>9</v>
      </c>
      <c r="B4250" t="s">
        <v>5</v>
      </c>
      <c r="C4250">
        <v>20</v>
      </c>
      <c r="D4250">
        <v>45.856999999999999</v>
      </c>
    </row>
    <row r="4251" spans="1:4" x14ac:dyDescent="0.25">
      <c r="A4251" t="s">
        <v>9</v>
      </c>
      <c r="B4251" t="s">
        <v>5</v>
      </c>
      <c r="C4251">
        <v>20</v>
      </c>
      <c r="D4251">
        <v>45.149000000000001</v>
      </c>
    </row>
    <row r="4252" spans="1:4" x14ac:dyDescent="0.25">
      <c r="A4252" t="s">
        <v>9</v>
      </c>
      <c r="B4252" t="s">
        <v>5</v>
      </c>
      <c r="C4252">
        <v>20</v>
      </c>
      <c r="D4252">
        <v>47.295000000000002</v>
      </c>
    </row>
    <row r="4253" spans="1:4" x14ac:dyDescent="0.25">
      <c r="A4253" t="s">
        <v>9</v>
      </c>
      <c r="B4253" t="s">
        <v>5</v>
      </c>
      <c r="C4253">
        <v>20</v>
      </c>
      <c r="D4253">
        <v>47.441000000000003</v>
      </c>
    </row>
    <row r="4254" spans="1:4" x14ac:dyDescent="0.25">
      <c r="A4254" t="s">
        <v>9</v>
      </c>
      <c r="B4254" t="s">
        <v>5</v>
      </c>
      <c r="C4254">
        <v>20</v>
      </c>
      <c r="D4254">
        <v>44.222000000000001</v>
      </c>
    </row>
    <row r="4255" spans="1:4" x14ac:dyDescent="0.25">
      <c r="A4255" t="s">
        <v>9</v>
      </c>
      <c r="B4255" t="s">
        <v>5</v>
      </c>
      <c r="C4255">
        <v>20</v>
      </c>
      <c r="D4255">
        <v>42.222000000000001</v>
      </c>
    </row>
    <row r="4256" spans="1:4" x14ac:dyDescent="0.25">
      <c r="A4256" t="s">
        <v>9</v>
      </c>
      <c r="B4256" t="s">
        <v>5</v>
      </c>
      <c r="C4256">
        <v>20</v>
      </c>
      <c r="D4256">
        <v>43.93</v>
      </c>
    </row>
    <row r="4257" spans="1:4" x14ac:dyDescent="0.25">
      <c r="A4257" t="s">
        <v>9</v>
      </c>
      <c r="B4257" t="s">
        <v>5</v>
      </c>
      <c r="C4257">
        <v>20</v>
      </c>
      <c r="D4257">
        <v>47.295000000000002</v>
      </c>
    </row>
    <row r="4258" spans="1:4" x14ac:dyDescent="0.25">
      <c r="A4258" t="s">
        <v>9</v>
      </c>
      <c r="B4258" t="s">
        <v>5</v>
      </c>
      <c r="C4258">
        <v>20</v>
      </c>
      <c r="D4258">
        <v>46.149000000000001</v>
      </c>
    </row>
    <row r="4259" spans="1:4" x14ac:dyDescent="0.25">
      <c r="A4259" t="s">
        <v>9</v>
      </c>
      <c r="B4259" t="s">
        <v>5</v>
      </c>
      <c r="C4259">
        <v>20</v>
      </c>
      <c r="D4259">
        <v>45.003</v>
      </c>
    </row>
    <row r="4260" spans="1:4" x14ac:dyDescent="0.25">
      <c r="A4260" t="s">
        <v>9</v>
      </c>
      <c r="B4260" t="s">
        <v>5</v>
      </c>
      <c r="C4260">
        <v>20</v>
      </c>
      <c r="D4260">
        <v>45.368000000000002</v>
      </c>
    </row>
    <row r="4261" spans="1:4" x14ac:dyDescent="0.25">
      <c r="A4261" t="s">
        <v>9</v>
      </c>
      <c r="B4261" t="s">
        <v>5</v>
      </c>
      <c r="C4261">
        <v>20</v>
      </c>
      <c r="D4261">
        <v>46.076000000000001</v>
      </c>
    </row>
    <row r="4262" spans="1:4" x14ac:dyDescent="0.25">
      <c r="A4262" t="s">
        <v>9</v>
      </c>
      <c r="B4262" t="s">
        <v>5</v>
      </c>
      <c r="C4262">
        <v>20</v>
      </c>
      <c r="D4262">
        <v>45.076000000000001</v>
      </c>
    </row>
    <row r="4263" spans="1:4" x14ac:dyDescent="0.25">
      <c r="A4263" t="s">
        <v>9</v>
      </c>
      <c r="B4263" t="s">
        <v>5</v>
      </c>
      <c r="C4263">
        <v>20</v>
      </c>
      <c r="D4263">
        <v>46.295000000000002</v>
      </c>
    </row>
    <row r="4264" spans="1:4" x14ac:dyDescent="0.25">
      <c r="A4264" t="s">
        <v>9</v>
      </c>
      <c r="B4264" t="s">
        <v>5</v>
      </c>
      <c r="C4264">
        <v>20</v>
      </c>
      <c r="D4264">
        <v>46.368000000000002</v>
      </c>
    </row>
    <row r="4265" spans="1:4" x14ac:dyDescent="0.25">
      <c r="A4265" t="s">
        <v>9</v>
      </c>
      <c r="B4265" t="s">
        <v>5</v>
      </c>
      <c r="C4265">
        <v>20</v>
      </c>
      <c r="D4265">
        <v>43.93</v>
      </c>
    </row>
    <row r="4266" spans="1:4" x14ac:dyDescent="0.25">
      <c r="A4266" t="s">
        <v>9</v>
      </c>
      <c r="B4266" t="s">
        <v>5</v>
      </c>
      <c r="C4266">
        <v>20</v>
      </c>
      <c r="D4266">
        <v>46.149000000000001</v>
      </c>
    </row>
    <row r="4267" spans="1:4" x14ac:dyDescent="0.25">
      <c r="A4267" t="s">
        <v>9</v>
      </c>
      <c r="B4267" t="s">
        <v>5</v>
      </c>
      <c r="C4267">
        <v>20</v>
      </c>
      <c r="D4267">
        <v>44.149000000000001</v>
      </c>
    </row>
    <row r="4268" spans="1:4" x14ac:dyDescent="0.25">
      <c r="A4268" t="s">
        <v>9</v>
      </c>
      <c r="B4268" t="s">
        <v>5</v>
      </c>
      <c r="C4268">
        <v>20</v>
      </c>
      <c r="D4268">
        <v>45.149000000000001</v>
      </c>
    </row>
    <row r="4269" spans="1:4" x14ac:dyDescent="0.25">
      <c r="A4269" t="s">
        <v>9</v>
      </c>
      <c r="B4269" t="s">
        <v>5</v>
      </c>
      <c r="C4269">
        <v>20</v>
      </c>
      <c r="D4269">
        <v>48.441000000000003</v>
      </c>
    </row>
    <row r="4270" spans="1:4" x14ac:dyDescent="0.25">
      <c r="A4270" t="s">
        <v>9</v>
      </c>
      <c r="B4270" t="s">
        <v>5</v>
      </c>
      <c r="C4270">
        <v>20</v>
      </c>
      <c r="D4270">
        <v>46.441000000000003</v>
      </c>
    </row>
    <row r="4271" spans="1:4" x14ac:dyDescent="0.25">
      <c r="A4271" t="s">
        <v>9</v>
      </c>
      <c r="B4271" t="s">
        <v>5</v>
      </c>
      <c r="C4271">
        <v>20</v>
      </c>
      <c r="D4271">
        <v>44.076000000000001</v>
      </c>
    </row>
    <row r="4272" spans="1:4" x14ac:dyDescent="0.25">
      <c r="A4272" t="s">
        <v>9</v>
      </c>
      <c r="B4272" t="s">
        <v>5</v>
      </c>
      <c r="C4272">
        <v>20</v>
      </c>
      <c r="D4272">
        <v>45.222000000000001</v>
      </c>
    </row>
    <row r="4273" spans="1:4" x14ac:dyDescent="0.25">
      <c r="A4273" t="s">
        <v>9</v>
      </c>
      <c r="B4273" t="s">
        <v>5</v>
      </c>
      <c r="C4273">
        <v>20</v>
      </c>
      <c r="D4273">
        <v>46.368000000000002</v>
      </c>
    </row>
    <row r="4274" spans="1:4" x14ac:dyDescent="0.25">
      <c r="A4274" t="s">
        <v>9</v>
      </c>
      <c r="B4274" t="s">
        <v>5</v>
      </c>
      <c r="C4274">
        <v>20</v>
      </c>
      <c r="D4274">
        <v>45.076000000000001</v>
      </c>
    </row>
    <row r="4275" spans="1:4" x14ac:dyDescent="0.25">
      <c r="A4275" t="s">
        <v>9</v>
      </c>
      <c r="B4275" t="s">
        <v>5</v>
      </c>
      <c r="C4275">
        <v>20</v>
      </c>
      <c r="D4275">
        <v>42.564999999999998</v>
      </c>
    </row>
    <row r="4276" spans="1:4" x14ac:dyDescent="0.25">
      <c r="A4276" t="s">
        <v>9</v>
      </c>
      <c r="B4276" t="s">
        <v>5</v>
      </c>
      <c r="C4276">
        <v>20</v>
      </c>
      <c r="D4276">
        <v>45.076000000000001</v>
      </c>
    </row>
    <row r="4277" spans="1:4" x14ac:dyDescent="0.25">
      <c r="A4277" t="s">
        <v>9</v>
      </c>
      <c r="B4277" t="s">
        <v>5</v>
      </c>
      <c r="C4277">
        <v>20</v>
      </c>
      <c r="D4277">
        <v>43.856999999999999</v>
      </c>
    </row>
    <row r="4278" spans="1:4" x14ac:dyDescent="0.25">
      <c r="A4278" t="s">
        <v>9</v>
      </c>
      <c r="B4278" t="s">
        <v>5</v>
      </c>
      <c r="C4278">
        <v>20</v>
      </c>
      <c r="D4278">
        <v>43.93</v>
      </c>
    </row>
    <row r="4279" spans="1:4" x14ac:dyDescent="0.25">
      <c r="A4279" t="s">
        <v>9</v>
      </c>
      <c r="B4279" t="s">
        <v>5</v>
      </c>
      <c r="C4279">
        <v>20</v>
      </c>
      <c r="D4279">
        <v>49.222000000000001</v>
      </c>
    </row>
    <row r="4280" spans="1:4" x14ac:dyDescent="0.25">
      <c r="A4280" t="s">
        <v>9</v>
      </c>
      <c r="B4280" t="s">
        <v>5</v>
      </c>
      <c r="C4280">
        <v>20</v>
      </c>
      <c r="D4280">
        <v>43.93</v>
      </c>
    </row>
    <row r="4281" spans="1:4" x14ac:dyDescent="0.25">
      <c r="A4281" t="s">
        <v>9</v>
      </c>
      <c r="B4281" t="s">
        <v>5</v>
      </c>
      <c r="C4281">
        <v>20</v>
      </c>
      <c r="D4281">
        <v>46.222000000000001</v>
      </c>
    </row>
    <row r="4282" spans="1:4" x14ac:dyDescent="0.25">
      <c r="A4282" t="s">
        <v>9</v>
      </c>
      <c r="B4282" t="s">
        <v>5</v>
      </c>
      <c r="C4282">
        <v>20</v>
      </c>
      <c r="D4282">
        <v>43.93</v>
      </c>
    </row>
    <row r="4283" spans="1:4" x14ac:dyDescent="0.25">
      <c r="A4283" t="s">
        <v>9</v>
      </c>
      <c r="B4283" t="s">
        <v>5</v>
      </c>
      <c r="C4283">
        <v>20</v>
      </c>
      <c r="D4283">
        <v>46.368000000000002</v>
      </c>
    </row>
    <row r="4284" spans="1:4" x14ac:dyDescent="0.25">
      <c r="A4284" t="s">
        <v>9</v>
      </c>
      <c r="B4284" t="s">
        <v>5</v>
      </c>
      <c r="C4284">
        <v>20</v>
      </c>
      <c r="D4284">
        <v>44.856999999999999</v>
      </c>
    </row>
    <row r="4285" spans="1:4" x14ac:dyDescent="0.25">
      <c r="A4285" t="s">
        <v>9</v>
      </c>
      <c r="B4285" t="s">
        <v>5</v>
      </c>
      <c r="C4285">
        <v>20</v>
      </c>
      <c r="D4285">
        <v>45.295000000000002</v>
      </c>
    </row>
    <row r="4286" spans="1:4" x14ac:dyDescent="0.25">
      <c r="A4286" t="s">
        <v>9</v>
      </c>
      <c r="B4286" t="s">
        <v>5</v>
      </c>
      <c r="C4286">
        <v>20</v>
      </c>
      <c r="D4286">
        <v>45.222000000000001</v>
      </c>
    </row>
    <row r="4287" spans="1:4" x14ac:dyDescent="0.25">
      <c r="A4287" t="s">
        <v>9</v>
      </c>
      <c r="B4287" t="s">
        <v>5</v>
      </c>
      <c r="C4287">
        <v>20</v>
      </c>
      <c r="D4287">
        <v>44.076000000000001</v>
      </c>
    </row>
    <row r="4288" spans="1:4" x14ac:dyDescent="0.25">
      <c r="A4288" t="s">
        <v>9</v>
      </c>
      <c r="B4288" t="s">
        <v>5</v>
      </c>
      <c r="C4288">
        <v>20</v>
      </c>
      <c r="D4288">
        <v>46.149000000000001</v>
      </c>
    </row>
    <row r="4289" spans="1:4" x14ac:dyDescent="0.25">
      <c r="A4289" t="s">
        <v>9</v>
      </c>
      <c r="B4289" t="s">
        <v>5</v>
      </c>
      <c r="C4289">
        <v>20</v>
      </c>
      <c r="D4289">
        <v>44.149000000000001</v>
      </c>
    </row>
    <row r="4290" spans="1:4" x14ac:dyDescent="0.25">
      <c r="A4290" t="s">
        <v>9</v>
      </c>
      <c r="B4290" t="s">
        <v>5</v>
      </c>
      <c r="C4290">
        <v>20</v>
      </c>
      <c r="D4290">
        <v>43.076000000000001</v>
      </c>
    </row>
    <row r="4291" spans="1:4" x14ac:dyDescent="0.25">
      <c r="A4291" t="s">
        <v>9</v>
      </c>
      <c r="B4291" t="s">
        <v>5</v>
      </c>
      <c r="C4291">
        <v>20</v>
      </c>
      <c r="D4291">
        <v>47.295000000000002</v>
      </c>
    </row>
    <row r="4292" spans="1:4" x14ac:dyDescent="0.25">
      <c r="A4292" t="s">
        <v>9</v>
      </c>
      <c r="B4292" t="s">
        <v>5</v>
      </c>
      <c r="C4292">
        <v>20</v>
      </c>
      <c r="D4292">
        <v>46.295000000000002</v>
      </c>
    </row>
    <row r="4293" spans="1:4" x14ac:dyDescent="0.25">
      <c r="A4293" t="s">
        <v>9</v>
      </c>
      <c r="B4293" t="s">
        <v>5</v>
      </c>
      <c r="C4293">
        <v>20</v>
      </c>
      <c r="D4293">
        <v>45.076000000000001</v>
      </c>
    </row>
    <row r="4294" spans="1:4" x14ac:dyDescent="0.25">
      <c r="A4294" t="s">
        <v>9</v>
      </c>
      <c r="B4294" t="s">
        <v>5</v>
      </c>
      <c r="C4294">
        <v>20</v>
      </c>
      <c r="D4294">
        <v>46.295000000000002</v>
      </c>
    </row>
    <row r="4295" spans="1:4" x14ac:dyDescent="0.25">
      <c r="A4295" t="s">
        <v>9</v>
      </c>
      <c r="B4295" t="s">
        <v>5</v>
      </c>
      <c r="C4295">
        <v>20</v>
      </c>
      <c r="D4295">
        <v>46.295000000000002</v>
      </c>
    </row>
    <row r="4296" spans="1:4" x14ac:dyDescent="0.25">
      <c r="A4296" t="s">
        <v>9</v>
      </c>
      <c r="B4296" t="s">
        <v>5</v>
      </c>
      <c r="C4296">
        <v>20</v>
      </c>
      <c r="D4296">
        <v>45.149000000000001</v>
      </c>
    </row>
    <row r="4297" spans="1:4" x14ac:dyDescent="0.25">
      <c r="A4297" t="s">
        <v>9</v>
      </c>
      <c r="B4297" t="s">
        <v>5</v>
      </c>
      <c r="C4297">
        <v>20</v>
      </c>
      <c r="D4297">
        <v>44.149000000000001</v>
      </c>
    </row>
    <row r="4298" spans="1:4" x14ac:dyDescent="0.25">
      <c r="A4298" t="s">
        <v>9</v>
      </c>
      <c r="B4298" t="s">
        <v>5</v>
      </c>
      <c r="C4298">
        <v>20</v>
      </c>
      <c r="D4298">
        <v>46.149000000000001</v>
      </c>
    </row>
    <row r="4299" spans="1:4" x14ac:dyDescent="0.25">
      <c r="A4299" t="s">
        <v>9</v>
      </c>
      <c r="B4299" t="s">
        <v>5</v>
      </c>
      <c r="C4299">
        <v>20</v>
      </c>
      <c r="D4299">
        <v>46.295000000000002</v>
      </c>
    </row>
    <row r="4300" spans="1:4" x14ac:dyDescent="0.25">
      <c r="A4300" t="s">
        <v>9</v>
      </c>
      <c r="B4300" t="s">
        <v>5</v>
      </c>
      <c r="C4300">
        <v>20</v>
      </c>
      <c r="D4300">
        <v>46.149000000000001</v>
      </c>
    </row>
    <row r="4301" spans="1:4" x14ac:dyDescent="0.25">
      <c r="A4301" t="s">
        <v>9</v>
      </c>
      <c r="B4301" t="s">
        <v>5</v>
      </c>
      <c r="C4301">
        <v>20</v>
      </c>
      <c r="D4301">
        <v>46.003</v>
      </c>
    </row>
    <row r="4302" spans="1:4" x14ac:dyDescent="0.25">
      <c r="A4302" t="s">
        <v>9</v>
      </c>
      <c r="B4302" t="s">
        <v>5</v>
      </c>
      <c r="C4302">
        <v>40</v>
      </c>
      <c r="D4302">
        <v>82.266000000000005</v>
      </c>
    </row>
    <row r="4303" spans="1:4" x14ac:dyDescent="0.25">
      <c r="A4303" t="s">
        <v>9</v>
      </c>
      <c r="B4303" t="s">
        <v>5</v>
      </c>
      <c r="C4303">
        <v>40</v>
      </c>
      <c r="D4303">
        <v>71.316999999999993</v>
      </c>
    </row>
    <row r="4304" spans="1:4" x14ac:dyDescent="0.25">
      <c r="A4304" t="s">
        <v>9</v>
      </c>
      <c r="B4304" t="s">
        <v>5</v>
      </c>
      <c r="C4304">
        <v>40</v>
      </c>
      <c r="D4304">
        <v>66.462999999999994</v>
      </c>
    </row>
    <row r="4305" spans="1:4" x14ac:dyDescent="0.25">
      <c r="A4305" t="s">
        <v>9</v>
      </c>
      <c r="B4305" t="s">
        <v>5</v>
      </c>
      <c r="C4305">
        <v>40</v>
      </c>
      <c r="D4305">
        <v>76.608999999999995</v>
      </c>
    </row>
    <row r="4306" spans="1:4" x14ac:dyDescent="0.25">
      <c r="A4306" t="s">
        <v>9</v>
      </c>
      <c r="B4306" t="s">
        <v>5</v>
      </c>
      <c r="C4306">
        <v>40</v>
      </c>
      <c r="D4306">
        <v>69.097999999999999</v>
      </c>
    </row>
    <row r="4307" spans="1:4" x14ac:dyDescent="0.25">
      <c r="A4307" t="s">
        <v>9</v>
      </c>
      <c r="B4307" t="s">
        <v>5</v>
      </c>
      <c r="C4307">
        <v>40</v>
      </c>
      <c r="D4307">
        <v>84.191999999999993</v>
      </c>
    </row>
    <row r="4308" spans="1:4" x14ac:dyDescent="0.25">
      <c r="A4308" t="s">
        <v>9</v>
      </c>
      <c r="B4308" t="s">
        <v>5</v>
      </c>
      <c r="C4308">
        <v>40</v>
      </c>
      <c r="D4308">
        <v>77.900999999999996</v>
      </c>
    </row>
    <row r="4309" spans="1:4" x14ac:dyDescent="0.25">
      <c r="A4309" t="s">
        <v>9</v>
      </c>
      <c r="B4309" t="s">
        <v>5</v>
      </c>
      <c r="C4309">
        <v>40</v>
      </c>
      <c r="D4309">
        <v>75.828000000000003</v>
      </c>
    </row>
    <row r="4310" spans="1:4" x14ac:dyDescent="0.25">
      <c r="A4310" t="s">
        <v>9</v>
      </c>
      <c r="B4310" t="s">
        <v>5</v>
      </c>
      <c r="C4310">
        <v>40</v>
      </c>
      <c r="D4310">
        <v>84.12</v>
      </c>
    </row>
    <row r="4311" spans="1:4" x14ac:dyDescent="0.25">
      <c r="A4311" t="s">
        <v>9</v>
      </c>
      <c r="B4311" t="s">
        <v>5</v>
      </c>
      <c r="C4311">
        <v>40</v>
      </c>
      <c r="D4311">
        <v>78.046000000000006</v>
      </c>
    </row>
    <row r="4312" spans="1:4" x14ac:dyDescent="0.25">
      <c r="A4312" t="s">
        <v>9</v>
      </c>
      <c r="B4312" t="s">
        <v>5</v>
      </c>
      <c r="C4312">
        <v>40</v>
      </c>
      <c r="D4312">
        <v>87.266000000000005</v>
      </c>
    </row>
    <row r="4313" spans="1:4" x14ac:dyDescent="0.25">
      <c r="A4313" t="s">
        <v>9</v>
      </c>
      <c r="B4313" t="s">
        <v>5</v>
      </c>
      <c r="C4313">
        <v>40</v>
      </c>
      <c r="D4313">
        <v>70.462999999999994</v>
      </c>
    </row>
    <row r="4314" spans="1:4" x14ac:dyDescent="0.25">
      <c r="A4314" t="s">
        <v>9</v>
      </c>
      <c r="B4314" t="s">
        <v>5</v>
      </c>
      <c r="C4314">
        <v>40</v>
      </c>
      <c r="D4314">
        <v>67.754000000000005</v>
      </c>
    </row>
    <row r="4315" spans="1:4" x14ac:dyDescent="0.25">
      <c r="A4315" t="s">
        <v>9</v>
      </c>
      <c r="B4315" t="s">
        <v>5</v>
      </c>
      <c r="C4315">
        <v>40</v>
      </c>
      <c r="D4315">
        <v>79.900000000000006</v>
      </c>
    </row>
    <row r="4316" spans="1:4" x14ac:dyDescent="0.25">
      <c r="A4316" t="s">
        <v>9</v>
      </c>
      <c r="B4316" t="s">
        <v>5</v>
      </c>
      <c r="C4316">
        <v>40</v>
      </c>
      <c r="D4316">
        <v>87.483999999999995</v>
      </c>
    </row>
    <row r="4317" spans="1:4" x14ac:dyDescent="0.25">
      <c r="A4317" t="s">
        <v>9</v>
      </c>
      <c r="B4317" t="s">
        <v>5</v>
      </c>
      <c r="C4317">
        <v>40</v>
      </c>
      <c r="D4317">
        <v>76.608999999999995</v>
      </c>
    </row>
    <row r="4318" spans="1:4" x14ac:dyDescent="0.25">
      <c r="A4318" t="s">
        <v>9</v>
      </c>
      <c r="B4318" t="s">
        <v>5</v>
      </c>
      <c r="C4318">
        <v>40</v>
      </c>
      <c r="D4318">
        <v>82.900999999999996</v>
      </c>
    </row>
    <row r="4319" spans="1:4" x14ac:dyDescent="0.25">
      <c r="A4319" t="s">
        <v>9</v>
      </c>
      <c r="B4319" t="s">
        <v>5</v>
      </c>
      <c r="C4319">
        <v>40</v>
      </c>
      <c r="D4319">
        <v>74.826999999999998</v>
      </c>
    </row>
    <row r="4320" spans="1:4" x14ac:dyDescent="0.25">
      <c r="A4320" t="s">
        <v>9</v>
      </c>
      <c r="B4320" t="s">
        <v>5</v>
      </c>
      <c r="C4320">
        <v>40</v>
      </c>
      <c r="D4320">
        <v>75.119</v>
      </c>
    </row>
    <row r="4321" spans="1:4" x14ac:dyDescent="0.25">
      <c r="A4321" t="s">
        <v>9</v>
      </c>
      <c r="B4321" t="s">
        <v>5</v>
      </c>
      <c r="C4321">
        <v>40</v>
      </c>
      <c r="D4321">
        <v>70.39</v>
      </c>
    </row>
    <row r="4322" spans="1:4" x14ac:dyDescent="0.25">
      <c r="A4322" t="s">
        <v>9</v>
      </c>
      <c r="B4322" t="s">
        <v>5</v>
      </c>
      <c r="C4322">
        <v>40</v>
      </c>
      <c r="D4322">
        <v>68.680999999999997</v>
      </c>
    </row>
    <row r="4323" spans="1:4" x14ac:dyDescent="0.25">
      <c r="A4323" t="s">
        <v>9</v>
      </c>
      <c r="B4323" t="s">
        <v>5</v>
      </c>
      <c r="C4323">
        <v>40</v>
      </c>
      <c r="D4323">
        <v>70.316999999999993</v>
      </c>
    </row>
    <row r="4324" spans="1:4" x14ac:dyDescent="0.25">
      <c r="A4324" t="s">
        <v>9</v>
      </c>
      <c r="B4324" t="s">
        <v>5</v>
      </c>
      <c r="C4324">
        <v>40</v>
      </c>
      <c r="D4324">
        <v>83.411000000000001</v>
      </c>
    </row>
    <row r="4325" spans="1:4" x14ac:dyDescent="0.25">
      <c r="A4325" t="s">
        <v>9</v>
      </c>
      <c r="B4325" t="s">
        <v>5</v>
      </c>
      <c r="C4325">
        <v>40</v>
      </c>
      <c r="D4325">
        <v>72.536000000000001</v>
      </c>
    </row>
    <row r="4326" spans="1:4" x14ac:dyDescent="0.25">
      <c r="A4326" t="s">
        <v>9</v>
      </c>
      <c r="B4326" t="s">
        <v>5</v>
      </c>
      <c r="C4326">
        <v>40</v>
      </c>
      <c r="D4326">
        <v>74.680999999999997</v>
      </c>
    </row>
    <row r="4327" spans="1:4" x14ac:dyDescent="0.25">
      <c r="A4327" t="s">
        <v>9</v>
      </c>
      <c r="B4327" t="s">
        <v>5</v>
      </c>
      <c r="C4327">
        <v>40</v>
      </c>
      <c r="D4327">
        <v>75.900999999999996</v>
      </c>
    </row>
    <row r="4328" spans="1:4" x14ac:dyDescent="0.25">
      <c r="A4328" t="s">
        <v>9</v>
      </c>
      <c r="B4328" t="s">
        <v>5</v>
      </c>
      <c r="C4328">
        <v>40</v>
      </c>
      <c r="D4328">
        <v>74.682000000000002</v>
      </c>
    </row>
    <row r="4329" spans="1:4" x14ac:dyDescent="0.25">
      <c r="A4329" t="s">
        <v>9</v>
      </c>
      <c r="B4329" t="s">
        <v>5</v>
      </c>
      <c r="C4329">
        <v>40</v>
      </c>
      <c r="D4329">
        <v>67.171000000000006</v>
      </c>
    </row>
    <row r="4330" spans="1:4" x14ac:dyDescent="0.25">
      <c r="A4330" t="s">
        <v>9</v>
      </c>
      <c r="B4330" t="s">
        <v>5</v>
      </c>
      <c r="C4330">
        <v>40</v>
      </c>
      <c r="D4330">
        <v>82.900999999999996</v>
      </c>
    </row>
    <row r="4331" spans="1:4" x14ac:dyDescent="0.25">
      <c r="A4331" t="s">
        <v>9</v>
      </c>
      <c r="B4331" t="s">
        <v>5</v>
      </c>
      <c r="C4331">
        <v>40</v>
      </c>
      <c r="D4331">
        <v>71.608999999999995</v>
      </c>
    </row>
    <row r="4332" spans="1:4" x14ac:dyDescent="0.25">
      <c r="A4332" t="s">
        <v>9</v>
      </c>
      <c r="B4332" t="s">
        <v>5</v>
      </c>
      <c r="C4332">
        <v>40</v>
      </c>
      <c r="D4332">
        <v>68.171000000000006</v>
      </c>
    </row>
    <row r="4333" spans="1:4" x14ac:dyDescent="0.25">
      <c r="A4333" t="s">
        <v>9</v>
      </c>
      <c r="B4333" t="s">
        <v>5</v>
      </c>
      <c r="C4333">
        <v>40</v>
      </c>
      <c r="D4333">
        <v>81.265000000000001</v>
      </c>
    </row>
    <row r="4334" spans="1:4" x14ac:dyDescent="0.25">
      <c r="A4334" t="s">
        <v>9</v>
      </c>
      <c r="B4334" t="s">
        <v>5</v>
      </c>
      <c r="C4334">
        <v>40</v>
      </c>
      <c r="D4334">
        <v>73.536000000000001</v>
      </c>
    </row>
    <row r="4335" spans="1:4" x14ac:dyDescent="0.25">
      <c r="A4335" t="s">
        <v>9</v>
      </c>
      <c r="B4335" t="s">
        <v>5</v>
      </c>
      <c r="C4335">
        <v>40</v>
      </c>
      <c r="D4335">
        <v>69.316999999999993</v>
      </c>
    </row>
    <row r="4336" spans="1:4" x14ac:dyDescent="0.25">
      <c r="A4336" t="s">
        <v>9</v>
      </c>
      <c r="B4336" t="s">
        <v>5</v>
      </c>
      <c r="C4336">
        <v>40</v>
      </c>
      <c r="D4336">
        <v>78.046000000000006</v>
      </c>
    </row>
    <row r="4337" spans="1:4" x14ac:dyDescent="0.25">
      <c r="A4337" t="s">
        <v>9</v>
      </c>
      <c r="B4337" t="s">
        <v>5</v>
      </c>
      <c r="C4337">
        <v>40</v>
      </c>
      <c r="D4337">
        <v>70.536000000000001</v>
      </c>
    </row>
    <row r="4338" spans="1:4" x14ac:dyDescent="0.25">
      <c r="A4338" t="s">
        <v>9</v>
      </c>
      <c r="B4338" t="s">
        <v>5</v>
      </c>
      <c r="C4338">
        <v>40</v>
      </c>
      <c r="D4338">
        <v>77.046000000000006</v>
      </c>
    </row>
    <row r="4339" spans="1:4" x14ac:dyDescent="0.25">
      <c r="A4339" t="s">
        <v>9</v>
      </c>
      <c r="B4339" t="s">
        <v>5</v>
      </c>
      <c r="C4339">
        <v>40</v>
      </c>
      <c r="D4339">
        <v>87.483999999999995</v>
      </c>
    </row>
    <row r="4340" spans="1:4" x14ac:dyDescent="0.25">
      <c r="A4340" t="s">
        <v>9</v>
      </c>
      <c r="B4340" t="s">
        <v>5</v>
      </c>
      <c r="C4340">
        <v>40</v>
      </c>
      <c r="D4340">
        <v>77.900999999999996</v>
      </c>
    </row>
    <row r="4341" spans="1:4" x14ac:dyDescent="0.25">
      <c r="A4341" t="s">
        <v>9</v>
      </c>
      <c r="B4341" t="s">
        <v>5</v>
      </c>
      <c r="C4341">
        <v>40</v>
      </c>
      <c r="D4341">
        <v>80.12</v>
      </c>
    </row>
    <row r="4342" spans="1:4" x14ac:dyDescent="0.25">
      <c r="A4342" t="s">
        <v>9</v>
      </c>
      <c r="B4342" t="s">
        <v>5</v>
      </c>
      <c r="C4342">
        <v>40</v>
      </c>
      <c r="D4342">
        <v>75.828000000000003</v>
      </c>
    </row>
    <row r="4343" spans="1:4" x14ac:dyDescent="0.25">
      <c r="A4343" t="s">
        <v>9</v>
      </c>
      <c r="B4343" t="s">
        <v>5</v>
      </c>
      <c r="C4343">
        <v>40</v>
      </c>
      <c r="D4343">
        <v>78.119</v>
      </c>
    </row>
    <row r="4344" spans="1:4" x14ac:dyDescent="0.25">
      <c r="A4344" t="s">
        <v>9</v>
      </c>
      <c r="B4344" t="s">
        <v>5</v>
      </c>
      <c r="C4344">
        <v>40</v>
      </c>
      <c r="D4344">
        <v>72.900000000000006</v>
      </c>
    </row>
    <row r="4345" spans="1:4" x14ac:dyDescent="0.25">
      <c r="A4345" t="s">
        <v>9</v>
      </c>
      <c r="B4345" t="s">
        <v>5</v>
      </c>
      <c r="C4345">
        <v>40</v>
      </c>
      <c r="D4345">
        <v>75.828000000000003</v>
      </c>
    </row>
    <row r="4346" spans="1:4" x14ac:dyDescent="0.25">
      <c r="A4346" t="s">
        <v>9</v>
      </c>
      <c r="B4346" t="s">
        <v>5</v>
      </c>
      <c r="C4346">
        <v>40</v>
      </c>
      <c r="D4346">
        <v>84.411000000000001</v>
      </c>
    </row>
    <row r="4347" spans="1:4" x14ac:dyDescent="0.25">
      <c r="A4347" t="s">
        <v>9</v>
      </c>
      <c r="B4347" t="s">
        <v>5</v>
      </c>
      <c r="C4347">
        <v>40</v>
      </c>
      <c r="D4347">
        <v>70.244</v>
      </c>
    </row>
    <row r="4348" spans="1:4" x14ac:dyDescent="0.25">
      <c r="A4348" t="s">
        <v>9</v>
      </c>
      <c r="B4348" t="s">
        <v>5</v>
      </c>
      <c r="C4348">
        <v>40</v>
      </c>
      <c r="D4348">
        <v>75.682000000000002</v>
      </c>
    </row>
    <row r="4349" spans="1:4" x14ac:dyDescent="0.25">
      <c r="A4349" t="s">
        <v>9</v>
      </c>
      <c r="B4349" t="s">
        <v>5</v>
      </c>
      <c r="C4349">
        <v>40</v>
      </c>
      <c r="D4349">
        <v>75.900999999999996</v>
      </c>
    </row>
    <row r="4350" spans="1:4" x14ac:dyDescent="0.25">
      <c r="A4350" t="s">
        <v>9</v>
      </c>
      <c r="B4350" t="s">
        <v>5</v>
      </c>
      <c r="C4350">
        <v>40</v>
      </c>
      <c r="D4350">
        <v>75.608999999999995</v>
      </c>
    </row>
    <row r="4351" spans="1:4" x14ac:dyDescent="0.25">
      <c r="A4351" t="s">
        <v>9</v>
      </c>
      <c r="B4351" t="s">
        <v>5</v>
      </c>
      <c r="C4351">
        <v>40</v>
      </c>
      <c r="D4351">
        <v>78.974000000000004</v>
      </c>
    </row>
    <row r="4352" spans="1:4" x14ac:dyDescent="0.25">
      <c r="A4352" t="s">
        <v>9</v>
      </c>
      <c r="B4352" t="s">
        <v>5</v>
      </c>
      <c r="C4352">
        <v>40</v>
      </c>
      <c r="D4352">
        <v>80.265000000000001</v>
      </c>
    </row>
    <row r="4353" spans="1:4" x14ac:dyDescent="0.25">
      <c r="A4353" t="s">
        <v>9</v>
      </c>
      <c r="B4353" t="s">
        <v>5</v>
      </c>
      <c r="C4353">
        <v>40</v>
      </c>
      <c r="D4353">
        <v>70.316999999999993</v>
      </c>
    </row>
    <row r="4354" spans="1:4" x14ac:dyDescent="0.25">
      <c r="A4354" t="s">
        <v>9</v>
      </c>
      <c r="B4354" t="s">
        <v>5</v>
      </c>
      <c r="C4354">
        <v>40</v>
      </c>
      <c r="D4354">
        <v>86.483999999999995</v>
      </c>
    </row>
    <row r="4355" spans="1:4" x14ac:dyDescent="0.25">
      <c r="A4355" t="s">
        <v>9</v>
      </c>
      <c r="B4355" t="s">
        <v>5</v>
      </c>
      <c r="C4355">
        <v>40</v>
      </c>
      <c r="D4355">
        <v>86.900999999999996</v>
      </c>
    </row>
    <row r="4356" spans="1:4" x14ac:dyDescent="0.25">
      <c r="A4356" t="s">
        <v>9</v>
      </c>
      <c r="B4356" t="s">
        <v>5</v>
      </c>
      <c r="C4356">
        <v>40</v>
      </c>
      <c r="D4356">
        <v>82.411000000000001</v>
      </c>
    </row>
    <row r="4357" spans="1:4" x14ac:dyDescent="0.25">
      <c r="A4357" t="s">
        <v>9</v>
      </c>
      <c r="B4357" t="s">
        <v>5</v>
      </c>
      <c r="C4357">
        <v>40</v>
      </c>
      <c r="D4357">
        <v>79.119</v>
      </c>
    </row>
    <row r="4358" spans="1:4" x14ac:dyDescent="0.25">
      <c r="A4358" t="s">
        <v>9</v>
      </c>
      <c r="B4358" t="s">
        <v>5</v>
      </c>
      <c r="C4358">
        <v>40</v>
      </c>
      <c r="D4358">
        <v>74.462999999999994</v>
      </c>
    </row>
    <row r="4359" spans="1:4" x14ac:dyDescent="0.25">
      <c r="A4359" t="s">
        <v>9</v>
      </c>
      <c r="B4359" t="s">
        <v>5</v>
      </c>
      <c r="C4359">
        <v>40</v>
      </c>
      <c r="D4359">
        <v>74.754999999999995</v>
      </c>
    </row>
    <row r="4360" spans="1:4" x14ac:dyDescent="0.25">
      <c r="A4360" t="s">
        <v>9</v>
      </c>
      <c r="B4360" t="s">
        <v>5</v>
      </c>
      <c r="C4360">
        <v>40</v>
      </c>
      <c r="D4360">
        <v>76.608999999999995</v>
      </c>
    </row>
    <row r="4361" spans="1:4" x14ac:dyDescent="0.25">
      <c r="A4361" t="s">
        <v>9</v>
      </c>
      <c r="B4361" t="s">
        <v>5</v>
      </c>
      <c r="C4361">
        <v>40</v>
      </c>
      <c r="D4361">
        <v>73.682000000000002</v>
      </c>
    </row>
    <row r="4362" spans="1:4" x14ac:dyDescent="0.25">
      <c r="A4362" t="s">
        <v>9</v>
      </c>
      <c r="B4362" t="s">
        <v>5</v>
      </c>
      <c r="C4362">
        <v>40</v>
      </c>
      <c r="D4362">
        <v>79.900999999999996</v>
      </c>
    </row>
    <row r="4363" spans="1:4" x14ac:dyDescent="0.25">
      <c r="A4363" t="s">
        <v>9</v>
      </c>
      <c r="B4363" t="s">
        <v>5</v>
      </c>
      <c r="C4363">
        <v>40</v>
      </c>
      <c r="D4363">
        <v>78.191999999999993</v>
      </c>
    </row>
    <row r="4364" spans="1:4" x14ac:dyDescent="0.25">
      <c r="A4364" t="s">
        <v>9</v>
      </c>
      <c r="B4364" t="s">
        <v>5</v>
      </c>
      <c r="C4364">
        <v>40</v>
      </c>
      <c r="D4364">
        <v>74.536000000000001</v>
      </c>
    </row>
    <row r="4365" spans="1:4" x14ac:dyDescent="0.25">
      <c r="A4365" t="s">
        <v>9</v>
      </c>
      <c r="B4365" t="s">
        <v>5</v>
      </c>
      <c r="C4365">
        <v>40</v>
      </c>
      <c r="D4365">
        <v>87.483999999999995</v>
      </c>
    </row>
    <row r="4366" spans="1:4" x14ac:dyDescent="0.25">
      <c r="A4366" t="s">
        <v>9</v>
      </c>
      <c r="B4366" t="s">
        <v>5</v>
      </c>
      <c r="C4366">
        <v>40</v>
      </c>
      <c r="D4366">
        <v>68.462999999999994</v>
      </c>
    </row>
    <row r="4367" spans="1:4" x14ac:dyDescent="0.25">
      <c r="A4367" t="s">
        <v>9</v>
      </c>
      <c r="B4367" t="s">
        <v>5</v>
      </c>
      <c r="C4367">
        <v>40</v>
      </c>
      <c r="D4367">
        <v>85.265000000000001</v>
      </c>
    </row>
    <row r="4368" spans="1:4" x14ac:dyDescent="0.25">
      <c r="A4368" t="s">
        <v>9</v>
      </c>
      <c r="B4368" t="s">
        <v>5</v>
      </c>
      <c r="C4368">
        <v>40</v>
      </c>
      <c r="D4368">
        <v>73.536000000000001</v>
      </c>
    </row>
    <row r="4369" spans="1:4" x14ac:dyDescent="0.25">
      <c r="A4369" t="s">
        <v>9</v>
      </c>
      <c r="B4369" t="s">
        <v>5</v>
      </c>
      <c r="C4369">
        <v>40</v>
      </c>
      <c r="D4369">
        <v>73.682000000000002</v>
      </c>
    </row>
    <row r="4370" spans="1:4" x14ac:dyDescent="0.25">
      <c r="A4370" t="s">
        <v>9</v>
      </c>
      <c r="B4370" t="s">
        <v>5</v>
      </c>
      <c r="C4370">
        <v>40</v>
      </c>
      <c r="D4370">
        <v>77.828000000000003</v>
      </c>
    </row>
    <row r="4371" spans="1:4" x14ac:dyDescent="0.25">
      <c r="A4371" t="s">
        <v>9</v>
      </c>
      <c r="B4371" t="s">
        <v>5</v>
      </c>
      <c r="C4371">
        <v>40</v>
      </c>
      <c r="D4371">
        <v>82.119</v>
      </c>
    </row>
    <row r="4372" spans="1:4" x14ac:dyDescent="0.25">
      <c r="A4372" t="s">
        <v>9</v>
      </c>
      <c r="B4372" t="s">
        <v>5</v>
      </c>
      <c r="C4372">
        <v>40</v>
      </c>
      <c r="D4372">
        <v>75.462999999999994</v>
      </c>
    </row>
    <row r="4373" spans="1:4" x14ac:dyDescent="0.25">
      <c r="A4373" t="s">
        <v>9</v>
      </c>
      <c r="B4373" t="s">
        <v>5</v>
      </c>
      <c r="C4373">
        <v>40</v>
      </c>
      <c r="D4373">
        <v>77.680999999999997</v>
      </c>
    </row>
    <row r="4374" spans="1:4" x14ac:dyDescent="0.25">
      <c r="A4374" t="s">
        <v>9</v>
      </c>
      <c r="B4374" t="s">
        <v>5</v>
      </c>
      <c r="C4374">
        <v>40</v>
      </c>
      <c r="D4374">
        <v>85.557000000000002</v>
      </c>
    </row>
    <row r="4375" spans="1:4" x14ac:dyDescent="0.25">
      <c r="A4375" t="s">
        <v>9</v>
      </c>
      <c r="B4375" t="s">
        <v>5</v>
      </c>
      <c r="C4375">
        <v>40</v>
      </c>
      <c r="D4375">
        <v>77.828000000000003</v>
      </c>
    </row>
    <row r="4376" spans="1:4" x14ac:dyDescent="0.25">
      <c r="A4376" t="s">
        <v>9</v>
      </c>
      <c r="B4376" t="s">
        <v>5</v>
      </c>
      <c r="C4376">
        <v>40</v>
      </c>
      <c r="D4376">
        <v>86.12</v>
      </c>
    </row>
    <row r="4377" spans="1:4" x14ac:dyDescent="0.25">
      <c r="A4377" t="s">
        <v>9</v>
      </c>
      <c r="B4377" t="s">
        <v>5</v>
      </c>
      <c r="C4377">
        <v>40</v>
      </c>
      <c r="D4377">
        <v>79.828000000000003</v>
      </c>
    </row>
    <row r="4378" spans="1:4" x14ac:dyDescent="0.25">
      <c r="A4378" t="s">
        <v>9</v>
      </c>
      <c r="B4378" t="s">
        <v>5</v>
      </c>
      <c r="C4378">
        <v>40</v>
      </c>
      <c r="D4378">
        <v>73.608999999999995</v>
      </c>
    </row>
    <row r="4379" spans="1:4" x14ac:dyDescent="0.25">
      <c r="A4379" t="s">
        <v>9</v>
      </c>
      <c r="B4379" t="s">
        <v>5</v>
      </c>
      <c r="C4379">
        <v>40</v>
      </c>
      <c r="D4379">
        <v>81.337999999999994</v>
      </c>
    </row>
    <row r="4380" spans="1:4" x14ac:dyDescent="0.25">
      <c r="A4380" t="s">
        <v>9</v>
      </c>
      <c r="B4380" t="s">
        <v>5</v>
      </c>
      <c r="C4380">
        <v>40</v>
      </c>
      <c r="D4380">
        <v>77.754999999999995</v>
      </c>
    </row>
    <row r="4381" spans="1:4" x14ac:dyDescent="0.25">
      <c r="A4381" t="s">
        <v>9</v>
      </c>
      <c r="B4381" t="s">
        <v>5</v>
      </c>
      <c r="C4381">
        <v>40</v>
      </c>
      <c r="D4381">
        <v>76.900000000000006</v>
      </c>
    </row>
    <row r="4382" spans="1:4" x14ac:dyDescent="0.25">
      <c r="A4382" t="s">
        <v>9</v>
      </c>
      <c r="B4382" t="s">
        <v>5</v>
      </c>
      <c r="C4382">
        <v>40</v>
      </c>
      <c r="D4382">
        <v>78.462999999999994</v>
      </c>
    </row>
    <row r="4383" spans="1:4" x14ac:dyDescent="0.25">
      <c r="A4383" t="s">
        <v>9</v>
      </c>
      <c r="B4383" t="s">
        <v>5</v>
      </c>
      <c r="C4383">
        <v>40</v>
      </c>
      <c r="D4383">
        <v>71.39</v>
      </c>
    </row>
    <row r="4384" spans="1:4" x14ac:dyDescent="0.25">
      <c r="A4384" t="s">
        <v>9</v>
      </c>
      <c r="B4384" t="s">
        <v>5</v>
      </c>
      <c r="C4384">
        <v>40</v>
      </c>
      <c r="D4384">
        <v>82.191999999999993</v>
      </c>
    </row>
    <row r="4385" spans="1:4" x14ac:dyDescent="0.25">
      <c r="A4385" t="s">
        <v>9</v>
      </c>
      <c r="B4385" t="s">
        <v>5</v>
      </c>
      <c r="C4385">
        <v>40</v>
      </c>
      <c r="D4385">
        <v>73.608999999999995</v>
      </c>
    </row>
    <row r="4386" spans="1:4" x14ac:dyDescent="0.25">
      <c r="A4386" t="s">
        <v>9</v>
      </c>
      <c r="B4386" t="s">
        <v>5</v>
      </c>
      <c r="C4386">
        <v>40</v>
      </c>
      <c r="D4386">
        <v>69.39</v>
      </c>
    </row>
    <row r="4387" spans="1:4" x14ac:dyDescent="0.25">
      <c r="A4387" t="s">
        <v>9</v>
      </c>
      <c r="B4387" t="s">
        <v>5</v>
      </c>
      <c r="C4387">
        <v>40</v>
      </c>
      <c r="D4387">
        <v>82.191999999999993</v>
      </c>
    </row>
    <row r="4388" spans="1:4" x14ac:dyDescent="0.25">
      <c r="A4388" t="s">
        <v>9</v>
      </c>
      <c r="B4388" t="s">
        <v>5</v>
      </c>
      <c r="C4388">
        <v>40</v>
      </c>
      <c r="D4388">
        <v>73.536000000000001</v>
      </c>
    </row>
    <row r="4389" spans="1:4" x14ac:dyDescent="0.25">
      <c r="A4389" t="s">
        <v>9</v>
      </c>
      <c r="B4389" t="s">
        <v>5</v>
      </c>
      <c r="C4389">
        <v>40</v>
      </c>
      <c r="D4389">
        <v>81.337999999999994</v>
      </c>
    </row>
    <row r="4390" spans="1:4" x14ac:dyDescent="0.25">
      <c r="A4390" t="s">
        <v>9</v>
      </c>
      <c r="B4390" t="s">
        <v>5</v>
      </c>
      <c r="C4390">
        <v>40</v>
      </c>
      <c r="D4390">
        <v>83.046999999999997</v>
      </c>
    </row>
    <row r="4391" spans="1:4" x14ac:dyDescent="0.25">
      <c r="A4391" t="s">
        <v>9</v>
      </c>
      <c r="B4391" t="s">
        <v>5</v>
      </c>
      <c r="C4391">
        <v>40</v>
      </c>
      <c r="D4391">
        <v>71.536000000000001</v>
      </c>
    </row>
    <row r="4392" spans="1:4" x14ac:dyDescent="0.25">
      <c r="A4392" t="s">
        <v>9</v>
      </c>
      <c r="B4392" t="s">
        <v>5</v>
      </c>
      <c r="C4392">
        <v>40</v>
      </c>
      <c r="D4392">
        <v>79.191999999999993</v>
      </c>
    </row>
    <row r="4393" spans="1:4" x14ac:dyDescent="0.25">
      <c r="A4393" t="s">
        <v>9</v>
      </c>
      <c r="B4393" t="s">
        <v>5</v>
      </c>
      <c r="C4393">
        <v>40</v>
      </c>
      <c r="D4393">
        <v>81.046999999999997</v>
      </c>
    </row>
    <row r="4394" spans="1:4" x14ac:dyDescent="0.25">
      <c r="A4394" t="s">
        <v>9</v>
      </c>
      <c r="B4394" t="s">
        <v>5</v>
      </c>
      <c r="C4394">
        <v>40</v>
      </c>
      <c r="D4394">
        <v>74.608999999999995</v>
      </c>
    </row>
    <row r="4395" spans="1:4" x14ac:dyDescent="0.25">
      <c r="A4395" t="s">
        <v>9</v>
      </c>
      <c r="B4395" t="s">
        <v>5</v>
      </c>
      <c r="C4395">
        <v>40</v>
      </c>
      <c r="D4395">
        <v>73.39</v>
      </c>
    </row>
    <row r="4396" spans="1:4" x14ac:dyDescent="0.25">
      <c r="A4396" t="s">
        <v>9</v>
      </c>
      <c r="B4396" t="s">
        <v>5</v>
      </c>
      <c r="C4396">
        <v>40</v>
      </c>
      <c r="D4396">
        <v>75.119</v>
      </c>
    </row>
    <row r="4397" spans="1:4" x14ac:dyDescent="0.25">
      <c r="A4397" t="s">
        <v>9</v>
      </c>
      <c r="B4397" t="s">
        <v>5</v>
      </c>
      <c r="C4397">
        <v>40</v>
      </c>
      <c r="D4397">
        <v>77.754999999999995</v>
      </c>
    </row>
    <row r="4398" spans="1:4" x14ac:dyDescent="0.25">
      <c r="A4398" t="s">
        <v>9</v>
      </c>
      <c r="B4398" t="s">
        <v>5</v>
      </c>
      <c r="C4398">
        <v>40</v>
      </c>
      <c r="D4398">
        <v>71.316999999999993</v>
      </c>
    </row>
    <row r="4399" spans="1:4" x14ac:dyDescent="0.25">
      <c r="A4399" t="s">
        <v>9</v>
      </c>
      <c r="B4399" t="s">
        <v>5</v>
      </c>
      <c r="C4399">
        <v>40</v>
      </c>
      <c r="D4399">
        <v>69.462999999999994</v>
      </c>
    </row>
    <row r="4400" spans="1:4" x14ac:dyDescent="0.25">
      <c r="A4400" t="s">
        <v>9</v>
      </c>
      <c r="B4400" t="s">
        <v>5</v>
      </c>
      <c r="C4400">
        <v>40</v>
      </c>
      <c r="D4400">
        <v>83.191999999999993</v>
      </c>
    </row>
    <row r="4401" spans="1:4" x14ac:dyDescent="0.25">
      <c r="A4401" t="s">
        <v>9</v>
      </c>
      <c r="B4401" t="s">
        <v>5</v>
      </c>
      <c r="C4401">
        <v>40</v>
      </c>
      <c r="D4401">
        <v>77.900999999999996</v>
      </c>
    </row>
    <row r="4402" spans="1:4" x14ac:dyDescent="0.25">
      <c r="A4402" t="s">
        <v>9</v>
      </c>
      <c r="B4402" t="s">
        <v>5</v>
      </c>
      <c r="C4402">
        <v>60</v>
      </c>
      <c r="D4402">
        <v>116.09</v>
      </c>
    </row>
    <row r="4403" spans="1:4" x14ac:dyDescent="0.25">
      <c r="A4403" t="s">
        <v>9</v>
      </c>
      <c r="B4403" t="s">
        <v>5</v>
      </c>
      <c r="C4403">
        <v>60</v>
      </c>
      <c r="D4403">
        <v>103.57899999999999</v>
      </c>
    </row>
    <row r="4404" spans="1:4" x14ac:dyDescent="0.25">
      <c r="A4404" t="s">
        <v>9</v>
      </c>
      <c r="B4404" t="s">
        <v>5</v>
      </c>
      <c r="C4404">
        <v>60</v>
      </c>
      <c r="D4404">
        <v>104.652</v>
      </c>
    </row>
    <row r="4405" spans="1:4" x14ac:dyDescent="0.25">
      <c r="A4405" t="s">
        <v>9</v>
      </c>
      <c r="B4405" t="s">
        <v>5</v>
      </c>
      <c r="C4405">
        <v>60</v>
      </c>
      <c r="D4405">
        <v>120.871</v>
      </c>
    </row>
    <row r="4406" spans="1:4" x14ac:dyDescent="0.25">
      <c r="A4406" t="s">
        <v>9</v>
      </c>
      <c r="B4406" t="s">
        <v>5</v>
      </c>
      <c r="C4406">
        <v>60</v>
      </c>
      <c r="D4406">
        <v>121.798</v>
      </c>
    </row>
    <row r="4407" spans="1:4" x14ac:dyDescent="0.25">
      <c r="A4407" t="s">
        <v>9</v>
      </c>
      <c r="B4407" t="s">
        <v>5</v>
      </c>
      <c r="C4407">
        <v>60</v>
      </c>
      <c r="D4407">
        <v>102.995</v>
      </c>
    </row>
    <row r="4408" spans="1:4" x14ac:dyDescent="0.25">
      <c r="A4408" t="s">
        <v>9</v>
      </c>
      <c r="B4408" t="s">
        <v>5</v>
      </c>
      <c r="C4408">
        <v>60</v>
      </c>
      <c r="D4408">
        <v>101.214</v>
      </c>
    </row>
    <row r="4409" spans="1:4" x14ac:dyDescent="0.25">
      <c r="A4409" t="s">
        <v>9</v>
      </c>
      <c r="B4409" t="s">
        <v>5</v>
      </c>
      <c r="C4409">
        <v>60</v>
      </c>
      <c r="D4409">
        <v>109.28700000000001</v>
      </c>
    </row>
    <row r="4410" spans="1:4" x14ac:dyDescent="0.25">
      <c r="A4410" t="s">
        <v>9</v>
      </c>
      <c r="B4410" t="s">
        <v>5</v>
      </c>
      <c r="C4410">
        <v>60</v>
      </c>
      <c r="D4410">
        <v>121.455</v>
      </c>
    </row>
    <row r="4411" spans="1:4" x14ac:dyDescent="0.25">
      <c r="A4411" t="s">
        <v>9</v>
      </c>
      <c r="B4411" t="s">
        <v>5</v>
      </c>
      <c r="C4411">
        <v>60</v>
      </c>
      <c r="D4411">
        <v>105.652</v>
      </c>
    </row>
    <row r="4412" spans="1:4" x14ac:dyDescent="0.25">
      <c r="A4412" t="s">
        <v>9</v>
      </c>
      <c r="B4412" t="s">
        <v>5</v>
      </c>
      <c r="C4412">
        <v>60</v>
      </c>
      <c r="D4412">
        <v>107.944</v>
      </c>
    </row>
    <row r="4413" spans="1:4" x14ac:dyDescent="0.25">
      <c r="A4413" t="s">
        <v>9</v>
      </c>
      <c r="B4413" t="s">
        <v>5</v>
      </c>
      <c r="C4413">
        <v>60</v>
      </c>
      <c r="D4413">
        <v>93.775999999999996</v>
      </c>
    </row>
    <row r="4414" spans="1:4" x14ac:dyDescent="0.25">
      <c r="A4414" t="s">
        <v>9</v>
      </c>
      <c r="B4414" t="s">
        <v>5</v>
      </c>
      <c r="C4414">
        <v>60</v>
      </c>
      <c r="D4414">
        <v>102.36</v>
      </c>
    </row>
    <row r="4415" spans="1:4" x14ac:dyDescent="0.25">
      <c r="A4415" t="s">
        <v>9</v>
      </c>
      <c r="B4415" t="s">
        <v>5</v>
      </c>
      <c r="C4415">
        <v>60</v>
      </c>
      <c r="D4415">
        <v>113.506</v>
      </c>
    </row>
    <row r="4416" spans="1:4" x14ac:dyDescent="0.25">
      <c r="A4416" t="s">
        <v>9</v>
      </c>
      <c r="B4416" t="s">
        <v>5</v>
      </c>
      <c r="C4416">
        <v>60</v>
      </c>
      <c r="D4416">
        <v>106.28700000000001</v>
      </c>
    </row>
    <row r="4417" spans="1:4" x14ac:dyDescent="0.25">
      <c r="A4417" t="s">
        <v>9</v>
      </c>
      <c r="B4417" t="s">
        <v>5</v>
      </c>
      <c r="C4417">
        <v>60</v>
      </c>
      <c r="D4417">
        <v>106.798</v>
      </c>
    </row>
    <row r="4418" spans="1:4" x14ac:dyDescent="0.25">
      <c r="A4418" t="s">
        <v>9</v>
      </c>
      <c r="B4418" t="s">
        <v>5</v>
      </c>
      <c r="C4418">
        <v>60</v>
      </c>
      <c r="D4418">
        <v>100.14100000000001</v>
      </c>
    </row>
    <row r="4419" spans="1:4" x14ac:dyDescent="0.25">
      <c r="A4419" t="s">
        <v>9</v>
      </c>
      <c r="B4419" t="s">
        <v>5</v>
      </c>
      <c r="C4419">
        <v>60</v>
      </c>
      <c r="D4419">
        <v>111.871</v>
      </c>
    </row>
    <row r="4420" spans="1:4" x14ac:dyDescent="0.25">
      <c r="A4420" t="s">
        <v>9</v>
      </c>
      <c r="B4420" t="s">
        <v>5</v>
      </c>
      <c r="C4420">
        <v>60</v>
      </c>
      <c r="D4420">
        <v>96.921999999999997</v>
      </c>
    </row>
    <row r="4421" spans="1:4" x14ac:dyDescent="0.25">
      <c r="A4421" t="s">
        <v>9</v>
      </c>
      <c r="B4421" t="s">
        <v>5</v>
      </c>
      <c r="C4421">
        <v>60</v>
      </c>
      <c r="D4421">
        <v>107.43300000000001</v>
      </c>
    </row>
    <row r="4422" spans="1:4" x14ac:dyDescent="0.25">
      <c r="A4422" t="s">
        <v>9</v>
      </c>
      <c r="B4422" t="s">
        <v>5</v>
      </c>
      <c r="C4422">
        <v>60</v>
      </c>
      <c r="D4422">
        <v>115.09</v>
      </c>
    </row>
    <row r="4423" spans="1:4" x14ac:dyDescent="0.25">
      <c r="A4423" t="s">
        <v>9</v>
      </c>
      <c r="B4423" t="s">
        <v>5</v>
      </c>
      <c r="C4423">
        <v>60</v>
      </c>
      <c r="D4423">
        <v>114.09</v>
      </c>
    </row>
    <row r="4424" spans="1:4" x14ac:dyDescent="0.25">
      <c r="A4424" t="s">
        <v>9</v>
      </c>
      <c r="B4424" t="s">
        <v>5</v>
      </c>
      <c r="C4424">
        <v>60</v>
      </c>
      <c r="D4424">
        <v>105.43300000000001</v>
      </c>
    </row>
    <row r="4425" spans="1:4" x14ac:dyDescent="0.25">
      <c r="A4425" t="s">
        <v>9</v>
      </c>
      <c r="B4425" t="s">
        <v>5</v>
      </c>
      <c r="C4425">
        <v>60</v>
      </c>
      <c r="D4425">
        <v>117.017</v>
      </c>
    </row>
    <row r="4426" spans="1:4" x14ac:dyDescent="0.25">
      <c r="A4426" t="s">
        <v>9</v>
      </c>
      <c r="B4426" t="s">
        <v>5</v>
      </c>
      <c r="C4426">
        <v>60</v>
      </c>
      <c r="D4426">
        <v>119.09</v>
      </c>
    </row>
    <row r="4427" spans="1:4" x14ac:dyDescent="0.25">
      <c r="A4427" t="s">
        <v>9</v>
      </c>
      <c r="B4427" t="s">
        <v>5</v>
      </c>
      <c r="C4427">
        <v>60</v>
      </c>
      <c r="D4427">
        <v>103.43300000000001</v>
      </c>
    </row>
    <row r="4428" spans="1:4" x14ac:dyDescent="0.25">
      <c r="A4428" t="s">
        <v>9</v>
      </c>
      <c r="B4428" t="s">
        <v>5</v>
      </c>
      <c r="C4428">
        <v>60</v>
      </c>
      <c r="D4428">
        <v>107.43300000000001</v>
      </c>
    </row>
    <row r="4429" spans="1:4" x14ac:dyDescent="0.25">
      <c r="A4429" t="s">
        <v>9</v>
      </c>
      <c r="B4429" t="s">
        <v>5</v>
      </c>
      <c r="C4429">
        <v>60</v>
      </c>
      <c r="D4429">
        <v>104.36</v>
      </c>
    </row>
    <row r="4430" spans="1:4" x14ac:dyDescent="0.25">
      <c r="A4430" t="s">
        <v>9</v>
      </c>
      <c r="B4430" t="s">
        <v>5</v>
      </c>
      <c r="C4430">
        <v>60</v>
      </c>
      <c r="D4430">
        <v>110.652</v>
      </c>
    </row>
    <row r="4431" spans="1:4" x14ac:dyDescent="0.25">
      <c r="A4431" t="s">
        <v>9</v>
      </c>
      <c r="B4431" t="s">
        <v>5</v>
      </c>
      <c r="C4431">
        <v>60</v>
      </c>
      <c r="D4431">
        <v>92.995000000000005</v>
      </c>
    </row>
    <row r="4432" spans="1:4" x14ac:dyDescent="0.25">
      <c r="A4432" t="s">
        <v>9</v>
      </c>
      <c r="B4432" t="s">
        <v>5</v>
      </c>
      <c r="C4432">
        <v>60</v>
      </c>
      <c r="D4432">
        <v>108.14100000000001</v>
      </c>
    </row>
    <row r="4433" spans="1:4" x14ac:dyDescent="0.25">
      <c r="A4433" t="s">
        <v>9</v>
      </c>
      <c r="B4433" t="s">
        <v>5</v>
      </c>
      <c r="C4433">
        <v>60</v>
      </c>
      <c r="D4433">
        <v>106.506</v>
      </c>
    </row>
    <row r="4434" spans="1:4" x14ac:dyDescent="0.25">
      <c r="A4434" t="s">
        <v>9</v>
      </c>
      <c r="B4434" t="s">
        <v>5</v>
      </c>
      <c r="C4434">
        <v>60</v>
      </c>
      <c r="D4434">
        <v>107.43300000000001</v>
      </c>
    </row>
    <row r="4435" spans="1:4" x14ac:dyDescent="0.25">
      <c r="A4435" t="s">
        <v>9</v>
      </c>
      <c r="B4435" t="s">
        <v>5</v>
      </c>
      <c r="C4435">
        <v>60</v>
      </c>
      <c r="D4435">
        <v>110.14100000000001</v>
      </c>
    </row>
    <row r="4436" spans="1:4" x14ac:dyDescent="0.25">
      <c r="A4436" t="s">
        <v>9</v>
      </c>
      <c r="B4436" t="s">
        <v>5</v>
      </c>
      <c r="C4436">
        <v>60</v>
      </c>
      <c r="D4436">
        <v>103.849</v>
      </c>
    </row>
    <row r="4437" spans="1:4" x14ac:dyDescent="0.25">
      <c r="A4437" t="s">
        <v>9</v>
      </c>
      <c r="B4437" t="s">
        <v>5</v>
      </c>
      <c r="C4437">
        <v>60</v>
      </c>
      <c r="D4437">
        <v>98.067999999999998</v>
      </c>
    </row>
    <row r="4438" spans="1:4" x14ac:dyDescent="0.25">
      <c r="A4438" t="s">
        <v>9</v>
      </c>
      <c r="B4438" t="s">
        <v>5</v>
      </c>
      <c r="C4438">
        <v>60</v>
      </c>
      <c r="D4438">
        <v>115.506</v>
      </c>
    </row>
    <row r="4439" spans="1:4" x14ac:dyDescent="0.25">
      <c r="A4439" t="s">
        <v>9</v>
      </c>
      <c r="B4439" t="s">
        <v>5</v>
      </c>
      <c r="C4439">
        <v>60</v>
      </c>
      <c r="D4439">
        <v>126.38200000000001</v>
      </c>
    </row>
    <row r="4440" spans="1:4" x14ac:dyDescent="0.25">
      <c r="A4440" t="s">
        <v>9</v>
      </c>
      <c r="B4440" t="s">
        <v>5</v>
      </c>
      <c r="C4440">
        <v>60</v>
      </c>
      <c r="D4440">
        <v>108.36</v>
      </c>
    </row>
    <row r="4441" spans="1:4" x14ac:dyDescent="0.25">
      <c r="A4441" t="s">
        <v>9</v>
      </c>
      <c r="B4441" t="s">
        <v>5</v>
      </c>
      <c r="C4441">
        <v>60</v>
      </c>
      <c r="D4441">
        <v>106.944</v>
      </c>
    </row>
    <row r="4442" spans="1:4" x14ac:dyDescent="0.25">
      <c r="A4442" t="s">
        <v>9</v>
      </c>
      <c r="B4442" t="s">
        <v>5</v>
      </c>
      <c r="C4442">
        <v>60</v>
      </c>
      <c r="D4442">
        <v>105.43300000000001</v>
      </c>
    </row>
    <row r="4443" spans="1:4" x14ac:dyDescent="0.25">
      <c r="A4443" t="s">
        <v>9</v>
      </c>
      <c r="B4443" t="s">
        <v>5</v>
      </c>
      <c r="C4443">
        <v>60</v>
      </c>
      <c r="D4443">
        <v>118.798</v>
      </c>
    </row>
    <row r="4444" spans="1:4" x14ac:dyDescent="0.25">
      <c r="A4444" t="s">
        <v>9</v>
      </c>
      <c r="B4444" t="s">
        <v>5</v>
      </c>
      <c r="C4444">
        <v>60</v>
      </c>
      <c r="D4444">
        <v>119.652</v>
      </c>
    </row>
    <row r="4445" spans="1:4" x14ac:dyDescent="0.25">
      <c r="A4445" t="s">
        <v>9</v>
      </c>
      <c r="B4445" t="s">
        <v>5</v>
      </c>
      <c r="C4445">
        <v>60</v>
      </c>
      <c r="D4445">
        <v>108.506</v>
      </c>
    </row>
    <row r="4446" spans="1:4" x14ac:dyDescent="0.25">
      <c r="A4446" t="s">
        <v>9</v>
      </c>
      <c r="B4446" t="s">
        <v>5</v>
      </c>
      <c r="C4446">
        <v>60</v>
      </c>
      <c r="D4446">
        <v>103.923</v>
      </c>
    </row>
    <row r="4447" spans="1:4" x14ac:dyDescent="0.25">
      <c r="A4447" t="s">
        <v>9</v>
      </c>
      <c r="B4447" t="s">
        <v>5</v>
      </c>
      <c r="C4447">
        <v>60</v>
      </c>
      <c r="D4447">
        <v>118.944</v>
      </c>
    </row>
    <row r="4448" spans="1:4" x14ac:dyDescent="0.25">
      <c r="A4448" t="s">
        <v>9</v>
      </c>
      <c r="B4448" t="s">
        <v>5</v>
      </c>
      <c r="C4448">
        <v>60</v>
      </c>
      <c r="D4448">
        <v>101.36</v>
      </c>
    </row>
    <row r="4449" spans="1:4" x14ac:dyDescent="0.25">
      <c r="A4449" t="s">
        <v>9</v>
      </c>
      <c r="B4449" t="s">
        <v>5</v>
      </c>
      <c r="C4449">
        <v>60</v>
      </c>
      <c r="D4449">
        <v>120.309</v>
      </c>
    </row>
    <row r="4450" spans="1:4" x14ac:dyDescent="0.25">
      <c r="A4450" t="s">
        <v>9</v>
      </c>
      <c r="B4450" t="s">
        <v>5</v>
      </c>
      <c r="C4450">
        <v>60</v>
      </c>
      <c r="D4450">
        <v>97.067999999999998</v>
      </c>
    </row>
    <row r="4451" spans="1:4" x14ac:dyDescent="0.25">
      <c r="A4451" t="s">
        <v>9</v>
      </c>
      <c r="B4451" t="s">
        <v>5</v>
      </c>
      <c r="C4451">
        <v>60</v>
      </c>
      <c r="D4451">
        <v>102.142</v>
      </c>
    </row>
    <row r="4452" spans="1:4" x14ac:dyDescent="0.25">
      <c r="A4452" t="s">
        <v>9</v>
      </c>
      <c r="B4452" t="s">
        <v>5</v>
      </c>
      <c r="C4452">
        <v>60</v>
      </c>
      <c r="D4452">
        <v>100.36</v>
      </c>
    </row>
    <row r="4453" spans="1:4" x14ac:dyDescent="0.25">
      <c r="A4453" t="s">
        <v>9</v>
      </c>
      <c r="B4453" t="s">
        <v>5</v>
      </c>
      <c r="C4453">
        <v>60</v>
      </c>
      <c r="D4453">
        <v>105.72499999999999</v>
      </c>
    </row>
    <row r="4454" spans="1:4" x14ac:dyDescent="0.25">
      <c r="A4454" t="s">
        <v>9</v>
      </c>
      <c r="B4454" t="s">
        <v>5</v>
      </c>
      <c r="C4454">
        <v>60</v>
      </c>
      <c r="D4454">
        <v>105.57899999999999</v>
      </c>
    </row>
    <row r="4455" spans="1:4" x14ac:dyDescent="0.25">
      <c r="A4455" t="s">
        <v>9</v>
      </c>
      <c r="B4455" t="s">
        <v>5</v>
      </c>
      <c r="C4455">
        <v>60</v>
      </c>
      <c r="D4455">
        <v>101.14100000000001</v>
      </c>
    </row>
    <row r="4456" spans="1:4" x14ac:dyDescent="0.25">
      <c r="A4456" t="s">
        <v>9</v>
      </c>
      <c r="B4456" t="s">
        <v>5</v>
      </c>
      <c r="C4456">
        <v>60</v>
      </c>
      <c r="D4456">
        <v>109.944</v>
      </c>
    </row>
    <row r="4457" spans="1:4" x14ac:dyDescent="0.25">
      <c r="A4457" t="s">
        <v>9</v>
      </c>
      <c r="B4457" t="s">
        <v>5</v>
      </c>
      <c r="C4457">
        <v>60</v>
      </c>
      <c r="D4457">
        <v>121.09</v>
      </c>
    </row>
    <row r="4458" spans="1:4" x14ac:dyDescent="0.25">
      <c r="A4458" t="s">
        <v>9</v>
      </c>
      <c r="B4458" t="s">
        <v>5</v>
      </c>
      <c r="C4458">
        <v>60</v>
      </c>
      <c r="D4458">
        <v>102.506</v>
      </c>
    </row>
    <row r="4459" spans="1:4" x14ac:dyDescent="0.25">
      <c r="A4459" t="s">
        <v>9</v>
      </c>
      <c r="B4459" t="s">
        <v>5</v>
      </c>
      <c r="C4459">
        <v>60</v>
      </c>
      <c r="D4459">
        <v>108.923</v>
      </c>
    </row>
    <row r="4460" spans="1:4" x14ac:dyDescent="0.25">
      <c r="A4460" t="s">
        <v>9</v>
      </c>
      <c r="B4460" t="s">
        <v>5</v>
      </c>
      <c r="C4460">
        <v>60</v>
      </c>
      <c r="D4460">
        <v>104.871</v>
      </c>
    </row>
    <row r="4461" spans="1:4" x14ac:dyDescent="0.25">
      <c r="A4461" t="s">
        <v>9</v>
      </c>
      <c r="B4461" t="s">
        <v>5</v>
      </c>
      <c r="C4461">
        <v>60</v>
      </c>
      <c r="D4461">
        <v>111.43300000000001</v>
      </c>
    </row>
    <row r="4462" spans="1:4" x14ac:dyDescent="0.25">
      <c r="A4462" t="s">
        <v>9</v>
      </c>
      <c r="B4462" t="s">
        <v>5</v>
      </c>
      <c r="C4462">
        <v>60</v>
      </c>
      <c r="D4462">
        <v>102.798</v>
      </c>
    </row>
    <row r="4463" spans="1:4" x14ac:dyDescent="0.25">
      <c r="A4463" t="s">
        <v>9</v>
      </c>
      <c r="B4463" t="s">
        <v>5</v>
      </c>
      <c r="C4463">
        <v>60</v>
      </c>
      <c r="D4463">
        <v>89.63</v>
      </c>
    </row>
    <row r="4464" spans="1:4" x14ac:dyDescent="0.25">
      <c r="A4464" t="s">
        <v>9</v>
      </c>
      <c r="B4464" t="s">
        <v>5</v>
      </c>
      <c r="C4464">
        <v>60</v>
      </c>
      <c r="D4464">
        <v>120.163</v>
      </c>
    </row>
    <row r="4465" spans="1:4" x14ac:dyDescent="0.25">
      <c r="A4465" t="s">
        <v>9</v>
      </c>
      <c r="B4465" t="s">
        <v>5</v>
      </c>
      <c r="C4465">
        <v>60</v>
      </c>
      <c r="D4465">
        <v>108.798</v>
      </c>
    </row>
    <row r="4466" spans="1:4" x14ac:dyDescent="0.25">
      <c r="A4466" t="s">
        <v>9</v>
      </c>
      <c r="B4466" t="s">
        <v>5</v>
      </c>
      <c r="C4466">
        <v>60</v>
      </c>
      <c r="D4466">
        <v>108.506</v>
      </c>
    </row>
    <row r="4467" spans="1:4" x14ac:dyDescent="0.25">
      <c r="A4467" t="s">
        <v>9</v>
      </c>
      <c r="B4467" t="s">
        <v>5</v>
      </c>
      <c r="C4467">
        <v>60</v>
      </c>
      <c r="D4467">
        <v>99.36</v>
      </c>
    </row>
    <row r="4468" spans="1:4" x14ac:dyDescent="0.25">
      <c r="A4468" t="s">
        <v>9</v>
      </c>
      <c r="B4468" t="s">
        <v>5</v>
      </c>
      <c r="C4468">
        <v>60</v>
      </c>
      <c r="D4468">
        <v>124.601</v>
      </c>
    </row>
    <row r="4469" spans="1:4" x14ac:dyDescent="0.25">
      <c r="A4469" t="s">
        <v>9</v>
      </c>
      <c r="B4469" t="s">
        <v>5</v>
      </c>
      <c r="C4469">
        <v>60</v>
      </c>
      <c r="D4469">
        <v>101.43300000000001</v>
      </c>
    </row>
    <row r="4470" spans="1:4" x14ac:dyDescent="0.25">
      <c r="A4470" t="s">
        <v>9</v>
      </c>
      <c r="B4470" t="s">
        <v>5</v>
      </c>
      <c r="C4470">
        <v>60</v>
      </c>
      <c r="D4470">
        <v>104.068</v>
      </c>
    </row>
    <row r="4471" spans="1:4" x14ac:dyDescent="0.25">
      <c r="A4471" t="s">
        <v>9</v>
      </c>
      <c r="B4471" t="s">
        <v>5</v>
      </c>
      <c r="C4471">
        <v>60</v>
      </c>
      <c r="D4471">
        <v>105.995</v>
      </c>
    </row>
    <row r="4472" spans="1:4" x14ac:dyDescent="0.25">
      <c r="A4472" t="s">
        <v>9</v>
      </c>
      <c r="B4472" t="s">
        <v>5</v>
      </c>
      <c r="C4472">
        <v>60</v>
      </c>
      <c r="D4472">
        <v>96.557000000000002</v>
      </c>
    </row>
    <row r="4473" spans="1:4" x14ac:dyDescent="0.25">
      <c r="A4473" t="s">
        <v>9</v>
      </c>
      <c r="B4473" t="s">
        <v>5</v>
      </c>
      <c r="C4473">
        <v>60</v>
      </c>
      <c r="D4473">
        <v>111.72499999999999</v>
      </c>
    </row>
    <row r="4474" spans="1:4" x14ac:dyDescent="0.25">
      <c r="A4474" t="s">
        <v>9</v>
      </c>
      <c r="B4474" t="s">
        <v>5</v>
      </c>
      <c r="C4474">
        <v>60</v>
      </c>
      <c r="D4474">
        <v>90.557000000000002</v>
      </c>
    </row>
    <row r="4475" spans="1:4" x14ac:dyDescent="0.25">
      <c r="A4475" t="s">
        <v>9</v>
      </c>
      <c r="B4475" t="s">
        <v>5</v>
      </c>
      <c r="C4475">
        <v>60</v>
      </c>
      <c r="D4475">
        <v>96.483999999999995</v>
      </c>
    </row>
    <row r="4476" spans="1:4" x14ac:dyDescent="0.25">
      <c r="A4476" t="s">
        <v>9</v>
      </c>
      <c r="B4476" t="s">
        <v>5</v>
      </c>
      <c r="C4476">
        <v>60</v>
      </c>
      <c r="D4476">
        <v>105.57899999999999</v>
      </c>
    </row>
    <row r="4477" spans="1:4" x14ac:dyDescent="0.25">
      <c r="A4477" t="s">
        <v>9</v>
      </c>
      <c r="B4477" t="s">
        <v>5</v>
      </c>
      <c r="C4477">
        <v>60</v>
      </c>
      <c r="D4477">
        <v>117.871</v>
      </c>
    </row>
    <row r="4478" spans="1:4" x14ac:dyDescent="0.25">
      <c r="A4478" t="s">
        <v>9</v>
      </c>
      <c r="B4478" t="s">
        <v>5</v>
      </c>
      <c r="C4478">
        <v>60</v>
      </c>
      <c r="D4478">
        <v>116.309</v>
      </c>
    </row>
    <row r="4479" spans="1:4" x14ac:dyDescent="0.25">
      <c r="A4479" t="s">
        <v>9</v>
      </c>
      <c r="B4479" t="s">
        <v>5</v>
      </c>
      <c r="C4479">
        <v>60</v>
      </c>
      <c r="D4479">
        <v>106.43300000000001</v>
      </c>
    </row>
    <row r="4480" spans="1:4" x14ac:dyDescent="0.25">
      <c r="A4480" t="s">
        <v>9</v>
      </c>
      <c r="B4480" t="s">
        <v>5</v>
      </c>
      <c r="C4480">
        <v>60</v>
      </c>
      <c r="D4480">
        <v>97.213999999999999</v>
      </c>
    </row>
    <row r="4481" spans="1:4" x14ac:dyDescent="0.25">
      <c r="A4481" t="s">
        <v>9</v>
      </c>
      <c r="B4481" t="s">
        <v>5</v>
      </c>
      <c r="C4481">
        <v>60</v>
      </c>
      <c r="D4481">
        <v>104.068</v>
      </c>
    </row>
    <row r="4482" spans="1:4" x14ac:dyDescent="0.25">
      <c r="A4482" t="s">
        <v>9</v>
      </c>
      <c r="B4482" t="s">
        <v>5</v>
      </c>
      <c r="C4482">
        <v>60</v>
      </c>
      <c r="D4482">
        <v>107.57899999999999</v>
      </c>
    </row>
    <row r="4483" spans="1:4" x14ac:dyDescent="0.25">
      <c r="A4483" t="s">
        <v>9</v>
      </c>
      <c r="B4483" t="s">
        <v>5</v>
      </c>
      <c r="C4483">
        <v>60</v>
      </c>
      <c r="D4483">
        <v>105.28700000000001</v>
      </c>
    </row>
    <row r="4484" spans="1:4" x14ac:dyDescent="0.25">
      <c r="A4484" t="s">
        <v>9</v>
      </c>
      <c r="B4484" t="s">
        <v>5</v>
      </c>
      <c r="C4484">
        <v>60</v>
      </c>
      <c r="D4484">
        <v>111.652</v>
      </c>
    </row>
    <row r="4485" spans="1:4" x14ac:dyDescent="0.25">
      <c r="A4485" t="s">
        <v>9</v>
      </c>
      <c r="B4485" t="s">
        <v>5</v>
      </c>
      <c r="C4485">
        <v>60</v>
      </c>
      <c r="D4485">
        <v>96.067999999999998</v>
      </c>
    </row>
    <row r="4486" spans="1:4" x14ac:dyDescent="0.25">
      <c r="A4486" t="s">
        <v>9</v>
      </c>
      <c r="B4486" t="s">
        <v>5</v>
      </c>
      <c r="C4486">
        <v>60</v>
      </c>
      <c r="D4486">
        <v>111.871</v>
      </c>
    </row>
    <row r="4487" spans="1:4" x14ac:dyDescent="0.25">
      <c r="A4487" t="s">
        <v>9</v>
      </c>
      <c r="B4487" t="s">
        <v>5</v>
      </c>
      <c r="C4487">
        <v>60</v>
      </c>
      <c r="D4487">
        <v>121.309</v>
      </c>
    </row>
    <row r="4488" spans="1:4" x14ac:dyDescent="0.25">
      <c r="A4488" t="s">
        <v>9</v>
      </c>
      <c r="B4488" t="s">
        <v>5</v>
      </c>
      <c r="C4488">
        <v>60</v>
      </c>
      <c r="D4488">
        <v>117.236</v>
      </c>
    </row>
    <row r="4489" spans="1:4" x14ac:dyDescent="0.25">
      <c r="A4489" t="s">
        <v>9</v>
      </c>
      <c r="B4489" t="s">
        <v>5</v>
      </c>
      <c r="C4489">
        <v>60</v>
      </c>
      <c r="D4489">
        <v>119.163</v>
      </c>
    </row>
    <row r="4490" spans="1:4" x14ac:dyDescent="0.25">
      <c r="A4490" t="s">
        <v>9</v>
      </c>
      <c r="B4490" t="s">
        <v>5</v>
      </c>
      <c r="C4490">
        <v>60</v>
      </c>
      <c r="D4490">
        <v>115.163</v>
      </c>
    </row>
    <row r="4491" spans="1:4" x14ac:dyDescent="0.25">
      <c r="A4491" t="s">
        <v>9</v>
      </c>
      <c r="B4491" t="s">
        <v>5</v>
      </c>
      <c r="C4491">
        <v>60</v>
      </c>
      <c r="D4491">
        <v>122.38200000000001</v>
      </c>
    </row>
    <row r="4492" spans="1:4" x14ac:dyDescent="0.25">
      <c r="A4492" t="s">
        <v>9</v>
      </c>
      <c r="B4492" t="s">
        <v>5</v>
      </c>
      <c r="C4492">
        <v>60</v>
      </c>
      <c r="D4492">
        <v>98.631</v>
      </c>
    </row>
    <row r="4493" spans="1:4" x14ac:dyDescent="0.25">
      <c r="A4493" t="s">
        <v>9</v>
      </c>
      <c r="B4493" t="s">
        <v>5</v>
      </c>
      <c r="C4493">
        <v>60</v>
      </c>
      <c r="D4493">
        <v>106.43300000000001</v>
      </c>
    </row>
    <row r="4494" spans="1:4" x14ac:dyDescent="0.25">
      <c r="A4494" t="s">
        <v>9</v>
      </c>
      <c r="B4494" t="s">
        <v>5</v>
      </c>
      <c r="C4494">
        <v>60</v>
      </c>
      <c r="D4494">
        <v>99.213999999999999</v>
      </c>
    </row>
    <row r="4495" spans="1:4" x14ac:dyDescent="0.25">
      <c r="A4495" t="s">
        <v>9</v>
      </c>
      <c r="B4495" t="s">
        <v>5</v>
      </c>
      <c r="C4495">
        <v>60</v>
      </c>
      <c r="D4495">
        <v>122.309</v>
      </c>
    </row>
    <row r="4496" spans="1:4" x14ac:dyDescent="0.25">
      <c r="A4496" t="s">
        <v>9</v>
      </c>
      <c r="B4496" t="s">
        <v>5</v>
      </c>
      <c r="C4496">
        <v>60</v>
      </c>
      <c r="D4496">
        <v>112.871</v>
      </c>
    </row>
    <row r="4497" spans="1:4" x14ac:dyDescent="0.25">
      <c r="A4497" t="s">
        <v>9</v>
      </c>
      <c r="B4497" t="s">
        <v>5</v>
      </c>
      <c r="C4497">
        <v>60</v>
      </c>
      <c r="D4497">
        <v>105.14100000000001</v>
      </c>
    </row>
    <row r="4498" spans="1:4" x14ac:dyDescent="0.25">
      <c r="A4498" t="s">
        <v>9</v>
      </c>
      <c r="B4498" t="s">
        <v>5</v>
      </c>
      <c r="C4498">
        <v>60</v>
      </c>
      <c r="D4498">
        <v>105.43300000000001</v>
      </c>
    </row>
    <row r="4499" spans="1:4" x14ac:dyDescent="0.25">
      <c r="A4499" t="s">
        <v>9</v>
      </c>
      <c r="B4499" t="s">
        <v>5</v>
      </c>
      <c r="C4499">
        <v>60</v>
      </c>
      <c r="D4499">
        <v>95.775999999999996</v>
      </c>
    </row>
    <row r="4500" spans="1:4" x14ac:dyDescent="0.25">
      <c r="A4500" t="s">
        <v>9</v>
      </c>
      <c r="B4500" t="s">
        <v>5</v>
      </c>
      <c r="C4500">
        <v>60</v>
      </c>
      <c r="D4500">
        <v>108.506</v>
      </c>
    </row>
    <row r="4501" spans="1:4" x14ac:dyDescent="0.25">
      <c r="A4501" t="s">
        <v>9</v>
      </c>
      <c r="B4501" t="s">
        <v>5</v>
      </c>
      <c r="C4501">
        <v>60</v>
      </c>
      <c r="D4501">
        <v>97.921999999999997</v>
      </c>
    </row>
    <row r="4502" spans="1:4" x14ac:dyDescent="0.25">
      <c r="A4502" t="s">
        <v>9</v>
      </c>
      <c r="B4502" t="s">
        <v>5</v>
      </c>
      <c r="C4502">
        <v>80</v>
      </c>
      <c r="D4502">
        <v>161.62</v>
      </c>
    </row>
    <row r="4503" spans="1:4" x14ac:dyDescent="0.25">
      <c r="A4503" t="s">
        <v>9</v>
      </c>
      <c r="B4503" t="s">
        <v>5</v>
      </c>
      <c r="C4503">
        <v>80</v>
      </c>
      <c r="D4503">
        <v>145.33099999999999</v>
      </c>
    </row>
    <row r="4504" spans="1:4" x14ac:dyDescent="0.25">
      <c r="A4504" t="s">
        <v>9</v>
      </c>
      <c r="B4504" t="s">
        <v>5</v>
      </c>
      <c r="C4504">
        <v>80</v>
      </c>
      <c r="D4504">
        <v>131.52799999999999</v>
      </c>
    </row>
    <row r="4505" spans="1:4" x14ac:dyDescent="0.25">
      <c r="A4505" t="s">
        <v>9</v>
      </c>
      <c r="B4505" t="s">
        <v>5</v>
      </c>
      <c r="C4505">
        <v>80</v>
      </c>
      <c r="D4505">
        <v>124.163</v>
      </c>
    </row>
    <row r="4506" spans="1:4" x14ac:dyDescent="0.25">
      <c r="A4506" t="s">
        <v>9</v>
      </c>
      <c r="B4506" t="s">
        <v>5</v>
      </c>
      <c r="C4506">
        <v>80</v>
      </c>
      <c r="D4506">
        <v>124.163</v>
      </c>
    </row>
    <row r="4507" spans="1:4" x14ac:dyDescent="0.25">
      <c r="A4507" t="s">
        <v>9</v>
      </c>
      <c r="B4507" t="s">
        <v>5</v>
      </c>
      <c r="C4507">
        <v>80</v>
      </c>
      <c r="D4507">
        <v>134.08699999999999</v>
      </c>
    </row>
    <row r="4508" spans="1:4" x14ac:dyDescent="0.25">
      <c r="A4508" t="s">
        <v>9</v>
      </c>
      <c r="B4508" t="s">
        <v>5</v>
      </c>
      <c r="C4508">
        <v>80</v>
      </c>
      <c r="D4508">
        <v>156.035</v>
      </c>
    </row>
    <row r="4509" spans="1:4" x14ac:dyDescent="0.25">
      <c r="A4509" t="s">
        <v>9</v>
      </c>
      <c r="B4509" t="s">
        <v>5</v>
      </c>
      <c r="C4509">
        <v>80</v>
      </c>
      <c r="D4509">
        <v>128.601</v>
      </c>
    </row>
    <row r="4510" spans="1:4" x14ac:dyDescent="0.25">
      <c r="A4510" t="s">
        <v>9</v>
      </c>
      <c r="B4510" t="s">
        <v>5</v>
      </c>
      <c r="C4510">
        <v>80</v>
      </c>
      <c r="D4510">
        <v>144.67099999999999</v>
      </c>
    </row>
    <row r="4511" spans="1:4" x14ac:dyDescent="0.25">
      <c r="A4511" t="s">
        <v>9</v>
      </c>
      <c r="B4511" t="s">
        <v>5</v>
      </c>
      <c r="C4511">
        <v>80</v>
      </c>
      <c r="D4511">
        <v>142.33099999999999</v>
      </c>
    </row>
    <row r="4512" spans="1:4" x14ac:dyDescent="0.25">
      <c r="A4512" t="s">
        <v>9</v>
      </c>
      <c r="B4512" t="s">
        <v>5</v>
      </c>
      <c r="C4512">
        <v>80</v>
      </c>
      <c r="D4512">
        <v>139.30600000000001</v>
      </c>
    </row>
    <row r="4513" spans="1:4" x14ac:dyDescent="0.25">
      <c r="A4513" t="s">
        <v>9</v>
      </c>
      <c r="B4513" t="s">
        <v>5</v>
      </c>
      <c r="C4513">
        <v>80</v>
      </c>
      <c r="D4513">
        <v>137.601</v>
      </c>
    </row>
    <row r="4514" spans="1:4" x14ac:dyDescent="0.25">
      <c r="A4514" t="s">
        <v>9</v>
      </c>
      <c r="B4514" t="s">
        <v>5</v>
      </c>
      <c r="C4514">
        <v>80</v>
      </c>
      <c r="D4514">
        <v>121.017</v>
      </c>
    </row>
    <row r="4515" spans="1:4" x14ac:dyDescent="0.25">
      <c r="A4515" t="s">
        <v>9</v>
      </c>
      <c r="B4515" t="s">
        <v>5</v>
      </c>
      <c r="C4515">
        <v>80</v>
      </c>
      <c r="D4515">
        <v>115.36</v>
      </c>
    </row>
    <row r="4516" spans="1:4" x14ac:dyDescent="0.25">
      <c r="A4516" t="s">
        <v>9</v>
      </c>
      <c r="B4516" t="s">
        <v>5</v>
      </c>
      <c r="C4516">
        <v>80</v>
      </c>
      <c r="D4516">
        <v>128.601</v>
      </c>
    </row>
    <row r="4517" spans="1:4" x14ac:dyDescent="0.25">
      <c r="A4517" t="s">
        <v>9</v>
      </c>
      <c r="B4517" t="s">
        <v>5</v>
      </c>
      <c r="C4517">
        <v>80</v>
      </c>
      <c r="D4517">
        <v>140.08699999999999</v>
      </c>
    </row>
    <row r="4518" spans="1:4" x14ac:dyDescent="0.25">
      <c r="A4518" t="s">
        <v>9</v>
      </c>
      <c r="B4518" t="s">
        <v>5</v>
      </c>
      <c r="C4518">
        <v>80</v>
      </c>
      <c r="D4518">
        <v>122.38200000000001</v>
      </c>
    </row>
    <row r="4519" spans="1:4" x14ac:dyDescent="0.25">
      <c r="A4519" t="s">
        <v>9</v>
      </c>
      <c r="B4519" t="s">
        <v>5</v>
      </c>
      <c r="C4519">
        <v>80</v>
      </c>
      <c r="D4519">
        <v>150.327</v>
      </c>
    </row>
    <row r="4520" spans="1:4" x14ac:dyDescent="0.25">
      <c r="A4520" t="s">
        <v>9</v>
      </c>
      <c r="B4520" t="s">
        <v>5</v>
      </c>
      <c r="C4520">
        <v>80</v>
      </c>
      <c r="D4520">
        <v>135.67400000000001</v>
      </c>
    </row>
    <row r="4521" spans="1:4" x14ac:dyDescent="0.25">
      <c r="A4521" t="s">
        <v>9</v>
      </c>
      <c r="B4521" t="s">
        <v>5</v>
      </c>
      <c r="C4521">
        <v>80</v>
      </c>
      <c r="D4521">
        <v>142.37899999999999</v>
      </c>
    </row>
    <row r="4522" spans="1:4" x14ac:dyDescent="0.25">
      <c r="A4522" t="s">
        <v>9</v>
      </c>
      <c r="B4522" t="s">
        <v>5</v>
      </c>
      <c r="C4522">
        <v>80</v>
      </c>
      <c r="D4522">
        <v>136.45500000000001</v>
      </c>
    </row>
    <row r="4523" spans="1:4" x14ac:dyDescent="0.25">
      <c r="A4523" t="s">
        <v>9</v>
      </c>
      <c r="B4523" t="s">
        <v>5</v>
      </c>
      <c r="C4523">
        <v>80</v>
      </c>
      <c r="D4523">
        <v>139.30600000000001</v>
      </c>
    </row>
    <row r="4524" spans="1:4" x14ac:dyDescent="0.25">
      <c r="A4524" t="s">
        <v>9</v>
      </c>
      <c r="B4524" t="s">
        <v>5</v>
      </c>
      <c r="C4524">
        <v>80</v>
      </c>
      <c r="D4524">
        <v>145.55000000000001</v>
      </c>
    </row>
    <row r="4525" spans="1:4" x14ac:dyDescent="0.25">
      <c r="A4525" t="s">
        <v>9</v>
      </c>
      <c r="B4525" t="s">
        <v>5</v>
      </c>
      <c r="C4525">
        <v>80</v>
      </c>
      <c r="D4525">
        <v>124.944</v>
      </c>
    </row>
    <row r="4526" spans="1:4" x14ac:dyDescent="0.25">
      <c r="A4526" t="s">
        <v>9</v>
      </c>
      <c r="B4526" t="s">
        <v>5</v>
      </c>
      <c r="C4526">
        <v>80</v>
      </c>
      <c r="D4526">
        <v>143.768</v>
      </c>
    </row>
    <row r="4527" spans="1:4" x14ac:dyDescent="0.25">
      <c r="A4527" t="s">
        <v>9</v>
      </c>
      <c r="B4527" t="s">
        <v>5</v>
      </c>
      <c r="C4527">
        <v>80</v>
      </c>
      <c r="D4527">
        <v>125.455</v>
      </c>
    </row>
    <row r="4528" spans="1:4" x14ac:dyDescent="0.25">
      <c r="A4528" t="s">
        <v>9</v>
      </c>
      <c r="B4528" t="s">
        <v>5</v>
      </c>
      <c r="C4528">
        <v>80</v>
      </c>
      <c r="D4528">
        <v>140.03899999999999</v>
      </c>
    </row>
    <row r="4529" spans="1:4" x14ac:dyDescent="0.25">
      <c r="A4529" t="s">
        <v>9</v>
      </c>
      <c r="B4529" t="s">
        <v>5</v>
      </c>
      <c r="C4529">
        <v>80</v>
      </c>
      <c r="D4529">
        <v>125.236</v>
      </c>
    </row>
    <row r="4530" spans="1:4" x14ac:dyDescent="0.25">
      <c r="A4530" t="s">
        <v>9</v>
      </c>
      <c r="B4530" t="s">
        <v>5</v>
      </c>
      <c r="C4530">
        <v>80</v>
      </c>
      <c r="D4530">
        <v>124.52800000000001</v>
      </c>
    </row>
    <row r="4531" spans="1:4" x14ac:dyDescent="0.25">
      <c r="A4531" t="s">
        <v>9</v>
      </c>
      <c r="B4531" t="s">
        <v>5</v>
      </c>
      <c r="C4531">
        <v>80</v>
      </c>
      <c r="D4531">
        <v>142.11199999999999</v>
      </c>
    </row>
    <row r="4532" spans="1:4" x14ac:dyDescent="0.25">
      <c r="A4532" t="s">
        <v>9</v>
      </c>
      <c r="B4532" t="s">
        <v>5</v>
      </c>
      <c r="C4532">
        <v>80</v>
      </c>
      <c r="D4532">
        <v>132.23599999999999</v>
      </c>
    </row>
    <row r="4533" spans="1:4" x14ac:dyDescent="0.25">
      <c r="A4533" t="s">
        <v>9</v>
      </c>
      <c r="B4533" t="s">
        <v>5</v>
      </c>
      <c r="C4533">
        <v>80</v>
      </c>
      <c r="D4533">
        <v>142.696</v>
      </c>
    </row>
    <row r="4534" spans="1:4" x14ac:dyDescent="0.25">
      <c r="A4534" t="s">
        <v>9</v>
      </c>
      <c r="B4534" t="s">
        <v>5</v>
      </c>
      <c r="C4534">
        <v>80</v>
      </c>
      <c r="D4534">
        <v>148.54900000000001</v>
      </c>
    </row>
    <row r="4535" spans="1:4" x14ac:dyDescent="0.25">
      <c r="A4535" t="s">
        <v>9</v>
      </c>
      <c r="B4535" t="s">
        <v>5</v>
      </c>
      <c r="C4535">
        <v>80</v>
      </c>
      <c r="D4535">
        <v>138.30600000000001</v>
      </c>
    </row>
    <row r="4536" spans="1:4" x14ac:dyDescent="0.25">
      <c r="A4536" t="s">
        <v>9</v>
      </c>
      <c r="B4536" t="s">
        <v>5</v>
      </c>
      <c r="C4536">
        <v>80</v>
      </c>
      <c r="D4536">
        <v>156.44800000000001</v>
      </c>
    </row>
    <row r="4537" spans="1:4" x14ac:dyDescent="0.25">
      <c r="A4537" t="s">
        <v>9</v>
      </c>
      <c r="B4537" t="s">
        <v>5</v>
      </c>
      <c r="C4537">
        <v>80</v>
      </c>
      <c r="D4537">
        <v>131.37899999999999</v>
      </c>
    </row>
    <row r="4538" spans="1:4" x14ac:dyDescent="0.25">
      <c r="A4538" t="s">
        <v>9</v>
      </c>
      <c r="B4538" t="s">
        <v>5</v>
      </c>
      <c r="C4538">
        <v>80</v>
      </c>
      <c r="D4538">
        <v>157.18199999999999</v>
      </c>
    </row>
    <row r="4539" spans="1:4" x14ac:dyDescent="0.25">
      <c r="A4539" t="s">
        <v>9</v>
      </c>
      <c r="B4539" t="s">
        <v>5</v>
      </c>
      <c r="C4539">
        <v>80</v>
      </c>
      <c r="D4539">
        <v>129.45500000000001</v>
      </c>
    </row>
    <row r="4540" spans="1:4" x14ac:dyDescent="0.25">
      <c r="A4540" t="s">
        <v>9</v>
      </c>
      <c r="B4540" t="s">
        <v>5</v>
      </c>
      <c r="C4540">
        <v>80</v>
      </c>
      <c r="D4540">
        <v>131.185</v>
      </c>
    </row>
    <row r="4541" spans="1:4" x14ac:dyDescent="0.25">
      <c r="A4541" t="s">
        <v>9</v>
      </c>
      <c r="B4541" t="s">
        <v>5</v>
      </c>
      <c r="C4541">
        <v>80</v>
      </c>
      <c r="D4541">
        <v>132.45500000000001</v>
      </c>
    </row>
    <row r="4542" spans="1:4" x14ac:dyDescent="0.25">
      <c r="A4542" t="s">
        <v>9</v>
      </c>
      <c r="B4542" t="s">
        <v>5</v>
      </c>
      <c r="C4542">
        <v>80</v>
      </c>
      <c r="D4542">
        <v>128.309</v>
      </c>
    </row>
    <row r="4543" spans="1:4" x14ac:dyDescent="0.25">
      <c r="A4543" t="s">
        <v>9</v>
      </c>
      <c r="B4543" t="s">
        <v>5</v>
      </c>
      <c r="C4543">
        <v>80</v>
      </c>
      <c r="D4543">
        <v>135.893</v>
      </c>
    </row>
    <row r="4544" spans="1:4" x14ac:dyDescent="0.25">
      <c r="A4544" t="s">
        <v>9</v>
      </c>
      <c r="B4544" t="s">
        <v>5</v>
      </c>
      <c r="C4544">
        <v>80</v>
      </c>
      <c r="D4544">
        <v>146.33099999999999</v>
      </c>
    </row>
    <row r="4545" spans="1:4" x14ac:dyDescent="0.25">
      <c r="A4545" t="s">
        <v>9</v>
      </c>
      <c r="B4545" t="s">
        <v>5</v>
      </c>
      <c r="C4545">
        <v>80</v>
      </c>
      <c r="D4545">
        <v>137.74700000000001</v>
      </c>
    </row>
    <row r="4546" spans="1:4" x14ac:dyDescent="0.25">
      <c r="A4546" t="s">
        <v>9</v>
      </c>
      <c r="B4546" t="s">
        <v>5</v>
      </c>
      <c r="C4546">
        <v>80</v>
      </c>
      <c r="D4546">
        <v>162.42500000000001</v>
      </c>
    </row>
    <row r="4547" spans="1:4" x14ac:dyDescent="0.25">
      <c r="A4547" t="s">
        <v>9</v>
      </c>
      <c r="B4547" t="s">
        <v>5</v>
      </c>
      <c r="C4547">
        <v>80</v>
      </c>
      <c r="D4547">
        <v>142.11199999999999</v>
      </c>
    </row>
    <row r="4548" spans="1:4" x14ac:dyDescent="0.25">
      <c r="A4548" t="s">
        <v>9</v>
      </c>
      <c r="B4548" t="s">
        <v>5</v>
      </c>
      <c r="C4548">
        <v>80</v>
      </c>
      <c r="D4548">
        <v>142.30600000000001</v>
      </c>
    </row>
    <row r="4549" spans="1:4" x14ac:dyDescent="0.25">
      <c r="A4549" t="s">
        <v>9</v>
      </c>
      <c r="B4549" t="s">
        <v>5</v>
      </c>
      <c r="C4549">
        <v>80</v>
      </c>
      <c r="D4549">
        <v>133.74700000000001</v>
      </c>
    </row>
    <row r="4550" spans="1:4" x14ac:dyDescent="0.25">
      <c r="A4550" t="s">
        <v>9</v>
      </c>
      <c r="B4550" t="s">
        <v>5</v>
      </c>
      <c r="C4550">
        <v>80</v>
      </c>
      <c r="D4550">
        <v>144.81700000000001</v>
      </c>
    </row>
    <row r="4551" spans="1:4" x14ac:dyDescent="0.25">
      <c r="A4551" t="s">
        <v>9</v>
      </c>
      <c r="B4551" t="s">
        <v>5</v>
      </c>
      <c r="C4551">
        <v>80</v>
      </c>
      <c r="D4551">
        <v>149.62299999999999</v>
      </c>
    </row>
    <row r="4552" spans="1:4" x14ac:dyDescent="0.25">
      <c r="A4552" t="s">
        <v>9</v>
      </c>
      <c r="B4552" t="s">
        <v>5</v>
      </c>
      <c r="C4552">
        <v>80</v>
      </c>
      <c r="D4552">
        <v>138.696</v>
      </c>
    </row>
    <row r="4553" spans="1:4" x14ac:dyDescent="0.25">
      <c r="A4553" t="s">
        <v>9</v>
      </c>
      <c r="B4553" t="s">
        <v>5</v>
      </c>
      <c r="C4553">
        <v>80</v>
      </c>
      <c r="D4553">
        <v>129.74700000000001</v>
      </c>
    </row>
    <row r="4554" spans="1:4" x14ac:dyDescent="0.25">
      <c r="A4554" t="s">
        <v>9</v>
      </c>
      <c r="B4554" t="s">
        <v>5</v>
      </c>
      <c r="C4554">
        <v>80</v>
      </c>
      <c r="D4554">
        <v>126.014</v>
      </c>
    </row>
    <row r="4555" spans="1:4" x14ac:dyDescent="0.25">
      <c r="A4555" t="s">
        <v>9</v>
      </c>
      <c r="B4555" t="s">
        <v>5</v>
      </c>
      <c r="C4555">
        <v>80</v>
      </c>
      <c r="D4555">
        <v>134.74700000000001</v>
      </c>
    </row>
    <row r="4556" spans="1:4" x14ac:dyDescent="0.25">
      <c r="A4556" t="s">
        <v>9</v>
      </c>
      <c r="B4556" t="s">
        <v>5</v>
      </c>
      <c r="C4556">
        <v>80</v>
      </c>
      <c r="D4556">
        <v>132.82</v>
      </c>
    </row>
    <row r="4557" spans="1:4" x14ac:dyDescent="0.25">
      <c r="A4557" t="s">
        <v>9</v>
      </c>
      <c r="B4557" t="s">
        <v>5</v>
      </c>
      <c r="C4557">
        <v>80</v>
      </c>
      <c r="D4557">
        <v>122.017</v>
      </c>
    </row>
    <row r="4558" spans="1:4" x14ac:dyDescent="0.25">
      <c r="A4558" t="s">
        <v>9</v>
      </c>
      <c r="B4558" t="s">
        <v>5</v>
      </c>
      <c r="C4558">
        <v>80</v>
      </c>
      <c r="D4558">
        <v>131.59800000000001</v>
      </c>
    </row>
    <row r="4559" spans="1:4" x14ac:dyDescent="0.25">
      <c r="A4559" t="s">
        <v>9</v>
      </c>
      <c r="B4559" t="s">
        <v>5</v>
      </c>
      <c r="C4559">
        <v>80</v>
      </c>
      <c r="D4559">
        <v>118.747</v>
      </c>
    </row>
    <row r="4560" spans="1:4" x14ac:dyDescent="0.25">
      <c r="A4560" t="s">
        <v>9</v>
      </c>
      <c r="B4560" t="s">
        <v>5</v>
      </c>
      <c r="C4560">
        <v>80</v>
      </c>
      <c r="D4560">
        <v>146.55000000000001</v>
      </c>
    </row>
    <row r="4561" spans="1:4" x14ac:dyDescent="0.25">
      <c r="A4561" t="s">
        <v>9</v>
      </c>
      <c r="B4561" t="s">
        <v>5</v>
      </c>
      <c r="C4561">
        <v>80</v>
      </c>
      <c r="D4561">
        <v>136.185</v>
      </c>
    </row>
    <row r="4562" spans="1:4" x14ac:dyDescent="0.25">
      <c r="A4562" t="s">
        <v>9</v>
      </c>
      <c r="B4562" t="s">
        <v>5</v>
      </c>
      <c r="C4562">
        <v>80</v>
      </c>
      <c r="D4562">
        <v>135.67400000000001</v>
      </c>
    </row>
    <row r="4563" spans="1:4" x14ac:dyDescent="0.25">
      <c r="A4563" t="s">
        <v>9</v>
      </c>
      <c r="B4563" t="s">
        <v>5</v>
      </c>
      <c r="C4563">
        <v>80</v>
      </c>
      <c r="D4563">
        <v>138.03899999999999</v>
      </c>
    </row>
    <row r="4564" spans="1:4" x14ac:dyDescent="0.25">
      <c r="A4564" t="s">
        <v>9</v>
      </c>
      <c r="B4564" t="s">
        <v>5</v>
      </c>
      <c r="C4564">
        <v>80</v>
      </c>
      <c r="D4564">
        <v>134.03899999999999</v>
      </c>
    </row>
    <row r="4565" spans="1:4" x14ac:dyDescent="0.25">
      <c r="A4565" t="s">
        <v>9</v>
      </c>
      <c r="B4565" t="s">
        <v>5</v>
      </c>
      <c r="C4565">
        <v>80</v>
      </c>
      <c r="D4565">
        <v>136.233</v>
      </c>
    </row>
    <row r="4566" spans="1:4" x14ac:dyDescent="0.25">
      <c r="A4566" t="s">
        <v>9</v>
      </c>
      <c r="B4566" t="s">
        <v>5</v>
      </c>
      <c r="C4566">
        <v>80</v>
      </c>
      <c r="D4566">
        <v>142.54900000000001</v>
      </c>
    </row>
    <row r="4567" spans="1:4" x14ac:dyDescent="0.25">
      <c r="A4567" t="s">
        <v>9</v>
      </c>
      <c r="B4567" t="s">
        <v>5</v>
      </c>
      <c r="C4567">
        <v>80</v>
      </c>
      <c r="D4567">
        <v>141.52500000000001</v>
      </c>
    </row>
    <row r="4568" spans="1:4" x14ac:dyDescent="0.25">
      <c r="A4568" t="s">
        <v>9</v>
      </c>
      <c r="B4568" t="s">
        <v>5</v>
      </c>
      <c r="C4568">
        <v>80</v>
      </c>
      <c r="D4568">
        <v>144.93799999999999</v>
      </c>
    </row>
    <row r="4569" spans="1:4" x14ac:dyDescent="0.25">
      <c r="A4569" t="s">
        <v>9</v>
      </c>
      <c r="B4569" t="s">
        <v>5</v>
      </c>
      <c r="C4569">
        <v>80</v>
      </c>
      <c r="D4569">
        <v>145.01400000000001</v>
      </c>
    </row>
    <row r="4570" spans="1:4" x14ac:dyDescent="0.25">
      <c r="A4570" t="s">
        <v>9</v>
      </c>
      <c r="B4570" t="s">
        <v>5</v>
      </c>
      <c r="C4570">
        <v>80</v>
      </c>
      <c r="D4570">
        <v>169.595</v>
      </c>
    </row>
    <row r="4571" spans="1:4" x14ac:dyDescent="0.25">
      <c r="A4571" t="s">
        <v>9</v>
      </c>
      <c r="B4571" t="s">
        <v>5</v>
      </c>
      <c r="C4571">
        <v>80</v>
      </c>
      <c r="D4571">
        <v>143.25800000000001</v>
      </c>
    </row>
    <row r="4572" spans="1:4" x14ac:dyDescent="0.25">
      <c r="A4572" t="s">
        <v>9</v>
      </c>
      <c r="B4572" t="s">
        <v>5</v>
      </c>
      <c r="C4572">
        <v>80</v>
      </c>
      <c r="D4572">
        <v>152.81700000000001</v>
      </c>
    </row>
    <row r="4573" spans="1:4" x14ac:dyDescent="0.25">
      <c r="A4573" t="s">
        <v>9</v>
      </c>
      <c r="B4573" t="s">
        <v>5</v>
      </c>
      <c r="C4573">
        <v>80</v>
      </c>
      <c r="D4573">
        <v>134.893</v>
      </c>
    </row>
    <row r="4574" spans="1:4" x14ac:dyDescent="0.25">
      <c r="A4574" t="s">
        <v>9</v>
      </c>
      <c r="B4574" t="s">
        <v>5</v>
      </c>
      <c r="C4574">
        <v>80</v>
      </c>
      <c r="D4574">
        <v>142.33099999999999</v>
      </c>
    </row>
    <row r="4575" spans="1:4" x14ac:dyDescent="0.25">
      <c r="A4575" t="s">
        <v>9</v>
      </c>
      <c r="B4575" t="s">
        <v>5</v>
      </c>
      <c r="C4575">
        <v>80</v>
      </c>
      <c r="D4575">
        <v>146.696</v>
      </c>
    </row>
    <row r="4576" spans="1:4" x14ac:dyDescent="0.25">
      <c r="A4576" t="s">
        <v>9</v>
      </c>
      <c r="B4576" t="s">
        <v>5</v>
      </c>
      <c r="C4576">
        <v>80</v>
      </c>
      <c r="D4576">
        <v>142.452</v>
      </c>
    </row>
    <row r="4577" spans="1:4" x14ac:dyDescent="0.25">
      <c r="A4577" t="s">
        <v>9</v>
      </c>
      <c r="B4577" t="s">
        <v>5</v>
      </c>
      <c r="C4577">
        <v>80</v>
      </c>
      <c r="D4577">
        <v>146.91399999999999</v>
      </c>
    </row>
    <row r="4578" spans="1:4" x14ac:dyDescent="0.25">
      <c r="A4578" t="s">
        <v>9</v>
      </c>
      <c r="B4578" t="s">
        <v>5</v>
      </c>
      <c r="C4578">
        <v>80</v>
      </c>
      <c r="D4578">
        <v>135.893</v>
      </c>
    </row>
    <row r="4579" spans="1:4" x14ac:dyDescent="0.25">
      <c r="A4579" t="s">
        <v>9</v>
      </c>
      <c r="B4579" t="s">
        <v>5</v>
      </c>
      <c r="C4579">
        <v>80</v>
      </c>
      <c r="D4579">
        <v>118.944</v>
      </c>
    </row>
    <row r="4580" spans="1:4" x14ac:dyDescent="0.25">
      <c r="A4580" t="s">
        <v>9</v>
      </c>
      <c r="B4580" t="s">
        <v>5</v>
      </c>
      <c r="C4580">
        <v>80</v>
      </c>
      <c r="D4580">
        <v>133.40299999999999</v>
      </c>
    </row>
    <row r="4581" spans="1:4" x14ac:dyDescent="0.25">
      <c r="A4581" t="s">
        <v>9</v>
      </c>
      <c r="B4581" t="s">
        <v>5</v>
      </c>
      <c r="C4581">
        <v>80</v>
      </c>
      <c r="D4581">
        <v>137.67400000000001</v>
      </c>
    </row>
    <row r="4582" spans="1:4" x14ac:dyDescent="0.25">
      <c r="A4582" t="s">
        <v>9</v>
      </c>
      <c r="B4582" t="s">
        <v>5</v>
      </c>
      <c r="C4582">
        <v>80</v>
      </c>
      <c r="D4582">
        <v>152.98699999999999</v>
      </c>
    </row>
    <row r="4583" spans="1:4" x14ac:dyDescent="0.25">
      <c r="A4583" t="s">
        <v>9</v>
      </c>
      <c r="B4583" t="s">
        <v>5</v>
      </c>
      <c r="C4583">
        <v>80</v>
      </c>
      <c r="D4583">
        <v>137.71899999999999</v>
      </c>
    </row>
    <row r="4584" spans="1:4" x14ac:dyDescent="0.25">
      <c r="A4584" t="s">
        <v>9</v>
      </c>
      <c r="B4584" t="s">
        <v>5</v>
      </c>
      <c r="C4584">
        <v>80</v>
      </c>
      <c r="D4584">
        <v>136.25800000000001</v>
      </c>
    </row>
    <row r="4585" spans="1:4" x14ac:dyDescent="0.25">
      <c r="A4585" t="s">
        <v>9</v>
      </c>
      <c r="B4585" t="s">
        <v>5</v>
      </c>
      <c r="C4585">
        <v>80</v>
      </c>
      <c r="D4585">
        <v>128.03800000000001</v>
      </c>
    </row>
    <row r="4586" spans="1:4" x14ac:dyDescent="0.25">
      <c r="A4586" t="s">
        <v>9</v>
      </c>
      <c r="B4586" t="s">
        <v>5</v>
      </c>
      <c r="C4586">
        <v>80</v>
      </c>
      <c r="D4586">
        <v>128.893</v>
      </c>
    </row>
    <row r="4587" spans="1:4" x14ac:dyDescent="0.25">
      <c r="A4587" t="s">
        <v>9</v>
      </c>
      <c r="B4587" t="s">
        <v>5</v>
      </c>
      <c r="C4587">
        <v>80</v>
      </c>
      <c r="D4587">
        <v>130.893</v>
      </c>
    </row>
    <row r="4588" spans="1:4" x14ac:dyDescent="0.25">
      <c r="A4588" t="s">
        <v>9</v>
      </c>
      <c r="B4588" t="s">
        <v>5</v>
      </c>
      <c r="C4588">
        <v>80</v>
      </c>
      <c r="D4588">
        <v>155.10900000000001</v>
      </c>
    </row>
    <row r="4589" spans="1:4" x14ac:dyDescent="0.25">
      <c r="A4589" t="s">
        <v>9</v>
      </c>
      <c r="B4589" t="s">
        <v>5</v>
      </c>
      <c r="C4589">
        <v>80</v>
      </c>
      <c r="D4589">
        <v>134.11099999999999</v>
      </c>
    </row>
    <row r="4590" spans="1:4" x14ac:dyDescent="0.25">
      <c r="A4590" t="s">
        <v>9</v>
      </c>
      <c r="B4590" t="s">
        <v>5</v>
      </c>
      <c r="C4590">
        <v>80</v>
      </c>
      <c r="D4590">
        <v>136.82</v>
      </c>
    </row>
    <row r="4591" spans="1:4" x14ac:dyDescent="0.25">
      <c r="A4591" t="s">
        <v>9</v>
      </c>
      <c r="B4591" t="s">
        <v>5</v>
      </c>
      <c r="C4591">
        <v>80</v>
      </c>
      <c r="D4591">
        <v>141.69399999999999</v>
      </c>
    </row>
    <row r="4592" spans="1:4" x14ac:dyDescent="0.25">
      <c r="A4592" t="s">
        <v>9</v>
      </c>
      <c r="B4592" t="s">
        <v>5</v>
      </c>
      <c r="C4592">
        <v>80</v>
      </c>
      <c r="D4592">
        <v>135.017</v>
      </c>
    </row>
    <row r="4593" spans="1:4" x14ac:dyDescent="0.25">
      <c r="A4593" t="s">
        <v>9</v>
      </c>
      <c r="B4593" t="s">
        <v>5</v>
      </c>
      <c r="C4593">
        <v>80</v>
      </c>
      <c r="D4593">
        <v>143.11199999999999</v>
      </c>
    </row>
    <row r="4594" spans="1:4" x14ac:dyDescent="0.25">
      <c r="A4594" t="s">
        <v>9</v>
      </c>
      <c r="B4594" t="s">
        <v>5</v>
      </c>
      <c r="C4594">
        <v>80</v>
      </c>
      <c r="D4594">
        <v>164.91499999999999</v>
      </c>
    </row>
    <row r="4595" spans="1:4" x14ac:dyDescent="0.25">
      <c r="A4595" t="s">
        <v>9</v>
      </c>
      <c r="B4595" t="s">
        <v>5</v>
      </c>
      <c r="C4595">
        <v>80</v>
      </c>
      <c r="D4595">
        <v>144.768</v>
      </c>
    </row>
    <row r="4596" spans="1:4" x14ac:dyDescent="0.25">
      <c r="A4596" t="s">
        <v>9</v>
      </c>
      <c r="B4596" t="s">
        <v>5</v>
      </c>
      <c r="C4596">
        <v>80</v>
      </c>
      <c r="D4596">
        <v>153.54900000000001</v>
      </c>
    </row>
    <row r="4597" spans="1:4" x14ac:dyDescent="0.25">
      <c r="A4597" t="s">
        <v>9</v>
      </c>
      <c r="B4597" t="s">
        <v>5</v>
      </c>
      <c r="C4597">
        <v>80</v>
      </c>
      <c r="D4597">
        <v>149.40299999999999</v>
      </c>
    </row>
    <row r="4598" spans="1:4" x14ac:dyDescent="0.25">
      <c r="A4598" t="s">
        <v>9</v>
      </c>
      <c r="B4598" t="s">
        <v>5</v>
      </c>
      <c r="C4598">
        <v>80</v>
      </c>
      <c r="D4598">
        <v>138.11099999999999</v>
      </c>
    </row>
    <row r="4599" spans="1:4" x14ac:dyDescent="0.25">
      <c r="A4599" t="s">
        <v>9</v>
      </c>
      <c r="B4599" t="s">
        <v>5</v>
      </c>
      <c r="C4599">
        <v>80</v>
      </c>
      <c r="D4599">
        <v>144.96600000000001</v>
      </c>
    </row>
    <row r="4600" spans="1:4" x14ac:dyDescent="0.25">
      <c r="A4600" t="s">
        <v>9</v>
      </c>
      <c r="B4600" t="s">
        <v>5</v>
      </c>
      <c r="C4600">
        <v>80</v>
      </c>
      <c r="D4600">
        <v>152.10900000000001</v>
      </c>
    </row>
    <row r="4601" spans="1:4" x14ac:dyDescent="0.25">
      <c r="A4601" t="s">
        <v>9</v>
      </c>
      <c r="B4601" t="s">
        <v>5</v>
      </c>
      <c r="C4601">
        <v>80</v>
      </c>
      <c r="D4601">
        <v>127.527</v>
      </c>
    </row>
    <row r="4602" spans="1:4" x14ac:dyDescent="0.25">
      <c r="A4602" t="s">
        <v>9</v>
      </c>
      <c r="B4602" t="s">
        <v>5</v>
      </c>
      <c r="C4602">
        <v>100</v>
      </c>
      <c r="D4602">
        <v>187.90700000000001</v>
      </c>
    </row>
    <row r="4603" spans="1:4" x14ac:dyDescent="0.25">
      <c r="A4603" t="s">
        <v>9</v>
      </c>
      <c r="B4603" t="s">
        <v>5</v>
      </c>
      <c r="C4603">
        <v>100</v>
      </c>
      <c r="D4603">
        <v>157.91</v>
      </c>
    </row>
    <row r="4604" spans="1:4" x14ac:dyDescent="0.25">
      <c r="A4604" t="s">
        <v>9</v>
      </c>
      <c r="B4604" t="s">
        <v>5</v>
      </c>
      <c r="C4604">
        <v>100</v>
      </c>
      <c r="D4604">
        <v>152.69499999999999</v>
      </c>
    </row>
    <row r="4605" spans="1:4" x14ac:dyDescent="0.25">
      <c r="A4605" t="s">
        <v>9</v>
      </c>
      <c r="B4605" t="s">
        <v>5</v>
      </c>
      <c r="C4605">
        <v>100</v>
      </c>
      <c r="D4605">
        <v>172.34899999999999</v>
      </c>
    </row>
    <row r="4606" spans="1:4" x14ac:dyDescent="0.25">
      <c r="A4606" t="s">
        <v>9</v>
      </c>
      <c r="B4606" t="s">
        <v>5</v>
      </c>
      <c r="C4606">
        <v>100</v>
      </c>
      <c r="D4606">
        <v>171.911</v>
      </c>
    </row>
    <row r="4607" spans="1:4" x14ac:dyDescent="0.25">
      <c r="A4607" t="s">
        <v>9</v>
      </c>
      <c r="B4607" t="s">
        <v>5</v>
      </c>
      <c r="C4607">
        <v>100</v>
      </c>
      <c r="D4607">
        <v>169.202</v>
      </c>
    </row>
    <row r="4608" spans="1:4" x14ac:dyDescent="0.25">
      <c r="A4608" t="s">
        <v>9</v>
      </c>
      <c r="B4608" t="s">
        <v>5</v>
      </c>
      <c r="C4608">
        <v>100</v>
      </c>
      <c r="D4608">
        <v>162.59399999999999</v>
      </c>
    </row>
    <row r="4609" spans="1:4" x14ac:dyDescent="0.25">
      <c r="A4609" t="s">
        <v>9</v>
      </c>
      <c r="B4609" t="s">
        <v>5</v>
      </c>
      <c r="C4609">
        <v>100</v>
      </c>
      <c r="D4609">
        <v>178.05699999999999</v>
      </c>
    </row>
    <row r="4610" spans="1:4" x14ac:dyDescent="0.25">
      <c r="A4610" t="s">
        <v>9</v>
      </c>
      <c r="B4610" t="s">
        <v>5</v>
      </c>
      <c r="C4610">
        <v>100</v>
      </c>
      <c r="D4610">
        <v>193.328</v>
      </c>
    </row>
    <row r="4611" spans="1:4" x14ac:dyDescent="0.25">
      <c r="A4611" t="s">
        <v>9</v>
      </c>
      <c r="B4611" t="s">
        <v>5</v>
      </c>
      <c r="C4611">
        <v>100</v>
      </c>
      <c r="D4611">
        <v>201.75800000000001</v>
      </c>
    </row>
    <row r="4612" spans="1:4" x14ac:dyDescent="0.25">
      <c r="A4612" t="s">
        <v>9</v>
      </c>
      <c r="B4612" t="s">
        <v>5</v>
      </c>
      <c r="C4612">
        <v>100</v>
      </c>
      <c r="D4612">
        <v>139.30799999999999</v>
      </c>
    </row>
    <row r="4613" spans="1:4" x14ac:dyDescent="0.25">
      <c r="A4613" t="s">
        <v>9</v>
      </c>
      <c r="B4613" t="s">
        <v>5</v>
      </c>
      <c r="C4613">
        <v>100</v>
      </c>
      <c r="D4613">
        <v>166.4</v>
      </c>
    </row>
    <row r="4614" spans="1:4" x14ac:dyDescent="0.25">
      <c r="A4614" t="s">
        <v>9</v>
      </c>
      <c r="B4614" t="s">
        <v>5</v>
      </c>
      <c r="C4614">
        <v>100</v>
      </c>
      <c r="D4614">
        <v>166.69499999999999</v>
      </c>
    </row>
    <row r="4615" spans="1:4" x14ac:dyDescent="0.25">
      <c r="A4615" t="s">
        <v>9</v>
      </c>
      <c r="B4615" t="s">
        <v>5</v>
      </c>
      <c r="C4615">
        <v>100</v>
      </c>
      <c r="D4615">
        <v>161.03200000000001</v>
      </c>
    </row>
    <row r="4616" spans="1:4" x14ac:dyDescent="0.25">
      <c r="A4616" t="s">
        <v>9</v>
      </c>
      <c r="B4616" t="s">
        <v>5</v>
      </c>
      <c r="C4616">
        <v>100</v>
      </c>
      <c r="D4616">
        <v>171.39699999999999</v>
      </c>
    </row>
    <row r="4617" spans="1:4" x14ac:dyDescent="0.25">
      <c r="A4617" t="s">
        <v>9</v>
      </c>
      <c r="B4617" t="s">
        <v>5</v>
      </c>
      <c r="C4617">
        <v>100</v>
      </c>
      <c r="D4617">
        <v>181.90700000000001</v>
      </c>
    </row>
    <row r="4618" spans="1:4" x14ac:dyDescent="0.25">
      <c r="A4618" t="s">
        <v>9</v>
      </c>
      <c r="B4618" t="s">
        <v>5</v>
      </c>
      <c r="C4618">
        <v>100</v>
      </c>
      <c r="D4618">
        <v>187.27600000000001</v>
      </c>
    </row>
    <row r="4619" spans="1:4" x14ac:dyDescent="0.25">
      <c r="A4619" t="s">
        <v>9</v>
      </c>
      <c r="B4619" t="s">
        <v>5</v>
      </c>
      <c r="C4619">
        <v>100</v>
      </c>
      <c r="D4619">
        <v>176.56700000000001</v>
      </c>
    </row>
    <row r="4620" spans="1:4" x14ac:dyDescent="0.25">
      <c r="A4620" t="s">
        <v>9</v>
      </c>
      <c r="B4620" t="s">
        <v>5</v>
      </c>
      <c r="C4620">
        <v>100</v>
      </c>
      <c r="D4620">
        <v>139.96600000000001</v>
      </c>
    </row>
    <row r="4621" spans="1:4" x14ac:dyDescent="0.25">
      <c r="A4621" t="s">
        <v>9</v>
      </c>
      <c r="B4621" t="s">
        <v>5</v>
      </c>
      <c r="C4621">
        <v>100</v>
      </c>
      <c r="D4621">
        <v>165.74799999999999</v>
      </c>
    </row>
    <row r="4622" spans="1:4" x14ac:dyDescent="0.25">
      <c r="A4622" t="s">
        <v>9</v>
      </c>
      <c r="B4622" t="s">
        <v>5</v>
      </c>
      <c r="C4622">
        <v>100</v>
      </c>
      <c r="D4622">
        <v>182.68899999999999</v>
      </c>
    </row>
    <row r="4623" spans="1:4" x14ac:dyDescent="0.25">
      <c r="A4623" t="s">
        <v>9</v>
      </c>
      <c r="B4623" t="s">
        <v>5</v>
      </c>
      <c r="C4623">
        <v>100</v>
      </c>
      <c r="D4623">
        <v>127.649</v>
      </c>
    </row>
    <row r="4624" spans="1:4" x14ac:dyDescent="0.25">
      <c r="A4624" t="s">
        <v>9</v>
      </c>
      <c r="B4624" t="s">
        <v>5</v>
      </c>
      <c r="C4624">
        <v>100</v>
      </c>
      <c r="D4624">
        <v>171.42599999999999</v>
      </c>
    </row>
    <row r="4625" spans="1:4" x14ac:dyDescent="0.25">
      <c r="A4625" t="s">
        <v>9</v>
      </c>
      <c r="B4625" t="s">
        <v>5</v>
      </c>
      <c r="C4625">
        <v>100</v>
      </c>
      <c r="D4625">
        <v>170.91399999999999</v>
      </c>
    </row>
    <row r="4626" spans="1:4" x14ac:dyDescent="0.25">
      <c r="A4626" t="s">
        <v>9</v>
      </c>
      <c r="B4626" t="s">
        <v>5</v>
      </c>
      <c r="C4626">
        <v>100</v>
      </c>
      <c r="D4626">
        <v>175.03899999999999</v>
      </c>
    </row>
    <row r="4627" spans="1:4" x14ac:dyDescent="0.25">
      <c r="A4627" t="s">
        <v>9</v>
      </c>
      <c r="B4627" t="s">
        <v>5</v>
      </c>
      <c r="C4627">
        <v>100</v>
      </c>
      <c r="D4627">
        <v>151.25800000000001</v>
      </c>
    </row>
    <row r="4628" spans="1:4" x14ac:dyDescent="0.25">
      <c r="A4628" t="s">
        <v>9</v>
      </c>
      <c r="B4628" t="s">
        <v>5</v>
      </c>
      <c r="C4628">
        <v>100</v>
      </c>
      <c r="D4628">
        <v>206.36699999999999</v>
      </c>
    </row>
    <row r="4629" spans="1:4" x14ac:dyDescent="0.25">
      <c r="A4629" t="s">
        <v>9</v>
      </c>
      <c r="B4629" t="s">
        <v>5</v>
      </c>
      <c r="C4629">
        <v>100</v>
      </c>
      <c r="D4629">
        <v>178.21</v>
      </c>
    </row>
    <row r="4630" spans="1:4" x14ac:dyDescent="0.25">
      <c r="A4630" t="s">
        <v>9</v>
      </c>
      <c r="B4630" t="s">
        <v>5</v>
      </c>
      <c r="C4630">
        <v>100</v>
      </c>
      <c r="D4630">
        <v>164.10400000000001</v>
      </c>
    </row>
    <row r="4631" spans="1:4" x14ac:dyDescent="0.25">
      <c r="A4631" t="s">
        <v>9</v>
      </c>
      <c r="B4631" t="s">
        <v>5</v>
      </c>
      <c r="C4631">
        <v>100</v>
      </c>
      <c r="D4631">
        <v>180.30099999999999</v>
      </c>
    </row>
    <row r="4632" spans="1:4" x14ac:dyDescent="0.25">
      <c r="A4632" t="s">
        <v>9</v>
      </c>
      <c r="B4632" t="s">
        <v>5</v>
      </c>
      <c r="C4632">
        <v>100</v>
      </c>
      <c r="D4632">
        <v>168.69300000000001</v>
      </c>
    </row>
    <row r="4633" spans="1:4" x14ac:dyDescent="0.25">
      <c r="A4633" t="s">
        <v>9</v>
      </c>
      <c r="B4633" t="s">
        <v>5</v>
      </c>
      <c r="C4633">
        <v>100</v>
      </c>
      <c r="D4633">
        <v>193.12700000000001</v>
      </c>
    </row>
    <row r="4634" spans="1:4" x14ac:dyDescent="0.25">
      <c r="A4634" t="s">
        <v>9</v>
      </c>
      <c r="B4634" t="s">
        <v>5</v>
      </c>
      <c r="C4634">
        <v>100</v>
      </c>
      <c r="D4634">
        <v>182.55</v>
      </c>
    </row>
    <row r="4635" spans="1:4" x14ac:dyDescent="0.25">
      <c r="A4635" t="s">
        <v>9</v>
      </c>
      <c r="B4635" t="s">
        <v>5</v>
      </c>
      <c r="C4635">
        <v>100</v>
      </c>
      <c r="D4635">
        <v>179.39699999999999</v>
      </c>
    </row>
    <row r="4636" spans="1:4" x14ac:dyDescent="0.25">
      <c r="A4636" t="s">
        <v>9</v>
      </c>
      <c r="B4636" t="s">
        <v>5</v>
      </c>
      <c r="C4636">
        <v>100</v>
      </c>
      <c r="D4636">
        <v>196.85599999999999</v>
      </c>
    </row>
    <row r="4637" spans="1:4" x14ac:dyDescent="0.25">
      <c r="A4637" t="s">
        <v>9</v>
      </c>
      <c r="B4637" t="s">
        <v>5</v>
      </c>
      <c r="C4637">
        <v>100</v>
      </c>
      <c r="D4637">
        <v>179.745</v>
      </c>
    </row>
    <row r="4638" spans="1:4" x14ac:dyDescent="0.25">
      <c r="A4638" t="s">
        <v>9</v>
      </c>
      <c r="B4638" t="s">
        <v>5</v>
      </c>
      <c r="C4638">
        <v>100</v>
      </c>
      <c r="D4638">
        <v>150.185</v>
      </c>
    </row>
    <row r="4639" spans="1:4" x14ac:dyDescent="0.25">
      <c r="A4639" t="s">
        <v>9</v>
      </c>
      <c r="B4639" t="s">
        <v>5</v>
      </c>
      <c r="C4639">
        <v>100</v>
      </c>
      <c r="D4639">
        <v>168.13</v>
      </c>
    </row>
    <row r="4640" spans="1:4" x14ac:dyDescent="0.25">
      <c r="A4640" t="s">
        <v>9</v>
      </c>
      <c r="B4640" t="s">
        <v>5</v>
      </c>
      <c r="C4640">
        <v>100</v>
      </c>
      <c r="D4640">
        <v>193.41800000000001</v>
      </c>
    </row>
    <row r="4641" spans="1:4" x14ac:dyDescent="0.25">
      <c r="A4641" t="s">
        <v>9</v>
      </c>
      <c r="B4641" t="s">
        <v>5</v>
      </c>
      <c r="C4641">
        <v>100</v>
      </c>
      <c r="D4641">
        <v>152.327</v>
      </c>
    </row>
    <row r="4642" spans="1:4" x14ac:dyDescent="0.25">
      <c r="A4642" t="s">
        <v>9</v>
      </c>
      <c r="B4642" t="s">
        <v>5</v>
      </c>
      <c r="C4642">
        <v>100</v>
      </c>
      <c r="D4642">
        <v>158.13399999999999</v>
      </c>
    </row>
    <row r="4643" spans="1:4" x14ac:dyDescent="0.25">
      <c r="A4643" t="s">
        <v>9</v>
      </c>
      <c r="B4643" t="s">
        <v>5</v>
      </c>
      <c r="C4643">
        <v>100</v>
      </c>
      <c r="D4643">
        <v>168.71700000000001</v>
      </c>
    </row>
    <row r="4644" spans="1:4" x14ac:dyDescent="0.25">
      <c r="A4644" t="s">
        <v>9</v>
      </c>
      <c r="B4644" t="s">
        <v>5</v>
      </c>
      <c r="C4644">
        <v>100</v>
      </c>
      <c r="D4644">
        <v>186.27600000000001</v>
      </c>
    </row>
    <row r="4645" spans="1:4" x14ac:dyDescent="0.25">
      <c r="A4645" t="s">
        <v>9</v>
      </c>
      <c r="B4645" t="s">
        <v>5</v>
      </c>
      <c r="C4645">
        <v>100</v>
      </c>
      <c r="D4645">
        <v>173.44900000000001</v>
      </c>
    </row>
    <row r="4646" spans="1:4" x14ac:dyDescent="0.25">
      <c r="A4646" t="s">
        <v>9</v>
      </c>
      <c r="B4646" t="s">
        <v>5</v>
      </c>
      <c r="C4646">
        <v>100</v>
      </c>
      <c r="D4646">
        <v>185.66499999999999</v>
      </c>
    </row>
    <row r="4647" spans="1:4" x14ac:dyDescent="0.25">
      <c r="A4647" t="s">
        <v>9</v>
      </c>
      <c r="B4647" t="s">
        <v>5</v>
      </c>
      <c r="C4647">
        <v>100</v>
      </c>
      <c r="D4647">
        <v>173.572</v>
      </c>
    </row>
    <row r="4648" spans="1:4" x14ac:dyDescent="0.25">
      <c r="A4648" t="s">
        <v>9</v>
      </c>
      <c r="B4648" t="s">
        <v>5</v>
      </c>
      <c r="C4648">
        <v>100</v>
      </c>
      <c r="D4648">
        <v>148.55000000000001</v>
      </c>
    </row>
    <row r="4649" spans="1:4" x14ac:dyDescent="0.25">
      <c r="A4649" t="s">
        <v>9</v>
      </c>
      <c r="B4649" t="s">
        <v>5</v>
      </c>
      <c r="C4649">
        <v>100</v>
      </c>
      <c r="D4649">
        <v>139.404</v>
      </c>
    </row>
    <row r="4650" spans="1:4" x14ac:dyDescent="0.25">
      <c r="A4650" t="s">
        <v>9</v>
      </c>
      <c r="B4650" t="s">
        <v>5</v>
      </c>
      <c r="C4650">
        <v>100</v>
      </c>
      <c r="D4650">
        <v>143.45099999999999</v>
      </c>
    </row>
    <row r="4651" spans="1:4" x14ac:dyDescent="0.25">
      <c r="A4651" t="s">
        <v>9</v>
      </c>
      <c r="B4651" t="s">
        <v>5</v>
      </c>
      <c r="C4651">
        <v>100</v>
      </c>
      <c r="D4651">
        <v>181.273</v>
      </c>
    </row>
    <row r="4652" spans="1:4" x14ac:dyDescent="0.25">
      <c r="A4652" t="s">
        <v>9</v>
      </c>
      <c r="B4652" t="s">
        <v>5</v>
      </c>
      <c r="C4652">
        <v>100</v>
      </c>
      <c r="D4652">
        <v>156.06</v>
      </c>
    </row>
    <row r="4653" spans="1:4" x14ac:dyDescent="0.25">
      <c r="A4653" t="s">
        <v>9</v>
      </c>
      <c r="B4653" t="s">
        <v>5</v>
      </c>
      <c r="C4653">
        <v>100</v>
      </c>
      <c r="D4653">
        <v>166.279</v>
      </c>
    </row>
    <row r="4654" spans="1:4" x14ac:dyDescent="0.25">
      <c r="A4654" t="s">
        <v>9</v>
      </c>
      <c r="B4654" t="s">
        <v>5</v>
      </c>
      <c r="C4654">
        <v>100</v>
      </c>
      <c r="D4654">
        <v>161.06100000000001</v>
      </c>
    </row>
    <row r="4655" spans="1:4" x14ac:dyDescent="0.25">
      <c r="A4655" t="s">
        <v>9</v>
      </c>
      <c r="B4655" t="s">
        <v>5</v>
      </c>
      <c r="C4655">
        <v>100</v>
      </c>
      <c r="D4655">
        <v>179.93199999999999</v>
      </c>
    </row>
    <row r="4656" spans="1:4" x14ac:dyDescent="0.25">
      <c r="A4656" t="s">
        <v>9</v>
      </c>
      <c r="B4656" t="s">
        <v>5</v>
      </c>
      <c r="C4656">
        <v>100</v>
      </c>
      <c r="D4656">
        <v>179.78700000000001</v>
      </c>
    </row>
    <row r="4657" spans="1:4" x14ac:dyDescent="0.25">
      <c r="A4657" t="s">
        <v>9</v>
      </c>
      <c r="B4657" t="s">
        <v>5</v>
      </c>
      <c r="C4657">
        <v>100</v>
      </c>
      <c r="D4657">
        <v>165.47399999999999</v>
      </c>
    </row>
    <row r="4658" spans="1:4" x14ac:dyDescent="0.25">
      <c r="A4658" t="s">
        <v>9</v>
      </c>
      <c r="B4658" t="s">
        <v>5</v>
      </c>
      <c r="C4658">
        <v>100</v>
      </c>
      <c r="D4658">
        <v>163.959</v>
      </c>
    </row>
    <row r="4659" spans="1:4" x14ac:dyDescent="0.25">
      <c r="A4659" t="s">
        <v>9</v>
      </c>
      <c r="B4659" t="s">
        <v>5</v>
      </c>
      <c r="C4659">
        <v>100</v>
      </c>
      <c r="D4659">
        <v>166.79</v>
      </c>
    </row>
    <row r="4660" spans="1:4" x14ac:dyDescent="0.25">
      <c r="A4660" t="s">
        <v>9</v>
      </c>
      <c r="B4660" t="s">
        <v>5</v>
      </c>
      <c r="C4660">
        <v>100</v>
      </c>
      <c r="D4660">
        <v>141.52500000000001</v>
      </c>
    </row>
    <row r="4661" spans="1:4" x14ac:dyDescent="0.25">
      <c r="A4661" t="s">
        <v>9</v>
      </c>
      <c r="B4661" t="s">
        <v>5</v>
      </c>
      <c r="C4661">
        <v>100</v>
      </c>
      <c r="D4661">
        <v>175.34899999999999</v>
      </c>
    </row>
    <row r="4662" spans="1:4" x14ac:dyDescent="0.25">
      <c r="A4662" t="s">
        <v>9</v>
      </c>
      <c r="B4662" t="s">
        <v>5</v>
      </c>
      <c r="C4662">
        <v>100</v>
      </c>
      <c r="D4662">
        <v>178.54300000000001</v>
      </c>
    </row>
    <row r="4663" spans="1:4" x14ac:dyDescent="0.25">
      <c r="A4663" t="s">
        <v>9</v>
      </c>
      <c r="B4663" t="s">
        <v>5</v>
      </c>
      <c r="C4663">
        <v>100</v>
      </c>
      <c r="D4663">
        <v>190.053</v>
      </c>
    </row>
    <row r="4664" spans="1:4" x14ac:dyDescent="0.25">
      <c r="A4664" t="s">
        <v>9</v>
      </c>
      <c r="B4664" t="s">
        <v>5</v>
      </c>
      <c r="C4664">
        <v>100</v>
      </c>
      <c r="D4664">
        <v>176.81399999999999</v>
      </c>
    </row>
    <row r="4665" spans="1:4" x14ac:dyDescent="0.25">
      <c r="A4665" t="s">
        <v>9</v>
      </c>
      <c r="B4665" t="s">
        <v>5</v>
      </c>
      <c r="C4665">
        <v>100</v>
      </c>
      <c r="D4665">
        <v>171.20599999999999</v>
      </c>
    </row>
    <row r="4666" spans="1:4" x14ac:dyDescent="0.25">
      <c r="A4666" t="s">
        <v>9</v>
      </c>
      <c r="B4666" t="s">
        <v>5</v>
      </c>
      <c r="C4666">
        <v>100</v>
      </c>
      <c r="D4666">
        <v>173.422</v>
      </c>
    </row>
    <row r="4667" spans="1:4" x14ac:dyDescent="0.25">
      <c r="A4667" t="s">
        <v>9</v>
      </c>
      <c r="B4667" t="s">
        <v>5</v>
      </c>
      <c r="C4667">
        <v>100</v>
      </c>
      <c r="D4667">
        <v>170.56700000000001</v>
      </c>
    </row>
    <row r="4668" spans="1:4" x14ac:dyDescent="0.25">
      <c r="A4668" t="s">
        <v>9</v>
      </c>
      <c r="B4668" t="s">
        <v>5</v>
      </c>
      <c r="C4668">
        <v>100</v>
      </c>
      <c r="D4668">
        <v>173.13</v>
      </c>
    </row>
    <row r="4669" spans="1:4" x14ac:dyDescent="0.25">
      <c r="A4669" t="s">
        <v>9</v>
      </c>
      <c r="B4669" t="s">
        <v>5</v>
      </c>
      <c r="C4669">
        <v>100</v>
      </c>
      <c r="D4669">
        <v>155.91399999999999</v>
      </c>
    </row>
    <row r="4670" spans="1:4" x14ac:dyDescent="0.25">
      <c r="A4670" t="s">
        <v>9</v>
      </c>
      <c r="B4670" t="s">
        <v>5</v>
      </c>
      <c r="C4670">
        <v>100</v>
      </c>
      <c r="D4670">
        <v>153.327</v>
      </c>
    </row>
    <row r="4671" spans="1:4" x14ac:dyDescent="0.25">
      <c r="A4671" t="s">
        <v>9</v>
      </c>
      <c r="B4671" t="s">
        <v>5</v>
      </c>
      <c r="C4671">
        <v>100</v>
      </c>
      <c r="D4671">
        <v>165.18100000000001</v>
      </c>
    </row>
    <row r="4672" spans="1:4" x14ac:dyDescent="0.25">
      <c r="A4672" t="s">
        <v>9</v>
      </c>
      <c r="B4672" t="s">
        <v>5</v>
      </c>
      <c r="C4672">
        <v>100</v>
      </c>
      <c r="D4672">
        <v>173.911</v>
      </c>
    </row>
    <row r="4673" spans="1:4" x14ac:dyDescent="0.25">
      <c r="A4673" t="s">
        <v>9</v>
      </c>
      <c r="B4673" t="s">
        <v>5</v>
      </c>
      <c r="C4673">
        <v>100</v>
      </c>
      <c r="D4673">
        <v>162.42500000000001</v>
      </c>
    </row>
    <row r="4674" spans="1:4" x14ac:dyDescent="0.25">
      <c r="A4674" t="s">
        <v>9</v>
      </c>
      <c r="B4674" t="s">
        <v>5</v>
      </c>
      <c r="C4674">
        <v>100</v>
      </c>
      <c r="D4674">
        <v>218.732</v>
      </c>
    </row>
    <row r="4675" spans="1:4" x14ac:dyDescent="0.25">
      <c r="A4675" t="s">
        <v>9</v>
      </c>
      <c r="B4675" t="s">
        <v>5</v>
      </c>
      <c r="C4675">
        <v>100</v>
      </c>
      <c r="D4675">
        <v>167.10400000000001</v>
      </c>
    </row>
    <row r="4676" spans="1:4" x14ac:dyDescent="0.25">
      <c r="A4676" t="s">
        <v>9</v>
      </c>
      <c r="B4676" t="s">
        <v>5</v>
      </c>
      <c r="C4676">
        <v>100</v>
      </c>
      <c r="D4676">
        <v>207.196</v>
      </c>
    </row>
    <row r="4677" spans="1:4" x14ac:dyDescent="0.25">
      <c r="A4677" t="s">
        <v>9</v>
      </c>
      <c r="B4677" t="s">
        <v>5</v>
      </c>
      <c r="C4677">
        <v>100</v>
      </c>
      <c r="D4677">
        <v>164.886</v>
      </c>
    </row>
    <row r="4678" spans="1:4" x14ac:dyDescent="0.25">
      <c r="A4678" t="s">
        <v>9</v>
      </c>
      <c r="B4678" t="s">
        <v>5</v>
      </c>
      <c r="C4678">
        <v>100</v>
      </c>
      <c r="D4678">
        <v>170.98400000000001</v>
      </c>
    </row>
    <row r="4679" spans="1:4" x14ac:dyDescent="0.25">
      <c r="A4679" t="s">
        <v>9</v>
      </c>
      <c r="B4679" t="s">
        <v>5</v>
      </c>
      <c r="C4679">
        <v>100</v>
      </c>
      <c r="D4679">
        <v>178.05699999999999</v>
      </c>
    </row>
    <row r="4680" spans="1:4" x14ac:dyDescent="0.25">
      <c r="A4680" t="s">
        <v>9</v>
      </c>
      <c r="B4680" t="s">
        <v>5</v>
      </c>
      <c r="C4680">
        <v>100</v>
      </c>
      <c r="D4680">
        <v>151.988</v>
      </c>
    </row>
    <row r="4681" spans="1:4" x14ac:dyDescent="0.25">
      <c r="A4681" t="s">
        <v>9</v>
      </c>
      <c r="B4681" t="s">
        <v>5</v>
      </c>
      <c r="C4681">
        <v>100</v>
      </c>
      <c r="D4681">
        <v>162.898</v>
      </c>
    </row>
    <row r="4682" spans="1:4" x14ac:dyDescent="0.25">
      <c r="A4682" t="s">
        <v>9</v>
      </c>
      <c r="B4682" t="s">
        <v>5</v>
      </c>
      <c r="C4682">
        <v>100</v>
      </c>
      <c r="D4682">
        <v>173.27500000000001</v>
      </c>
    </row>
    <row r="4683" spans="1:4" x14ac:dyDescent="0.25">
      <c r="A4683" t="s">
        <v>9</v>
      </c>
      <c r="B4683" t="s">
        <v>5</v>
      </c>
      <c r="C4683">
        <v>100</v>
      </c>
      <c r="D4683">
        <v>179.42099999999999</v>
      </c>
    </row>
    <row r="4684" spans="1:4" x14ac:dyDescent="0.25">
      <c r="A4684" t="s">
        <v>9</v>
      </c>
      <c r="B4684" t="s">
        <v>5</v>
      </c>
      <c r="C4684">
        <v>100</v>
      </c>
      <c r="D4684">
        <v>180.98099999999999</v>
      </c>
    </row>
    <row r="4685" spans="1:4" x14ac:dyDescent="0.25">
      <c r="A4685" t="s">
        <v>9</v>
      </c>
      <c r="B4685" t="s">
        <v>5</v>
      </c>
      <c r="C4685">
        <v>100</v>
      </c>
      <c r="D4685">
        <v>200.10300000000001</v>
      </c>
    </row>
    <row r="4686" spans="1:4" x14ac:dyDescent="0.25">
      <c r="A4686" t="s">
        <v>9</v>
      </c>
      <c r="B4686" t="s">
        <v>5</v>
      </c>
      <c r="C4686">
        <v>100</v>
      </c>
      <c r="D4686">
        <v>160.279</v>
      </c>
    </row>
    <row r="4687" spans="1:4" x14ac:dyDescent="0.25">
      <c r="A4687" t="s">
        <v>9</v>
      </c>
      <c r="B4687" t="s">
        <v>5</v>
      </c>
      <c r="C4687">
        <v>100</v>
      </c>
      <c r="D4687">
        <v>158.744</v>
      </c>
    </row>
    <row r="4688" spans="1:4" x14ac:dyDescent="0.25">
      <c r="A4688" t="s">
        <v>9</v>
      </c>
      <c r="B4688" t="s">
        <v>5</v>
      </c>
      <c r="C4688">
        <v>100</v>
      </c>
      <c r="D4688">
        <v>170.76499999999999</v>
      </c>
    </row>
    <row r="4689" spans="1:4" x14ac:dyDescent="0.25">
      <c r="A4689" t="s">
        <v>9</v>
      </c>
      <c r="B4689" t="s">
        <v>5</v>
      </c>
      <c r="C4689">
        <v>100</v>
      </c>
      <c r="D4689">
        <v>185.34899999999999</v>
      </c>
    </row>
    <row r="4690" spans="1:4" x14ac:dyDescent="0.25">
      <c r="A4690" t="s">
        <v>9</v>
      </c>
      <c r="B4690" t="s">
        <v>5</v>
      </c>
      <c r="C4690">
        <v>100</v>
      </c>
      <c r="D4690">
        <v>168.76499999999999</v>
      </c>
    </row>
    <row r="4691" spans="1:4" x14ac:dyDescent="0.25">
      <c r="A4691" t="s">
        <v>9</v>
      </c>
      <c r="B4691" t="s">
        <v>5</v>
      </c>
      <c r="C4691">
        <v>100</v>
      </c>
      <c r="D4691">
        <v>155.619</v>
      </c>
    </row>
    <row r="4692" spans="1:4" x14ac:dyDescent="0.25">
      <c r="A4692" t="s">
        <v>9</v>
      </c>
      <c r="B4692" t="s">
        <v>5</v>
      </c>
      <c r="C4692">
        <v>100</v>
      </c>
      <c r="D4692">
        <v>141.74700000000001</v>
      </c>
    </row>
    <row r="4693" spans="1:4" x14ac:dyDescent="0.25">
      <c r="A4693" t="s">
        <v>9</v>
      </c>
      <c r="B4693" t="s">
        <v>5</v>
      </c>
      <c r="C4693">
        <v>100</v>
      </c>
      <c r="D4693">
        <v>144.62299999999999</v>
      </c>
    </row>
    <row r="4694" spans="1:4" x14ac:dyDescent="0.25">
      <c r="A4694" t="s">
        <v>9</v>
      </c>
      <c r="B4694" t="s">
        <v>5</v>
      </c>
      <c r="C4694">
        <v>100</v>
      </c>
      <c r="D4694">
        <v>173.76499999999999</v>
      </c>
    </row>
    <row r="4695" spans="1:4" x14ac:dyDescent="0.25">
      <c r="A4695" t="s">
        <v>9</v>
      </c>
      <c r="B4695" t="s">
        <v>5</v>
      </c>
      <c r="C4695">
        <v>100</v>
      </c>
      <c r="D4695">
        <v>194.17400000000001</v>
      </c>
    </row>
    <row r="4696" spans="1:4" x14ac:dyDescent="0.25">
      <c r="A4696" t="s">
        <v>9</v>
      </c>
      <c r="B4696" t="s">
        <v>5</v>
      </c>
      <c r="C4696">
        <v>100</v>
      </c>
      <c r="D4696">
        <v>164.33099999999999</v>
      </c>
    </row>
    <row r="4697" spans="1:4" x14ac:dyDescent="0.25">
      <c r="A4697" t="s">
        <v>9</v>
      </c>
      <c r="B4697" t="s">
        <v>5</v>
      </c>
      <c r="C4697">
        <v>100</v>
      </c>
      <c r="D4697">
        <v>180.46899999999999</v>
      </c>
    </row>
    <row r="4698" spans="1:4" x14ac:dyDescent="0.25">
      <c r="A4698" t="s">
        <v>9</v>
      </c>
      <c r="B4698" t="s">
        <v>5</v>
      </c>
      <c r="C4698">
        <v>100</v>
      </c>
      <c r="D4698">
        <v>179.90700000000001</v>
      </c>
    </row>
    <row r="4699" spans="1:4" x14ac:dyDescent="0.25">
      <c r="A4699" t="s">
        <v>9</v>
      </c>
      <c r="B4699" t="s">
        <v>5</v>
      </c>
      <c r="C4699">
        <v>100</v>
      </c>
      <c r="D4699">
        <v>176.64400000000001</v>
      </c>
    </row>
    <row r="4700" spans="1:4" x14ac:dyDescent="0.25">
      <c r="A4700" t="s">
        <v>9</v>
      </c>
      <c r="B4700" t="s">
        <v>5</v>
      </c>
      <c r="C4700">
        <v>100</v>
      </c>
      <c r="D4700">
        <v>178.154</v>
      </c>
    </row>
    <row r="4701" spans="1:4" x14ac:dyDescent="0.25">
      <c r="A4701" t="s">
        <v>9</v>
      </c>
      <c r="B4701" t="s">
        <v>5</v>
      </c>
      <c r="C4701">
        <v>100</v>
      </c>
      <c r="D4701">
        <v>165.279</v>
      </c>
    </row>
    <row r="4702" spans="1:4" x14ac:dyDescent="0.25">
      <c r="A4702" t="s">
        <v>9</v>
      </c>
      <c r="B4702" t="s">
        <v>5</v>
      </c>
      <c r="C4702">
        <v>120</v>
      </c>
      <c r="D4702">
        <v>233.87799999999999</v>
      </c>
    </row>
    <row r="4703" spans="1:4" x14ac:dyDescent="0.25">
      <c r="A4703" t="s">
        <v>9</v>
      </c>
      <c r="B4703" t="s">
        <v>5</v>
      </c>
      <c r="C4703">
        <v>120</v>
      </c>
      <c r="D4703">
        <v>187.036</v>
      </c>
    </row>
    <row r="4704" spans="1:4" x14ac:dyDescent="0.25">
      <c r="A4704" t="s">
        <v>9</v>
      </c>
      <c r="B4704" t="s">
        <v>5</v>
      </c>
      <c r="C4704">
        <v>120</v>
      </c>
      <c r="D4704">
        <v>206.148</v>
      </c>
    </row>
    <row r="4705" spans="1:4" x14ac:dyDescent="0.25">
      <c r="A4705" t="s">
        <v>9</v>
      </c>
      <c r="B4705" t="s">
        <v>5</v>
      </c>
      <c r="C4705">
        <v>120</v>
      </c>
      <c r="D4705">
        <v>176.27600000000001</v>
      </c>
    </row>
    <row r="4706" spans="1:4" x14ac:dyDescent="0.25">
      <c r="A4706" t="s">
        <v>9</v>
      </c>
      <c r="B4706" t="s">
        <v>5</v>
      </c>
      <c r="C4706">
        <v>120</v>
      </c>
      <c r="D4706">
        <v>189.37</v>
      </c>
    </row>
    <row r="4707" spans="1:4" x14ac:dyDescent="0.25">
      <c r="A4707" t="s">
        <v>9</v>
      </c>
      <c r="B4707" t="s">
        <v>5</v>
      </c>
      <c r="C4707">
        <v>120</v>
      </c>
      <c r="D4707">
        <v>170.86199999999999</v>
      </c>
    </row>
    <row r="4708" spans="1:4" x14ac:dyDescent="0.25">
      <c r="A4708" t="s">
        <v>9</v>
      </c>
      <c r="B4708" t="s">
        <v>5</v>
      </c>
      <c r="C4708">
        <v>120</v>
      </c>
      <c r="D4708">
        <v>251.077</v>
      </c>
    </row>
    <row r="4709" spans="1:4" x14ac:dyDescent="0.25">
      <c r="A4709" t="s">
        <v>9</v>
      </c>
      <c r="B4709" t="s">
        <v>5</v>
      </c>
      <c r="C4709">
        <v>120</v>
      </c>
      <c r="D4709">
        <v>164.571</v>
      </c>
    </row>
    <row r="4710" spans="1:4" x14ac:dyDescent="0.25">
      <c r="A4710" t="s">
        <v>9</v>
      </c>
      <c r="B4710" t="s">
        <v>5</v>
      </c>
      <c r="C4710">
        <v>120</v>
      </c>
      <c r="D4710">
        <v>216.71100000000001</v>
      </c>
    </row>
    <row r="4711" spans="1:4" x14ac:dyDescent="0.25">
      <c r="A4711" t="s">
        <v>9</v>
      </c>
      <c r="B4711" t="s">
        <v>5</v>
      </c>
      <c r="C4711">
        <v>120</v>
      </c>
      <c r="D4711">
        <v>210.334</v>
      </c>
    </row>
    <row r="4712" spans="1:4" x14ac:dyDescent="0.25">
      <c r="A4712" t="s">
        <v>9</v>
      </c>
      <c r="B4712" t="s">
        <v>5</v>
      </c>
      <c r="C4712">
        <v>120</v>
      </c>
      <c r="D4712">
        <v>225.62200000000001</v>
      </c>
    </row>
    <row r="4713" spans="1:4" x14ac:dyDescent="0.25">
      <c r="A4713" t="s">
        <v>9</v>
      </c>
      <c r="B4713" t="s">
        <v>5</v>
      </c>
      <c r="C4713">
        <v>120</v>
      </c>
      <c r="D4713">
        <v>185.15899999999999</v>
      </c>
    </row>
    <row r="4714" spans="1:4" x14ac:dyDescent="0.25">
      <c r="A4714" t="s">
        <v>9</v>
      </c>
      <c r="B4714" t="s">
        <v>5</v>
      </c>
      <c r="C4714">
        <v>120</v>
      </c>
      <c r="D4714">
        <v>183.30699999999999</v>
      </c>
    </row>
    <row r="4715" spans="1:4" x14ac:dyDescent="0.25">
      <c r="A4715" t="s">
        <v>9</v>
      </c>
      <c r="B4715" t="s">
        <v>5</v>
      </c>
      <c r="C4715">
        <v>120</v>
      </c>
      <c r="D4715">
        <v>179.43</v>
      </c>
    </row>
    <row r="4716" spans="1:4" x14ac:dyDescent="0.25">
      <c r="A4716" t="s">
        <v>9</v>
      </c>
      <c r="B4716" t="s">
        <v>5</v>
      </c>
      <c r="C4716">
        <v>120</v>
      </c>
      <c r="D4716">
        <v>213.70699999999999</v>
      </c>
    </row>
    <row r="4717" spans="1:4" x14ac:dyDescent="0.25">
      <c r="A4717" t="s">
        <v>9</v>
      </c>
      <c r="B4717" t="s">
        <v>5</v>
      </c>
      <c r="C4717">
        <v>120</v>
      </c>
      <c r="D4717">
        <v>199.839</v>
      </c>
    </row>
    <row r="4718" spans="1:4" x14ac:dyDescent="0.25">
      <c r="A4718" t="s">
        <v>9</v>
      </c>
      <c r="B4718" t="s">
        <v>5</v>
      </c>
      <c r="C4718">
        <v>120</v>
      </c>
      <c r="D4718">
        <v>212.05799999999999</v>
      </c>
    </row>
    <row r="4719" spans="1:4" x14ac:dyDescent="0.25">
      <c r="A4719" t="s">
        <v>9</v>
      </c>
      <c r="B4719" t="s">
        <v>5</v>
      </c>
      <c r="C4719">
        <v>120</v>
      </c>
      <c r="D4719">
        <v>208.637</v>
      </c>
    </row>
    <row r="4720" spans="1:4" x14ac:dyDescent="0.25">
      <c r="A4720" t="s">
        <v>9</v>
      </c>
      <c r="B4720" t="s">
        <v>5</v>
      </c>
      <c r="C4720">
        <v>120</v>
      </c>
      <c r="D4720">
        <v>219.64699999999999</v>
      </c>
    </row>
    <row r="4721" spans="1:4" x14ac:dyDescent="0.25">
      <c r="A4721" t="s">
        <v>9</v>
      </c>
      <c r="B4721" t="s">
        <v>5</v>
      </c>
      <c r="C4721">
        <v>120</v>
      </c>
      <c r="D4721">
        <v>222.351</v>
      </c>
    </row>
    <row r="4722" spans="1:4" x14ac:dyDescent="0.25">
      <c r="A4722" t="s">
        <v>9</v>
      </c>
      <c r="B4722" t="s">
        <v>5</v>
      </c>
      <c r="C4722">
        <v>120</v>
      </c>
      <c r="D4722">
        <v>218.85300000000001</v>
      </c>
    </row>
    <row r="4723" spans="1:4" x14ac:dyDescent="0.25">
      <c r="A4723" t="s">
        <v>9</v>
      </c>
      <c r="B4723" t="s">
        <v>5</v>
      </c>
      <c r="C4723">
        <v>120</v>
      </c>
      <c r="D4723">
        <v>233.321</v>
      </c>
    </row>
    <row r="4724" spans="1:4" x14ac:dyDescent="0.25">
      <c r="A4724" t="s">
        <v>9</v>
      </c>
      <c r="B4724" t="s">
        <v>5</v>
      </c>
      <c r="C4724">
        <v>120</v>
      </c>
      <c r="D4724">
        <v>220.131</v>
      </c>
    </row>
    <row r="4725" spans="1:4" x14ac:dyDescent="0.25">
      <c r="A4725" t="s">
        <v>9</v>
      </c>
      <c r="B4725" t="s">
        <v>5</v>
      </c>
      <c r="C4725">
        <v>120</v>
      </c>
      <c r="D4725">
        <v>171.76499999999999</v>
      </c>
    </row>
    <row r="4726" spans="1:4" x14ac:dyDescent="0.25">
      <c r="A4726" t="s">
        <v>9</v>
      </c>
      <c r="B4726" t="s">
        <v>5</v>
      </c>
      <c r="C4726">
        <v>120</v>
      </c>
      <c r="D4726">
        <v>202.85599999999999</v>
      </c>
    </row>
    <row r="4727" spans="1:4" x14ac:dyDescent="0.25">
      <c r="A4727" t="s">
        <v>9</v>
      </c>
      <c r="B4727" t="s">
        <v>5</v>
      </c>
      <c r="C4727">
        <v>120</v>
      </c>
      <c r="D4727">
        <v>216.392</v>
      </c>
    </row>
    <row r="4728" spans="1:4" x14ac:dyDescent="0.25">
      <c r="A4728" t="s">
        <v>9</v>
      </c>
      <c r="B4728" t="s">
        <v>5</v>
      </c>
      <c r="C4728">
        <v>120</v>
      </c>
      <c r="D4728">
        <v>196.49199999999999</v>
      </c>
    </row>
    <row r="4729" spans="1:4" x14ac:dyDescent="0.25">
      <c r="A4729" t="s">
        <v>9</v>
      </c>
      <c r="B4729" t="s">
        <v>5</v>
      </c>
      <c r="C4729">
        <v>120</v>
      </c>
      <c r="D4729">
        <v>223.87799999999999</v>
      </c>
    </row>
    <row r="4730" spans="1:4" x14ac:dyDescent="0.25">
      <c r="A4730" t="s">
        <v>9</v>
      </c>
      <c r="B4730" t="s">
        <v>5</v>
      </c>
      <c r="C4730">
        <v>120</v>
      </c>
      <c r="D4730">
        <v>222.86099999999999</v>
      </c>
    </row>
    <row r="4731" spans="1:4" x14ac:dyDescent="0.25">
      <c r="A4731" t="s">
        <v>9</v>
      </c>
      <c r="B4731" t="s">
        <v>5</v>
      </c>
      <c r="C4731">
        <v>120</v>
      </c>
      <c r="D4731">
        <v>240.72900000000001</v>
      </c>
    </row>
    <row r="4732" spans="1:4" x14ac:dyDescent="0.25">
      <c r="A4732" t="s">
        <v>9</v>
      </c>
      <c r="B4732" t="s">
        <v>5</v>
      </c>
      <c r="C4732">
        <v>120</v>
      </c>
      <c r="D4732">
        <v>218.41499999999999</v>
      </c>
    </row>
    <row r="4733" spans="1:4" x14ac:dyDescent="0.25">
      <c r="A4733" t="s">
        <v>9</v>
      </c>
      <c r="B4733" t="s">
        <v>5</v>
      </c>
      <c r="C4733">
        <v>120</v>
      </c>
      <c r="D4733">
        <v>198.94</v>
      </c>
    </row>
    <row r="4734" spans="1:4" x14ac:dyDescent="0.25">
      <c r="A4734" t="s">
        <v>9</v>
      </c>
      <c r="B4734" t="s">
        <v>5</v>
      </c>
      <c r="C4734">
        <v>120</v>
      </c>
      <c r="D4734">
        <v>202.102</v>
      </c>
    </row>
    <row r="4735" spans="1:4" x14ac:dyDescent="0.25">
      <c r="A4735" t="s">
        <v>9</v>
      </c>
      <c r="B4735" t="s">
        <v>5</v>
      </c>
      <c r="C4735">
        <v>120</v>
      </c>
      <c r="D4735">
        <v>208.929</v>
      </c>
    </row>
    <row r="4736" spans="1:4" x14ac:dyDescent="0.25">
      <c r="A4736" t="s">
        <v>9</v>
      </c>
      <c r="B4736" t="s">
        <v>5</v>
      </c>
      <c r="C4736">
        <v>120</v>
      </c>
      <c r="D4736">
        <v>199.977</v>
      </c>
    </row>
    <row r="4737" spans="1:4" x14ac:dyDescent="0.25">
      <c r="A4737" t="s">
        <v>9</v>
      </c>
      <c r="B4737" t="s">
        <v>5</v>
      </c>
      <c r="C4737">
        <v>120</v>
      </c>
      <c r="D4737">
        <v>231.93100000000001</v>
      </c>
    </row>
    <row r="4738" spans="1:4" x14ac:dyDescent="0.25">
      <c r="A4738" t="s">
        <v>9</v>
      </c>
      <c r="B4738" t="s">
        <v>5</v>
      </c>
      <c r="C4738">
        <v>120</v>
      </c>
      <c r="D4738">
        <v>193.56399999999999</v>
      </c>
    </row>
    <row r="4739" spans="1:4" x14ac:dyDescent="0.25">
      <c r="A4739" t="s">
        <v>9</v>
      </c>
      <c r="B4739" t="s">
        <v>5</v>
      </c>
      <c r="C4739">
        <v>120</v>
      </c>
      <c r="D4739">
        <v>171.20699999999999</v>
      </c>
    </row>
    <row r="4740" spans="1:4" x14ac:dyDescent="0.25">
      <c r="A4740" t="s">
        <v>9</v>
      </c>
      <c r="B4740" t="s">
        <v>5</v>
      </c>
      <c r="C4740">
        <v>120</v>
      </c>
      <c r="D4740">
        <v>196.56399999999999</v>
      </c>
    </row>
    <row r="4741" spans="1:4" x14ac:dyDescent="0.25">
      <c r="A4741" t="s">
        <v>9</v>
      </c>
      <c r="B4741" t="s">
        <v>5</v>
      </c>
      <c r="C4741">
        <v>120</v>
      </c>
      <c r="D4741">
        <v>224.899</v>
      </c>
    </row>
    <row r="4742" spans="1:4" x14ac:dyDescent="0.25">
      <c r="A4742" t="s">
        <v>9</v>
      </c>
      <c r="B4742" t="s">
        <v>5</v>
      </c>
      <c r="C4742">
        <v>120</v>
      </c>
      <c r="D4742">
        <v>185.93299999999999</v>
      </c>
    </row>
    <row r="4743" spans="1:4" x14ac:dyDescent="0.25">
      <c r="A4743" t="s">
        <v>9</v>
      </c>
      <c r="B4743" t="s">
        <v>5</v>
      </c>
      <c r="C4743">
        <v>120</v>
      </c>
      <c r="D4743">
        <v>222.63399999999999</v>
      </c>
    </row>
    <row r="4744" spans="1:4" x14ac:dyDescent="0.25">
      <c r="A4744" t="s">
        <v>9</v>
      </c>
      <c r="B4744" t="s">
        <v>5</v>
      </c>
      <c r="C4744">
        <v>120</v>
      </c>
      <c r="D4744">
        <v>215.316</v>
      </c>
    </row>
    <row r="4745" spans="1:4" x14ac:dyDescent="0.25">
      <c r="A4745" t="s">
        <v>9</v>
      </c>
      <c r="B4745" t="s">
        <v>5</v>
      </c>
      <c r="C4745">
        <v>120</v>
      </c>
      <c r="D4745">
        <v>218.90899999999999</v>
      </c>
    </row>
    <row r="4746" spans="1:4" x14ac:dyDescent="0.25">
      <c r="A4746" t="s">
        <v>9</v>
      </c>
      <c r="B4746" t="s">
        <v>5</v>
      </c>
      <c r="C4746">
        <v>120</v>
      </c>
      <c r="D4746">
        <v>189.24799999999999</v>
      </c>
    </row>
    <row r="4747" spans="1:4" x14ac:dyDescent="0.25">
      <c r="A4747" t="s">
        <v>9</v>
      </c>
      <c r="B4747" t="s">
        <v>5</v>
      </c>
      <c r="C4747">
        <v>120</v>
      </c>
      <c r="D4747">
        <v>204.07499999999999</v>
      </c>
    </row>
    <row r="4748" spans="1:4" x14ac:dyDescent="0.25">
      <c r="A4748" t="s">
        <v>9</v>
      </c>
      <c r="B4748" t="s">
        <v>5</v>
      </c>
      <c r="C4748">
        <v>120</v>
      </c>
      <c r="D4748">
        <v>209.857</v>
      </c>
    </row>
    <row r="4749" spans="1:4" x14ac:dyDescent="0.25">
      <c r="A4749" t="s">
        <v>9</v>
      </c>
      <c r="B4749" t="s">
        <v>5</v>
      </c>
      <c r="C4749">
        <v>120</v>
      </c>
      <c r="D4749">
        <v>189.37</v>
      </c>
    </row>
    <row r="4750" spans="1:4" x14ac:dyDescent="0.25">
      <c r="A4750" t="s">
        <v>9</v>
      </c>
      <c r="B4750" t="s">
        <v>5</v>
      </c>
      <c r="C4750">
        <v>120</v>
      </c>
      <c r="D4750">
        <v>179.64400000000001</v>
      </c>
    </row>
    <row r="4751" spans="1:4" x14ac:dyDescent="0.25">
      <c r="A4751" t="s">
        <v>9</v>
      </c>
      <c r="B4751" t="s">
        <v>5</v>
      </c>
      <c r="C4751">
        <v>120</v>
      </c>
      <c r="D4751">
        <v>192.762</v>
      </c>
    </row>
    <row r="4752" spans="1:4" x14ac:dyDescent="0.25">
      <c r="A4752" t="s">
        <v>9</v>
      </c>
      <c r="B4752" t="s">
        <v>5</v>
      </c>
      <c r="C4752">
        <v>120</v>
      </c>
      <c r="D4752">
        <v>164.47</v>
      </c>
    </row>
    <row r="4753" spans="1:4" x14ac:dyDescent="0.25">
      <c r="A4753" t="s">
        <v>9</v>
      </c>
      <c r="B4753" t="s">
        <v>5</v>
      </c>
      <c r="C4753">
        <v>120</v>
      </c>
      <c r="D4753">
        <v>214.86099999999999</v>
      </c>
    </row>
    <row r="4754" spans="1:4" x14ac:dyDescent="0.25">
      <c r="A4754" t="s">
        <v>9</v>
      </c>
      <c r="B4754" t="s">
        <v>5</v>
      </c>
      <c r="C4754">
        <v>120</v>
      </c>
      <c r="D4754">
        <v>212.715</v>
      </c>
    </row>
    <row r="4755" spans="1:4" x14ac:dyDescent="0.25">
      <c r="A4755" t="s">
        <v>9</v>
      </c>
      <c r="B4755" t="s">
        <v>5</v>
      </c>
      <c r="C4755">
        <v>120</v>
      </c>
      <c r="D4755">
        <v>150.20599999999999</v>
      </c>
    </row>
    <row r="4756" spans="1:4" x14ac:dyDescent="0.25">
      <c r="A4756" t="s">
        <v>9</v>
      </c>
      <c r="B4756" t="s">
        <v>5</v>
      </c>
      <c r="C4756">
        <v>120</v>
      </c>
      <c r="D4756">
        <v>185.251</v>
      </c>
    </row>
    <row r="4757" spans="1:4" x14ac:dyDescent="0.25">
      <c r="A4757" t="s">
        <v>9</v>
      </c>
      <c r="B4757" t="s">
        <v>5</v>
      </c>
      <c r="C4757">
        <v>120</v>
      </c>
      <c r="D4757">
        <v>176.39699999999999</v>
      </c>
    </row>
    <row r="4758" spans="1:4" x14ac:dyDescent="0.25">
      <c r="A4758" t="s">
        <v>9</v>
      </c>
      <c r="B4758" t="s">
        <v>5</v>
      </c>
      <c r="C4758">
        <v>120</v>
      </c>
      <c r="D4758">
        <v>177.053</v>
      </c>
    </row>
    <row r="4759" spans="1:4" x14ac:dyDescent="0.25">
      <c r="A4759" t="s">
        <v>9</v>
      </c>
      <c r="B4759" t="s">
        <v>5</v>
      </c>
      <c r="C4759">
        <v>120</v>
      </c>
      <c r="D4759">
        <v>186.28399999999999</v>
      </c>
    </row>
    <row r="4760" spans="1:4" x14ac:dyDescent="0.25">
      <c r="A4760" t="s">
        <v>9</v>
      </c>
      <c r="B4760" t="s">
        <v>5</v>
      </c>
      <c r="C4760">
        <v>120</v>
      </c>
      <c r="D4760">
        <v>227.72900000000001</v>
      </c>
    </row>
    <row r="4761" spans="1:4" x14ac:dyDescent="0.25">
      <c r="A4761" t="s">
        <v>9</v>
      </c>
      <c r="B4761" t="s">
        <v>5</v>
      </c>
      <c r="C4761">
        <v>120</v>
      </c>
      <c r="D4761">
        <v>184.89099999999999</v>
      </c>
    </row>
    <row r="4762" spans="1:4" x14ac:dyDescent="0.25">
      <c r="A4762" t="s">
        <v>9</v>
      </c>
      <c r="B4762" t="s">
        <v>5</v>
      </c>
      <c r="C4762">
        <v>120</v>
      </c>
      <c r="D4762">
        <v>199.85599999999999</v>
      </c>
    </row>
    <row r="4763" spans="1:4" x14ac:dyDescent="0.25">
      <c r="A4763" t="s">
        <v>9</v>
      </c>
      <c r="B4763" t="s">
        <v>5</v>
      </c>
      <c r="C4763">
        <v>120</v>
      </c>
      <c r="D4763">
        <v>198.07400000000001</v>
      </c>
    </row>
    <row r="4764" spans="1:4" x14ac:dyDescent="0.25">
      <c r="A4764" t="s">
        <v>9</v>
      </c>
      <c r="B4764" t="s">
        <v>5</v>
      </c>
      <c r="C4764">
        <v>120</v>
      </c>
      <c r="D4764">
        <v>194.523</v>
      </c>
    </row>
    <row r="4765" spans="1:4" x14ac:dyDescent="0.25">
      <c r="A4765" t="s">
        <v>9</v>
      </c>
      <c r="B4765" t="s">
        <v>5</v>
      </c>
      <c r="C4765">
        <v>120</v>
      </c>
      <c r="D4765">
        <v>191.22399999999999</v>
      </c>
    </row>
    <row r="4766" spans="1:4" x14ac:dyDescent="0.25">
      <c r="A4766" t="s">
        <v>9</v>
      </c>
      <c r="B4766" t="s">
        <v>5</v>
      </c>
      <c r="C4766">
        <v>120</v>
      </c>
      <c r="D4766">
        <v>191.01400000000001</v>
      </c>
    </row>
    <row r="4767" spans="1:4" x14ac:dyDescent="0.25">
      <c r="A4767" t="s">
        <v>9</v>
      </c>
      <c r="B4767" t="s">
        <v>5</v>
      </c>
      <c r="C4767">
        <v>120</v>
      </c>
      <c r="D4767">
        <v>196.904</v>
      </c>
    </row>
    <row r="4768" spans="1:4" x14ac:dyDescent="0.25">
      <c r="A4768" t="s">
        <v>9</v>
      </c>
      <c r="B4768" t="s">
        <v>5</v>
      </c>
      <c r="C4768">
        <v>120</v>
      </c>
      <c r="D4768">
        <v>158.18100000000001</v>
      </c>
    </row>
    <row r="4769" spans="1:4" x14ac:dyDescent="0.25">
      <c r="A4769" t="s">
        <v>9</v>
      </c>
      <c r="B4769" t="s">
        <v>5</v>
      </c>
      <c r="C4769">
        <v>120</v>
      </c>
      <c r="D4769">
        <v>199.83199999999999</v>
      </c>
    </row>
    <row r="4770" spans="1:4" x14ac:dyDescent="0.25">
      <c r="A4770" t="s">
        <v>9</v>
      </c>
      <c r="B4770" t="s">
        <v>5</v>
      </c>
      <c r="C4770">
        <v>120</v>
      </c>
      <c r="D4770">
        <v>215.06299999999999</v>
      </c>
    </row>
    <row r="4771" spans="1:4" x14ac:dyDescent="0.25">
      <c r="A4771" t="s">
        <v>9</v>
      </c>
      <c r="B4771" t="s">
        <v>5</v>
      </c>
      <c r="C4771">
        <v>120</v>
      </c>
      <c r="D4771">
        <v>254.001</v>
      </c>
    </row>
    <row r="4772" spans="1:4" x14ac:dyDescent="0.25">
      <c r="A4772" t="s">
        <v>9</v>
      </c>
      <c r="B4772" t="s">
        <v>5</v>
      </c>
      <c r="C4772">
        <v>120</v>
      </c>
      <c r="D4772">
        <v>167.18199999999999</v>
      </c>
    </row>
    <row r="4773" spans="1:4" x14ac:dyDescent="0.25">
      <c r="A4773" t="s">
        <v>9</v>
      </c>
      <c r="B4773" t="s">
        <v>5</v>
      </c>
      <c r="C4773">
        <v>120</v>
      </c>
      <c r="D4773">
        <v>237.43700000000001</v>
      </c>
    </row>
    <row r="4774" spans="1:4" x14ac:dyDescent="0.25">
      <c r="A4774" t="s">
        <v>9</v>
      </c>
      <c r="B4774" t="s">
        <v>5</v>
      </c>
      <c r="C4774">
        <v>120</v>
      </c>
      <c r="D4774">
        <v>166.10499999999999</v>
      </c>
    </row>
    <row r="4775" spans="1:4" x14ac:dyDescent="0.25">
      <c r="A4775" t="s">
        <v>9</v>
      </c>
      <c r="B4775" t="s">
        <v>5</v>
      </c>
      <c r="C4775">
        <v>120</v>
      </c>
      <c r="D4775">
        <v>188.20699999999999</v>
      </c>
    </row>
    <row r="4776" spans="1:4" x14ac:dyDescent="0.25">
      <c r="A4776" t="s">
        <v>9</v>
      </c>
      <c r="B4776" t="s">
        <v>5</v>
      </c>
      <c r="C4776">
        <v>120</v>
      </c>
      <c r="D4776">
        <v>234.05500000000001</v>
      </c>
    </row>
    <row r="4777" spans="1:4" x14ac:dyDescent="0.25">
      <c r="A4777" t="s">
        <v>9</v>
      </c>
      <c r="B4777" t="s">
        <v>5</v>
      </c>
      <c r="C4777">
        <v>120</v>
      </c>
      <c r="D4777">
        <v>203.71100000000001</v>
      </c>
    </row>
    <row r="4778" spans="1:4" x14ac:dyDescent="0.25">
      <c r="A4778" t="s">
        <v>9</v>
      </c>
      <c r="B4778" t="s">
        <v>5</v>
      </c>
      <c r="C4778">
        <v>120</v>
      </c>
      <c r="D4778">
        <v>170.27500000000001</v>
      </c>
    </row>
    <row r="4779" spans="1:4" x14ac:dyDescent="0.25">
      <c r="A4779" t="s">
        <v>9</v>
      </c>
      <c r="B4779" t="s">
        <v>5</v>
      </c>
      <c r="C4779">
        <v>120</v>
      </c>
      <c r="D4779">
        <v>205.857</v>
      </c>
    </row>
    <row r="4780" spans="1:4" x14ac:dyDescent="0.25">
      <c r="A4780" t="s">
        <v>9</v>
      </c>
      <c r="B4780" t="s">
        <v>5</v>
      </c>
      <c r="C4780">
        <v>120</v>
      </c>
      <c r="D4780">
        <v>204.00200000000001</v>
      </c>
    </row>
    <row r="4781" spans="1:4" x14ac:dyDescent="0.25">
      <c r="A4781" t="s">
        <v>9</v>
      </c>
      <c r="B4781" t="s">
        <v>5</v>
      </c>
      <c r="C4781">
        <v>120</v>
      </c>
      <c r="D4781">
        <v>187.179</v>
      </c>
    </row>
    <row r="4782" spans="1:4" x14ac:dyDescent="0.25">
      <c r="A4782" t="s">
        <v>9</v>
      </c>
      <c r="B4782" t="s">
        <v>5</v>
      </c>
      <c r="C4782">
        <v>120</v>
      </c>
      <c r="D4782">
        <v>204.297</v>
      </c>
    </row>
    <row r="4783" spans="1:4" x14ac:dyDescent="0.25">
      <c r="A4783" t="s">
        <v>9</v>
      </c>
      <c r="B4783" t="s">
        <v>5</v>
      </c>
      <c r="C4783">
        <v>120</v>
      </c>
      <c r="D4783">
        <v>222.78800000000001</v>
      </c>
    </row>
    <row r="4784" spans="1:4" x14ac:dyDescent="0.25">
      <c r="A4784" t="s">
        <v>9</v>
      </c>
      <c r="B4784" t="s">
        <v>5</v>
      </c>
      <c r="C4784">
        <v>120</v>
      </c>
      <c r="D4784">
        <v>181.81299999999999</v>
      </c>
    </row>
    <row r="4785" spans="1:4" x14ac:dyDescent="0.25">
      <c r="A4785" t="s">
        <v>9</v>
      </c>
      <c r="B4785" t="s">
        <v>5</v>
      </c>
      <c r="C4785">
        <v>120</v>
      </c>
      <c r="D4785">
        <v>208.904</v>
      </c>
    </row>
    <row r="4786" spans="1:4" x14ac:dyDescent="0.25">
      <c r="A4786" t="s">
        <v>9</v>
      </c>
      <c r="B4786" t="s">
        <v>5</v>
      </c>
      <c r="C4786">
        <v>120</v>
      </c>
      <c r="D4786">
        <v>201.328</v>
      </c>
    </row>
    <row r="4787" spans="1:4" x14ac:dyDescent="0.25">
      <c r="A4787" t="s">
        <v>9</v>
      </c>
      <c r="B4787" t="s">
        <v>5</v>
      </c>
      <c r="C4787">
        <v>120</v>
      </c>
      <c r="D4787">
        <v>210.072</v>
      </c>
    </row>
    <row r="4788" spans="1:4" x14ac:dyDescent="0.25">
      <c r="A4788" t="s">
        <v>9</v>
      </c>
      <c r="B4788" t="s">
        <v>5</v>
      </c>
      <c r="C4788">
        <v>120</v>
      </c>
      <c r="D4788">
        <v>211.07499999999999</v>
      </c>
    </row>
    <row r="4789" spans="1:4" x14ac:dyDescent="0.25">
      <c r="A4789" t="s">
        <v>9</v>
      </c>
      <c r="B4789" t="s">
        <v>5</v>
      </c>
      <c r="C4789">
        <v>120</v>
      </c>
      <c r="D4789">
        <v>207.78</v>
      </c>
    </row>
    <row r="4790" spans="1:4" x14ac:dyDescent="0.25">
      <c r="A4790" t="s">
        <v>9</v>
      </c>
      <c r="B4790" t="s">
        <v>5</v>
      </c>
      <c r="C4790">
        <v>120</v>
      </c>
      <c r="D4790">
        <v>196.126</v>
      </c>
    </row>
    <row r="4791" spans="1:4" x14ac:dyDescent="0.25">
      <c r="A4791" t="s">
        <v>9</v>
      </c>
      <c r="B4791" t="s">
        <v>5</v>
      </c>
      <c r="C4791">
        <v>120</v>
      </c>
      <c r="D4791">
        <v>222.999</v>
      </c>
    </row>
    <row r="4792" spans="1:4" x14ac:dyDescent="0.25">
      <c r="A4792" t="s">
        <v>9</v>
      </c>
      <c r="B4792" t="s">
        <v>5</v>
      </c>
      <c r="C4792">
        <v>120</v>
      </c>
      <c r="D4792">
        <v>207.05</v>
      </c>
    </row>
    <row r="4793" spans="1:4" x14ac:dyDescent="0.25">
      <c r="A4793" t="s">
        <v>9</v>
      </c>
      <c r="B4793" t="s">
        <v>5</v>
      </c>
      <c r="C4793">
        <v>120</v>
      </c>
      <c r="D4793">
        <v>199.56399999999999</v>
      </c>
    </row>
    <row r="4794" spans="1:4" x14ac:dyDescent="0.25">
      <c r="A4794" t="s">
        <v>9</v>
      </c>
      <c r="B4794" t="s">
        <v>5</v>
      </c>
      <c r="C4794">
        <v>120</v>
      </c>
      <c r="D4794">
        <v>223.535</v>
      </c>
    </row>
    <row r="4795" spans="1:4" x14ac:dyDescent="0.25">
      <c r="A4795" t="s">
        <v>9</v>
      </c>
      <c r="B4795" t="s">
        <v>5</v>
      </c>
      <c r="C4795">
        <v>120</v>
      </c>
      <c r="D4795">
        <v>194.19900000000001</v>
      </c>
    </row>
    <row r="4796" spans="1:4" x14ac:dyDescent="0.25">
      <c r="A4796" t="s">
        <v>9</v>
      </c>
      <c r="B4796" t="s">
        <v>5</v>
      </c>
      <c r="C4796">
        <v>120</v>
      </c>
      <c r="D4796">
        <v>194.054</v>
      </c>
    </row>
    <row r="4797" spans="1:4" x14ac:dyDescent="0.25">
      <c r="A4797" t="s">
        <v>9</v>
      </c>
      <c r="B4797" t="s">
        <v>5</v>
      </c>
      <c r="C4797">
        <v>120</v>
      </c>
      <c r="D4797">
        <v>179.227</v>
      </c>
    </row>
    <row r="4798" spans="1:4" x14ac:dyDescent="0.25">
      <c r="A4798" t="s">
        <v>9</v>
      </c>
      <c r="B4798" t="s">
        <v>5</v>
      </c>
      <c r="C4798">
        <v>120</v>
      </c>
      <c r="D4798">
        <v>176.03200000000001</v>
      </c>
    </row>
    <row r="4799" spans="1:4" x14ac:dyDescent="0.25">
      <c r="A4799" t="s">
        <v>9</v>
      </c>
      <c r="B4799" t="s">
        <v>5</v>
      </c>
      <c r="C4799">
        <v>120</v>
      </c>
      <c r="D4799">
        <v>223.50899999999999</v>
      </c>
    </row>
    <row r="4800" spans="1:4" x14ac:dyDescent="0.25">
      <c r="A4800" t="s">
        <v>9</v>
      </c>
      <c r="B4800" t="s">
        <v>5</v>
      </c>
      <c r="C4800">
        <v>120</v>
      </c>
      <c r="D4800">
        <v>178.91200000000001</v>
      </c>
    </row>
    <row r="4801" spans="1:4" x14ac:dyDescent="0.25">
      <c r="A4801" t="s">
        <v>9</v>
      </c>
      <c r="B4801" t="s">
        <v>5</v>
      </c>
      <c r="C4801">
        <v>120</v>
      </c>
      <c r="D4801">
        <v>215.732</v>
      </c>
    </row>
    <row r="4802" spans="1:4" x14ac:dyDescent="0.25">
      <c r="A4802" t="s">
        <v>9</v>
      </c>
      <c r="B4802" t="s">
        <v>7</v>
      </c>
      <c r="C4802">
        <v>20</v>
      </c>
      <c r="D4802">
        <v>797.32</v>
      </c>
    </row>
    <row r="4803" spans="1:4" x14ac:dyDescent="0.25">
      <c r="A4803" t="s">
        <v>9</v>
      </c>
      <c r="B4803" t="s">
        <v>7</v>
      </c>
      <c r="C4803">
        <v>20</v>
      </c>
      <c r="D4803">
        <v>820.62300000000005</v>
      </c>
    </row>
    <row r="4804" spans="1:4" x14ac:dyDescent="0.25">
      <c r="A4804" t="s">
        <v>9</v>
      </c>
      <c r="B4804" t="s">
        <v>7</v>
      </c>
      <c r="C4804">
        <v>20</v>
      </c>
      <c r="D4804">
        <v>828.03300000000002</v>
      </c>
    </row>
    <row r="4805" spans="1:4" x14ac:dyDescent="0.25">
      <c r="A4805" t="s">
        <v>9</v>
      </c>
      <c r="B4805" t="s">
        <v>7</v>
      </c>
      <c r="C4805">
        <v>20</v>
      </c>
      <c r="D4805">
        <v>814.93600000000004</v>
      </c>
    </row>
    <row r="4806" spans="1:4" x14ac:dyDescent="0.25">
      <c r="A4806" t="s">
        <v>9</v>
      </c>
      <c r="B4806" t="s">
        <v>7</v>
      </c>
      <c r="C4806">
        <v>20</v>
      </c>
      <c r="D4806">
        <v>812.52</v>
      </c>
    </row>
    <row r="4807" spans="1:4" x14ac:dyDescent="0.25">
      <c r="A4807" t="s">
        <v>9</v>
      </c>
      <c r="B4807" t="s">
        <v>7</v>
      </c>
      <c r="C4807">
        <v>20</v>
      </c>
      <c r="D4807">
        <v>814.95500000000004</v>
      </c>
    </row>
    <row r="4808" spans="1:4" x14ac:dyDescent="0.25">
      <c r="A4808" t="s">
        <v>9</v>
      </c>
      <c r="B4808" t="s">
        <v>7</v>
      </c>
      <c r="C4808">
        <v>20</v>
      </c>
      <c r="D4808">
        <v>824.16899999999998</v>
      </c>
    </row>
    <row r="4809" spans="1:4" x14ac:dyDescent="0.25">
      <c r="A4809" t="s">
        <v>9</v>
      </c>
      <c r="B4809" t="s">
        <v>7</v>
      </c>
      <c r="C4809">
        <v>20</v>
      </c>
      <c r="D4809">
        <v>825.10500000000002</v>
      </c>
    </row>
    <row r="4810" spans="1:4" x14ac:dyDescent="0.25">
      <c r="A4810" t="s">
        <v>9</v>
      </c>
      <c r="B4810" t="s">
        <v>7</v>
      </c>
      <c r="C4810">
        <v>20</v>
      </c>
      <c r="D4810">
        <v>798.64499999999998</v>
      </c>
    </row>
    <row r="4811" spans="1:4" x14ac:dyDescent="0.25">
      <c r="A4811" t="s">
        <v>9</v>
      </c>
      <c r="B4811" t="s">
        <v>7</v>
      </c>
      <c r="C4811">
        <v>20</v>
      </c>
      <c r="D4811">
        <v>816.09799999999996</v>
      </c>
    </row>
    <row r="4812" spans="1:4" x14ac:dyDescent="0.25">
      <c r="A4812" t="s">
        <v>9</v>
      </c>
      <c r="B4812" t="s">
        <v>7</v>
      </c>
      <c r="C4812">
        <v>20</v>
      </c>
      <c r="D4812">
        <v>825.23500000000001</v>
      </c>
    </row>
    <row r="4813" spans="1:4" x14ac:dyDescent="0.25">
      <c r="A4813" t="s">
        <v>9</v>
      </c>
      <c r="B4813" t="s">
        <v>7</v>
      </c>
      <c r="C4813">
        <v>20</v>
      </c>
      <c r="D4813">
        <v>821.60400000000004</v>
      </c>
    </row>
    <row r="4814" spans="1:4" x14ac:dyDescent="0.25">
      <c r="A4814" t="s">
        <v>9</v>
      </c>
      <c r="B4814" t="s">
        <v>7</v>
      </c>
      <c r="C4814">
        <v>20</v>
      </c>
      <c r="D4814">
        <v>826.36800000000005</v>
      </c>
    </row>
    <row r="4815" spans="1:4" x14ac:dyDescent="0.25">
      <c r="A4815" t="s">
        <v>9</v>
      </c>
      <c r="B4815" t="s">
        <v>7</v>
      </c>
      <c r="C4815">
        <v>20</v>
      </c>
      <c r="D4815">
        <v>817.86</v>
      </c>
    </row>
    <row r="4816" spans="1:4" x14ac:dyDescent="0.25">
      <c r="A4816" t="s">
        <v>9</v>
      </c>
      <c r="B4816" t="s">
        <v>7</v>
      </c>
      <c r="C4816">
        <v>20</v>
      </c>
      <c r="D4816">
        <v>819.50900000000001</v>
      </c>
    </row>
    <row r="4817" spans="1:4" x14ac:dyDescent="0.25">
      <c r="A4817" t="s">
        <v>9</v>
      </c>
      <c r="B4817" t="s">
        <v>7</v>
      </c>
      <c r="C4817">
        <v>20</v>
      </c>
      <c r="D4817">
        <v>807.40300000000002</v>
      </c>
    </row>
    <row r="4818" spans="1:4" x14ac:dyDescent="0.25">
      <c r="A4818" t="s">
        <v>9</v>
      </c>
      <c r="B4818" t="s">
        <v>7</v>
      </c>
      <c r="C4818">
        <v>20</v>
      </c>
      <c r="D4818">
        <v>822.58600000000001</v>
      </c>
    </row>
    <row r="4819" spans="1:4" x14ac:dyDescent="0.25">
      <c r="A4819" t="s">
        <v>9</v>
      </c>
      <c r="B4819" t="s">
        <v>7</v>
      </c>
      <c r="C4819">
        <v>20</v>
      </c>
      <c r="D4819">
        <v>820.19100000000003</v>
      </c>
    </row>
    <row r="4820" spans="1:4" x14ac:dyDescent="0.25">
      <c r="A4820" t="s">
        <v>9</v>
      </c>
      <c r="B4820" t="s">
        <v>7</v>
      </c>
      <c r="C4820">
        <v>20</v>
      </c>
      <c r="D4820">
        <v>816.76800000000003</v>
      </c>
    </row>
    <row r="4821" spans="1:4" x14ac:dyDescent="0.25">
      <c r="A4821" t="s">
        <v>9</v>
      </c>
      <c r="B4821" t="s">
        <v>7</v>
      </c>
      <c r="C4821">
        <v>20</v>
      </c>
      <c r="D4821">
        <v>805.80200000000002</v>
      </c>
    </row>
    <row r="4822" spans="1:4" x14ac:dyDescent="0.25">
      <c r="A4822" t="s">
        <v>9</v>
      </c>
      <c r="B4822" t="s">
        <v>7</v>
      </c>
      <c r="C4822">
        <v>20</v>
      </c>
      <c r="D4822">
        <v>822.32799999999997</v>
      </c>
    </row>
    <row r="4823" spans="1:4" x14ac:dyDescent="0.25">
      <c r="A4823" t="s">
        <v>9</v>
      </c>
      <c r="B4823" t="s">
        <v>7</v>
      </c>
      <c r="C4823">
        <v>20</v>
      </c>
      <c r="D4823">
        <v>808.49800000000005</v>
      </c>
    </row>
    <row r="4824" spans="1:4" x14ac:dyDescent="0.25">
      <c r="A4824" t="s">
        <v>9</v>
      </c>
      <c r="B4824" t="s">
        <v>7</v>
      </c>
      <c r="C4824">
        <v>20</v>
      </c>
      <c r="D4824">
        <v>826.14700000000005</v>
      </c>
    </row>
    <row r="4825" spans="1:4" x14ac:dyDescent="0.25">
      <c r="A4825" t="s">
        <v>9</v>
      </c>
      <c r="B4825" t="s">
        <v>7</v>
      </c>
      <c r="C4825">
        <v>20</v>
      </c>
      <c r="D4825">
        <v>812.37699999999995</v>
      </c>
    </row>
    <row r="4826" spans="1:4" x14ac:dyDescent="0.25">
      <c r="A4826" t="s">
        <v>9</v>
      </c>
      <c r="B4826" t="s">
        <v>7</v>
      </c>
      <c r="C4826">
        <v>20</v>
      </c>
      <c r="D4826">
        <v>821.12900000000002</v>
      </c>
    </row>
    <row r="4827" spans="1:4" x14ac:dyDescent="0.25">
      <c r="A4827" t="s">
        <v>9</v>
      </c>
      <c r="B4827" t="s">
        <v>7</v>
      </c>
      <c r="C4827">
        <v>20</v>
      </c>
      <c r="D4827">
        <v>823.37699999999995</v>
      </c>
    </row>
    <row r="4828" spans="1:4" x14ac:dyDescent="0.25">
      <c r="A4828" t="s">
        <v>9</v>
      </c>
      <c r="B4828" t="s">
        <v>7</v>
      </c>
      <c r="C4828">
        <v>20</v>
      </c>
      <c r="D4828">
        <v>822.34</v>
      </c>
    </row>
    <row r="4829" spans="1:4" x14ac:dyDescent="0.25">
      <c r="A4829" t="s">
        <v>9</v>
      </c>
      <c r="B4829" t="s">
        <v>7</v>
      </c>
      <c r="C4829">
        <v>20</v>
      </c>
      <c r="D4829">
        <v>820.06600000000003</v>
      </c>
    </row>
    <row r="4830" spans="1:4" x14ac:dyDescent="0.25">
      <c r="A4830" t="s">
        <v>9</v>
      </c>
      <c r="B4830" t="s">
        <v>7</v>
      </c>
      <c r="C4830">
        <v>20</v>
      </c>
      <c r="D4830">
        <v>813.33500000000004</v>
      </c>
    </row>
    <row r="4831" spans="1:4" x14ac:dyDescent="0.25">
      <c r="A4831" t="s">
        <v>9</v>
      </c>
      <c r="B4831" t="s">
        <v>7</v>
      </c>
      <c r="C4831">
        <v>20</v>
      </c>
      <c r="D4831">
        <v>823.08399999999995</v>
      </c>
    </row>
    <row r="4832" spans="1:4" x14ac:dyDescent="0.25">
      <c r="A4832" t="s">
        <v>9</v>
      </c>
      <c r="B4832" t="s">
        <v>7</v>
      </c>
      <c r="C4832">
        <v>20</v>
      </c>
      <c r="D4832">
        <v>827.41399999999999</v>
      </c>
    </row>
    <row r="4833" spans="1:4" x14ac:dyDescent="0.25">
      <c r="A4833" t="s">
        <v>9</v>
      </c>
      <c r="B4833" t="s">
        <v>7</v>
      </c>
      <c r="C4833">
        <v>20</v>
      </c>
      <c r="D4833">
        <v>814.45699999999999</v>
      </c>
    </row>
    <row r="4834" spans="1:4" x14ac:dyDescent="0.25">
      <c r="A4834" t="s">
        <v>9</v>
      </c>
      <c r="B4834" t="s">
        <v>7</v>
      </c>
      <c r="C4834">
        <v>20</v>
      </c>
      <c r="D4834">
        <v>815.18899999999996</v>
      </c>
    </row>
    <row r="4835" spans="1:4" x14ac:dyDescent="0.25">
      <c r="A4835" t="s">
        <v>9</v>
      </c>
      <c r="B4835" t="s">
        <v>7</v>
      </c>
      <c r="C4835">
        <v>20</v>
      </c>
      <c r="D4835">
        <v>819.49800000000005</v>
      </c>
    </row>
    <row r="4836" spans="1:4" x14ac:dyDescent="0.25">
      <c r="A4836" t="s">
        <v>9</v>
      </c>
      <c r="B4836" t="s">
        <v>7</v>
      </c>
      <c r="C4836">
        <v>20</v>
      </c>
      <c r="D4836">
        <v>803.62199999999996</v>
      </c>
    </row>
    <row r="4837" spans="1:4" x14ac:dyDescent="0.25">
      <c r="A4837" t="s">
        <v>9</v>
      </c>
      <c r="B4837" t="s">
        <v>7</v>
      </c>
      <c r="C4837">
        <v>20</v>
      </c>
      <c r="D4837">
        <v>815.00199999999995</v>
      </c>
    </row>
    <row r="4838" spans="1:4" x14ac:dyDescent="0.25">
      <c r="A4838" t="s">
        <v>9</v>
      </c>
      <c r="B4838" t="s">
        <v>7</v>
      </c>
      <c r="C4838">
        <v>20</v>
      </c>
      <c r="D4838">
        <v>807.84199999999998</v>
      </c>
    </row>
    <row r="4839" spans="1:4" x14ac:dyDescent="0.25">
      <c r="A4839" t="s">
        <v>9</v>
      </c>
      <c r="B4839" t="s">
        <v>7</v>
      </c>
      <c r="C4839">
        <v>20</v>
      </c>
      <c r="D4839">
        <v>813.43700000000001</v>
      </c>
    </row>
    <row r="4840" spans="1:4" x14ac:dyDescent="0.25">
      <c r="A4840" t="s">
        <v>9</v>
      </c>
      <c r="B4840" t="s">
        <v>7</v>
      </c>
      <c r="C4840">
        <v>20</v>
      </c>
      <c r="D4840">
        <v>816.12300000000005</v>
      </c>
    </row>
    <row r="4841" spans="1:4" x14ac:dyDescent="0.25">
      <c r="A4841" t="s">
        <v>9</v>
      </c>
      <c r="B4841" t="s">
        <v>7</v>
      </c>
      <c r="C4841">
        <v>20</v>
      </c>
      <c r="D4841">
        <v>817.96900000000005</v>
      </c>
    </row>
    <row r="4842" spans="1:4" x14ac:dyDescent="0.25">
      <c r="A4842" t="s">
        <v>9</v>
      </c>
      <c r="B4842" t="s">
        <v>7</v>
      </c>
      <c r="C4842">
        <v>20</v>
      </c>
      <c r="D4842">
        <v>820.10699999999997</v>
      </c>
    </row>
    <row r="4843" spans="1:4" x14ac:dyDescent="0.25">
      <c r="A4843" t="s">
        <v>9</v>
      </c>
      <c r="B4843" t="s">
        <v>7</v>
      </c>
      <c r="C4843">
        <v>20</v>
      </c>
      <c r="D4843">
        <v>805.17600000000004</v>
      </c>
    </row>
    <row r="4844" spans="1:4" x14ac:dyDescent="0.25">
      <c r="A4844" t="s">
        <v>9</v>
      </c>
      <c r="B4844" t="s">
        <v>7</v>
      </c>
      <c r="C4844">
        <v>20</v>
      </c>
      <c r="D4844">
        <v>803.59199999999998</v>
      </c>
    </row>
    <row r="4845" spans="1:4" x14ac:dyDescent="0.25">
      <c r="A4845" t="s">
        <v>9</v>
      </c>
      <c r="B4845" t="s">
        <v>7</v>
      </c>
      <c r="C4845">
        <v>20</v>
      </c>
      <c r="D4845">
        <v>819.62300000000005</v>
      </c>
    </row>
    <row r="4846" spans="1:4" x14ac:dyDescent="0.25">
      <c r="A4846" t="s">
        <v>9</v>
      </c>
      <c r="B4846" t="s">
        <v>7</v>
      </c>
      <c r="C4846">
        <v>20</v>
      </c>
      <c r="D4846">
        <v>833.61199999999997</v>
      </c>
    </row>
    <row r="4847" spans="1:4" x14ac:dyDescent="0.25">
      <c r="A4847" t="s">
        <v>9</v>
      </c>
      <c r="B4847" t="s">
        <v>7</v>
      </c>
      <c r="C4847">
        <v>20</v>
      </c>
      <c r="D4847">
        <v>826.26900000000001</v>
      </c>
    </row>
    <row r="4848" spans="1:4" x14ac:dyDescent="0.25">
      <c r="A4848" t="s">
        <v>9</v>
      </c>
      <c r="B4848" t="s">
        <v>7</v>
      </c>
      <c r="C4848">
        <v>20</v>
      </c>
      <c r="D4848">
        <v>822.95100000000002</v>
      </c>
    </row>
    <row r="4849" spans="1:4" x14ac:dyDescent="0.25">
      <c r="A4849" t="s">
        <v>9</v>
      </c>
      <c r="B4849" t="s">
        <v>7</v>
      </c>
      <c r="C4849">
        <v>20</v>
      </c>
      <c r="D4849">
        <v>812.46299999999997</v>
      </c>
    </row>
    <row r="4850" spans="1:4" x14ac:dyDescent="0.25">
      <c r="A4850" t="s">
        <v>9</v>
      </c>
      <c r="B4850" t="s">
        <v>7</v>
      </c>
      <c r="C4850">
        <v>20</v>
      </c>
      <c r="D4850">
        <v>824.846</v>
      </c>
    </row>
    <row r="4851" spans="1:4" x14ac:dyDescent="0.25">
      <c r="A4851" t="s">
        <v>9</v>
      </c>
      <c r="B4851" t="s">
        <v>7</v>
      </c>
      <c r="C4851">
        <v>20</v>
      </c>
      <c r="D4851">
        <v>812.64400000000001</v>
      </c>
    </row>
    <row r="4852" spans="1:4" x14ac:dyDescent="0.25">
      <c r="A4852" t="s">
        <v>9</v>
      </c>
      <c r="B4852" t="s">
        <v>7</v>
      </c>
      <c r="C4852">
        <v>20</v>
      </c>
      <c r="D4852">
        <v>819.75699999999995</v>
      </c>
    </row>
    <row r="4853" spans="1:4" x14ac:dyDescent="0.25">
      <c r="A4853" t="s">
        <v>9</v>
      </c>
      <c r="B4853" t="s">
        <v>7</v>
      </c>
      <c r="C4853">
        <v>20</v>
      </c>
      <c r="D4853">
        <v>830.56</v>
      </c>
    </row>
    <row r="4854" spans="1:4" x14ac:dyDescent="0.25">
      <c r="A4854" t="s">
        <v>9</v>
      </c>
      <c r="B4854" t="s">
        <v>7</v>
      </c>
      <c r="C4854">
        <v>20</v>
      </c>
      <c r="D4854">
        <v>817.07</v>
      </c>
    </row>
    <row r="4855" spans="1:4" x14ac:dyDescent="0.25">
      <c r="A4855" t="s">
        <v>9</v>
      </c>
      <c r="B4855" t="s">
        <v>7</v>
      </c>
      <c r="C4855">
        <v>20</v>
      </c>
      <c r="D4855">
        <v>816.07799999999997</v>
      </c>
    </row>
    <row r="4856" spans="1:4" x14ac:dyDescent="0.25">
      <c r="A4856" t="s">
        <v>9</v>
      </c>
      <c r="B4856" t="s">
        <v>7</v>
      </c>
      <c r="C4856">
        <v>20</v>
      </c>
      <c r="D4856">
        <v>815.66899999999998</v>
      </c>
    </row>
    <row r="4857" spans="1:4" x14ac:dyDescent="0.25">
      <c r="A4857" t="s">
        <v>9</v>
      </c>
      <c r="B4857" t="s">
        <v>7</v>
      </c>
      <c r="C4857">
        <v>20</v>
      </c>
      <c r="D4857">
        <v>828.572</v>
      </c>
    </row>
    <row r="4858" spans="1:4" x14ac:dyDescent="0.25">
      <c r="A4858" t="s">
        <v>9</v>
      </c>
      <c r="B4858" t="s">
        <v>7</v>
      </c>
      <c r="C4858">
        <v>20</v>
      </c>
      <c r="D4858">
        <v>813.36800000000005</v>
      </c>
    </row>
    <row r="4859" spans="1:4" x14ac:dyDescent="0.25">
      <c r="A4859" t="s">
        <v>9</v>
      </c>
      <c r="B4859" t="s">
        <v>7</v>
      </c>
      <c r="C4859">
        <v>20</v>
      </c>
      <c r="D4859">
        <v>815.94399999999996</v>
      </c>
    </row>
    <row r="4860" spans="1:4" x14ac:dyDescent="0.25">
      <c r="A4860" t="s">
        <v>9</v>
      </c>
      <c r="B4860" t="s">
        <v>7</v>
      </c>
      <c r="C4860">
        <v>20</v>
      </c>
      <c r="D4860">
        <v>811.84500000000003</v>
      </c>
    </row>
    <row r="4861" spans="1:4" x14ac:dyDescent="0.25">
      <c r="A4861" t="s">
        <v>9</v>
      </c>
      <c r="B4861" t="s">
        <v>7</v>
      </c>
      <c r="C4861">
        <v>20</v>
      </c>
      <c r="D4861">
        <v>809.91</v>
      </c>
    </row>
    <row r="4862" spans="1:4" x14ac:dyDescent="0.25">
      <c r="A4862" t="s">
        <v>9</v>
      </c>
      <c r="B4862" t="s">
        <v>7</v>
      </c>
      <c r="C4862">
        <v>20</v>
      </c>
      <c r="D4862">
        <v>820.12900000000002</v>
      </c>
    </row>
    <row r="4863" spans="1:4" x14ac:dyDescent="0.25">
      <c r="A4863" t="s">
        <v>9</v>
      </c>
      <c r="B4863" t="s">
        <v>7</v>
      </c>
      <c r="C4863">
        <v>20</v>
      </c>
      <c r="D4863">
        <v>818.80100000000004</v>
      </c>
    </row>
    <row r="4864" spans="1:4" x14ac:dyDescent="0.25">
      <c r="A4864" t="s">
        <v>9</v>
      </c>
      <c r="B4864" t="s">
        <v>7</v>
      </c>
      <c r="C4864">
        <v>20</v>
      </c>
      <c r="D4864">
        <v>820.55200000000002</v>
      </c>
    </row>
    <row r="4865" spans="1:4" x14ac:dyDescent="0.25">
      <c r="A4865" t="s">
        <v>9</v>
      </c>
      <c r="B4865" t="s">
        <v>7</v>
      </c>
      <c r="C4865">
        <v>20</v>
      </c>
      <c r="D4865">
        <v>828.51700000000005</v>
      </c>
    </row>
    <row r="4866" spans="1:4" x14ac:dyDescent="0.25">
      <c r="A4866" t="s">
        <v>9</v>
      </c>
      <c r="B4866" t="s">
        <v>7</v>
      </c>
      <c r="C4866">
        <v>20</v>
      </c>
      <c r="D4866">
        <v>814.90300000000002</v>
      </c>
    </row>
    <row r="4867" spans="1:4" x14ac:dyDescent="0.25">
      <c r="A4867" t="s">
        <v>9</v>
      </c>
      <c r="B4867" t="s">
        <v>7</v>
      </c>
      <c r="C4867">
        <v>20</v>
      </c>
      <c r="D4867">
        <v>814.40800000000002</v>
      </c>
    </row>
    <row r="4868" spans="1:4" x14ac:dyDescent="0.25">
      <c r="A4868" t="s">
        <v>9</v>
      </c>
      <c r="B4868" t="s">
        <v>7</v>
      </c>
      <c r="C4868">
        <v>20</v>
      </c>
      <c r="D4868">
        <v>813.83500000000004</v>
      </c>
    </row>
    <row r="4869" spans="1:4" x14ac:dyDescent="0.25">
      <c r="A4869" t="s">
        <v>9</v>
      </c>
      <c r="B4869" t="s">
        <v>7</v>
      </c>
      <c r="C4869">
        <v>20</v>
      </c>
      <c r="D4869">
        <v>817.1</v>
      </c>
    </row>
    <row r="4870" spans="1:4" x14ac:dyDescent="0.25">
      <c r="A4870" t="s">
        <v>9</v>
      </c>
      <c r="B4870" t="s">
        <v>7</v>
      </c>
      <c r="C4870">
        <v>20</v>
      </c>
      <c r="D4870">
        <v>812.49099999999999</v>
      </c>
    </row>
    <row r="4871" spans="1:4" x14ac:dyDescent="0.25">
      <c r="A4871" t="s">
        <v>9</v>
      </c>
      <c r="B4871" t="s">
        <v>7</v>
      </c>
      <c r="C4871">
        <v>20</v>
      </c>
      <c r="D4871">
        <v>813.35500000000002</v>
      </c>
    </row>
    <row r="4872" spans="1:4" x14ac:dyDescent="0.25">
      <c r="A4872" t="s">
        <v>9</v>
      </c>
      <c r="B4872" t="s">
        <v>7</v>
      </c>
      <c r="C4872">
        <v>20</v>
      </c>
      <c r="D4872">
        <v>808.92600000000004</v>
      </c>
    </row>
    <row r="4873" spans="1:4" x14ac:dyDescent="0.25">
      <c r="A4873" t="s">
        <v>9</v>
      </c>
      <c r="B4873" t="s">
        <v>7</v>
      </c>
      <c r="C4873">
        <v>20</v>
      </c>
      <c r="D4873">
        <v>817.827</v>
      </c>
    </row>
    <row r="4874" spans="1:4" x14ac:dyDescent="0.25">
      <c r="A4874" t="s">
        <v>9</v>
      </c>
      <c r="B4874" t="s">
        <v>7</v>
      </c>
      <c r="C4874">
        <v>20</v>
      </c>
      <c r="D4874">
        <v>811.77300000000002</v>
      </c>
    </row>
    <row r="4875" spans="1:4" x14ac:dyDescent="0.25">
      <c r="A4875" t="s">
        <v>9</v>
      </c>
      <c r="B4875" t="s">
        <v>7</v>
      </c>
      <c r="C4875">
        <v>20</v>
      </c>
      <c r="D4875">
        <v>823.822</v>
      </c>
    </row>
    <row r="4876" spans="1:4" x14ac:dyDescent="0.25">
      <c r="A4876" t="s">
        <v>9</v>
      </c>
      <c r="B4876" t="s">
        <v>7</v>
      </c>
      <c r="C4876">
        <v>20</v>
      </c>
      <c r="D4876">
        <v>824.43299999999999</v>
      </c>
    </row>
    <row r="4877" spans="1:4" x14ac:dyDescent="0.25">
      <c r="A4877" t="s">
        <v>9</v>
      </c>
      <c r="B4877" t="s">
        <v>7</v>
      </c>
      <c r="C4877">
        <v>20</v>
      </c>
      <c r="D4877">
        <v>813.93399999999997</v>
      </c>
    </row>
    <row r="4878" spans="1:4" x14ac:dyDescent="0.25">
      <c r="A4878" t="s">
        <v>9</v>
      </c>
      <c r="B4878" t="s">
        <v>7</v>
      </c>
      <c r="C4878">
        <v>20</v>
      </c>
      <c r="D4878">
        <v>815.08799999999997</v>
      </c>
    </row>
    <row r="4879" spans="1:4" x14ac:dyDescent="0.25">
      <c r="A4879" t="s">
        <v>9</v>
      </c>
      <c r="B4879" t="s">
        <v>7</v>
      </c>
      <c r="C4879">
        <v>20</v>
      </c>
      <c r="D4879">
        <v>823.59299999999996</v>
      </c>
    </row>
    <row r="4880" spans="1:4" x14ac:dyDescent="0.25">
      <c r="A4880" t="s">
        <v>9</v>
      </c>
      <c r="B4880" t="s">
        <v>7</v>
      </c>
      <c r="C4880">
        <v>20</v>
      </c>
      <c r="D4880">
        <v>834.68799999999999</v>
      </c>
    </row>
    <row r="4881" spans="1:4" x14ac:dyDescent="0.25">
      <c r="A4881" t="s">
        <v>9</v>
      </c>
      <c r="B4881" t="s">
        <v>7</v>
      </c>
      <c r="C4881">
        <v>20</v>
      </c>
      <c r="D4881">
        <v>822.58600000000001</v>
      </c>
    </row>
    <row r="4882" spans="1:4" x14ac:dyDescent="0.25">
      <c r="A4882" t="s">
        <v>9</v>
      </c>
      <c r="B4882" t="s">
        <v>7</v>
      </c>
      <c r="C4882">
        <v>20</v>
      </c>
      <c r="D4882">
        <v>819.96500000000003</v>
      </c>
    </row>
    <row r="4883" spans="1:4" x14ac:dyDescent="0.25">
      <c r="A4883" t="s">
        <v>9</v>
      </c>
      <c r="B4883" t="s">
        <v>7</v>
      </c>
      <c r="C4883">
        <v>20</v>
      </c>
      <c r="D4883">
        <v>815.74400000000003</v>
      </c>
    </row>
    <row r="4884" spans="1:4" x14ac:dyDescent="0.25">
      <c r="A4884" t="s">
        <v>9</v>
      </c>
      <c r="B4884" t="s">
        <v>7</v>
      </c>
      <c r="C4884">
        <v>20</v>
      </c>
      <c r="D4884">
        <v>813.80899999999997</v>
      </c>
    </row>
    <row r="4885" spans="1:4" x14ac:dyDescent="0.25">
      <c r="A4885" t="s">
        <v>9</v>
      </c>
      <c r="B4885" t="s">
        <v>7</v>
      </c>
      <c r="C4885">
        <v>20</v>
      </c>
      <c r="D4885">
        <v>811.37400000000002</v>
      </c>
    </row>
    <row r="4886" spans="1:4" x14ac:dyDescent="0.25">
      <c r="A4886" t="s">
        <v>9</v>
      </c>
      <c r="B4886" t="s">
        <v>7</v>
      </c>
      <c r="C4886">
        <v>20</v>
      </c>
      <c r="D4886">
        <v>812.28300000000002</v>
      </c>
    </row>
    <row r="4887" spans="1:4" x14ac:dyDescent="0.25">
      <c r="A4887" t="s">
        <v>9</v>
      </c>
      <c r="B4887" t="s">
        <v>7</v>
      </c>
      <c r="C4887">
        <v>20</v>
      </c>
      <c r="D4887">
        <v>817.04100000000005</v>
      </c>
    </row>
    <row r="4888" spans="1:4" x14ac:dyDescent="0.25">
      <c r="A4888" t="s">
        <v>9</v>
      </c>
      <c r="B4888" t="s">
        <v>7</v>
      </c>
      <c r="C4888">
        <v>20</v>
      </c>
      <c r="D4888">
        <v>813.16099999999994</v>
      </c>
    </row>
    <row r="4889" spans="1:4" x14ac:dyDescent="0.25">
      <c r="A4889" t="s">
        <v>9</v>
      </c>
      <c r="B4889" t="s">
        <v>7</v>
      </c>
      <c r="C4889">
        <v>20</v>
      </c>
      <c r="D4889">
        <v>806.76400000000001</v>
      </c>
    </row>
    <row r="4890" spans="1:4" x14ac:dyDescent="0.25">
      <c r="A4890" t="s">
        <v>9</v>
      </c>
      <c r="B4890" t="s">
        <v>7</v>
      </c>
      <c r="C4890">
        <v>20</v>
      </c>
      <c r="D4890">
        <v>818.45299999999997</v>
      </c>
    </row>
    <row r="4891" spans="1:4" x14ac:dyDescent="0.25">
      <c r="A4891" t="s">
        <v>9</v>
      </c>
      <c r="B4891" t="s">
        <v>7</v>
      </c>
      <c r="C4891">
        <v>20</v>
      </c>
      <c r="D4891">
        <v>809.29200000000003</v>
      </c>
    </row>
    <row r="4892" spans="1:4" x14ac:dyDescent="0.25">
      <c r="A4892" t="s">
        <v>9</v>
      </c>
      <c r="B4892" t="s">
        <v>7</v>
      </c>
      <c r="C4892">
        <v>20</v>
      </c>
      <c r="D4892">
        <v>803.22199999999998</v>
      </c>
    </row>
    <row r="4893" spans="1:4" x14ac:dyDescent="0.25">
      <c r="A4893" t="s">
        <v>9</v>
      </c>
      <c r="B4893" t="s">
        <v>7</v>
      </c>
      <c r="C4893">
        <v>20</v>
      </c>
      <c r="D4893">
        <v>811.60400000000004</v>
      </c>
    </row>
    <row r="4894" spans="1:4" x14ac:dyDescent="0.25">
      <c r="A4894" t="s">
        <v>9</v>
      </c>
      <c r="B4894" t="s">
        <v>7</v>
      </c>
      <c r="C4894">
        <v>20</v>
      </c>
      <c r="D4894">
        <v>817.46400000000006</v>
      </c>
    </row>
    <row r="4895" spans="1:4" x14ac:dyDescent="0.25">
      <c r="A4895" t="s">
        <v>9</v>
      </c>
      <c r="B4895" t="s">
        <v>7</v>
      </c>
      <c r="C4895">
        <v>20</v>
      </c>
      <c r="D4895">
        <v>828.50800000000004</v>
      </c>
    </row>
    <row r="4896" spans="1:4" x14ac:dyDescent="0.25">
      <c r="A4896" t="s">
        <v>9</v>
      </c>
      <c r="B4896" t="s">
        <v>7</v>
      </c>
      <c r="C4896">
        <v>20</v>
      </c>
      <c r="D4896">
        <v>812.48599999999999</v>
      </c>
    </row>
    <row r="4897" spans="1:4" x14ac:dyDescent="0.25">
      <c r="A4897" t="s">
        <v>9</v>
      </c>
      <c r="B4897" t="s">
        <v>7</v>
      </c>
      <c r="C4897">
        <v>20</v>
      </c>
      <c r="D4897">
        <v>821.62199999999996</v>
      </c>
    </row>
    <row r="4898" spans="1:4" x14ac:dyDescent="0.25">
      <c r="A4898" t="s">
        <v>9</v>
      </c>
      <c r="B4898" t="s">
        <v>7</v>
      </c>
      <c r="C4898">
        <v>20</v>
      </c>
      <c r="D4898">
        <v>807.64099999999996</v>
      </c>
    </row>
    <row r="4899" spans="1:4" x14ac:dyDescent="0.25">
      <c r="A4899" t="s">
        <v>9</v>
      </c>
      <c r="B4899" t="s">
        <v>7</v>
      </c>
      <c r="C4899">
        <v>20</v>
      </c>
      <c r="D4899">
        <v>811.38900000000001</v>
      </c>
    </row>
    <row r="4900" spans="1:4" x14ac:dyDescent="0.25">
      <c r="A4900" t="s">
        <v>9</v>
      </c>
      <c r="B4900" t="s">
        <v>7</v>
      </c>
      <c r="C4900">
        <v>20</v>
      </c>
      <c r="D4900">
        <v>803.35299999999995</v>
      </c>
    </row>
    <row r="4901" spans="1:4" x14ac:dyDescent="0.25">
      <c r="A4901" t="s">
        <v>9</v>
      </c>
      <c r="B4901" t="s">
        <v>7</v>
      </c>
      <c r="C4901">
        <v>20</v>
      </c>
      <c r="D4901">
        <v>815.50400000000002</v>
      </c>
    </row>
    <row r="4902" spans="1:4" x14ac:dyDescent="0.25">
      <c r="A4902" t="s">
        <v>9</v>
      </c>
      <c r="B4902" t="s">
        <v>7</v>
      </c>
      <c r="C4902">
        <v>40</v>
      </c>
      <c r="D4902">
        <v>1424.627</v>
      </c>
    </row>
    <row r="4903" spans="1:4" x14ac:dyDescent="0.25">
      <c r="A4903" t="s">
        <v>9</v>
      </c>
      <c r="B4903" t="s">
        <v>7</v>
      </c>
      <c r="C4903">
        <v>40</v>
      </c>
      <c r="D4903">
        <v>1416.05</v>
      </c>
    </row>
    <row r="4904" spans="1:4" x14ac:dyDescent="0.25">
      <c r="A4904" t="s">
        <v>9</v>
      </c>
      <c r="B4904" t="s">
        <v>7</v>
      </c>
      <c r="C4904">
        <v>40</v>
      </c>
      <c r="D4904">
        <v>1407.2349999999999</v>
      </c>
    </row>
    <row r="4905" spans="1:4" x14ac:dyDescent="0.25">
      <c r="A4905" t="s">
        <v>9</v>
      </c>
      <c r="B4905" t="s">
        <v>7</v>
      </c>
      <c r="C4905">
        <v>40</v>
      </c>
      <c r="D4905">
        <v>1409.7070000000001</v>
      </c>
    </row>
    <row r="4906" spans="1:4" x14ac:dyDescent="0.25">
      <c r="A4906" t="s">
        <v>9</v>
      </c>
      <c r="B4906" t="s">
        <v>7</v>
      </c>
      <c r="C4906">
        <v>40</v>
      </c>
      <c r="D4906">
        <v>1383.251</v>
      </c>
    </row>
    <row r="4907" spans="1:4" x14ac:dyDescent="0.25">
      <c r="A4907" t="s">
        <v>9</v>
      </c>
      <c r="B4907" t="s">
        <v>7</v>
      </c>
      <c r="C4907">
        <v>40</v>
      </c>
      <c r="D4907">
        <v>1375.0909999999999</v>
      </c>
    </row>
    <row r="4908" spans="1:4" x14ac:dyDescent="0.25">
      <c r="A4908" t="s">
        <v>9</v>
      </c>
      <c r="B4908" t="s">
        <v>7</v>
      </c>
      <c r="C4908">
        <v>40</v>
      </c>
      <c r="D4908">
        <v>1397.3779999999999</v>
      </c>
    </row>
    <row r="4909" spans="1:4" x14ac:dyDescent="0.25">
      <c r="A4909" t="s">
        <v>9</v>
      </c>
      <c r="B4909" t="s">
        <v>7</v>
      </c>
      <c r="C4909">
        <v>40</v>
      </c>
      <c r="D4909">
        <v>1419.11</v>
      </c>
    </row>
    <row r="4910" spans="1:4" x14ac:dyDescent="0.25">
      <c r="A4910" t="s">
        <v>9</v>
      </c>
      <c r="B4910" t="s">
        <v>7</v>
      </c>
      <c r="C4910">
        <v>40</v>
      </c>
      <c r="D4910">
        <v>1399.2329999999999</v>
      </c>
    </row>
    <row r="4911" spans="1:4" x14ac:dyDescent="0.25">
      <c r="A4911" t="s">
        <v>9</v>
      </c>
      <c r="B4911" t="s">
        <v>7</v>
      </c>
      <c r="C4911">
        <v>40</v>
      </c>
      <c r="D4911">
        <v>1423.3869999999999</v>
      </c>
    </row>
    <row r="4912" spans="1:4" x14ac:dyDescent="0.25">
      <c r="A4912" t="s">
        <v>9</v>
      </c>
      <c r="B4912" t="s">
        <v>7</v>
      </c>
      <c r="C4912">
        <v>40</v>
      </c>
      <c r="D4912">
        <v>1415.8109999999999</v>
      </c>
    </row>
    <row r="4913" spans="1:4" x14ac:dyDescent="0.25">
      <c r="A4913" t="s">
        <v>9</v>
      </c>
      <c r="B4913" t="s">
        <v>7</v>
      </c>
      <c r="C4913">
        <v>40</v>
      </c>
      <c r="D4913">
        <v>1418.2</v>
      </c>
    </row>
    <row r="4914" spans="1:4" x14ac:dyDescent="0.25">
      <c r="A4914" t="s">
        <v>9</v>
      </c>
      <c r="B4914" t="s">
        <v>7</v>
      </c>
      <c r="C4914">
        <v>40</v>
      </c>
      <c r="D4914">
        <v>1402.4739999999999</v>
      </c>
    </row>
    <row r="4915" spans="1:4" x14ac:dyDescent="0.25">
      <c r="A4915" t="s">
        <v>9</v>
      </c>
      <c r="B4915" t="s">
        <v>7</v>
      </c>
      <c r="C4915">
        <v>40</v>
      </c>
      <c r="D4915">
        <v>1438.4570000000001</v>
      </c>
    </row>
    <row r="4916" spans="1:4" x14ac:dyDescent="0.25">
      <c r="A4916" t="s">
        <v>9</v>
      </c>
      <c r="B4916" t="s">
        <v>7</v>
      </c>
      <c r="C4916">
        <v>40</v>
      </c>
      <c r="D4916">
        <v>1424.117</v>
      </c>
    </row>
    <row r="4917" spans="1:4" x14ac:dyDescent="0.25">
      <c r="A4917" t="s">
        <v>9</v>
      </c>
      <c r="B4917" t="s">
        <v>7</v>
      </c>
      <c r="C4917">
        <v>40</v>
      </c>
      <c r="D4917">
        <v>1430.8579999999999</v>
      </c>
    </row>
    <row r="4918" spans="1:4" x14ac:dyDescent="0.25">
      <c r="A4918" t="s">
        <v>9</v>
      </c>
      <c r="B4918" t="s">
        <v>7</v>
      </c>
      <c r="C4918">
        <v>40</v>
      </c>
      <c r="D4918">
        <v>1397.3489999999999</v>
      </c>
    </row>
    <row r="4919" spans="1:4" x14ac:dyDescent="0.25">
      <c r="A4919" t="s">
        <v>9</v>
      </c>
      <c r="B4919" t="s">
        <v>7</v>
      </c>
      <c r="C4919">
        <v>40</v>
      </c>
      <c r="D4919">
        <v>1417.47</v>
      </c>
    </row>
    <row r="4920" spans="1:4" x14ac:dyDescent="0.25">
      <c r="A4920" t="s">
        <v>9</v>
      </c>
      <c r="B4920" t="s">
        <v>7</v>
      </c>
      <c r="C4920">
        <v>40</v>
      </c>
      <c r="D4920">
        <v>1411.1369999999999</v>
      </c>
    </row>
    <row r="4921" spans="1:4" x14ac:dyDescent="0.25">
      <c r="A4921" t="s">
        <v>9</v>
      </c>
      <c r="B4921" t="s">
        <v>7</v>
      </c>
      <c r="C4921">
        <v>40</v>
      </c>
      <c r="D4921">
        <v>1440.318</v>
      </c>
    </row>
    <row r="4922" spans="1:4" x14ac:dyDescent="0.25">
      <c r="A4922" t="s">
        <v>9</v>
      </c>
      <c r="B4922" t="s">
        <v>7</v>
      </c>
      <c r="C4922">
        <v>40</v>
      </c>
      <c r="D4922">
        <v>1405.1320000000001</v>
      </c>
    </row>
    <row r="4923" spans="1:4" x14ac:dyDescent="0.25">
      <c r="A4923" t="s">
        <v>9</v>
      </c>
      <c r="B4923" t="s">
        <v>7</v>
      </c>
      <c r="C4923">
        <v>40</v>
      </c>
      <c r="D4923">
        <v>1400.8869999999999</v>
      </c>
    </row>
    <row r="4924" spans="1:4" x14ac:dyDescent="0.25">
      <c r="A4924" t="s">
        <v>9</v>
      </c>
      <c r="B4924" t="s">
        <v>7</v>
      </c>
      <c r="C4924">
        <v>40</v>
      </c>
      <c r="D4924">
        <v>1428.095</v>
      </c>
    </row>
    <row r="4925" spans="1:4" x14ac:dyDescent="0.25">
      <c r="A4925" t="s">
        <v>9</v>
      </c>
      <c r="B4925" t="s">
        <v>7</v>
      </c>
      <c r="C4925">
        <v>40</v>
      </c>
      <c r="D4925">
        <v>1377.684</v>
      </c>
    </row>
    <row r="4926" spans="1:4" x14ac:dyDescent="0.25">
      <c r="A4926" t="s">
        <v>9</v>
      </c>
      <c r="B4926" t="s">
        <v>7</v>
      </c>
      <c r="C4926">
        <v>40</v>
      </c>
      <c r="D4926">
        <v>1423.4880000000001</v>
      </c>
    </row>
    <row r="4927" spans="1:4" x14ac:dyDescent="0.25">
      <c r="A4927" t="s">
        <v>9</v>
      </c>
      <c r="B4927" t="s">
        <v>7</v>
      </c>
      <c r="C4927">
        <v>40</v>
      </c>
      <c r="D4927">
        <v>1417.43</v>
      </c>
    </row>
    <row r="4928" spans="1:4" x14ac:dyDescent="0.25">
      <c r="A4928" t="s">
        <v>9</v>
      </c>
      <c r="B4928" t="s">
        <v>7</v>
      </c>
      <c r="C4928">
        <v>40</v>
      </c>
      <c r="D4928">
        <v>1406.7159999999999</v>
      </c>
    </row>
    <row r="4929" spans="1:4" x14ac:dyDescent="0.25">
      <c r="A4929" t="s">
        <v>9</v>
      </c>
      <c r="B4929" t="s">
        <v>7</v>
      </c>
      <c r="C4929">
        <v>40</v>
      </c>
      <c r="D4929">
        <v>1420.116</v>
      </c>
    </row>
    <row r="4930" spans="1:4" x14ac:dyDescent="0.25">
      <c r="A4930" t="s">
        <v>9</v>
      </c>
      <c r="B4930" t="s">
        <v>7</v>
      </c>
      <c r="C4930">
        <v>40</v>
      </c>
      <c r="D4930">
        <v>1416.56</v>
      </c>
    </row>
    <row r="4931" spans="1:4" x14ac:dyDescent="0.25">
      <c r="A4931" t="s">
        <v>9</v>
      </c>
      <c r="B4931" t="s">
        <v>7</v>
      </c>
      <c r="C4931">
        <v>40</v>
      </c>
      <c r="D4931">
        <v>1428.672</v>
      </c>
    </row>
    <row r="4932" spans="1:4" x14ac:dyDescent="0.25">
      <c r="A4932" t="s">
        <v>9</v>
      </c>
      <c r="B4932" t="s">
        <v>7</v>
      </c>
      <c r="C4932">
        <v>40</v>
      </c>
      <c r="D4932">
        <v>1398.575</v>
      </c>
    </row>
    <row r="4933" spans="1:4" x14ac:dyDescent="0.25">
      <c r="A4933" t="s">
        <v>9</v>
      </c>
      <c r="B4933" t="s">
        <v>7</v>
      </c>
      <c r="C4933">
        <v>40</v>
      </c>
      <c r="D4933">
        <v>1404.3589999999999</v>
      </c>
    </row>
    <row r="4934" spans="1:4" x14ac:dyDescent="0.25">
      <c r="A4934" t="s">
        <v>9</v>
      </c>
      <c r="B4934" t="s">
        <v>7</v>
      </c>
      <c r="C4934">
        <v>40</v>
      </c>
      <c r="D4934">
        <v>1402.402</v>
      </c>
    </row>
    <row r="4935" spans="1:4" x14ac:dyDescent="0.25">
      <c r="A4935" t="s">
        <v>9</v>
      </c>
      <c r="B4935" t="s">
        <v>7</v>
      </c>
      <c r="C4935">
        <v>40</v>
      </c>
      <c r="D4935">
        <v>1400.165</v>
      </c>
    </row>
    <row r="4936" spans="1:4" x14ac:dyDescent="0.25">
      <c r="A4936" t="s">
        <v>9</v>
      </c>
      <c r="B4936" t="s">
        <v>7</v>
      </c>
      <c r="C4936">
        <v>40</v>
      </c>
      <c r="D4936">
        <v>1415.569</v>
      </c>
    </row>
    <row r="4937" spans="1:4" x14ac:dyDescent="0.25">
      <c r="A4937" t="s">
        <v>9</v>
      </c>
      <c r="B4937" t="s">
        <v>7</v>
      </c>
      <c r="C4937">
        <v>40</v>
      </c>
      <c r="D4937">
        <v>1414.846</v>
      </c>
    </row>
    <row r="4938" spans="1:4" x14ac:dyDescent="0.25">
      <c r="A4938" t="s">
        <v>9</v>
      </c>
      <c r="B4938" t="s">
        <v>7</v>
      </c>
      <c r="C4938">
        <v>40</v>
      </c>
      <c r="D4938">
        <v>1383.1310000000001</v>
      </c>
    </row>
    <row r="4939" spans="1:4" x14ac:dyDescent="0.25">
      <c r="A4939" t="s">
        <v>9</v>
      </c>
      <c r="B4939" t="s">
        <v>7</v>
      </c>
      <c r="C4939">
        <v>40</v>
      </c>
      <c r="D4939">
        <v>1407.8109999999999</v>
      </c>
    </row>
    <row r="4940" spans="1:4" x14ac:dyDescent="0.25">
      <c r="A4940" t="s">
        <v>9</v>
      </c>
      <c r="B4940" t="s">
        <v>7</v>
      </c>
      <c r="C4940">
        <v>40</v>
      </c>
      <c r="D4940">
        <v>1375.3389999999999</v>
      </c>
    </row>
    <row r="4941" spans="1:4" x14ac:dyDescent="0.25">
      <c r="A4941" t="s">
        <v>9</v>
      </c>
      <c r="B4941" t="s">
        <v>7</v>
      </c>
      <c r="C4941">
        <v>40</v>
      </c>
      <c r="D4941">
        <v>1416.931</v>
      </c>
    </row>
    <row r="4942" spans="1:4" x14ac:dyDescent="0.25">
      <c r="A4942" t="s">
        <v>9</v>
      </c>
      <c r="B4942" t="s">
        <v>7</v>
      </c>
      <c r="C4942">
        <v>40</v>
      </c>
      <c r="D4942">
        <v>1405.116</v>
      </c>
    </row>
    <row r="4943" spans="1:4" x14ac:dyDescent="0.25">
      <c r="A4943" t="s">
        <v>9</v>
      </c>
      <c r="B4943" t="s">
        <v>7</v>
      </c>
      <c r="C4943">
        <v>40</v>
      </c>
      <c r="D4943">
        <v>1391.76</v>
      </c>
    </row>
    <row r="4944" spans="1:4" x14ac:dyDescent="0.25">
      <c r="A4944" t="s">
        <v>9</v>
      </c>
      <c r="B4944" t="s">
        <v>7</v>
      </c>
      <c r="C4944">
        <v>40</v>
      </c>
      <c r="D4944">
        <v>1390.1310000000001</v>
      </c>
    </row>
    <row r="4945" spans="1:4" x14ac:dyDescent="0.25">
      <c r="A4945" t="s">
        <v>9</v>
      </c>
      <c r="B4945" t="s">
        <v>7</v>
      </c>
      <c r="C4945">
        <v>40</v>
      </c>
      <c r="D4945">
        <v>1428.576</v>
      </c>
    </row>
    <row r="4946" spans="1:4" x14ac:dyDescent="0.25">
      <c r="A4946" t="s">
        <v>9</v>
      </c>
      <c r="B4946" t="s">
        <v>7</v>
      </c>
      <c r="C4946">
        <v>40</v>
      </c>
      <c r="D4946">
        <v>1436.9580000000001</v>
      </c>
    </row>
    <row r="4947" spans="1:4" x14ac:dyDescent="0.25">
      <c r="A4947" t="s">
        <v>9</v>
      </c>
      <c r="B4947" t="s">
        <v>7</v>
      </c>
      <c r="C4947">
        <v>40</v>
      </c>
      <c r="D4947">
        <v>1413.8309999999999</v>
      </c>
    </row>
    <row r="4948" spans="1:4" x14ac:dyDescent="0.25">
      <c r="A4948" t="s">
        <v>9</v>
      </c>
      <c r="B4948" t="s">
        <v>7</v>
      </c>
      <c r="C4948">
        <v>40</v>
      </c>
      <c r="D4948">
        <v>1418.7529999999999</v>
      </c>
    </row>
    <row r="4949" spans="1:4" x14ac:dyDescent="0.25">
      <c r="A4949" t="s">
        <v>9</v>
      </c>
      <c r="B4949" t="s">
        <v>7</v>
      </c>
      <c r="C4949">
        <v>40</v>
      </c>
      <c r="D4949">
        <v>1422.4880000000001</v>
      </c>
    </row>
    <row r="4950" spans="1:4" x14ac:dyDescent="0.25">
      <c r="A4950" t="s">
        <v>9</v>
      </c>
      <c r="B4950" t="s">
        <v>7</v>
      </c>
      <c r="C4950">
        <v>40</v>
      </c>
      <c r="D4950">
        <v>1427.3689999999999</v>
      </c>
    </row>
    <row r="4951" spans="1:4" x14ac:dyDescent="0.25">
      <c r="A4951" t="s">
        <v>9</v>
      </c>
      <c r="B4951" t="s">
        <v>7</v>
      </c>
      <c r="C4951">
        <v>40</v>
      </c>
      <c r="D4951">
        <v>1422.797</v>
      </c>
    </row>
    <row r="4952" spans="1:4" x14ac:dyDescent="0.25">
      <c r="A4952" t="s">
        <v>9</v>
      </c>
      <c r="B4952" t="s">
        <v>7</v>
      </c>
      <c r="C4952">
        <v>40</v>
      </c>
      <c r="D4952">
        <v>1401.3869999999999</v>
      </c>
    </row>
    <row r="4953" spans="1:4" x14ac:dyDescent="0.25">
      <c r="A4953" t="s">
        <v>9</v>
      </c>
      <c r="B4953" t="s">
        <v>7</v>
      </c>
      <c r="C4953">
        <v>40</v>
      </c>
      <c r="D4953">
        <v>1469.2049999999999</v>
      </c>
    </row>
    <row r="4954" spans="1:4" x14ac:dyDescent="0.25">
      <c r="A4954" t="s">
        <v>9</v>
      </c>
      <c r="B4954" t="s">
        <v>7</v>
      </c>
      <c r="C4954">
        <v>40</v>
      </c>
      <c r="D4954">
        <v>1402.241</v>
      </c>
    </row>
    <row r="4955" spans="1:4" x14ac:dyDescent="0.25">
      <c r="A4955" t="s">
        <v>9</v>
      </c>
      <c r="B4955" t="s">
        <v>7</v>
      </c>
      <c r="C4955">
        <v>40</v>
      </c>
      <c r="D4955">
        <v>1442.9690000000001</v>
      </c>
    </row>
    <row r="4956" spans="1:4" x14ac:dyDescent="0.25">
      <c r="A4956" t="s">
        <v>9</v>
      </c>
      <c r="B4956" t="s">
        <v>7</v>
      </c>
      <c r="C4956">
        <v>40</v>
      </c>
      <c r="D4956">
        <v>1438.126</v>
      </c>
    </row>
    <row r="4957" spans="1:4" x14ac:dyDescent="0.25">
      <c r="A4957" t="s">
        <v>9</v>
      </c>
      <c r="B4957" t="s">
        <v>7</v>
      </c>
      <c r="C4957">
        <v>40</v>
      </c>
      <c r="D4957">
        <v>1443.0730000000001</v>
      </c>
    </row>
    <row r="4958" spans="1:4" x14ac:dyDescent="0.25">
      <c r="A4958" t="s">
        <v>9</v>
      </c>
      <c r="B4958" t="s">
        <v>7</v>
      </c>
      <c r="C4958">
        <v>40</v>
      </c>
      <c r="D4958">
        <v>1422.4590000000001</v>
      </c>
    </row>
    <row r="4959" spans="1:4" x14ac:dyDescent="0.25">
      <c r="A4959" t="s">
        <v>9</v>
      </c>
      <c r="B4959" t="s">
        <v>7</v>
      </c>
      <c r="C4959">
        <v>40</v>
      </c>
      <c r="D4959">
        <v>1441.82</v>
      </c>
    </row>
    <row r="4960" spans="1:4" x14ac:dyDescent="0.25">
      <c r="A4960" t="s">
        <v>9</v>
      </c>
      <c r="B4960" t="s">
        <v>7</v>
      </c>
      <c r="C4960">
        <v>40</v>
      </c>
      <c r="D4960">
        <v>1417.8589999999999</v>
      </c>
    </row>
    <row r="4961" spans="1:4" x14ac:dyDescent="0.25">
      <c r="A4961" t="s">
        <v>9</v>
      </c>
      <c r="B4961" t="s">
        <v>7</v>
      </c>
      <c r="C4961">
        <v>40</v>
      </c>
      <c r="D4961">
        <v>1399.9</v>
      </c>
    </row>
    <row r="4962" spans="1:4" x14ac:dyDescent="0.25">
      <c r="A4962" t="s">
        <v>9</v>
      </c>
      <c r="B4962" t="s">
        <v>7</v>
      </c>
      <c r="C4962">
        <v>40</v>
      </c>
      <c r="D4962">
        <v>1461.02</v>
      </c>
    </row>
    <row r="4963" spans="1:4" x14ac:dyDescent="0.25">
      <c r="A4963" t="s">
        <v>9</v>
      </c>
      <c r="B4963" t="s">
        <v>7</v>
      </c>
      <c r="C4963">
        <v>40</v>
      </c>
      <c r="D4963">
        <v>1434.5219999999999</v>
      </c>
    </row>
    <row r="4964" spans="1:4" x14ac:dyDescent="0.25">
      <c r="A4964" t="s">
        <v>9</v>
      </c>
      <c r="B4964" t="s">
        <v>7</v>
      </c>
      <c r="C4964">
        <v>40</v>
      </c>
      <c r="D4964">
        <v>1429.921</v>
      </c>
    </row>
    <row r="4965" spans="1:4" x14ac:dyDescent="0.25">
      <c r="A4965" t="s">
        <v>9</v>
      </c>
      <c r="B4965" t="s">
        <v>7</v>
      </c>
      <c r="C4965">
        <v>40</v>
      </c>
      <c r="D4965">
        <v>1404.7670000000001</v>
      </c>
    </row>
    <row r="4966" spans="1:4" x14ac:dyDescent="0.25">
      <c r="A4966" t="s">
        <v>9</v>
      </c>
      <c r="B4966" t="s">
        <v>7</v>
      </c>
      <c r="C4966">
        <v>40</v>
      </c>
      <c r="D4966">
        <v>1391.3109999999999</v>
      </c>
    </row>
    <row r="4967" spans="1:4" x14ac:dyDescent="0.25">
      <c r="A4967" t="s">
        <v>9</v>
      </c>
      <c r="B4967" t="s">
        <v>7</v>
      </c>
      <c r="C4967">
        <v>40</v>
      </c>
      <c r="D4967">
        <v>1391.672</v>
      </c>
    </row>
    <row r="4968" spans="1:4" x14ac:dyDescent="0.25">
      <c r="A4968" t="s">
        <v>9</v>
      </c>
      <c r="B4968" t="s">
        <v>7</v>
      </c>
      <c r="C4968">
        <v>40</v>
      </c>
      <c r="D4968">
        <v>1432.2840000000001</v>
      </c>
    </row>
    <row r="4969" spans="1:4" x14ac:dyDescent="0.25">
      <c r="A4969" t="s">
        <v>9</v>
      </c>
      <c r="B4969" t="s">
        <v>7</v>
      </c>
      <c r="C4969">
        <v>40</v>
      </c>
      <c r="D4969">
        <v>1416.9760000000001</v>
      </c>
    </row>
    <row r="4970" spans="1:4" x14ac:dyDescent="0.25">
      <c r="A4970" t="s">
        <v>9</v>
      </c>
      <c r="B4970" t="s">
        <v>7</v>
      </c>
      <c r="C4970">
        <v>40</v>
      </c>
      <c r="D4970">
        <v>1393.298</v>
      </c>
    </row>
    <row r="4971" spans="1:4" x14ac:dyDescent="0.25">
      <c r="A4971" t="s">
        <v>9</v>
      </c>
      <c r="B4971" t="s">
        <v>7</v>
      </c>
      <c r="C4971">
        <v>40</v>
      </c>
      <c r="D4971">
        <v>1403.66</v>
      </c>
    </row>
    <row r="4972" spans="1:4" x14ac:dyDescent="0.25">
      <c r="A4972" t="s">
        <v>9</v>
      </c>
      <c r="B4972" t="s">
        <v>7</v>
      </c>
      <c r="C4972">
        <v>40</v>
      </c>
      <c r="D4972">
        <v>1428.471</v>
      </c>
    </row>
    <row r="4973" spans="1:4" x14ac:dyDescent="0.25">
      <c r="A4973" t="s">
        <v>9</v>
      </c>
      <c r="B4973" t="s">
        <v>7</v>
      </c>
      <c r="C4973">
        <v>40</v>
      </c>
      <c r="D4973">
        <v>1418.5139999999999</v>
      </c>
    </row>
    <row r="4974" spans="1:4" x14ac:dyDescent="0.25">
      <c r="A4974" t="s">
        <v>9</v>
      </c>
      <c r="B4974" t="s">
        <v>7</v>
      </c>
      <c r="C4974">
        <v>40</v>
      </c>
      <c r="D4974">
        <v>1380.338</v>
      </c>
    </row>
    <row r="4975" spans="1:4" x14ac:dyDescent="0.25">
      <c r="A4975" t="s">
        <v>9</v>
      </c>
      <c r="B4975" t="s">
        <v>7</v>
      </c>
      <c r="C4975">
        <v>40</v>
      </c>
      <c r="D4975">
        <v>1418.4110000000001</v>
      </c>
    </row>
    <row r="4976" spans="1:4" x14ac:dyDescent="0.25">
      <c r="A4976" t="s">
        <v>9</v>
      </c>
      <c r="B4976" t="s">
        <v>7</v>
      </c>
      <c r="C4976">
        <v>40</v>
      </c>
      <c r="D4976">
        <v>1416.325</v>
      </c>
    </row>
    <row r="4977" spans="1:4" x14ac:dyDescent="0.25">
      <c r="A4977" t="s">
        <v>9</v>
      </c>
      <c r="B4977" t="s">
        <v>7</v>
      </c>
      <c r="C4977">
        <v>40</v>
      </c>
      <c r="D4977">
        <v>1411.068</v>
      </c>
    </row>
    <row r="4978" spans="1:4" x14ac:dyDescent="0.25">
      <c r="A4978" t="s">
        <v>9</v>
      </c>
      <c r="B4978" t="s">
        <v>7</v>
      </c>
      <c r="C4978">
        <v>40</v>
      </c>
      <c r="D4978">
        <v>1391.557</v>
      </c>
    </row>
    <row r="4979" spans="1:4" x14ac:dyDescent="0.25">
      <c r="A4979" t="s">
        <v>9</v>
      </c>
      <c r="B4979" t="s">
        <v>7</v>
      </c>
      <c r="C4979">
        <v>40</v>
      </c>
      <c r="D4979">
        <v>1430.8530000000001</v>
      </c>
    </row>
    <row r="4980" spans="1:4" x14ac:dyDescent="0.25">
      <c r="A4980" t="s">
        <v>9</v>
      </c>
      <c r="B4980" t="s">
        <v>7</v>
      </c>
      <c r="C4980">
        <v>40</v>
      </c>
      <c r="D4980">
        <v>1406.2629999999999</v>
      </c>
    </row>
    <row r="4981" spans="1:4" x14ac:dyDescent="0.25">
      <c r="A4981" t="s">
        <v>9</v>
      </c>
      <c r="B4981" t="s">
        <v>7</v>
      </c>
      <c r="C4981">
        <v>40</v>
      </c>
      <c r="D4981">
        <v>1441.6890000000001</v>
      </c>
    </row>
    <row r="4982" spans="1:4" x14ac:dyDescent="0.25">
      <c r="A4982" t="s">
        <v>9</v>
      </c>
      <c r="B4982" t="s">
        <v>7</v>
      </c>
      <c r="C4982">
        <v>40</v>
      </c>
      <c r="D4982">
        <v>1416.16</v>
      </c>
    </row>
    <row r="4983" spans="1:4" x14ac:dyDescent="0.25">
      <c r="A4983" t="s">
        <v>9</v>
      </c>
      <c r="B4983" t="s">
        <v>7</v>
      </c>
      <c r="C4983">
        <v>40</v>
      </c>
      <c r="D4983">
        <v>1382.693</v>
      </c>
    </row>
    <row r="4984" spans="1:4" x14ac:dyDescent="0.25">
      <c r="A4984" t="s">
        <v>9</v>
      </c>
      <c r="B4984" t="s">
        <v>7</v>
      </c>
      <c r="C4984">
        <v>40</v>
      </c>
      <c r="D4984">
        <v>1405.124</v>
      </c>
    </row>
    <row r="4985" spans="1:4" x14ac:dyDescent="0.25">
      <c r="A4985" t="s">
        <v>9</v>
      </c>
      <c r="B4985" t="s">
        <v>7</v>
      </c>
      <c r="C4985">
        <v>40</v>
      </c>
      <c r="D4985">
        <v>1417.1859999999999</v>
      </c>
    </row>
    <row r="4986" spans="1:4" x14ac:dyDescent="0.25">
      <c r="A4986" t="s">
        <v>9</v>
      </c>
      <c r="B4986" t="s">
        <v>7</v>
      </c>
      <c r="C4986">
        <v>40</v>
      </c>
      <c r="D4986">
        <v>1441.404</v>
      </c>
    </row>
    <row r="4987" spans="1:4" x14ac:dyDescent="0.25">
      <c r="A4987" t="s">
        <v>9</v>
      </c>
      <c r="B4987" t="s">
        <v>7</v>
      </c>
      <c r="C4987">
        <v>40</v>
      </c>
      <c r="D4987">
        <v>1395.184</v>
      </c>
    </row>
    <row r="4988" spans="1:4" x14ac:dyDescent="0.25">
      <c r="A4988" t="s">
        <v>9</v>
      </c>
      <c r="B4988" t="s">
        <v>7</v>
      </c>
      <c r="C4988">
        <v>40</v>
      </c>
      <c r="D4988">
        <v>1415.021</v>
      </c>
    </row>
    <row r="4989" spans="1:4" x14ac:dyDescent="0.25">
      <c r="A4989" t="s">
        <v>9</v>
      </c>
      <c r="B4989" t="s">
        <v>7</v>
      </c>
      <c r="C4989">
        <v>40</v>
      </c>
      <c r="D4989">
        <v>1413.299</v>
      </c>
    </row>
    <row r="4990" spans="1:4" x14ac:dyDescent="0.25">
      <c r="A4990" t="s">
        <v>9</v>
      </c>
      <c r="B4990" t="s">
        <v>7</v>
      </c>
      <c r="C4990">
        <v>40</v>
      </c>
      <c r="D4990">
        <v>1400.6849999999999</v>
      </c>
    </row>
    <row r="4991" spans="1:4" x14ac:dyDescent="0.25">
      <c r="A4991" t="s">
        <v>9</v>
      </c>
      <c r="B4991" t="s">
        <v>7</v>
      </c>
      <c r="C4991">
        <v>40</v>
      </c>
      <c r="D4991">
        <v>1444.0989999999999</v>
      </c>
    </row>
    <row r="4992" spans="1:4" x14ac:dyDescent="0.25">
      <c r="A4992" t="s">
        <v>9</v>
      </c>
      <c r="B4992" t="s">
        <v>7</v>
      </c>
      <c r="C4992">
        <v>40</v>
      </c>
      <c r="D4992">
        <v>1409.098</v>
      </c>
    </row>
    <row r="4993" spans="1:4" x14ac:dyDescent="0.25">
      <c r="A4993" t="s">
        <v>9</v>
      </c>
      <c r="B4993" t="s">
        <v>7</v>
      </c>
      <c r="C4993">
        <v>40</v>
      </c>
      <c r="D4993">
        <v>1415.663</v>
      </c>
    </row>
    <row r="4994" spans="1:4" x14ac:dyDescent="0.25">
      <c r="A4994" t="s">
        <v>9</v>
      </c>
      <c r="B4994" t="s">
        <v>7</v>
      </c>
      <c r="C4994">
        <v>40</v>
      </c>
      <c r="D4994">
        <v>1393.896</v>
      </c>
    </row>
    <row r="4995" spans="1:4" x14ac:dyDescent="0.25">
      <c r="A4995" t="s">
        <v>9</v>
      </c>
      <c r="B4995" t="s">
        <v>7</v>
      </c>
      <c r="C4995">
        <v>40</v>
      </c>
      <c r="D4995">
        <v>1418.7260000000001</v>
      </c>
    </row>
    <row r="4996" spans="1:4" x14ac:dyDescent="0.25">
      <c r="A4996" t="s">
        <v>9</v>
      </c>
      <c r="B4996" t="s">
        <v>7</v>
      </c>
      <c r="C4996">
        <v>40</v>
      </c>
      <c r="D4996">
        <v>1437.0129999999999</v>
      </c>
    </row>
    <row r="4997" spans="1:4" x14ac:dyDescent="0.25">
      <c r="A4997" t="s">
        <v>9</v>
      </c>
      <c r="B4997" t="s">
        <v>7</v>
      </c>
      <c r="C4997">
        <v>40</v>
      </c>
      <c r="D4997">
        <v>1410.252</v>
      </c>
    </row>
    <row r="4998" spans="1:4" x14ac:dyDescent="0.25">
      <c r="A4998" t="s">
        <v>9</v>
      </c>
      <c r="B4998" t="s">
        <v>7</v>
      </c>
      <c r="C4998">
        <v>40</v>
      </c>
      <c r="D4998">
        <v>1401.4680000000001</v>
      </c>
    </row>
    <row r="4999" spans="1:4" x14ac:dyDescent="0.25">
      <c r="A4999" t="s">
        <v>9</v>
      </c>
      <c r="B4999" t="s">
        <v>7</v>
      </c>
      <c r="C4999">
        <v>40</v>
      </c>
      <c r="D4999">
        <v>1394.029</v>
      </c>
    </row>
    <row r="5000" spans="1:4" x14ac:dyDescent="0.25">
      <c r="A5000" t="s">
        <v>9</v>
      </c>
      <c r="B5000" t="s">
        <v>7</v>
      </c>
      <c r="C5000">
        <v>40</v>
      </c>
      <c r="D5000">
        <v>1379.9549999999999</v>
      </c>
    </row>
    <row r="5001" spans="1:4" x14ac:dyDescent="0.25">
      <c r="A5001" t="s">
        <v>9</v>
      </c>
      <c r="B5001" t="s">
        <v>7</v>
      </c>
      <c r="C5001">
        <v>40</v>
      </c>
      <c r="D5001">
        <v>1428.84</v>
      </c>
    </row>
    <row r="5002" spans="1:4" x14ac:dyDescent="0.25">
      <c r="A5002" t="s">
        <v>9</v>
      </c>
      <c r="B5002" t="s">
        <v>7</v>
      </c>
      <c r="C5002">
        <v>60</v>
      </c>
      <c r="D5002">
        <v>1999.2739999999999</v>
      </c>
    </row>
    <row r="5003" spans="1:4" x14ac:dyDescent="0.25">
      <c r="A5003" t="s">
        <v>9</v>
      </c>
      <c r="B5003" t="s">
        <v>7</v>
      </c>
      <c r="C5003">
        <v>60</v>
      </c>
      <c r="D5003">
        <v>2033.326</v>
      </c>
    </row>
    <row r="5004" spans="1:4" x14ac:dyDescent="0.25">
      <c r="A5004" t="s">
        <v>9</v>
      </c>
      <c r="B5004" t="s">
        <v>7</v>
      </c>
      <c r="C5004">
        <v>60</v>
      </c>
      <c r="D5004">
        <v>2075.9520000000002</v>
      </c>
    </row>
    <row r="5005" spans="1:4" x14ac:dyDescent="0.25">
      <c r="A5005" t="s">
        <v>9</v>
      </c>
      <c r="B5005" t="s">
        <v>7</v>
      </c>
      <c r="C5005">
        <v>60</v>
      </c>
      <c r="D5005">
        <v>1983.4649999999999</v>
      </c>
    </row>
    <row r="5006" spans="1:4" x14ac:dyDescent="0.25">
      <c r="A5006" t="s">
        <v>9</v>
      </c>
      <c r="B5006" t="s">
        <v>7</v>
      </c>
      <c r="C5006">
        <v>60</v>
      </c>
      <c r="D5006">
        <v>2014.336</v>
      </c>
    </row>
    <row r="5007" spans="1:4" x14ac:dyDescent="0.25">
      <c r="A5007" t="s">
        <v>9</v>
      </c>
      <c r="B5007" t="s">
        <v>7</v>
      </c>
      <c r="C5007">
        <v>60</v>
      </c>
      <c r="D5007">
        <v>1982.7840000000001</v>
      </c>
    </row>
    <row r="5008" spans="1:4" x14ac:dyDescent="0.25">
      <c r="A5008" t="s">
        <v>9</v>
      </c>
      <c r="B5008" t="s">
        <v>7</v>
      </c>
      <c r="C5008">
        <v>60</v>
      </c>
      <c r="D5008">
        <v>2035.3610000000001</v>
      </c>
    </row>
    <row r="5009" spans="1:4" x14ac:dyDescent="0.25">
      <c r="A5009" t="s">
        <v>9</v>
      </c>
      <c r="B5009" t="s">
        <v>7</v>
      </c>
      <c r="C5009">
        <v>60</v>
      </c>
      <c r="D5009">
        <v>2003.04</v>
      </c>
    </row>
    <row r="5010" spans="1:4" x14ac:dyDescent="0.25">
      <c r="A5010" t="s">
        <v>9</v>
      </c>
      <c r="B5010" t="s">
        <v>7</v>
      </c>
      <c r="C5010">
        <v>60</v>
      </c>
      <c r="D5010">
        <v>2009.175</v>
      </c>
    </row>
    <row r="5011" spans="1:4" x14ac:dyDescent="0.25">
      <c r="A5011" t="s">
        <v>9</v>
      </c>
      <c r="B5011" t="s">
        <v>7</v>
      </c>
      <c r="C5011">
        <v>60</v>
      </c>
      <c r="D5011">
        <v>2112.989</v>
      </c>
    </row>
    <row r="5012" spans="1:4" x14ac:dyDescent="0.25">
      <c r="A5012" t="s">
        <v>9</v>
      </c>
      <c r="B5012" t="s">
        <v>7</v>
      </c>
      <c r="C5012">
        <v>60</v>
      </c>
      <c r="D5012">
        <v>2006.2239999999999</v>
      </c>
    </row>
    <row r="5013" spans="1:4" x14ac:dyDescent="0.25">
      <c r="A5013" t="s">
        <v>9</v>
      </c>
      <c r="B5013" t="s">
        <v>7</v>
      </c>
      <c r="C5013">
        <v>60</v>
      </c>
      <c r="D5013">
        <v>2036.864</v>
      </c>
    </row>
    <row r="5014" spans="1:4" x14ac:dyDescent="0.25">
      <c r="A5014" t="s">
        <v>9</v>
      </c>
      <c r="B5014" t="s">
        <v>7</v>
      </c>
      <c r="C5014">
        <v>60</v>
      </c>
      <c r="D5014">
        <v>2005.5360000000001</v>
      </c>
    </row>
    <row r="5015" spans="1:4" x14ac:dyDescent="0.25">
      <c r="A5015" t="s">
        <v>9</v>
      </c>
      <c r="B5015" t="s">
        <v>7</v>
      </c>
      <c r="C5015">
        <v>60</v>
      </c>
      <c r="D5015">
        <v>2042.798</v>
      </c>
    </row>
    <row r="5016" spans="1:4" x14ac:dyDescent="0.25">
      <c r="A5016" t="s">
        <v>9</v>
      </c>
      <c r="B5016" t="s">
        <v>7</v>
      </c>
      <c r="C5016">
        <v>60</v>
      </c>
      <c r="D5016">
        <v>1987.3920000000001</v>
      </c>
    </row>
    <row r="5017" spans="1:4" x14ac:dyDescent="0.25">
      <c r="A5017" t="s">
        <v>9</v>
      </c>
      <c r="B5017" t="s">
        <v>7</v>
      </c>
      <c r="C5017">
        <v>60</v>
      </c>
      <c r="D5017">
        <v>2047.8779999999999</v>
      </c>
    </row>
    <row r="5018" spans="1:4" x14ac:dyDescent="0.25">
      <c r="A5018" t="s">
        <v>9</v>
      </c>
      <c r="B5018" t="s">
        <v>7</v>
      </c>
      <c r="C5018">
        <v>60</v>
      </c>
      <c r="D5018">
        <v>2001.9449999999999</v>
      </c>
    </row>
    <row r="5019" spans="1:4" x14ac:dyDescent="0.25">
      <c r="A5019" t="s">
        <v>9</v>
      </c>
      <c r="B5019" t="s">
        <v>7</v>
      </c>
      <c r="C5019">
        <v>60</v>
      </c>
      <c r="D5019">
        <v>1967.722</v>
      </c>
    </row>
    <row r="5020" spans="1:4" x14ac:dyDescent="0.25">
      <c r="A5020" t="s">
        <v>9</v>
      </c>
      <c r="B5020" t="s">
        <v>7</v>
      </c>
      <c r="C5020">
        <v>60</v>
      </c>
      <c r="D5020">
        <v>1996.2380000000001</v>
      </c>
    </row>
    <row r="5021" spans="1:4" x14ac:dyDescent="0.25">
      <c r="A5021" t="s">
        <v>9</v>
      </c>
      <c r="B5021" t="s">
        <v>7</v>
      </c>
      <c r="C5021">
        <v>60</v>
      </c>
      <c r="D5021">
        <v>1968.598</v>
      </c>
    </row>
    <row r="5022" spans="1:4" x14ac:dyDescent="0.25">
      <c r="A5022" t="s">
        <v>9</v>
      </c>
      <c r="B5022" t="s">
        <v>7</v>
      </c>
      <c r="C5022">
        <v>60</v>
      </c>
      <c r="D5022">
        <v>1996.3320000000001</v>
      </c>
    </row>
    <row r="5023" spans="1:4" x14ac:dyDescent="0.25">
      <c r="A5023" t="s">
        <v>9</v>
      </c>
      <c r="B5023" t="s">
        <v>7</v>
      </c>
      <c r="C5023">
        <v>60</v>
      </c>
      <c r="D5023">
        <v>2035.1020000000001</v>
      </c>
    </row>
    <row r="5024" spans="1:4" x14ac:dyDescent="0.25">
      <c r="A5024" t="s">
        <v>9</v>
      </c>
      <c r="B5024" t="s">
        <v>7</v>
      </c>
      <c r="C5024">
        <v>60</v>
      </c>
      <c r="D5024">
        <v>1992.53</v>
      </c>
    </row>
    <row r="5025" spans="1:4" x14ac:dyDescent="0.25">
      <c r="A5025" t="s">
        <v>9</v>
      </c>
      <c r="B5025" t="s">
        <v>7</v>
      </c>
      <c r="C5025">
        <v>60</v>
      </c>
      <c r="D5025">
        <v>2018.5319999999999</v>
      </c>
    </row>
    <row r="5026" spans="1:4" x14ac:dyDescent="0.25">
      <c r="A5026" t="s">
        <v>9</v>
      </c>
      <c r="B5026" t="s">
        <v>7</v>
      </c>
      <c r="C5026">
        <v>60</v>
      </c>
      <c r="D5026">
        <v>2029.6759999999999</v>
      </c>
    </row>
    <row r="5027" spans="1:4" x14ac:dyDescent="0.25">
      <c r="A5027" t="s">
        <v>9</v>
      </c>
      <c r="B5027" t="s">
        <v>7</v>
      </c>
      <c r="C5027">
        <v>60</v>
      </c>
      <c r="D5027">
        <v>2042.34</v>
      </c>
    </row>
    <row r="5028" spans="1:4" x14ac:dyDescent="0.25">
      <c r="A5028" t="s">
        <v>9</v>
      </c>
      <c r="B5028" t="s">
        <v>7</v>
      </c>
      <c r="C5028">
        <v>60</v>
      </c>
      <c r="D5028">
        <v>2036.6569999999999</v>
      </c>
    </row>
    <row r="5029" spans="1:4" x14ac:dyDescent="0.25">
      <c r="A5029" t="s">
        <v>9</v>
      </c>
      <c r="B5029" t="s">
        <v>7</v>
      </c>
      <c r="C5029">
        <v>60</v>
      </c>
      <c r="D5029">
        <v>2037.5820000000001</v>
      </c>
    </row>
    <row r="5030" spans="1:4" x14ac:dyDescent="0.25">
      <c r="A5030" t="s">
        <v>9</v>
      </c>
      <c r="B5030" t="s">
        <v>7</v>
      </c>
      <c r="C5030">
        <v>60</v>
      </c>
      <c r="D5030">
        <v>2018.3630000000001</v>
      </c>
    </row>
    <row r="5031" spans="1:4" x14ac:dyDescent="0.25">
      <c r="A5031" t="s">
        <v>9</v>
      </c>
      <c r="B5031" t="s">
        <v>7</v>
      </c>
      <c r="C5031">
        <v>60</v>
      </c>
      <c r="D5031">
        <v>2095.5140000000001</v>
      </c>
    </row>
    <row r="5032" spans="1:4" x14ac:dyDescent="0.25">
      <c r="A5032" t="s">
        <v>9</v>
      </c>
      <c r="B5032" t="s">
        <v>7</v>
      </c>
      <c r="C5032">
        <v>60</v>
      </c>
      <c r="D5032">
        <v>1975.902</v>
      </c>
    </row>
    <row r="5033" spans="1:4" x14ac:dyDescent="0.25">
      <c r="A5033" t="s">
        <v>9</v>
      </c>
      <c r="B5033" t="s">
        <v>7</v>
      </c>
      <c r="C5033">
        <v>60</v>
      </c>
      <c r="D5033">
        <v>2072.7669999999998</v>
      </c>
    </row>
    <row r="5034" spans="1:4" x14ac:dyDescent="0.25">
      <c r="A5034" t="s">
        <v>9</v>
      </c>
      <c r="B5034" t="s">
        <v>7</v>
      </c>
      <c r="C5034">
        <v>60</v>
      </c>
      <c r="D5034">
        <v>2031.174</v>
      </c>
    </row>
    <row r="5035" spans="1:4" x14ac:dyDescent="0.25">
      <c r="A5035" t="s">
        <v>9</v>
      </c>
      <c r="B5035" t="s">
        <v>7</v>
      </c>
      <c r="C5035">
        <v>60</v>
      </c>
      <c r="D5035">
        <v>1996.222</v>
      </c>
    </row>
    <row r="5036" spans="1:4" x14ac:dyDescent="0.25">
      <c r="A5036" t="s">
        <v>9</v>
      </c>
      <c r="B5036" t="s">
        <v>7</v>
      </c>
      <c r="C5036">
        <v>60</v>
      </c>
      <c r="D5036">
        <v>2076.3110000000001</v>
      </c>
    </row>
    <row r="5037" spans="1:4" x14ac:dyDescent="0.25">
      <c r="A5037" t="s">
        <v>9</v>
      </c>
      <c r="B5037" t="s">
        <v>7</v>
      </c>
      <c r="C5037">
        <v>60</v>
      </c>
      <c r="D5037">
        <v>1927.366</v>
      </c>
    </row>
    <row r="5038" spans="1:4" x14ac:dyDescent="0.25">
      <c r="A5038" t="s">
        <v>9</v>
      </c>
      <c r="B5038" t="s">
        <v>7</v>
      </c>
      <c r="C5038">
        <v>60</v>
      </c>
      <c r="D5038">
        <v>2003.6130000000001</v>
      </c>
    </row>
    <row r="5039" spans="1:4" x14ac:dyDescent="0.25">
      <c r="A5039" t="s">
        <v>9</v>
      </c>
      <c r="B5039" t="s">
        <v>7</v>
      </c>
      <c r="C5039">
        <v>60</v>
      </c>
      <c r="D5039">
        <v>1985.44</v>
      </c>
    </row>
    <row r="5040" spans="1:4" x14ac:dyDescent="0.25">
      <c r="A5040" t="s">
        <v>9</v>
      </c>
      <c r="B5040" t="s">
        <v>7</v>
      </c>
      <c r="C5040">
        <v>60</v>
      </c>
      <c r="D5040">
        <v>2015.943</v>
      </c>
    </row>
    <row r="5041" spans="1:4" x14ac:dyDescent="0.25">
      <c r="A5041" t="s">
        <v>9</v>
      </c>
      <c r="B5041" t="s">
        <v>7</v>
      </c>
      <c r="C5041">
        <v>60</v>
      </c>
      <c r="D5041">
        <v>2000.1320000000001</v>
      </c>
    </row>
    <row r="5042" spans="1:4" x14ac:dyDescent="0.25">
      <c r="A5042" t="s">
        <v>9</v>
      </c>
      <c r="B5042" t="s">
        <v>7</v>
      </c>
      <c r="C5042">
        <v>60</v>
      </c>
      <c r="D5042">
        <v>1977.9939999999999</v>
      </c>
    </row>
    <row r="5043" spans="1:4" x14ac:dyDescent="0.25">
      <c r="A5043" t="s">
        <v>9</v>
      </c>
      <c r="B5043" t="s">
        <v>7</v>
      </c>
      <c r="C5043">
        <v>60</v>
      </c>
      <c r="D5043">
        <v>2041.6030000000001</v>
      </c>
    </row>
    <row r="5044" spans="1:4" x14ac:dyDescent="0.25">
      <c r="A5044" t="s">
        <v>9</v>
      </c>
      <c r="B5044" t="s">
        <v>7</v>
      </c>
      <c r="C5044">
        <v>60</v>
      </c>
      <c r="D5044">
        <v>1956.171</v>
      </c>
    </row>
    <row r="5045" spans="1:4" x14ac:dyDescent="0.25">
      <c r="A5045" t="s">
        <v>9</v>
      </c>
      <c r="B5045" t="s">
        <v>7</v>
      </c>
      <c r="C5045">
        <v>60</v>
      </c>
      <c r="D5045">
        <v>2044.56</v>
      </c>
    </row>
    <row r="5046" spans="1:4" x14ac:dyDescent="0.25">
      <c r="A5046" t="s">
        <v>9</v>
      </c>
      <c r="B5046" t="s">
        <v>7</v>
      </c>
      <c r="C5046">
        <v>60</v>
      </c>
      <c r="D5046">
        <v>1979.307</v>
      </c>
    </row>
    <row r="5047" spans="1:4" x14ac:dyDescent="0.25">
      <c r="A5047" t="s">
        <v>9</v>
      </c>
      <c r="B5047" t="s">
        <v>7</v>
      </c>
      <c r="C5047">
        <v>60</v>
      </c>
      <c r="D5047">
        <v>2018.3040000000001</v>
      </c>
    </row>
    <row r="5048" spans="1:4" x14ac:dyDescent="0.25">
      <c r="A5048" t="s">
        <v>9</v>
      </c>
      <c r="B5048" t="s">
        <v>7</v>
      </c>
      <c r="C5048">
        <v>60</v>
      </c>
      <c r="D5048">
        <v>2040.9359999999999</v>
      </c>
    </row>
    <row r="5049" spans="1:4" x14ac:dyDescent="0.25">
      <c r="A5049" t="s">
        <v>9</v>
      </c>
      <c r="B5049" t="s">
        <v>7</v>
      </c>
      <c r="C5049">
        <v>60</v>
      </c>
      <c r="D5049">
        <v>1974.5540000000001</v>
      </c>
    </row>
    <row r="5050" spans="1:4" x14ac:dyDescent="0.25">
      <c r="A5050" t="s">
        <v>9</v>
      </c>
      <c r="B5050" t="s">
        <v>7</v>
      </c>
      <c r="C5050">
        <v>60</v>
      </c>
      <c r="D5050">
        <v>2053.5309999999999</v>
      </c>
    </row>
    <row r="5051" spans="1:4" x14ac:dyDescent="0.25">
      <c r="A5051" t="s">
        <v>9</v>
      </c>
      <c r="B5051" t="s">
        <v>7</v>
      </c>
      <c r="C5051">
        <v>60</v>
      </c>
      <c r="D5051">
        <v>2019.451</v>
      </c>
    </row>
    <row r="5052" spans="1:4" x14ac:dyDescent="0.25">
      <c r="A5052" t="s">
        <v>9</v>
      </c>
      <c r="B5052" t="s">
        <v>7</v>
      </c>
      <c r="C5052">
        <v>60</v>
      </c>
      <c r="D5052">
        <v>2044.3889999999999</v>
      </c>
    </row>
    <row r="5053" spans="1:4" x14ac:dyDescent="0.25">
      <c r="A5053" t="s">
        <v>9</v>
      </c>
      <c r="B5053" t="s">
        <v>7</v>
      </c>
      <c r="C5053">
        <v>60</v>
      </c>
      <c r="D5053">
        <v>2008.1579999999999</v>
      </c>
    </row>
    <row r="5054" spans="1:4" x14ac:dyDescent="0.25">
      <c r="A5054" t="s">
        <v>9</v>
      </c>
      <c r="B5054" t="s">
        <v>7</v>
      </c>
      <c r="C5054">
        <v>60</v>
      </c>
      <c r="D5054">
        <v>2020.9490000000001</v>
      </c>
    </row>
    <row r="5055" spans="1:4" x14ac:dyDescent="0.25">
      <c r="A5055" t="s">
        <v>9</v>
      </c>
      <c r="B5055" t="s">
        <v>7</v>
      </c>
      <c r="C5055">
        <v>60</v>
      </c>
      <c r="D5055">
        <v>2028.7339999999999</v>
      </c>
    </row>
    <row r="5056" spans="1:4" x14ac:dyDescent="0.25">
      <c r="A5056" t="s">
        <v>9</v>
      </c>
      <c r="B5056" t="s">
        <v>7</v>
      </c>
      <c r="C5056">
        <v>60</v>
      </c>
      <c r="D5056">
        <v>1993.8810000000001</v>
      </c>
    </row>
    <row r="5057" spans="1:4" x14ac:dyDescent="0.25">
      <c r="A5057" t="s">
        <v>9</v>
      </c>
      <c r="B5057" t="s">
        <v>7</v>
      </c>
      <c r="C5057">
        <v>60</v>
      </c>
      <c r="D5057">
        <v>2009.066</v>
      </c>
    </row>
    <row r="5058" spans="1:4" x14ac:dyDescent="0.25">
      <c r="A5058" t="s">
        <v>9</v>
      </c>
      <c r="B5058" t="s">
        <v>7</v>
      </c>
      <c r="C5058">
        <v>60</v>
      </c>
      <c r="D5058">
        <v>2012.627</v>
      </c>
    </row>
    <row r="5059" spans="1:4" x14ac:dyDescent="0.25">
      <c r="A5059" t="s">
        <v>9</v>
      </c>
      <c r="B5059" t="s">
        <v>7</v>
      </c>
      <c r="C5059">
        <v>60</v>
      </c>
      <c r="D5059">
        <v>2033.008</v>
      </c>
    </row>
    <row r="5060" spans="1:4" x14ac:dyDescent="0.25">
      <c r="A5060" t="s">
        <v>9</v>
      </c>
      <c r="B5060" t="s">
        <v>7</v>
      </c>
      <c r="C5060">
        <v>60</v>
      </c>
      <c r="D5060">
        <v>2034.5719999999999</v>
      </c>
    </row>
    <row r="5061" spans="1:4" x14ac:dyDescent="0.25">
      <c r="A5061" t="s">
        <v>9</v>
      </c>
      <c r="B5061" t="s">
        <v>7</v>
      </c>
      <c r="C5061">
        <v>60</v>
      </c>
      <c r="D5061">
        <v>1937.047</v>
      </c>
    </row>
    <row r="5062" spans="1:4" x14ac:dyDescent="0.25">
      <c r="A5062" t="s">
        <v>9</v>
      </c>
      <c r="B5062" t="s">
        <v>7</v>
      </c>
      <c r="C5062">
        <v>60</v>
      </c>
      <c r="D5062">
        <v>2044.376</v>
      </c>
    </row>
    <row r="5063" spans="1:4" x14ac:dyDescent="0.25">
      <c r="A5063" t="s">
        <v>9</v>
      </c>
      <c r="B5063" t="s">
        <v>7</v>
      </c>
      <c r="C5063">
        <v>60</v>
      </c>
      <c r="D5063">
        <v>2035.931</v>
      </c>
    </row>
    <row r="5064" spans="1:4" x14ac:dyDescent="0.25">
      <c r="A5064" t="s">
        <v>9</v>
      </c>
      <c r="B5064" t="s">
        <v>7</v>
      </c>
      <c r="C5064">
        <v>60</v>
      </c>
      <c r="D5064">
        <v>2080.21</v>
      </c>
    </row>
    <row r="5065" spans="1:4" x14ac:dyDescent="0.25">
      <c r="A5065" t="s">
        <v>9</v>
      </c>
      <c r="B5065" t="s">
        <v>7</v>
      </c>
      <c r="C5065">
        <v>60</v>
      </c>
      <c r="D5065">
        <v>2085.65</v>
      </c>
    </row>
    <row r="5066" spans="1:4" x14ac:dyDescent="0.25">
      <c r="A5066" t="s">
        <v>9</v>
      </c>
      <c r="B5066" t="s">
        <v>7</v>
      </c>
      <c r="C5066">
        <v>60</v>
      </c>
      <c r="D5066">
        <v>2058.2660000000001</v>
      </c>
    </row>
    <row r="5067" spans="1:4" x14ac:dyDescent="0.25">
      <c r="A5067" t="s">
        <v>9</v>
      </c>
      <c r="B5067" t="s">
        <v>7</v>
      </c>
      <c r="C5067">
        <v>60</v>
      </c>
      <c r="D5067">
        <v>2044.663</v>
      </c>
    </row>
    <row r="5068" spans="1:4" x14ac:dyDescent="0.25">
      <c r="A5068" t="s">
        <v>9</v>
      </c>
      <c r="B5068" t="s">
        <v>7</v>
      </c>
      <c r="C5068">
        <v>60</v>
      </c>
      <c r="D5068">
        <v>2074.5</v>
      </c>
    </row>
    <row r="5069" spans="1:4" x14ac:dyDescent="0.25">
      <c r="A5069" t="s">
        <v>9</v>
      </c>
      <c r="B5069" t="s">
        <v>7</v>
      </c>
      <c r="C5069">
        <v>60</v>
      </c>
      <c r="D5069">
        <v>1947.193</v>
      </c>
    </row>
    <row r="5070" spans="1:4" x14ac:dyDescent="0.25">
      <c r="A5070" t="s">
        <v>9</v>
      </c>
      <c r="B5070" t="s">
        <v>7</v>
      </c>
      <c r="C5070">
        <v>60</v>
      </c>
      <c r="D5070">
        <v>2031.0160000000001</v>
      </c>
    </row>
    <row r="5071" spans="1:4" x14ac:dyDescent="0.25">
      <c r="A5071" t="s">
        <v>9</v>
      </c>
      <c r="B5071" t="s">
        <v>7</v>
      </c>
      <c r="C5071">
        <v>60</v>
      </c>
      <c r="D5071">
        <v>2019.585</v>
      </c>
    </row>
    <row r="5072" spans="1:4" x14ac:dyDescent="0.25">
      <c r="A5072" t="s">
        <v>9</v>
      </c>
      <c r="B5072" t="s">
        <v>7</v>
      </c>
      <c r="C5072">
        <v>60</v>
      </c>
      <c r="D5072">
        <v>2001.1410000000001</v>
      </c>
    </row>
    <row r="5073" spans="1:4" x14ac:dyDescent="0.25">
      <c r="A5073" t="s">
        <v>9</v>
      </c>
      <c r="B5073" t="s">
        <v>7</v>
      </c>
      <c r="C5073">
        <v>60</v>
      </c>
      <c r="D5073">
        <v>2081.9209999999998</v>
      </c>
    </row>
    <row r="5074" spans="1:4" x14ac:dyDescent="0.25">
      <c r="A5074" t="s">
        <v>9</v>
      </c>
      <c r="B5074" t="s">
        <v>7</v>
      </c>
      <c r="C5074">
        <v>60</v>
      </c>
      <c r="D5074">
        <v>2026.24</v>
      </c>
    </row>
    <row r="5075" spans="1:4" x14ac:dyDescent="0.25">
      <c r="A5075" t="s">
        <v>9</v>
      </c>
      <c r="B5075" t="s">
        <v>7</v>
      </c>
      <c r="C5075">
        <v>60</v>
      </c>
      <c r="D5075">
        <v>2028.2180000000001</v>
      </c>
    </row>
    <row r="5076" spans="1:4" x14ac:dyDescent="0.25">
      <c r="A5076" t="s">
        <v>9</v>
      </c>
      <c r="B5076" t="s">
        <v>7</v>
      </c>
      <c r="C5076">
        <v>60</v>
      </c>
      <c r="D5076">
        <v>2018.3240000000001</v>
      </c>
    </row>
    <row r="5077" spans="1:4" x14ac:dyDescent="0.25">
      <c r="A5077" t="s">
        <v>9</v>
      </c>
      <c r="B5077" t="s">
        <v>7</v>
      </c>
      <c r="C5077">
        <v>60</v>
      </c>
      <c r="D5077">
        <v>1998.6510000000001</v>
      </c>
    </row>
    <row r="5078" spans="1:4" x14ac:dyDescent="0.25">
      <c r="A5078" t="s">
        <v>9</v>
      </c>
      <c r="B5078" t="s">
        <v>7</v>
      </c>
      <c r="C5078">
        <v>60</v>
      </c>
      <c r="D5078">
        <v>2065.056</v>
      </c>
    </row>
    <row r="5079" spans="1:4" x14ac:dyDescent="0.25">
      <c r="A5079" t="s">
        <v>9</v>
      </c>
      <c r="B5079" t="s">
        <v>7</v>
      </c>
      <c r="C5079">
        <v>60</v>
      </c>
      <c r="D5079">
        <v>2040.394</v>
      </c>
    </row>
    <row r="5080" spans="1:4" x14ac:dyDescent="0.25">
      <c r="A5080" t="s">
        <v>9</v>
      </c>
      <c r="B5080" t="s">
        <v>7</v>
      </c>
      <c r="C5080">
        <v>60</v>
      </c>
      <c r="D5080">
        <v>1964.443</v>
      </c>
    </row>
    <row r="5081" spans="1:4" x14ac:dyDescent="0.25">
      <c r="A5081" t="s">
        <v>9</v>
      </c>
      <c r="B5081" t="s">
        <v>7</v>
      </c>
      <c r="C5081">
        <v>60</v>
      </c>
      <c r="D5081">
        <v>2032.58</v>
      </c>
    </row>
    <row r="5082" spans="1:4" x14ac:dyDescent="0.25">
      <c r="A5082" t="s">
        <v>9</v>
      </c>
      <c r="B5082" t="s">
        <v>7</v>
      </c>
      <c r="C5082">
        <v>60</v>
      </c>
      <c r="D5082">
        <v>2012.066</v>
      </c>
    </row>
    <row r="5083" spans="1:4" x14ac:dyDescent="0.25">
      <c r="A5083" t="s">
        <v>9</v>
      </c>
      <c r="B5083" t="s">
        <v>7</v>
      </c>
      <c r="C5083">
        <v>60</v>
      </c>
      <c r="D5083">
        <v>2034.4970000000001</v>
      </c>
    </row>
    <row r="5084" spans="1:4" x14ac:dyDescent="0.25">
      <c r="A5084" t="s">
        <v>9</v>
      </c>
      <c r="B5084" t="s">
        <v>7</v>
      </c>
      <c r="C5084">
        <v>60</v>
      </c>
      <c r="D5084">
        <v>1983.7139999999999</v>
      </c>
    </row>
    <row r="5085" spans="1:4" x14ac:dyDescent="0.25">
      <c r="A5085" t="s">
        <v>9</v>
      </c>
      <c r="B5085" t="s">
        <v>7</v>
      </c>
      <c r="C5085">
        <v>60</v>
      </c>
      <c r="D5085">
        <v>2068.1799999999998</v>
      </c>
    </row>
    <row r="5086" spans="1:4" x14ac:dyDescent="0.25">
      <c r="A5086" t="s">
        <v>9</v>
      </c>
      <c r="B5086" t="s">
        <v>7</v>
      </c>
      <c r="C5086">
        <v>60</v>
      </c>
      <c r="D5086">
        <v>1958.626</v>
      </c>
    </row>
    <row r="5087" spans="1:4" x14ac:dyDescent="0.25">
      <c r="A5087" t="s">
        <v>9</v>
      </c>
      <c r="B5087" t="s">
        <v>7</v>
      </c>
      <c r="C5087">
        <v>60</v>
      </c>
      <c r="D5087">
        <v>1945.317</v>
      </c>
    </row>
    <row r="5088" spans="1:4" x14ac:dyDescent="0.25">
      <c r="A5088" t="s">
        <v>9</v>
      </c>
      <c r="B5088" t="s">
        <v>7</v>
      </c>
      <c r="C5088">
        <v>60</v>
      </c>
      <c r="D5088">
        <v>2041.7170000000001</v>
      </c>
    </row>
    <row r="5089" spans="1:4" x14ac:dyDescent="0.25">
      <c r="A5089" t="s">
        <v>9</v>
      </c>
      <c r="B5089" t="s">
        <v>7</v>
      </c>
      <c r="C5089">
        <v>60</v>
      </c>
      <c r="D5089">
        <v>2073.123</v>
      </c>
    </row>
    <row r="5090" spans="1:4" x14ac:dyDescent="0.25">
      <c r="A5090" t="s">
        <v>9</v>
      </c>
      <c r="B5090" t="s">
        <v>7</v>
      </c>
      <c r="C5090">
        <v>60</v>
      </c>
      <c r="D5090">
        <v>2034.0219999999999</v>
      </c>
    </row>
    <row r="5091" spans="1:4" x14ac:dyDescent="0.25">
      <c r="A5091" t="s">
        <v>9</v>
      </c>
      <c r="B5091" t="s">
        <v>7</v>
      </c>
      <c r="C5091">
        <v>60</v>
      </c>
      <c r="D5091">
        <v>2002.742</v>
      </c>
    </row>
    <row r="5092" spans="1:4" x14ac:dyDescent="0.25">
      <c r="A5092" t="s">
        <v>9</v>
      </c>
      <c r="B5092" t="s">
        <v>7</v>
      </c>
      <c r="C5092">
        <v>60</v>
      </c>
      <c r="D5092">
        <v>2038.8820000000001</v>
      </c>
    </row>
    <row r="5093" spans="1:4" x14ac:dyDescent="0.25">
      <c r="A5093" t="s">
        <v>9</v>
      </c>
      <c r="B5093" t="s">
        <v>7</v>
      </c>
      <c r="C5093">
        <v>60</v>
      </c>
      <c r="D5093">
        <v>2051.489</v>
      </c>
    </row>
    <row r="5094" spans="1:4" x14ac:dyDescent="0.25">
      <c r="A5094" t="s">
        <v>9</v>
      </c>
      <c r="B5094" t="s">
        <v>7</v>
      </c>
      <c r="C5094">
        <v>60</v>
      </c>
      <c r="D5094">
        <v>2034.575</v>
      </c>
    </row>
    <row r="5095" spans="1:4" x14ac:dyDescent="0.25">
      <c r="A5095" t="s">
        <v>9</v>
      </c>
      <c r="B5095" t="s">
        <v>7</v>
      </c>
      <c r="C5095">
        <v>60</v>
      </c>
      <c r="D5095">
        <v>1980.8810000000001</v>
      </c>
    </row>
    <row r="5096" spans="1:4" x14ac:dyDescent="0.25">
      <c r="A5096" t="s">
        <v>9</v>
      </c>
      <c r="B5096" t="s">
        <v>7</v>
      </c>
      <c r="C5096">
        <v>60</v>
      </c>
      <c r="D5096">
        <v>1962.181</v>
      </c>
    </row>
    <row r="5097" spans="1:4" x14ac:dyDescent="0.25">
      <c r="A5097" t="s">
        <v>9</v>
      </c>
      <c r="B5097" t="s">
        <v>7</v>
      </c>
      <c r="C5097">
        <v>60</v>
      </c>
      <c r="D5097">
        <v>1973.1990000000001</v>
      </c>
    </row>
    <row r="5098" spans="1:4" x14ac:dyDescent="0.25">
      <c r="A5098" t="s">
        <v>9</v>
      </c>
      <c r="B5098" t="s">
        <v>7</v>
      </c>
      <c r="C5098">
        <v>60</v>
      </c>
      <c r="D5098">
        <v>2078.3440000000001</v>
      </c>
    </row>
    <row r="5099" spans="1:4" x14ac:dyDescent="0.25">
      <c r="A5099" t="s">
        <v>9</v>
      </c>
      <c r="B5099" t="s">
        <v>7</v>
      </c>
      <c r="C5099">
        <v>60</v>
      </c>
      <c r="D5099">
        <v>1997.212</v>
      </c>
    </row>
    <row r="5100" spans="1:4" x14ac:dyDescent="0.25">
      <c r="A5100" t="s">
        <v>9</v>
      </c>
      <c r="B5100" t="s">
        <v>7</v>
      </c>
      <c r="C5100">
        <v>60</v>
      </c>
      <c r="D5100">
        <v>1988.8810000000001</v>
      </c>
    </row>
    <row r="5101" spans="1:4" x14ac:dyDescent="0.25">
      <c r="A5101" t="s">
        <v>9</v>
      </c>
      <c r="B5101" t="s">
        <v>7</v>
      </c>
      <c r="C5101">
        <v>60</v>
      </c>
      <c r="D5101">
        <v>2036.98</v>
      </c>
    </row>
    <row r="5102" spans="1:4" x14ac:dyDescent="0.25">
      <c r="A5102" t="s">
        <v>9</v>
      </c>
      <c r="B5102" t="s">
        <v>7</v>
      </c>
      <c r="C5102">
        <v>80</v>
      </c>
      <c r="D5102">
        <v>2596.9189999999999</v>
      </c>
    </row>
    <row r="5103" spans="1:4" x14ac:dyDescent="0.25">
      <c r="A5103" t="s">
        <v>9</v>
      </c>
      <c r="B5103" t="s">
        <v>7</v>
      </c>
      <c r="C5103">
        <v>80</v>
      </c>
      <c r="D5103">
        <v>2762.7750000000001</v>
      </c>
    </row>
    <row r="5104" spans="1:4" x14ac:dyDescent="0.25">
      <c r="A5104" t="s">
        <v>9</v>
      </c>
      <c r="B5104" t="s">
        <v>7</v>
      </c>
      <c r="C5104">
        <v>80</v>
      </c>
      <c r="D5104">
        <v>2684.29</v>
      </c>
    </row>
    <row r="5105" spans="1:4" x14ac:dyDescent="0.25">
      <c r="A5105" t="s">
        <v>9</v>
      </c>
      <c r="B5105" t="s">
        <v>7</v>
      </c>
      <c r="C5105">
        <v>80</v>
      </c>
      <c r="D5105">
        <v>2749.201</v>
      </c>
    </row>
    <row r="5106" spans="1:4" x14ac:dyDescent="0.25">
      <c r="A5106" t="s">
        <v>9</v>
      </c>
      <c r="B5106" t="s">
        <v>7</v>
      </c>
      <c r="C5106">
        <v>80</v>
      </c>
      <c r="D5106">
        <v>2611.2170000000001</v>
      </c>
    </row>
    <row r="5107" spans="1:4" x14ac:dyDescent="0.25">
      <c r="A5107" t="s">
        <v>9</v>
      </c>
      <c r="B5107" t="s">
        <v>7</v>
      </c>
      <c r="C5107">
        <v>80</v>
      </c>
      <c r="D5107">
        <v>2660.2069999999999</v>
      </c>
    </row>
    <row r="5108" spans="1:4" x14ac:dyDescent="0.25">
      <c r="A5108" t="s">
        <v>9</v>
      </c>
      <c r="B5108" t="s">
        <v>7</v>
      </c>
      <c r="C5108">
        <v>80</v>
      </c>
      <c r="D5108">
        <v>2644.4180000000001</v>
      </c>
    </row>
    <row r="5109" spans="1:4" x14ac:dyDescent="0.25">
      <c r="A5109" t="s">
        <v>9</v>
      </c>
      <c r="B5109" t="s">
        <v>7</v>
      </c>
      <c r="C5109">
        <v>80</v>
      </c>
      <c r="D5109">
        <v>2609.6979999999999</v>
      </c>
    </row>
    <row r="5110" spans="1:4" x14ac:dyDescent="0.25">
      <c r="A5110" t="s">
        <v>9</v>
      </c>
      <c r="B5110" t="s">
        <v>7</v>
      </c>
      <c r="C5110">
        <v>80</v>
      </c>
      <c r="D5110">
        <v>2670.6280000000002</v>
      </c>
    </row>
    <row r="5111" spans="1:4" x14ac:dyDescent="0.25">
      <c r="A5111" t="s">
        <v>9</v>
      </c>
      <c r="B5111" t="s">
        <v>7</v>
      </c>
      <c r="C5111">
        <v>80</v>
      </c>
      <c r="D5111">
        <v>2607.1930000000002</v>
      </c>
    </row>
    <row r="5112" spans="1:4" x14ac:dyDescent="0.25">
      <c r="A5112" t="s">
        <v>9</v>
      </c>
      <c r="B5112" t="s">
        <v>7</v>
      </c>
      <c r="C5112">
        <v>80</v>
      </c>
      <c r="D5112">
        <v>2607.1289999999999</v>
      </c>
    </row>
    <row r="5113" spans="1:4" x14ac:dyDescent="0.25">
      <c r="A5113" t="s">
        <v>9</v>
      </c>
      <c r="B5113" t="s">
        <v>7</v>
      </c>
      <c r="C5113">
        <v>80</v>
      </c>
      <c r="D5113">
        <v>2611.002</v>
      </c>
    </row>
    <row r="5114" spans="1:4" x14ac:dyDescent="0.25">
      <c r="A5114" t="s">
        <v>9</v>
      </c>
      <c r="B5114" t="s">
        <v>7</v>
      </c>
      <c r="C5114">
        <v>80</v>
      </c>
      <c r="D5114">
        <v>2604.67</v>
      </c>
    </row>
    <row r="5115" spans="1:4" x14ac:dyDescent="0.25">
      <c r="A5115" t="s">
        <v>9</v>
      </c>
      <c r="B5115" t="s">
        <v>7</v>
      </c>
      <c r="C5115">
        <v>80</v>
      </c>
      <c r="D5115">
        <v>2611.627</v>
      </c>
    </row>
    <row r="5116" spans="1:4" x14ac:dyDescent="0.25">
      <c r="A5116" t="s">
        <v>9</v>
      </c>
      <c r="B5116" t="s">
        <v>7</v>
      </c>
      <c r="C5116">
        <v>80</v>
      </c>
      <c r="D5116">
        <v>2618.201</v>
      </c>
    </row>
    <row r="5117" spans="1:4" x14ac:dyDescent="0.25">
      <c r="A5117" t="s">
        <v>9</v>
      </c>
      <c r="B5117" t="s">
        <v>7</v>
      </c>
      <c r="C5117">
        <v>80</v>
      </c>
      <c r="D5117">
        <v>2670.922</v>
      </c>
    </row>
    <row r="5118" spans="1:4" x14ac:dyDescent="0.25">
      <c r="A5118" t="s">
        <v>9</v>
      </c>
      <c r="B5118" t="s">
        <v>7</v>
      </c>
      <c r="C5118">
        <v>80</v>
      </c>
      <c r="D5118">
        <v>2610.04</v>
      </c>
    </row>
    <row r="5119" spans="1:4" x14ac:dyDescent="0.25">
      <c r="A5119" t="s">
        <v>9</v>
      </c>
      <c r="B5119" t="s">
        <v>7</v>
      </c>
      <c r="C5119">
        <v>80</v>
      </c>
      <c r="D5119">
        <v>2566.712</v>
      </c>
    </row>
    <row r="5120" spans="1:4" x14ac:dyDescent="0.25">
      <c r="A5120" t="s">
        <v>9</v>
      </c>
      <c r="B5120" t="s">
        <v>7</v>
      </c>
      <c r="C5120">
        <v>80</v>
      </c>
      <c r="D5120">
        <v>2681.5880000000002</v>
      </c>
    </row>
    <row r="5121" spans="1:4" x14ac:dyDescent="0.25">
      <c r="A5121" t="s">
        <v>9</v>
      </c>
      <c r="B5121" t="s">
        <v>7</v>
      </c>
      <c r="C5121">
        <v>80</v>
      </c>
      <c r="D5121">
        <v>2688.3069999999998</v>
      </c>
    </row>
    <row r="5122" spans="1:4" x14ac:dyDescent="0.25">
      <c r="A5122" t="s">
        <v>9</v>
      </c>
      <c r="B5122" t="s">
        <v>7</v>
      </c>
      <c r="C5122">
        <v>80</v>
      </c>
      <c r="D5122">
        <v>2599.6410000000001</v>
      </c>
    </row>
    <row r="5123" spans="1:4" x14ac:dyDescent="0.25">
      <c r="A5123" t="s">
        <v>9</v>
      </c>
      <c r="B5123" t="s">
        <v>7</v>
      </c>
      <c r="C5123">
        <v>80</v>
      </c>
      <c r="D5123">
        <v>2745.4250000000002</v>
      </c>
    </row>
    <row r="5124" spans="1:4" x14ac:dyDescent="0.25">
      <c r="A5124" t="s">
        <v>9</v>
      </c>
      <c r="B5124" t="s">
        <v>7</v>
      </c>
      <c r="C5124">
        <v>80</v>
      </c>
      <c r="D5124">
        <v>2600.5740000000001</v>
      </c>
    </row>
    <row r="5125" spans="1:4" x14ac:dyDescent="0.25">
      <c r="A5125" t="s">
        <v>9</v>
      </c>
      <c r="B5125" t="s">
        <v>7</v>
      </c>
      <c r="C5125">
        <v>80</v>
      </c>
      <c r="D5125">
        <v>2671.8919999999998</v>
      </c>
    </row>
    <row r="5126" spans="1:4" x14ac:dyDescent="0.25">
      <c r="A5126" t="s">
        <v>9</v>
      </c>
      <c r="B5126" t="s">
        <v>7</v>
      </c>
      <c r="C5126">
        <v>80</v>
      </c>
      <c r="D5126">
        <v>2667.02</v>
      </c>
    </row>
    <row r="5127" spans="1:4" x14ac:dyDescent="0.25">
      <c r="A5127" t="s">
        <v>9</v>
      </c>
      <c r="B5127" t="s">
        <v>7</v>
      </c>
      <c r="C5127">
        <v>80</v>
      </c>
      <c r="D5127">
        <v>2577.8020000000001</v>
      </c>
    </row>
    <row r="5128" spans="1:4" x14ac:dyDescent="0.25">
      <c r="A5128" t="s">
        <v>9</v>
      </c>
      <c r="B5128" t="s">
        <v>7</v>
      </c>
      <c r="C5128">
        <v>80</v>
      </c>
      <c r="D5128">
        <v>2648.4639999999999</v>
      </c>
    </row>
    <row r="5129" spans="1:4" x14ac:dyDescent="0.25">
      <c r="A5129" t="s">
        <v>9</v>
      </c>
      <c r="B5129" t="s">
        <v>7</v>
      </c>
      <c r="C5129">
        <v>80</v>
      </c>
      <c r="D5129">
        <v>2660.87</v>
      </c>
    </row>
    <row r="5130" spans="1:4" x14ac:dyDescent="0.25">
      <c r="A5130" t="s">
        <v>9</v>
      </c>
      <c r="B5130" t="s">
        <v>7</v>
      </c>
      <c r="C5130">
        <v>80</v>
      </c>
      <c r="D5130">
        <v>2599.7570000000001</v>
      </c>
    </row>
    <row r="5131" spans="1:4" x14ac:dyDescent="0.25">
      <c r="A5131" t="s">
        <v>9</v>
      </c>
      <c r="B5131" t="s">
        <v>7</v>
      </c>
      <c r="C5131">
        <v>80</v>
      </c>
      <c r="D5131">
        <v>2595.424</v>
      </c>
    </row>
    <row r="5132" spans="1:4" x14ac:dyDescent="0.25">
      <c r="A5132" t="s">
        <v>9</v>
      </c>
      <c r="B5132" t="s">
        <v>7</v>
      </c>
      <c r="C5132">
        <v>80</v>
      </c>
      <c r="D5132">
        <v>2750.47</v>
      </c>
    </row>
    <row r="5133" spans="1:4" x14ac:dyDescent="0.25">
      <c r="A5133" t="s">
        <v>9</v>
      </c>
      <c r="B5133" t="s">
        <v>7</v>
      </c>
      <c r="C5133">
        <v>80</v>
      </c>
      <c r="D5133">
        <v>2608.92</v>
      </c>
    </row>
    <row r="5134" spans="1:4" x14ac:dyDescent="0.25">
      <c r="A5134" t="s">
        <v>9</v>
      </c>
      <c r="B5134" t="s">
        <v>7</v>
      </c>
      <c r="C5134">
        <v>80</v>
      </c>
      <c r="D5134">
        <v>2663.7190000000001</v>
      </c>
    </row>
    <row r="5135" spans="1:4" x14ac:dyDescent="0.25">
      <c r="A5135" t="s">
        <v>9</v>
      </c>
      <c r="B5135" t="s">
        <v>7</v>
      </c>
      <c r="C5135">
        <v>80</v>
      </c>
      <c r="D5135">
        <v>2567.748</v>
      </c>
    </row>
    <row r="5136" spans="1:4" x14ac:dyDescent="0.25">
      <c r="A5136" t="s">
        <v>9</v>
      </c>
      <c r="B5136" t="s">
        <v>7</v>
      </c>
      <c r="C5136">
        <v>80</v>
      </c>
      <c r="D5136">
        <v>2602.3200000000002</v>
      </c>
    </row>
    <row r="5137" spans="1:4" x14ac:dyDescent="0.25">
      <c r="A5137" t="s">
        <v>9</v>
      </c>
      <c r="B5137" t="s">
        <v>7</v>
      </c>
      <c r="C5137">
        <v>80</v>
      </c>
      <c r="D5137">
        <v>2603.7139999999999</v>
      </c>
    </row>
    <row r="5138" spans="1:4" x14ac:dyDescent="0.25">
      <c r="A5138" t="s">
        <v>9</v>
      </c>
      <c r="B5138" t="s">
        <v>7</v>
      </c>
      <c r="C5138">
        <v>80</v>
      </c>
      <c r="D5138">
        <v>2678.34</v>
      </c>
    </row>
    <row r="5139" spans="1:4" x14ac:dyDescent="0.25">
      <c r="A5139" t="s">
        <v>9</v>
      </c>
      <c r="B5139" t="s">
        <v>7</v>
      </c>
      <c r="C5139">
        <v>80</v>
      </c>
      <c r="D5139">
        <v>2689.34</v>
      </c>
    </row>
    <row r="5140" spans="1:4" x14ac:dyDescent="0.25">
      <c r="A5140" t="s">
        <v>9</v>
      </c>
      <c r="B5140" t="s">
        <v>7</v>
      </c>
      <c r="C5140">
        <v>80</v>
      </c>
      <c r="D5140">
        <v>2677.433</v>
      </c>
    </row>
    <row r="5141" spans="1:4" x14ac:dyDescent="0.25">
      <c r="A5141" t="s">
        <v>9</v>
      </c>
      <c r="B5141" t="s">
        <v>7</v>
      </c>
      <c r="C5141">
        <v>80</v>
      </c>
      <c r="D5141">
        <v>2722.9859999999999</v>
      </c>
    </row>
    <row r="5142" spans="1:4" x14ac:dyDescent="0.25">
      <c r="A5142" t="s">
        <v>9</v>
      </c>
      <c r="B5142" t="s">
        <v>7</v>
      </c>
      <c r="C5142">
        <v>80</v>
      </c>
      <c r="D5142">
        <v>2513.4740000000002</v>
      </c>
    </row>
    <row r="5143" spans="1:4" x14ac:dyDescent="0.25">
      <c r="A5143" t="s">
        <v>9</v>
      </c>
      <c r="B5143" t="s">
        <v>7</v>
      </c>
      <c r="C5143">
        <v>80</v>
      </c>
      <c r="D5143">
        <v>2599.1909999999998</v>
      </c>
    </row>
    <row r="5144" spans="1:4" x14ac:dyDescent="0.25">
      <c r="A5144" t="s">
        <v>9</v>
      </c>
      <c r="B5144" t="s">
        <v>7</v>
      </c>
      <c r="C5144">
        <v>80</v>
      </c>
      <c r="D5144">
        <v>2673.72</v>
      </c>
    </row>
    <row r="5145" spans="1:4" x14ac:dyDescent="0.25">
      <c r="A5145" t="s">
        <v>9</v>
      </c>
      <c r="B5145" t="s">
        <v>7</v>
      </c>
      <c r="C5145">
        <v>80</v>
      </c>
      <c r="D5145">
        <v>2590.4760000000001</v>
      </c>
    </row>
    <row r="5146" spans="1:4" x14ac:dyDescent="0.25">
      <c r="A5146" t="s">
        <v>9</v>
      </c>
      <c r="B5146" t="s">
        <v>7</v>
      </c>
      <c r="C5146">
        <v>80</v>
      </c>
      <c r="D5146">
        <v>2565.6779999999999</v>
      </c>
    </row>
    <row r="5147" spans="1:4" x14ac:dyDescent="0.25">
      <c r="A5147" t="s">
        <v>9</v>
      </c>
      <c r="B5147" t="s">
        <v>7</v>
      </c>
      <c r="C5147">
        <v>80</v>
      </c>
      <c r="D5147">
        <v>2613.5520000000001</v>
      </c>
    </row>
    <row r="5148" spans="1:4" x14ac:dyDescent="0.25">
      <c r="A5148" t="s">
        <v>9</v>
      </c>
      <c r="B5148" t="s">
        <v>7</v>
      </c>
      <c r="C5148">
        <v>80</v>
      </c>
      <c r="D5148">
        <v>2696.7809999999999</v>
      </c>
    </row>
    <row r="5149" spans="1:4" x14ac:dyDescent="0.25">
      <c r="A5149" t="s">
        <v>9</v>
      </c>
      <c r="B5149" t="s">
        <v>7</v>
      </c>
      <c r="C5149">
        <v>80</v>
      </c>
      <c r="D5149">
        <v>2636.6869999999999</v>
      </c>
    </row>
    <row r="5150" spans="1:4" x14ac:dyDescent="0.25">
      <c r="A5150" t="s">
        <v>9</v>
      </c>
      <c r="B5150" t="s">
        <v>7</v>
      </c>
      <c r="C5150">
        <v>80</v>
      </c>
      <c r="D5150">
        <v>2654.413</v>
      </c>
    </row>
    <row r="5151" spans="1:4" x14ac:dyDescent="0.25">
      <c r="A5151" t="s">
        <v>9</v>
      </c>
      <c r="B5151" t="s">
        <v>7</v>
      </c>
      <c r="C5151">
        <v>80</v>
      </c>
      <c r="D5151">
        <v>2574.2440000000001</v>
      </c>
    </row>
    <row r="5152" spans="1:4" x14ac:dyDescent="0.25">
      <c r="A5152" t="s">
        <v>9</v>
      </c>
      <c r="B5152" t="s">
        <v>7</v>
      </c>
      <c r="C5152">
        <v>80</v>
      </c>
      <c r="D5152">
        <v>2666.81</v>
      </c>
    </row>
    <row r="5153" spans="1:4" x14ac:dyDescent="0.25">
      <c r="A5153" t="s">
        <v>9</v>
      </c>
      <c r="B5153" t="s">
        <v>7</v>
      </c>
      <c r="C5153">
        <v>80</v>
      </c>
      <c r="D5153">
        <v>2611.6329999999998</v>
      </c>
    </row>
    <row r="5154" spans="1:4" x14ac:dyDescent="0.25">
      <c r="A5154" t="s">
        <v>9</v>
      </c>
      <c r="B5154" t="s">
        <v>7</v>
      </c>
      <c r="C5154">
        <v>80</v>
      </c>
      <c r="D5154">
        <v>2653.2829999999999</v>
      </c>
    </row>
    <row r="5155" spans="1:4" x14ac:dyDescent="0.25">
      <c r="A5155" t="s">
        <v>9</v>
      </c>
      <c r="B5155" t="s">
        <v>7</v>
      </c>
      <c r="C5155">
        <v>80</v>
      </c>
      <c r="D5155">
        <v>2678.047</v>
      </c>
    </row>
    <row r="5156" spans="1:4" x14ac:dyDescent="0.25">
      <c r="A5156" t="s">
        <v>9</v>
      </c>
      <c r="B5156" t="s">
        <v>7</v>
      </c>
      <c r="C5156">
        <v>80</v>
      </c>
      <c r="D5156">
        <v>2636.4989999999998</v>
      </c>
    </row>
    <row r="5157" spans="1:4" x14ac:dyDescent="0.25">
      <c r="A5157" t="s">
        <v>9</v>
      </c>
      <c r="B5157" t="s">
        <v>7</v>
      </c>
      <c r="C5157">
        <v>80</v>
      </c>
      <c r="D5157">
        <v>2671.826</v>
      </c>
    </row>
    <row r="5158" spans="1:4" x14ac:dyDescent="0.25">
      <c r="A5158" t="s">
        <v>9</v>
      </c>
      <c r="B5158" t="s">
        <v>7</v>
      </c>
      <c r="C5158">
        <v>80</v>
      </c>
      <c r="D5158">
        <v>2658.672</v>
      </c>
    </row>
    <row r="5159" spans="1:4" x14ac:dyDescent="0.25">
      <c r="A5159" t="s">
        <v>9</v>
      </c>
      <c r="B5159" t="s">
        <v>7</v>
      </c>
      <c r="C5159">
        <v>80</v>
      </c>
      <c r="D5159">
        <v>2752.32</v>
      </c>
    </row>
    <row r="5160" spans="1:4" x14ac:dyDescent="0.25">
      <c r="A5160" t="s">
        <v>9</v>
      </c>
      <c r="B5160" t="s">
        <v>7</v>
      </c>
      <c r="C5160">
        <v>80</v>
      </c>
      <c r="D5160">
        <v>2620.1129999999998</v>
      </c>
    </row>
    <row r="5161" spans="1:4" x14ac:dyDescent="0.25">
      <c r="A5161" t="s">
        <v>9</v>
      </c>
      <c r="B5161" t="s">
        <v>7</v>
      </c>
      <c r="C5161">
        <v>80</v>
      </c>
      <c r="D5161">
        <v>2696.3690000000001</v>
      </c>
    </row>
    <row r="5162" spans="1:4" x14ac:dyDescent="0.25">
      <c r="A5162" t="s">
        <v>9</v>
      </c>
      <c r="B5162" t="s">
        <v>7</v>
      </c>
      <c r="C5162">
        <v>80</v>
      </c>
      <c r="D5162">
        <v>2671.8029999999999</v>
      </c>
    </row>
    <row r="5163" spans="1:4" x14ac:dyDescent="0.25">
      <c r="A5163" t="s">
        <v>9</v>
      </c>
      <c r="B5163" t="s">
        <v>7</v>
      </c>
      <c r="C5163">
        <v>80</v>
      </c>
      <c r="D5163">
        <v>2655.8220000000001</v>
      </c>
    </row>
    <row r="5164" spans="1:4" x14ac:dyDescent="0.25">
      <c r="A5164" t="s">
        <v>9</v>
      </c>
      <c r="B5164" t="s">
        <v>7</v>
      </c>
      <c r="C5164">
        <v>80</v>
      </c>
      <c r="D5164">
        <v>2652.4490000000001</v>
      </c>
    </row>
    <row r="5165" spans="1:4" x14ac:dyDescent="0.25">
      <c r="A5165" t="s">
        <v>9</v>
      </c>
      <c r="B5165" t="s">
        <v>7</v>
      </c>
      <c r="C5165">
        <v>80</v>
      </c>
      <c r="D5165">
        <v>2629.8440000000001</v>
      </c>
    </row>
    <row r="5166" spans="1:4" x14ac:dyDescent="0.25">
      <c r="A5166" t="s">
        <v>9</v>
      </c>
      <c r="B5166" t="s">
        <v>7</v>
      </c>
      <c r="C5166">
        <v>80</v>
      </c>
      <c r="D5166">
        <v>2531.87</v>
      </c>
    </row>
    <row r="5167" spans="1:4" x14ac:dyDescent="0.25">
      <c r="A5167" t="s">
        <v>9</v>
      </c>
      <c r="B5167" t="s">
        <v>7</v>
      </c>
      <c r="C5167">
        <v>80</v>
      </c>
      <c r="D5167">
        <v>2624.1970000000001</v>
      </c>
    </row>
    <row r="5168" spans="1:4" x14ac:dyDescent="0.25">
      <c r="A5168" t="s">
        <v>9</v>
      </c>
      <c r="B5168" t="s">
        <v>7</v>
      </c>
      <c r="C5168">
        <v>80</v>
      </c>
      <c r="D5168">
        <v>2639.6039999999998</v>
      </c>
    </row>
    <row r="5169" spans="1:4" x14ac:dyDescent="0.25">
      <c r="A5169" t="s">
        <v>9</v>
      </c>
      <c r="B5169" t="s">
        <v>7</v>
      </c>
      <c r="C5169">
        <v>80</v>
      </c>
      <c r="D5169">
        <v>2615.7429999999999</v>
      </c>
    </row>
    <row r="5170" spans="1:4" x14ac:dyDescent="0.25">
      <c r="A5170" t="s">
        <v>9</v>
      </c>
      <c r="B5170" t="s">
        <v>7</v>
      </c>
      <c r="C5170">
        <v>80</v>
      </c>
      <c r="D5170">
        <v>2594.9319999999998</v>
      </c>
    </row>
    <row r="5171" spans="1:4" x14ac:dyDescent="0.25">
      <c r="A5171" t="s">
        <v>9</v>
      </c>
      <c r="B5171" t="s">
        <v>7</v>
      </c>
      <c r="C5171">
        <v>80</v>
      </c>
      <c r="D5171">
        <v>2616.6019999999999</v>
      </c>
    </row>
    <row r="5172" spans="1:4" x14ac:dyDescent="0.25">
      <c r="A5172" t="s">
        <v>9</v>
      </c>
      <c r="B5172" t="s">
        <v>7</v>
      </c>
      <c r="C5172">
        <v>80</v>
      </c>
      <c r="D5172">
        <v>2724.6320000000001</v>
      </c>
    </row>
    <row r="5173" spans="1:4" x14ac:dyDescent="0.25">
      <c r="A5173" t="s">
        <v>9</v>
      </c>
      <c r="B5173" t="s">
        <v>7</v>
      </c>
      <c r="C5173">
        <v>80</v>
      </c>
      <c r="D5173">
        <v>2678.752</v>
      </c>
    </row>
    <row r="5174" spans="1:4" x14ac:dyDescent="0.25">
      <c r="A5174" t="s">
        <v>9</v>
      </c>
      <c r="B5174" t="s">
        <v>7</v>
      </c>
      <c r="C5174">
        <v>80</v>
      </c>
      <c r="D5174">
        <v>2620.5410000000002</v>
      </c>
    </row>
    <row r="5175" spans="1:4" x14ac:dyDescent="0.25">
      <c r="A5175" t="s">
        <v>9</v>
      </c>
      <c r="B5175" t="s">
        <v>7</v>
      </c>
      <c r="C5175">
        <v>80</v>
      </c>
      <c r="D5175">
        <v>2645.0720000000001</v>
      </c>
    </row>
    <row r="5176" spans="1:4" x14ac:dyDescent="0.25">
      <c r="A5176" t="s">
        <v>9</v>
      </c>
      <c r="B5176" t="s">
        <v>7</v>
      </c>
      <c r="C5176">
        <v>80</v>
      </c>
      <c r="D5176">
        <v>2605.5419999999999</v>
      </c>
    </row>
    <row r="5177" spans="1:4" x14ac:dyDescent="0.25">
      <c r="A5177" t="s">
        <v>9</v>
      </c>
      <c r="B5177" t="s">
        <v>7</v>
      </c>
      <c r="C5177">
        <v>80</v>
      </c>
      <c r="D5177">
        <v>2629.1689999999999</v>
      </c>
    </row>
    <row r="5178" spans="1:4" x14ac:dyDescent="0.25">
      <c r="A5178" t="s">
        <v>9</v>
      </c>
      <c r="B5178" t="s">
        <v>7</v>
      </c>
      <c r="C5178">
        <v>80</v>
      </c>
      <c r="D5178">
        <v>2683.596</v>
      </c>
    </row>
    <row r="5179" spans="1:4" x14ac:dyDescent="0.25">
      <c r="A5179" t="s">
        <v>9</v>
      </c>
      <c r="B5179" t="s">
        <v>7</v>
      </c>
      <c r="C5179">
        <v>80</v>
      </c>
      <c r="D5179">
        <v>2652.087</v>
      </c>
    </row>
    <row r="5180" spans="1:4" x14ac:dyDescent="0.25">
      <c r="A5180" t="s">
        <v>9</v>
      </c>
      <c r="B5180" t="s">
        <v>7</v>
      </c>
      <c r="C5180">
        <v>80</v>
      </c>
      <c r="D5180">
        <v>2684.893</v>
      </c>
    </row>
    <row r="5181" spans="1:4" x14ac:dyDescent="0.25">
      <c r="A5181" t="s">
        <v>9</v>
      </c>
      <c r="B5181" t="s">
        <v>7</v>
      </c>
      <c r="C5181">
        <v>80</v>
      </c>
      <c r="D5181">
        <v>2621.2350000000001</v>
      </c>
    </row>
    <row r="5182" spans="1:4" x14ac:dyDescent="0.25">
      <c r="A5182" t="s">
        <v>9</v>
      </c>
      <c r="B5182" t="s">
        <v>7</v>
      </c>
      <c r="C5182">
        <v>80</v>
      </c>
      <c r="D5182">
        <v>2661.3090000000002</v>
      </c>
    </row>
    <row r="5183" spans="1:4" x14ac:dyDescent="0.25">
      <c r="A5183" t="s">
        <v>9</v>
      </c>
      <c r="B5183" t="s">
        <v>7</v>
      </c>
      <c r="C5183">
        <v>80</v>
      </c>
      <c r="D5183">
        <v>2514.4</v>
      </c>
    </row>
    <row r="5184" spans="1:4" x14ac:dyDescent="0.25">
      <c r="A5184" t="s">
        <v>9</v>
      </c>
      <c r="B5184" t="s">
        <v>7</v>
      </c>
      <c r="C5184">
        <v>80</v>
      </c>
      <c r="D5184">
        <v>2628.7370000000001</v>
      </c>
    </row>
    <row r="5185" spans="1:4" x14ac:dyDescent="0.25">
      <c r="A5185" t="s">
        <v>9</v>
      </c>
      <c r="B5185" t="s">
        <v>7</v>
      </c>
      <c r="C5185">
        <v>80</v>
      </c>
      <c r="D5185">
        <v>2578.4830000000002</v>
      </c>
    </row>
    <row r="5186" spans="1:4" x14ac:dyDescent="0.25">
      <c r="A5186" t="s">
        <v>9</v>
      </c>
      <c r="B5186" t="s">
        <v>7</v>
      </c>
      <c r="C5186">
        <v>80</v>
      </c>
      <c r="D5186">
        <v>2659.1970000000001</v>
      </c>
    </row>
    <row r="5187" spans="1:4" x14ac:dyDescent="0.25">
      <c r="A5187" t="s">
        <v>9</v>
      </c>
      <c r="B5187" t="s">
        <v>7</v>
      </c>
      <c r="C5187">
        <v>80</v>
      </c>
      <c r="D5187">
        <v>2651.6489999999999</v>
      </c>
    </row>
    <row r="5188" spans="1:4" x14ac:dyDescent="0.25">
      <c r="A5188" t="s">
        <v>9</v>
      </c>
      <c r="B5188" t="s">
        <v>7</v>
      </c>
      <c r="C5188">
        <v>80</v>
      </c>
      <c r="D5188">
        <v>2649.491</v>
      </c>
    </row>
    <row r="5189" spans="1:4" x14ac:dyDescent="0.25">
      <c r="A5189" t="s">
        <v>9</v>
      </c>
      <c r="B5189" t="s">
        <v>7</v>
      </c>
      <c r="C5189">
        <v>80</v>
      </c>
      <c r="D5189">
        <v>2688.0740000000001</v>
      </c>
    </row>
    <row r="5190" spans="1:4" x14ac:dyDescent="0.25">
      <c r="A5190" t="s">
        <v>9</v>
      </c>
      <c r="B5190" t="s">
        <v>7</v>
      </c>
      <c r="C5190">
        <v>80</v>
      </c>
      <c r="D5190">
        <v>2697.402</v>
      </c>
    </row>
    <row r="5191" spans="1:4" x14ac:dyDescent="0.25">
      <c r="A5191" t="s">
        <v>9</v>
      </c>
      <c r="B5191" t="s">
        <v>7</v>
      </c>
      <c r="C5191">
        <v>80</v>
      </c>
      <c r="D5191">
        <v>2602.6060000000002</v>
      </c>
    </row>
    <row r="5192" spans="1:4" x14ac:dyDescent="0.25">
      <c r="A5192" t="s">
        <v>9</v>
      </c>
      <c r="B5192" t="s">
        <v>7</v>
      </c>
      <c r="C5192">
        <v>80</v>
      </c>
      <c r="D5192">
        <v>2671.232</v>
      </c>
    </row>
    <row r="5193" spans="1:4" x14ac:dyDescent="0.25">
      <c r="A5193" t="s">
        <v>9</v>
      </c>
      <c r="B5193" t="s">
        <v>7</v>
      </c>
      <c r="C5193">
        <v>80</v>
      </c>
      <c r="D5193">
        <v>2656.0970000000002</v>
      </c>
    </row>
    <row r="5194" spans="1:4" x14ac:dyDescent="0.25">
      <c r="A5194" t="s">
        <v>9</v>
      </c>
      <c r="B5194" t="s">
        <v>7</v>
      </c>
      <c r="C5194">
        <v>80</v>
      </c>
      <c r="D5194">
        <v>2712.3</v>
      </c>
    </row>
    <row r="5195" spans="1:4" x14ac:dyDescent="0.25">
      <c r="A5195" t="s">
        <v>9</v>
      </c>
      <c r="B5195" t="s">
        <v>7</v>
      </c>
      <c r="C5195">
        <v>80</v>
      </c>
      <c r="D5195">
        <v>2747.3530000000001</v>
      </c>
    </row>
    <row r="5196" spans="1:4" x14ac:dyDescent="0.25">
      <c r="A5196" t="s">
        <v>9</v>
      </c>
      <c r="B5196" t="s">
        <v>7</v>
      </c>
      <c r="C5196">
        <v>80</v>
      </c>
      <c r="D5196">
        <v>2677.0120000000002</v>
      </c>
    </row>
    <row r="5197" spans="1:4" x14ac:dyDescent="0.25">
      <c r="A5197" t="s">
        <v>9</v>
      </c>
      <c r="B5197" t="s">
        <v>7</v>
      </c>
      <c r="C5197">
        <v>80</v>
      </c>
      <c r="D5197">
        <v>2631.5729999999999</v>
      </c>
    </row>
    <row r="5198" spans="1:4" x14ac:dyDescent="0.25">
      <c r="A5198" t="s">
        <v>9</v>
      </c>
      <c r="B5198" t="s">
        <v>7</v>
      </c>
      <c r="C5198">
        <v>80</v>
      </c>
      <c r="D5198">
        <v>2641.7379999999998</v>
      </c>
    </row>
    <row r="5199" spans="1:4" x14ac:dyDescent="0.25">
      <c r="A5199" t="s">
        <v>9</v>
      </c>
      <c r="B5199" t="s">
        <v>7</v>
      </c>
      <c r="C5199">
        <v>80</v>
      </c>
      <c r="D5199">
        <v>2718.7130000000002</v>
      </c>
    </row>
    <row r="5200" spans="1:4" x14ac:dyDescent="0.25">
      <c r="A5200" t="s">
        <v>9</v>
      </c>
      <c r="B5200" t="s">
        <v>7</v>
      </c>
      <c r="C5200">
        <v>80</v>
      </c>
      <c r="D5200">
        <v>2608.9029999999998</v>
      </c>
    </row>
    <row r="5201" spans="1:4" x14ac:dyDescent="0.25">
      <c r="A5201" t="s">
        <v>9</v>
      </c>
      <c r="B5201" t="s">
        <v>7</v>
      </c>
      <c r="C5201">
        <v>80</v>
      </c>
      <c r="D5201">
        <v>2580.913</v>
      </c>
    </row>
    <row r="5202" spans="1:4" x14ac:dyDescent="0.25">
      <c r="A5202" t="s">
        <v>9</v>
      </c>
      <c r="B5202" t="s">
        <v>7</v>
      </c>
      <c r="C5202">
        <v>100</v>
      </c>
      <c r="D5202">
        <v>3227.395</v>
      </c>
    </row>
    <row r="5203" spans="1:4" x14ac:dyDescent="0.25">
      <c r="A5203" t="s">
        <v>9</v>
      </c>
      <c r="B5203" t="s">
        <v>7</v>
      </c>
      <c r="C5203">
        <v>100</v>
      </c>
      <c r="D5203">
        <v>3215.7919999999999</v>
      </c>
    </row>
    <row r="5204" spans="1:4" x14ac:dyDescent="0.25">
      <c r="A5204" t="s">
        <v>9</v>
      </c>
      <c r="B5204" t="s">
        <v>7</v>
      </c>
      <c r="C5204">
        <v>100</v>
      </c>
      <c r="D5204">
        <v>3299.7919999999999</v>
      </c>
    </row>
    <row r="5205" spans="1:4" x14ac:dyDescent="0.25">
      <c r="A5205" t="s">
        <v>9</v>
      </c>
      <c r="B5205" t="s">
        <v>7</v>
      </c>
      <c r="C5205">
        <v>100</v>
      </c>
      <c r="D5205">
        <v>3216.36</v>
      </c>
    </row>
    <row r="5206" spans="1:4" x14ac:dyDescent="0.25">
      <c r="A5206" t="s">
        <v>9</v>
      </c>
      <c r="B5206" t="s">
        <v>7</v>
      </c>
      <c r="C5206">
        <v>100</v>
      </c>
      <c r="D5206">
        <v>3388.2449999999999</v>
      </c>
    </row>
    <row r="5207" spans="1:4" x14ac:dyDescent="0.25">
      <c r="A5207" t="s">
        <v>9</v>
      </c>
      <c r="B5207" t="s">
        <v>7</v>
      </c>
      <c r="C5207">
        <v>100</v>
      </c>
      <c r="D5207">
        <v>3268.1680000000001</v>
      </c>
    </row>
    <row r="5208" spans="1:4" x14ac:dyDescent="0.25">
      <c r="A5208" t="s">
        <v>9</v>
      </c>
      <c r="B5208" t="s">
        <v>7</v>
      </c>
      <c r="C5208">
        <v>100</v>
      </c>
      <c r="D5208">
        <v>3171.1089999999999</v>
      </c>
    </row>
    <row r="5209" spans="1:4" x14ac:dyDescent="0.25">
      <c r="A5209" t="s">
        <v>9</v>
      </c>
      <c r="B5209" t="s">
        <v>7</v>
      </c>
      <c r="C5209">
        <v>100</v>
      </c>
      <c r="D5209">
        <v>3257.9409999999998</v>
      </c>
    </row>
    <row r="5210" spans="1:4" x14ac:dyDescent="0.25">
      <c r="A5210" t="s">
        <v>9</v>
      </c>
      <c r="B5210" t="s">
        <v>7</v>
      </c>
      <c r="C5210">
        <v>100</v>
      </c>
      <c r="D5210">
        <v>3118.99</v>
      </c>
    </row>
    <row r="5211" spans="1:4" x14ac:dyDescent="0.25">
      <c r="A5211" t="s">
        <v>9</v>
      </c>
      <c r="B5211" t="s">
        <v>7</v>
      </c>
      <c r="C5211">
        <v>100</v>
      </c>
      <c r="D5211">
        <v>3241.25</v>
      </c>
    </row>
    <row r="5212" spans="1:4" x14ac:dyDescent="0.25">
      <c r="A5212" t="s">
        <v>9</v>
      </c>
      <c r="B5212" t="s">
        <v>7</v>
      </c>
      <c r="C5212">
        <v>100</v>
      </c>
      <c r="D5212">
        <v>3329.665</v>
      </c>
    </row>
    <row r="5213" spans="1:4" x14ac:dyDescent="0.25">
      <c r="A5213" t="s">
        <v>9</v>
      </c>
      <c r="B5213" t="s">
        <v>7</v>
      </c>
      <c r="C5213">
        <v>100</v>
      </c>
      <c r="D5213">
        <v>3111.9009999999998</v>
      </c>
    </row>
    <row r="5214" spans="1:4" x14ac:dyDescent="0.25">
      <c r="A5214" t="s">
        <v>9</v>
      </c>
      <c r="B5214" t="s">
        <v>7</v>
      </c>
      <c r="C5214">
        <v>100</v>
      </c>
      <c r="D5214">
        <v>3215.422</v>
      </c>
    </row>
    <row r="5215" spans="1:4" x14ac:dyDescent="0.25">
      <c r="A5215" t="s">
        <v>9</v>
      </c>
      <c r="B5215" t="s">
        <v>7</v>
      </c>
      <c r="C5215">
        <v>100</v>
      </c>
      <c r="D5215">
        <v>3255.4389999999999</v>
      </c>
    </row>
    <row r="5216" spans="1:4" x14ac:dyDescent="0.25">
      <c r="A5216" t="s">
        <v>9</v>
      </c>
      <c r="B5216" t="s">
        <v>7</v>
      </c>
      <c r="C5216">
        <v>100</v>
      </c>
      <c r="D5216">
        <v>3201.6010000000001</v>
      </c>
    </row>
    <row r="5217" spans="1:4" x14ac:dyDescent="0.25">
      <c r="A5217" t="s">
        <v>9</v>
      </c>
      <c r="B5217" t="s">
        <v>7</v>
      </c>
      <c r="C5217">
        <v>100</v>
      </c>
      <c r="D5217">
        <v>3134.6329999999998</v>
      </c>
    </row>
    <row r="5218" spans="1:4" x14ac:dyDescent="0.25">
      <c r="A5218" t="s">
        <v>9</v>
      </c>
      <c r="B5218" t="s">
        <v>7</v>
      </c>
      <c r="C5218">
        <v>100</v>
      </c>
      <c r="D5218">
        <v>3269.9949999999999</v>
      </c>
    </row>
    <row r="5219" spans="1:4" x14ac:dyDescent="0.25">
      <c r="A5219" t="s">
        <v>9</v>
      </c>
      <c r="B5219" t="s">
        <v>7</v>
      </c>
      <c r="C5219">
        <v>100</v>
      </c>
      <c r="D5219">
        <v>3218.0169999999998</v>
      </c>
    </row>
    <row r="5220" spans="1:4" x14ac:dyDescent="0.25">
      <c r="A5220" t="s">
        <v>9</v>
      </c>
      <c r="B5220" t="s">
        <v>7</v>
      </c>
      <c r="C5220">
        <v>100</v>
      </c>
      <c r="D5220">
        <v>3392.58</v>
      </c>
    </row>
    <row r="5221" spans="1:4" x14ac:dyDescent="0.25">
      <c r="A5221" t="s">
        <v>9</v>
      </c>
      <c r="B5221" t="s">
        <v>7</v>
      </c>
      <c r="C5221">
        <v>100</v>
      </c>
      <c r="D5221">
        <v>3259.7979999999998</v>
      </c>
    </row>
    <row r="5222" spans="1:4" x14ac:dyDescent="0.25">
      <c r="A5222" t="s">
        <v>9</v>
      </c>
      <c r="B5222" t="s">
        <v>7</v>
      </c>
      <c r="C5222">
        <v>100</v>
      </c>
      <c r="D5222">
        <v>3302.5650000000001</v>
      </c>
    </row>
    <row r="5223" spans="1:4" x14ac:dyDescent="0.25">
      <c r="A5223" t="s">
        <v>9</v>
      </c>
      <c r="B5223" t="s">
        <v>7</v>
      </c>
      <c r="C5223">
        <v>100</v>
      </c>
      <c r="D5223">
        <v>3217.2020000000002</v>
      </c>
    </row>
    <row r="5224" spans="1:4" x14ac:dyDescent="0.25">
      <c r="A5224" t="s">
        <v>9</v>
      </c>
      <c r="B5224" t="s">
        <v>7</v>
      </c>
      <c r="C5224">
        <v>100</v>
      </c>
      <c r="D5224">
        <v>3056.55</v>
      </c>
    </row>
    <row r="5225" spans="1:4" x14ac:dyDescent="0.25">
      <c r="A5225" t="s">
        <v>9</v>
      </c>
      <c r="B5225" t="s">
        <v>7</v>
      </c>
      <c r="C5225">
        <v>100</v>
      </c>
      <c r="D5225">
        <v>3320.7890000000002</v>
      </c>
    </row>
    <row r="5226" spans="1:4" x14ac:dyDescent="0.25">
      <c r="A5226" t="s">
        <v>9</v>
      </c>
      <c r="B5226" t="s">
        <v>7</v>
      </c>
      <c r="C5226">
        <v>100</v>
      </c>
      <c r="D5226">
        <v>3077.5349999999999</v>
      </c>
    </row>
    <row r="5227" spans="1:4" x14ac:dyDescent="0.25">
      <c r="A5227" t="s">
        <v>9</v>
      </c>
      <c r="B5227" t="s">
        <v>7</v>
      </c>
      <c r="C5227">
        <v>100</v>
      </c>
      <c r="D5227">
        <v>3296.7570000000001</v>
      </c>
    </row>
    <row r="5228" spans="1:4" x14ac:dyDescent="0.25">
      <c r="A5228" t="s">
        <v>9</v>
      </c>
      <c r="B5228" t="s">
        <v>7</v>
      </c>
      <c r="C5228">
        <v>100</v>
      </c>
      <c r="D5228">
        <v>3294.0129999999999</v>
      </c>
    </row>
    <row r="5229" spans="1:4" x14ac:dyDescent="0.25">
      <c r="A5229" t="s">
        <v>9</v>
      </c>
      <c r="B5229" t="s">
        <v>7</v>
      </c>
      <c r="C5229">
        <v>100</v>
      </c>
      <c r="D5229">
        <v>3155.0279999999998</v>
      </c>
    </row>
    <row r="5230" spans="1:4" x14ac:dyDescent="0.25">
      <c r="A5230" t="s">
        <v>9</v>
      </c>
      <c r="B5230" t="s">
        <v>7</v>
      </c>
      <c r="C5230">
        <v>100</v>
      </c>
      <c r="D5230">
        <v>3336.7069999999999</v>
      </c>
    </row>
    <row r="5231" spans="1:4" x14ac:dyDescent="0.25">
      <c r="A5231" t="s">
        <v>9</v>
      </c>
      <c r="B5231" t="s">
        <v>7</v>
      </c>
      <c r="C5231">
        <v>100</v>
      </c>
      <c r="D5231">
        <v>3340.3510000000001</v>
      </c>
    </row>
    <row r="5232" spans="1:4" x14ac:dyDescent="0.25">
      <c r="A5232" t="s">
        <v>9</v>
      </c>
      <c r="B5232" t="s">
        <v>7</v>
      </c>
      <c r="C5232">
        <v>100</v>
      </c>
      <c r="D5232">
        <v>3277.2840000000001</v>
      </c>
    </row>
    <row r="5233" spans="1:4" x14ac:dyDescent="0.25">
      <c r="A5233" t="s">
        <v>9</v>
      </c>
      <c r="B5233" t="s">
        <v>7</v>
      </c>
      <c r="C5233">
        <v>100</v>
      </c>
      <c r="D5233">
        <v>3251.6370000000002</v>
      </c>
    </row>
    <row r="5234" spans="1:4" x14ac:dyDescent="0.25">
      <c r="A5234" t="s">
        <v>9</v>
      </c>
      <c r="B5234" t="s">
        <v>7</v>
      </c>
      <c r="C5234">
        <v>100</v>
      </c>
      <c r="D5234">
        <v>3312.0390000000002</v>
      </c>
    </row>
    <row r="5235" spans="1:4" x14ac:dyDescent="0.25">
      <c r="A5235" t="s">
        <v>9</v>
      </c>
      <c r="B5235" t="s">
        <v>7</v>
      </c>
      <c r="C5235">
        <v>100</v>
      </c>
      <c r="D5235">
        <v>3173.2020000000002</v>
      </c>
    </row>
    <row r="5236" spans="1:4" x14ac:dyDescent="0.25">
      <c r="A5236" t="s">
        <v>9</v>
      </c>
      <c r="B5236" t="s">
        <v>7</v>
      </c>
      <c r="C5236">
        <v>100</v>
      </c>
      <c r="D5236">
        <v>3129.9119999999998</v>
      </c>
    </row>
    <row r="5237" spans="1:4" x14ac:dyDescent="0.25">
      <c r="A5237" t="s">
        <v>9</v>
      </c>
      <c r="B5237" t="s">
        <v>7</v>
      </c>
      <c r="C5237">
        <v>100</v>
      </c>
      <c r="D5237">
        <v>3119.8429999999998</v>
      </c>
    </row>
    <row r="5238" spans="1:4" x14ac:dyDescent="0.25">
      <c r="A5238" t="s">
        <v>9</v>
      </c>
      <c r="B5238" t="s">
        <v>7</v>
      </c>
      <c r="C5238">
        <v>100</v>
      </c>
      <c r="D5238">
        <v>3338.3539999999998</v>
      </c>
    </row>
    <row r="5239" spans="1:4" x14ac:dyDescent="0.25">
      <c r="A5239" t="s">
        <v>9</v>
      </c>
      <c r="B5239" t="s">
        <v>7</v>
      </c>
      <c r="C5239">
        <v>100</v>
      </c>
      <c r="D5239">
        <v>3285.5230000000001</v>
      </c>
    </row>
    <row r="5240" spans="1:4" x14ac:dyDescent="0.25">
      <c r="A5240" t="s">
        <v>9</v>
      </c>
      <c r="B5240" t="s">
        <v>7</v>
      </c>
      <c r="C5240">
        <v>100</v>
      </c>
      <c r="D5240">
        <v>3361.9119999999998</v>
      </c>
    </row>
    <row r="5241" spans="1:4" x14ac:dyDescent="0.25">
      <c r="A5241" t="s">
        <v>9</v>
      </c>
      <c r="B5241" t="s">
        <v>7</v>
      </c>
      <c r="C5241">
        <v>100</v>
      </c>
      <c r="D5241">
        <v>3187.74</v>
      </c>
    </row>
    <row r="5242" spans="1:4" x14ac:dyDescent="0.25">
      <c r="A5242" t="s">
        <v>9</v>
      </c>
      <c r="B5242" t="s">
        <v>7</v>
      </c>
      <c r="C5242">
        <v>100</v>
      </c>
      <c r="D5242">
        <v>3283.1280000000002</v>
      </c>
    </row>
    <row r="5243" spans="1:4" x14ac:dyDescent="0.25">
      <c r="A5243" t="s">
        <v>9</v>
      </c>
      <c r="B5243" t="s">
        <v>7</v>
      </c>
      <c r="C5243">
        <v>100</v>
      </c>
      <c r="D5243">
        <v>3166.9830000000002</v>
      </c>
    </row>
    <row r="5244" spans="1:4" x14ac:dyDescent="0.25">
      <c r="A5244" t="s">
        <v>9</v>
      </c>
      <c r="B5244" t="s">
        <v>7</v>
      </c>
      <c r="C5244">
        <v>100</v>
      </c>
      <c r="D5244">
        <v>3309.0320000000002</v>
      </c>
    </row>
    <row r="5245" spans="1:4" x14ac:dyDescent="0.25">
      <c r="A5245" t="s">
        <v>9</v>
      </c>
      <c r="B5245" t="s">
        <v>7</v>
      </c>
      <c r="C5245">
        <v>100</v>
      </c>
      <c r="D5245">
        <v>3236.107</v>
      </c>
    </row>
    <row r="5246" spans="1:4" x14ac:dyDescent="0.25">
      <c r="A5246" t="s">
        <v>9</v>
      </c>
      <c r="B5246" t="s">
        <v>7</v>
      </c>
      <c r="C5246">
        <v>100</v>
      </c>
      <c r="D5246">
        <v>3227.2020000000002</v>
      </c>
    </row>
    <row r="5247" spans="1:4" x14ac:dyDescent="0.25">
      <c r="A5247" t="s">
        <v>9</v>
      </c>
      <c r="B5247" t="s">
        <v>7</v>
      </c>
      <c r="C5247">
        <v>100</v>
      </c>
      <c r="D5247">
        <v>3205.8130000000001</v>
      </c>
    </row>
    <row r="5248" spans="1:4" x14ac:dyDescent="0.25">
      <c r="A5248" t="s">
        <v>9</v>
      </c>
      <c r="B5248" t="s">
        <v>7</v>
      </c>
      <c r="C5248">
        <v>100</v>
      </c>
      <c r="D5248">
        <v>3192.922</v>
      </c>
    </row>
    <row r="5249" spans="1:4" x14ac:dyDescent="0.25">
      <c r="A5249" t="s">
        <v>9</v>
      </c>
      <c r="B5249" t="s">
        <v>7</v>
      </c>
      <c r="C5249">
        <v>100</v>
      </c>
      <c r="D5249">
        <v>3269.431</v>
      </c>
    </row>
    <row r="5250" spans="1:4" x14ac:dyDescent="0.25">
      <c r="A5250" t="s">
        <v>9</v>
      </c>
      <c r="B5250" t="s">
        <v>7</v>
      </c>
      <c r="C5250">
        <v>100</v>
      </c>
      <c r="D5250">
        <v>3388.9490000000001</v>
      </c>
    </row>
    <row r="5251" spans="1:4" x14ac:dyDescent="0.25">
      <c r="A5251" t="s">
        <v>9</v>
      </c>
      <c r="B5251" t="s">
        <v>7</v>
      </c>
      <c r="C5251">
        <v>100</v>
      </c>
      <c r="D5251">
        <v>3331.2190000000001</v>
      </c>
    </row>
    <row r="5252" spans="1:4" x14ac:dyDescent="0.25">
      <c r="A5252" t="s">
        <v>9</v>
      </c>
      <c r="B5252" t="s">
        <v>7</v>
      </c>
      <c r="C5252">
        <v>100</v>
      </c>
      <c r="D5252">
        <v>3233.63</v>
      </c>
    </row>
    <row r="5253" spans="1:4" x14ac:dyDescent="0.25">
      <c r="A5253" t="s">
        <v>9</v>
      </c>
      <c r="B5253" t="s">
        <v>7</v>
      </c>
      <c r="C5253">
        <v>100</v>
      </c>
      <c r="D5253">
        <v>3333.6039999999998</v>
      </c>
    </row>
    <row r="5254" spans="1:4" x14ac:dyDescent="0.25">
      <c r="A5254" t="s">
        <v>9</v>
      </c>
      <c r="B5254" t="s">
        <v>7</v>
      </c>
      <c r="C5254">
        <v>100</v>
      </c>
      <c r="D5254">
        <v>3215.0650000000001</v>
      </c>
    </row>
    <row r="5255" spans="1:4" x14ac:dyDescent="0.25">
      <c r="A5255" t="s">
        <v>9</v>
      </c>
      <c r="B5255" t="s">
        <v>7</v>
      </c>
      <c r="C5255">
        <v>100</v>
      </c>
      <c r="D5255">
        <v>3224.5990000000002</v>
      </c>
    </row>
    <row r="5256" spans="1:4" x14ac:dyDescent="0.25">
      <c r="A5256" t="s">
        <v>9</v>
      </c>
      <c r="B5256" t="s">
        <v>7</v>
      </c>
      <c r="C5256">
        <v>100</v>
      </c>
      <c r="D5256">
        <v>3226.48</v>
      </c>
    </row>
    <row r="5257" spans="1:4" x14ac:dyDescent="0.25">
      <c r="A5257" t="s">
        <v>9</v>
      </c>
      <c r="B5257" t="s">
        <v>7</v>
      </c>
      <c r="C5257">
        <v>100</v>
      </c>
      <c r="D5257">
        <v>3263.1309999999999</v>
      </c>
    </row>
    <row r="5258" spans="1:4" x14ac:dyDescent="0.25">
      <c r="A5258" t="s">
        <v>9</v>
      </c>
      <c r="B5258" t="s">
        <v>7</v>
      </c>
      <c r="C5258">
        <v>100</v>
      </c>
      <c r="D5258">
        <v>3331.77</v>
      </c>
    </row>
    <row r="5259" spans="1:4" x14ac:dyDescent="0.25">
      <c r="A5259" t="s">
        <v>9</v>
      </c>
      <c r="B5259" t="s">
        <v>7</v>
      </c>
      <c r="C5259">
        <v>100</v>
      </c>
      <c r="D5259">
        <v>3188.0439999999999</v>
      </c>
    </row>
    <row r="5260" spans="1:4" x14ac:dyDescent="0.25">
      <c r="A5260" t="s">
        <v>9</v>
      </c>
      <c r="B5260" t="s">
        <v>7</v>
      </c>
      <c r="C5260">
        <v>100</v>
      </c>
      <c r="D5260">
        <v>3253.7649999999999</v>
      </c>
    </row>
    <row r="5261" spans="1:4" x14ac:dyDescent="0.25">
      <c r="A5261" t="s">
        <v>9</v>
      </c>
      <c r="B5261" t="s">
        <v>7</v>
      </c>
      <c r="C5261">
        <v>100</v>
      </c>
      <c r="D5261">
        <v>3206.4470000000001</v>
      </c>
    </row>
    <row r="5262" spans="1:4" x14ac:dyDescent="0.25">
      <c r="A5262" t="s">
        <v>9</v>
      </c>
      <c r="B5262" t="s">
        <v>7</v>
      </c>
      <c r="C5262">
        <v>100</v>
      </c>
      <c r="D5262">
        <v>3311.2930000000001</v>
      </c>
    </row>
    <row r="5263" spans="1:4" x14ac:dyDescent="0.25">
      <c r="A5263" t="s">
        <v>9</v>
      </c>
      <c r="B5263" t="s">
        <v>7</v>
      </c>
      <c r="C5263">
        <v>100</v>
      </c>
      <c r="D5263">
        <v>3235.28</v>
      </c>
    </row>
    <row r="5264" spans="1:4" x14ac:dyDescent="0.25">
      <c r="A5264" t="s">
        <v>9</v>
      </c>
      <c r="B5264" t="s">
        <v>7</v>
      </c>
      <c r="C5264">
        <v>100</v>
      </c>
      <c r="D5264">
        <v>3339.9960000000001</v>
      </c>
    </row>
    <row r="5265" spans="1:4" x14ac:dyDescent="0.25">
      <c r="A5265" t="s">
        <v>9</v>
      </c>
      <c r="B5265" t="s">
        <v>7</v>
      </c>
      <c r="C5265">
        <v>100</v>
      </c>
      <c r="D5265">
        <v>3128.2060000000001</v>
      </c>
    </row>
    <row r="5266" spans="1:4" x14ac:dyDescent="0.25">
      <c r="A5266" t="s">
        <v>9</v>
      </c>
      <c r="B5266" t="s">
        <v>7</v>
      </c>
      <c r="C5266">
        <v>100</v>
      </c>
      <c r="D5266">
        <v>3233.3580000000002</v>
      </c>
    </row>
    <row r="5267" spans="1:4" x14ac:dyDescent="0.25">
      <c r="A5267" t="s">
        <v>9</v>
      </c>
      <c r="B5267" t="s">
        <v>7</v>
      </c>
      <c r="C5267">
        <v>100</v>
      </c>
      <c r="D5267">
        <v>3234.306</v>
      </c>
    </row>
    <row r="5268" spans="1:4" x14ac:dyDescent="0.25">
      <c r="A5268" t="s">
        <v>9</v>
      </c>
      <c r="B5268" t="s">
        <v>7</v>
      </c>
      <c r="C5268">
        <v>100</v>
      </c>
      <c r="D5268">
        <v>3312.8580000000002</v>
      </c>
    </row>
    <row r="5269" spans="1:4" x14ac:dyDescent="0.25">
      <c r="A5269" t="s">
        <v>9</v>
      </c>
      <c r="B5269" t="s">
        <v>7</v>
      </c>
      <c r="C5269">
        <v>100</v>
      </c>
      <c r="D5269">
        <v>3135.7289999999998</v>
      </c>
    </row>
    <row r="5270" spans="1:4" x14ac:dyDescent="0.25">
      <c r="A5270" t="s">
        <v>9</v>
      </c>
      <c r="B5270" t="s">
        <v>7</v>
      </c>
      <c r="C5270">
        <v>100</v>
      </c>
      <c r="D5270">
        <v>3311.0680000000002</v>
      </c>
    </row>
    <row r="5271" spans="1:4" x14ac:dyDescent="0.25">
      <c r="A5271" t="s">
        <v>9</v>
      </c>
      <c r="B5271" t="s">
        <v>7</v>
      </c>
      <c r="C5271">
        <v>100</v>
      </c>
      <c r="D5271">
        <v>3172.462</v>
      </c>
    </row>
    <row r="5272" spans="1:4" x14ac:dyDescent="0.25">
      <c r="A5272" t="s">
        <v>9</v>
      </c>
      <c r="B5272" t="s">
        <v>7</v>
      </c>
      <c r="C5272">
        <v>100</v>
      </c>
      <c r="D5272">
        <v>3293.7179999999998</v>
      </c>
    </row>
    <row r="5273" spans="1:4" x14ac:dyDescent="0.25">
      <c r="A5273" t="s">
        <v>9</v>
      </c>
      <c r="B5273" t="s">
        <v>7</v>
      </c>
      <c r="C5273">
        <v>100</v>
      </c>
      <c r="D5273">
        <v>3308.62</v>
      </c>
    </row>
    <row r="5274" spans="1:4" x14ac:dyDescent="0.25">
      <c r="A5274" t="s">
        <v>9</v>
      </c>
      <c r="B5274" t="s">
        <v>7</v>
      </c>
      <c r="C5274">
        <v>100</v>
      </c>
      <c r="D5274">
        <v>3138.3159999999998</v>
      </c>
    </row>
    <row r="5275" spans="1:4" x14ac:dyDescent="0.25">
      <c r="A5275" t="s">
        <v>9</v>
      </c>
      <c r="B5275" t="s">
        <v>7</v>
      </c>
      <c r="C5275">
        <v>100</v>
      </c>
      <c r="D5275">
        <v>3272.4360000000001</v>
      </c>
    </row>
    <row r="5276" spans="1:4" x14ac:dyDescent="0.25">
      <c r="A5276" t="s">
        <v>9</v>
      </c>
      <c r="B5276" t="s">
        <v>7</v>
      </c>
      <c r="C5276">
        <v>100</v>
      </c>
      <c r="D5276">
        <v>3297.7350000000001</v>
      </c>
    </row>
    <row r="5277" spans="1:4" x14ac:dyDescent="0.25">
      <c r="A5277" t="s">
        <v>9</v>
      </c>
      <c r="B5277" t="s">
        <v>7</v>
      </c>
      <c r="C5277">
        <v>100</v>
      </c>
      <c r="D5277">
        <v>3229.5250000000001</v>
      </c>
    </row>
    <row r="5278" spans="1:4" x14ac:dyDescent="0.25">
      <c r="A5278" t="s">
        <v>9</v>
      </c>
      <c r="B5278" t="s">
        <v>7</v>
      </c>
      <c r="C5278">
        <v>100</v>
      </c>
      <c r="D5278">
        <v>3181.3220000000001</v>
      </c>
    </row>
    <row r="5279" spans="1:4" x14ac:dyDescent="0.25">
      <c r="A5279" t="s">
        <v>9</v>
      </c>
      <c r="B5279" t="s">
        <v>7</v>
      </c>
      <c r="C5279">
        <v>100</v>
      </c>
      <c r="D5279">
        <v>3182.8890000000001</v>
      </c>
    </row>
    <row r="5280" spans="1:4" x14ac:dyDescent="0.25">
      <c r="A5280" t="s">
        <v>9</v>
      </c>
      <c r="B5280" t="s">
        <v>7</v>
      </c>
      <c r="C5280">
        <v>100</v>
      </c>
      <c r="D5280">
        <v>3264.17</v>
      </c>
    </row>
    <row r="5281" spans="1:4" x14ac:dyDescent="0.25">
      <c r="A5281" t="s">
        <v>9</v>
      </c>
      <c r="B5281" t="s">
        <v>7</v>
      </c>
      <c r="C5281">
        <v>100</v>
      </c>
      <c r="D5281">
        <v>3397.444</v>
      </c>
    </row>
    <row r="5282" spans="1:4" x14ac:dyDescent="0.25">
      <c r="A5282" t="s">
        <v>9</v>
      </c>
      <c r="B5282" t="s">
        <v>7</v>
      </c>
      <c r="C5282">
        <v>100</v>
      </c>
      <c r="D5282">
        <v>3347.1019999999999</v>
      </c>
    </row>
    <row r="5283" spans="1:4" x14ac:dyDescent="0.25">
      <c r="A5283" t="s">
        <v>9</v>
      </c>
      <c r="B5283" t="s">
        <v>7</v>
      </c>
      <c r="C5283">
        <v>100</v>
      </c>
      <c r="D5283">
        <v>3121.9409999999998</v>
      </c>
    </row>
    <row r="5284" spans="1:4" x14ac:dyDescent="0.25">
      <c r="A5284" t="s">
        <v>9</v>
      </c>
      <c r="B5284" t="s">
        <v>7</v>
      </c>
      <c r="C5284">
        <v>100</v>
      </c>
      <c r="D5284">
        <v>3190.009</v>
      </c>
    </row>
    <row r="5285" spans="1:4" x14ac:dyDescent="0.25">
      <c r="A5285" t="s">
        <v>9</v>
      </c>
      <c r="B5285" t="s">
        <v>7</v>
      </c>
      <c r="C5285">
        <v>100</v>
      </c>
      <c r="D5285">
        <v>3254.0819999999999</v>
      </c>
    </row>
    <row r="5286" spans="1:4" x14ac:dyDescent="0.25">
      <c r="A5286" t="s">
        <v>9</v>
      </c>
      <c r="B5286" t="s">
        <v>7</v>
      </c>
      <c r="C5286">
        <v>100</v>
      </c>
      <c r="D5286">
        <v>3285.7629999999999</v>
      </c>
    </row>
    <row r="5287" spans="1:4" x14ac:dyDescent="0.25">
      <c r="A5287" t="s">
        <v>9</v>
      </c>
      <c r="B5287" t="s">
        <v>7</v>
      </c>
      <c r="C5287">
        <v>100</v>
      </c>
      <c r="D5287">
        <v>3283.3359999999998</v>
      </c>
    </row>
    <row r="5288" spans="1:4" x14ac:dyDescent="0.25">
      <c r="A5288" t="s">
        <v>9</v>
      </c>
      <c r="B5288" t="s">
        <v>7</v>
      </c>
      <c r="C5288">
        <v>100</v>
      </c>
      <c r="D5288">
        <v>3149.4960000000001</v>
      </c>
    </row>
    <row r="5289" spans="1:4" x14ac:dyDescent="0.25">
      <c r="A5289" t="s">
        <v>9</v>
      </c>
      <c r="B5289" t="s">
        <v>7</v>
      </c>
      <c r="C5289">
        <v>100</v>
      </c>
      <c r="D5289">
        <v>3228.143</v>
      </c>
    </row>
    <row r="5290" spans="1:4" x14ac:dyDescent="0.25">
      <c r="A5290" t="s">
        <v>9</v>
      </c>
      <c r="B5290" t="s">
        <v>7</v>
      </c>
      <c r="C5290">
        <v>100</v>
      </c>
      <c r="D5290">
        <v>3228.2460000000001</v>
      </c>
    </row>
    <row r="5291" spans="1:4" x14ac:dyDescent="0.25">
      <c r="A5291" t="s">
        <v>9</v>
      </c>
      <c r="B5291" t="s">
        <v>7</v>
      </c>
      <c r="C5291">
        <v>100</v>
      </c>
      <c r="D5291">
        <v>3381.7510000000002</v>
      </c>
    </row>
    <row r="5292" spans="1:4" x14ac:dyDescent="0.25">
      <c r="A5292" t="s">
        <v>9</v>
      </c>
      <c r="B5292" t="s">
        <v>7</v>
      </c>
      <c r="C5292">
        <v>100</v>
      </c>
      <c r="D5292">
        <v>3288.5050000000001</v>
      </c>
    </row>
    <row r="5293" spans="1:4" x14ac:dyDescent="0.25">
      <c r="A5293" t="s">
        <v>9</v>
      </c>
      <c r="B5293" t="s">
        <v>7</v>
      </c>
      <c r="C5293">
        <v>100</v>
      </c>
      <c r="D5293">
        <v>3369.6179999999999</v>
      </c>
    </row>
    <row r="5294" spans="1:4" x14ac:dyDescent="0.25">
      <c r="A5294" t="s">
        <v>9</v>
      </c>
      <c r="B5294" t="s">
        <v>7</v>
      </c>
      <c r="C5294">
        <v>100</v>
      </c>
      <c r="D5294">
        <v>3234.3809999999999</v>
      </c>
    </row>
    <row r="5295" spans="1:4" x14ac:dyDescent="0.25">
      <c r="A5295" t="s">
        <v>9</v>
      </c>
      <c r="B5295" t="s">
        <v>7</v>
      </c>
      <c r="C5295">
        <v>100</v>
      </c>
      <c r="D5295">
        <v>3184.4360000000001</v>
      </c>
    </row>
    <row r="5296" spans="1:4" x14ac:dyDescent="0.25">
      <c r="A5296" t="s">
        <v>9</v>
      </c>
      <c r="B5296" t="s">
        <v>7</v>
      </c>
      <c r="C5296">
        <v>100</v>
      </c>
      <c r="D5296">
        <v>3182.8339999999998</v>
      </c>
    </row>
    <row r="5297" spans="1:4" x14ac:dyDescent="0.25">
      <c r="A5297" t="s">
        <v>9</v>
      </c>
      <c r="B5297" t="s">
        <v>7</v>
      </c>
      <c r="C5297">
        <v>100</v>
      </c>
      <c r="D5297">
        <v>3310.4470000000001</v>
      </c>
    </row>
    <row r="5298" spans="1:4" x14ac:dyDescent="0.25">
      <c r="A5298" t="s">
        <v>9</v>
      </c>
      <c r="B5298" t="s">
        <v>7</v>
      </c>
      <c r="C5298">
        <v>100</v>
      </c>
      <c r="D5298">
        <v>3275.6559999999999</v>
      </c>
    </row>
    <row r="5299" spans="1:4" x14ac:dyDescent="0.25">
      <c r="A5299" t="s">
        <v>9</v>
      </c>
      <c r="B5299" t="s">
        <v>7</v>
      </c>
      <c r="C5299">
        <v>100</v>
      </c>
      <c r="D5299">
        <v>2990.3850000000002</v>
      </c>
    </row>
    <row r="5300" spans="1:4" x14ac:dyDescent="0.25">
      <c r="A5300" t="s">
        <v>9</v>
      </c>
      <c r="B5300" t="s">
        <v>7</v>
      </c>
      <c r="C5300">
        <v>100</v>
      </c>
      <c r="D5300">
        <v>3372.7130000000002</v>
      </c>
    </row>
    <row r="5301" spans="1:4" x14ac:dyDescent="0.25">
      <c r="A5301" t="s">
        <v>9</v>
      </c>
      <c r="B5301" t="s">
        <v>7</v>
      </c>
      <c r="C5301">
        <v>100</v>
      </c>
      <c r="D5301">
        <v>3186.7570000000001</v>
      </c>
    </row>
    <row r="5302" spans="1:4" x14ac:dyDescent="0.25">
      <c r="A5302" t="s">
        <v>9</v>
      </c>
      <c r="B5302" t="s">
        <v>7</v>
      </c>
      <c r="C5302">
        <v>120</v>
      </c>
      <c r="D5302">
        <v>3804.68</v>
      </c>
    </row>
    <row r="5303" spans="1:4" x14ac:dyDescent="0.25">
      <c r="A5303" t="s">
        <v>9</v>
      </c>
      <c r="B5303" t="s">
        <v>7</v>
      </c>
      <c r="C5303">
        <v>120</v>
      </c>
      <c r="D5303">
        <v>3859.433</v>
      </c>
    </row>
    <row r="5304" spans="1:4" x14ac:dyDescent="0.25">
      <c r="A5304" t="s">
        <v>9</v>
      </c>
      <c r="B5304" t="s">
        <v>7</v>
      </c>
      <c r="C5304">
        <v>120</v>
      </c>
      <c r="D5304">
        <v>3819.576</v>
      </c>
    </row>
    <row r="5305" spans="1:4" x14ac:dyDescent="0.25">
      <c r="A5305" t="s">
        <v>9</v>
      </c>
      <c r="B5305" t="s">
        <v>7</v>
      </c>
      <c r="C5305">
        <v>120</v>
      </c>
      <c r="D5305">
        <v>3851.0630000000001</v>
      </c>
    </row>
    <row r="5306" spans="1:4" x14ac:dyDescent="0.25">
      <c r="A5306" t="s">
        <v>9</v>
      </c>
      <c r="B5306" t="s">
        <v>7</v>
      </c>
      <c r="C5306">
        <v>120</v>
      </c>
      <c r="D5306">
        <v>3849.1179999999999</v>
      </c>
    </row>
    <row r="5307" spans="1:4" x14ac:dyDescent="0.25">
      <c r="A5307" t="s">
        <v>9</v>
      </c>
      <c r="B5307" t="s">
        <v>7</v>
      </c>
      <c r="C5307">
        <v>120</v>
      </c>
      <c r="D5307">
        <v>3736.9740000000002</v>
      </c>
    </row>
    <row r="5308" spans="1:4" x14ac:dyDescent="0.25">
      <c r="A5308" t="s">
        <v>9</v>
      </c>
      <c r="B5308" t="s">
        <v>7</v>
      </c>
      <c r="C5308">
        <v>120</v>
      </c>
      <c r="D5308">
        <v>3863.9110000000001</v>
      </c>
    </row>
    <row r="5309" spans="1:4" x14ac:dyDescent="0.25">
      <c r="A5309" t="s">
        <v>9</v>
      </c>
      <c r="B5309" t="s">
        <v>7</v>
      </c>
      <c r="C5309">
        <v>120</v>
      </c>
      <c r="D5309">
        <v>3844.0010000000002</v>
      </c>
    </row>
    <row r="5310" spans="1:4" x14ac:dyDescent="0.25">
      <c r="A5310" t="s">
        <v>9</v>
      </c>
      <c r="B5310" t="s">
        <v>7</v>
      </c>
      <c r="C5310">
        <v>120</v>
      </c>
      <c r="D5310">
        <v>3860.2730000000001</v>
      </c>
    </row>
    <row r="5311" spans="1:4" x14ac:dyDescent="0.25">
      <c r="A5311" t="s">
        <v>9</v>
      </c>
      <c r="B5311" t="s">
        <v>7</v>
      </c>
      <c r="C5311">
        <v>120</v>
      </c>
      <c r="D5311">
        <v>3959.4760000000001</v>
      </c>
    </row>
    <row r="5312" spans="1:4" x14ac:dyDescent="0.25">
      <c r="A5312" t="s">
        <v>9</v>
      </c>
      <c r="B5312" t="s">
        <v>7</v>
      </c>
      <c r="C5312">
        <v>120</v>
      </c>
      <c r="D5312">
        <v>3811.7840000000001</v>
      </c>
    </row>
    <row r="5313" spans="1:4" x14ac:dyDescent="0.25">
      <c r="A5313" t="s">
        <v>9</v>
      </c>
      <c r="B5313" t="s">
        <v>7</v>
      </c>
      <c r="C5313">
        <v>120</v>
      </c>
      <c r="D5313">
        <v>3888.3539999999998</v>
      </c>
    </row>
    <row r="5314" spans="1:4" x14ac:dyDescent="0.25">
      <c r="A5314" t="s">
        <v>9</v>
      </c>
      <c r="B5314" t="s">
        <v>7</v>
      </c>
      <c r="C5314">
        <v>120</v>
      </c>
      <c r="D5314">
        <v>3703.1579999999999</v>
      </c>
    </row>
    <row r="5315" spans="1:4" x14ac:dyDescent="0.25">
      <c r="A5315" t="s">
        <v>9</v>
      </c>
      <c r="B5315" t="s">
        <v>7</v>
      </c>
      <c r="C5315">
        <v>120</v>
      </c>
      <c r="D5315">
        <v>3744.8919999999998</v>
      </c>
    </row>
    <row r="5316" spans="1:4" x14ac:dyDescent="0.25">
      <c r="A5316" t="s">
        <v>9</v>
      </c>
      <c r="B5316" t="s">
        <v>7</v>
      </c>
      <c r="C5316">
        <v>120</v>
      </c>
      <c r="D5316">
        <v>3924.2719999999999</v>
      </c>
    </row>
    <row r="5317" spans="1:4" x14ac:dyDescent="0.25">
      <c r="A5317" t="s">
        <v>9</v>
      </c>
      <c r="B5317" t="s">
        <v>7</v>
      </c>
      <c r="C5317">
        <v>120</v>
      </c>
      <c r="D5317">
        <v>3782.0279999999998</v>
      </c>
    </row>
    <row r="5318" spans="1:4" x14ac:dyDescent="0.25">
      <c r="A5318" t="s">
        <v>9</v>
      </c>
      <c r="B5318" t="s">
        <v>7</v>
      </c>
      <c r="C5318">
        <v>120</v>
      </c>
      <c r="D5318">
        <v>3789.877</v>
      </c>
    </row>
    <row r="5319" spans="1:4" x14ac:dyDescent="0.25">
      <c r="A5319" t="s">
        <v>9</v>
      </c>
      <c r="B5319" t="s">
        <v>7</v>
      </c>
      <c r="C5319">
        <v>120</v>
      </c>
      <c r="D5319">
        <v>3734.2370000000001</v>
      </c>
    </row>
    <row r="5320" spans="1:4" x14ac:dyDescent="0.25">
      <c r="A5320" t="s">
        <v>9</v>
      </c>
      <c r="B5320" t="s">
        <v>7</v>
      </c>
      <c r="C5320">
        <v>120</v>
      </c>
      <c r="D5320">
        <v>3972.0039999999999</v>
      </c>
    </row>
    <row r="5321" spans="1:4" x14ac:dyDescent="0.25">
      <c r="A5321" t="s">
        <v>9</v>
      </c>
      <c r="B5321" t="s">
        <v>7</v>
      </c>
      <c r="C5321">
        <v>120</v>
      </c>
      <c r="D5321">
        <v>3934.93</v>
      </c>
    </row>
    <row r="5322" spans="1:4" x14ac:dyDescent="0.25">
      <c r="A5322" t="s">
        <v>9</v>
      </c>
      <c r="B5322" t="s">
        <v>7</v>
      </c>
      <c r="C5322">
        <v>120</v>
      </c>
      <c r="D5322">
        <v>3895.1149999999998</v>
      </c>
    </row>
    <row r="5323" spans="1:4" x14ac:dyDescent="0.25">
      <c r="A5323" t="s">
        <v>9</v>
      </c>
      <c r="B5323" t="s">
        <v>7</v>
      </c>
      <c r="C5323">
        <v>120</v>
      </c>
      <c r="D5323">
        <v>3725.4189999999999</v>
      </c>
    </row>
    <row r="5324" spans="1:4" x14ac:dyDescent="0.25">
      <c r="A5324" t="s">
        <v>9</v>
      </c>
      <c r="B5324" t="s">
        <v>7</v>
      </c>
      <c r="C5324">
        <v>120</v>
      </c>
      <c r="D5324">
        <v>3736.9850000000001</v>
      </c>
    </row>
    <row r="5325" spans="1:4" x14ac:dyDescent="0.25">
      <c r="A5325" t="s">
        <v>9</v>
      </c>
      <c r="B5325" t="s">
        <v>7</v>
      </c>
      <c r="C5325">
        <v>120</v>
      </c>
      <c r="D5325">
        <v>3742.8180000000002</v>
      </c>
    </row>
    <row r="5326" spans="1:4" x14ac:dyDescent="0.25">
      <c r="A5326" t="s">
        <v>9</v>
      </c>
      <c r="B5326" t="s">
        <v>7</v>
      </c>
      <c r="C5326">
        <v>120</v>
      </c>
      <c r="D5326">
        <v>3969.2220000000002</v>
      </c>
    </row>
    <row r="5327" spans="1:4" x14ac:dyDescent="0.25">
      <c r="A5327" t="s">
        <v>9</v>
      </c>
      <c r="B5327" t="s">
        <v>7</v>
      </c>
      <c r="C5327">
        <v>120</v>
      </c>
      <c r="D5327">
        <v>3786.2150000000001</v>
      </c>
    </row>
    <row r="5328" spans="1:4" x14ac:dyDescent="0.25">
      <c r="A5328" t="s">
        <v>9</v>
      </c>
      <c r="B5328" t="s">
        <v>7</v>
      </c>
      <c r="C5328">
        <v>120</v>
      </c>
      <c r="D5328">
        <v>3973.2370000000001</v>
      </c>
    </row>
    <row r="5329" spans="1:4" x14ac:dyDescent="0.25">
      <c r="A5329" t="s">
        <v>9</v>
      </c>
      <c r="B5329" t="s">
        <v>7</v>
      </c>
      <c r="C5329">
        <v>120</v>
      </c>
      <c r="D5329">
        <v>4020.692</v>
      </c>
    </row>
    <row r="5330" spans="1:4" x14ac:dyDescent="0.25">
      <c r="A5330" t="s">
        <v>9</v>
      </c>
      <c r="B5330" t="s">
        <v>7</v>
      </c>
      <c r="C5330">
        <v>120</v>
      </c>
      <c r="D5330">
        <v>3774.3310000000001</v>
      </c>
    </row>
    <row r="5331" spans="1:4" x14ac:dyDescent="0.25">
      <c r="A5331" t="s">
        <v>9</v>
      </c>
      <c r="B5331" t="s">
        <v>7</v>
      </c>
      <c r="C5331">
        <v>120</v>
      </c>
      <c r="D5331">
        <v>3829.1370000000002</v>
      </c>
    </row>
    <row r="5332" spans="1:4" x14ac:dyDescent="0.25">
      <c r="A5332" t="s">
        <v>9</v>
      </c>
      <c r="B5332" t="s">
        <v>7</v>
      </c>
      <c r="C5332">
        <v>120</v>
      </c>
      <c r="D5332">
        <v>3887.1190000000001</v>
      </c>
    </row>
    <row r="5333" spans="1:4" x14ac:dyDescent="0.25">
      <c r="A5333" t="s">
        <v>9</v>
      </c>
      <c r="B5333" t="s">
        <v>7</v>
      </c>
      <c r="C5333">
        <v>120</v>
      </c>
      <c r="D5333">
        <v>3859.0520000000001</v>
      </c>
    </row>
    <row r="5334" spans="1:4" x14ac:dyDescent="0.25">
      <c r="A5334" t="s">
        <v>9</v>
      </c>
      <c r="B5334" t="s">
        <v>7</v>
      </c>
      <c r="C5334">
        <v>120</v>
      </c>
      <c r="D5334">
        <v>3935.1469999999999</v>
      </c>
    </row>
    <row r="5335" spans="1:4" x14ac:dyDescent="0.25">
      <c r="A5335" t="s">
        <v>9</v>
      </c>
      <c r="B5335" t="s">
        <v>7</v>
      </c>
      <c r="C5335">
        <v>120</v>
      </c>
      <c r="D5335">
        <v>3866.4470000000001</v>
      </c>
    </row>
    <row r="5336" spans="1:4" x14ac:dyDescent="0.25">
      <c r="A5336" t="s">
        <v>9</v>
      </c>
      <c r="B5336" t="s">
        <v>7</v>
      </c>
      <c r="C5336">
        <v>120</v>
      </c>
      <c r="D5336">
        <v>3811.8760000000002</v>
      </c>
    </row>
    <row r="5337" spans="1:4" x14ac:dyDescent="0.25">
      <c r="A5337" t="s">
        <v>9</v>
      </c>
      <c r="B5337" t="s">
        <v>7</v>
      </c>
      <c r="C5337">
        <v>120</v>
      </c>
      <c r="D5337">
        <v>3811.027</v>
      </c>
    </row>
    <row r="5338" spans="1:4" x14ac:dyDescent="0.25">
      <c r="A5338" t="s">
        <v>9</v>
      </c>
      <c r="B5338" t="s">
        <v>7</v>
      </c>
      <c r="C5338">
        <v>120</v>
      </c>
      <c r="D5338">
        <v>3764.2649999999999</v>
      </c>
    </row>
    <row r="5339" spans="1:4" x14ac:dyDescent="0.25">
      <c r="A5339" t="s">
        <v>9</v>
      </c>
      <c r="B5339" t="s">
        <v>7</v>
      </c>
      <c r="C5339">
        <v>120</v>
      </c>
      <c r="D5339">
        <v>3804.1030000000001</v>
      </c>
    </row>
    <row r="5340" spans="1:4" x14ac:dyDescent="0.25">
      <c r="A5340" t="s">
        <v>9</v>
      </c>
      <c r="B5340" t="s">
        <v>7</v>
      </c>
      <c r="C5340">
        <v>120</v>
      </c>
      <c r="D5340">
        <v>3876.654</v>
      </c>
    </row>
    <row r="5341" spans="1:4" x14ac:dyDescent="0.25">
      <c r="A5341" t="s">
        <v>9</v>
      </c>
      <c r="B5341" t="s">
        <v>7</v>
      </c>
      <c r="C5341">
        <v>120</v>
      </c>
      <c r="D5341">
        <v>3960.9090000000001</v>
      </c>
    </row>
    <row r="5342" spans="1:4" x14ac:dyDescent="0.25">
      <c r="A5342" t="s">
        <v>9</v>
      </c>
      <c r="B5342" t="s">
        <v>7</v>
      </c>
      <c r="C5342">
        <v>120</v>
      </c>
      <c r="D5342">
        <v>3829.346</v>
      </c>
    </row>
    <row r="5343" spans="1:4" x14ac:dyDescent="0.25">
      <c r="A5343" t="s">
        <v>9</v>
      </c>
      <c r="B5343" t="s">
        <v>7</v>
      </c>
      <c r="C5343">
        <v>120</v>
      </c>
      <c r="D5343">
        <v>3692.788</v>
      </c>
    </row>
    <row r="5344" spans="1:4" x14ac:dyDescent="0.25">
      <c r="A5344" t="s">
        <v>9</v>
      </c>
      <c r="B5344" t="s">
        <v>7</v>
      </c>
      <c r="C5344">
        <v>120</v>
      </c>
      <c r="D5344">
        <v>3788.0250000000001</v>
      </c>
    </row>
    <row r="5345" spans="1:4" x14ac:dyDescent="0.25">
      <c r="A5345" t="s">
        <v>9</v>
      </c>
      <c r="B5345" t="s">
        <v>7</v>
      </c>
      <c r="C5345">
        <v>120</v>
      </c>
      <c r="D5345">
        <v>3933.0749999999998</v>
      </c>
    </row>
    <row r="5346" spans="1:4" x14ac:dyDescent="0.25">
      <c r="A5346" t="s">
        <v>9</v>
      </c>
      <c r="B5346" t="s">
        <v>7</v>
      </c>
      <c r="C5346">
        <v>120</v>
      </c>
      <c r="D5346">
        <v>3850.5309999999999</v>
      </c>
    </row>
    <row r="5347" spans="1:4" x14ac:dyDescent="0.25">
      <c r="A5347" t="s">
        <v>9</v>
      </c>
      <c r="B5347" t="s">
        <v>7</v>
      </c>
      <c r="C5347">
        <v>120</v>
      </c>
      <c r="D5347">
        <v>3875.3009999999999</v>
      </c>
    </row>
    <row r="5348" spans="1:4" x14ac:dyDescent="0.25">
      <c r="A5348" t="s">
        <v>9</v>
      </c>
      <c r="B5348" t="s">
        <v>7</v>
      </c>
      <c r="C5348">
        <v>120</v>
      </c>
      <c r="D5348">
        <v>3770.5259999999998</v>
      </c>
    </row>
    <row r="5349" spans="1:4" x14ac:dyDescent="0.25">
      <c r="A5349" t="s">
        <v>9</v>
      </c>
      <c r="B5349" t="s">
        <v>7</v>
      </c>
      <c r="C5349">
        <v>120</v>
      </c>
      <c r="D5349">
        <v>4028.7750000000001</v>
      </c>
    </row>
    <row r="5350" spans="1:4" x14ac:dyDescent="0.25">
      <c r="A5350" t="s">
        <v>9</v>
      </c>
      <c r="B5350" t="s">
        <v>7</v>
      </c>
      <c r="C5350">
        <v>120</v>
      </c>
      <c r="D5350">
        <v>4038.4940000000001</v>
      </c>
    </row>
    <row r="5351" spans="1:4" x14ac:dyDescent="0.25">
      <c r="A5351" t="s">
        <v>9</v>
      </c>
      <c r="B5351" t="s">
        <v>7</v>
      </c>
      <c r="C5351">
        <v>120</v>
      </c>
      <c r="D5351">
        <v>3882.5830000000001</v>
      </c>
    </row>
    <row r="5352" spans="1:4" x14ac:dyDescent="0.25">
      <c r="A5352" t="s">
        <v>9</v>
      </c>
      <c r="B5352" t="s">
        <v>7</v>
      </c>
      <c r="C5352">
        <v>120</v>
      </c>
      <c r="D5352">
        <v>3931.587</v>
      </c>
    </row>
    <row r="5353" spans="1:4" x14ac:dyDescent="0.25">
      <c r="A5353" t="s">
        <v>9</v>
      </c>
      <c r="B5353" t="s">
        <v>7</v>
      </c>
      <c r="C5353">
        <v>120</v>
      </c>
      <c r="D5353">
        <v>3876.4290000000001</v>
      </c>
    </row>
    <row r="5354" spans="1:4" x14ac:dyDescent="0.25">
      <c r="A5354" t="s">
        <v>9</v>
      </c>
      <c r="B5354" t="s">
        <v>7</v>
      </c>
      <c r="C5354">
        <v>120</v>
      </c>
      <c r="D5354">
        <v>3741.9940000000001</v>
      </c>
    </row>
    <row r="5355" spans="1:4" x14ac:dyDescent="0.25">
      <c r="A5355" t="s">
        <v>9</v>
      </c>
      <c r="B5355" t="s">
        <v>7</v>
      </c>
      <c r="C5355">
        <v>120</v>
      </c>
      <c r="D5355">
        <v>3800.7579999999998</v>
      </c>
    </row>
    <row r="5356" spans="1:4" x14ac:dyDescent="0.25">
      <c r="A5356" t="s">
        <v>9</v>
      </c>
      <c r="B5356" t="s">
        <v>7</v>
      </c>
      <c r="C5356">
        <v>120</v>
      </c>
      <c r="D5356">
        <v>3840.7750000000001</v>
      </c>
    </row>
    <row r="5357" spans="1:4" x14ac:dyDescent="0.25">
      <c r="A5357" t="s">
        <v>9</v>
      </c>
      <c r="B5357" t="s">
        <v>7</v>
      </c>
      <c r="C5357">
        <v>120</v>
      </c>
      <c r="D5357">
        <v>3932.5819999999999</v>
      </c>
    </row>
    <row r="5358" spans="1:4" x14ac:dyDescent="0.25">
      <c r="A5358" t="s">
        <v>9</v>
      </c>
      <c r="B5358" t="s">
        <v>7</v>
      </c>
      <c r="C5358">
        <v>120</v>
      </c>
      <c r="D5358">
        <v>3851.364</v>
      </c>
    </row>
    <row r="5359" spans="1:4" x14ac:dyDescent="0.25">
      <c r="A5359" t="s">
        <v>9</v>
      </c>
      <c r="B5359" t="s">
        <v>7</v>
      </c>
      <c r="C5359">
        <v>120</v>
      </c>
      <c r="D5359">
        <v>3822.7310000000002</v>
      </c>
    </row>
    <row r="5360" spans="1:4" x14ac:dyDescent="0.25">
      <c r="A5360" t="s">
        <v>9</v>
      </c>
      <c r="B5360" t="s">
        <v>7</v>
      </c>
      <c r="C5360">
        <v>120</v>
      </c>
      <c r="D5360">
        <v>3920.18</v>
      </c>
    </row>
    <row r="5361" spans="1:4" x14ac:dyDescent="0.25">
      <c r="A5361" t="s">
        <v>9</v>
      </c>
      <c r="B5361" t="s">
        <v>7</v>
      </c>
      <c r="C5361">
        <v>120</v>
      </c>
      <c r="D5361">
        <v>3972.5419999999999</v>
      </c>
    </row>
    <row r="5362" spans="1:4" x14ac:dyDescent="0.25">
      <c r="A5362" t="s">
        <v>9</v>
      </c>
      <c r="B5362" t="s">
        <v>7</v>
      </c>
      <c r="C5362">
        <v>120</v>
      </c>
      <c r="D5362">
        <v>3752.1889999999999</v>
      </c>
    </row>
    <row r="5363" spans="1:4" x14ac:dyDescent="0.25">
      <c r="A5363" t="s">
        <v>9</v>
      </c>
      <c r="B5363" t="s">
        <v>7</v>
      </c>
      <c r="C5363">
        <v>120</v>
      </c>
      <c r="D5363">
        <v>3719.002</v>
      </c>
    </row>
    <row r="5364" spans="1:4" x14ac:dyDescent="0.25">
      <c r="A5364" t="s">
        <v>9</v>
      </c>
      <c r="B5364" t="s">
        <v>7</v>
      </c>
      <c r="C5364">
        <v>120</v>
      </c>
      <c r="D5364">
        <v>3741.319</v>
      </c>
    </row>
    <row r="5365" spans="1:4" x14ac:dyDescent="0.25">
      <c r="A5365" t="s">
        <v>9</v>
      </c>
      <c r="B5365" t="s">
        <v>7</v>
      </c>
      <c r="C5365">
        <v>120</v>
      </c>
      <c r="D5365">
        <v>4053.3829999999998</v>
      </c>
    </row>
    <row r="5366" spans="1:4" x14ac:dyDescent="0.25">
      <c r="A5366" t="s">
        <v>9</v>
      </c>
      <c r="B5366" t="s">
        <v>7</v>
      </c>
      <c r="C5366">
        <v>120</v>
      </c>
      <c r="D5366">
        <v>3870.9229999999998</v>
      </c>
    </row>
    <row r="5367" spans="1:4" x14ac:dyDescent="0.25">
      <c r="A5367" t="s">
        <v>9</v>
      </c>
      <c r="B5367" t="s">
        <v>7</v>
      </c>
      <c r="C5367">
        <v>120</v>
      </c>
      <c r="D5367">
        <v>3918.4070000000002</v>
      </c>
    </row>
    <row r="5368" spans="1:4" x14ac:dyDescent="0.25">
      <c r="A5368" t="s">
        <v>9</v>
      </c>
      <c r="B5368" t="s">
        <v>7</v>
      </c>
      <c r="C5368">
        <v>120</v>
      </c>
      <c r="D5368">
        <v>4006.2190000000001</v>
      </c>
    </row>
    <row r="5369" spans="1:4" x14ac:dyDescent="0.25">
      <c r="A5369" t="s">
        <v>9</v>
      </c>
      <c r="B5369" t="s">
        <v>7</v>
      </c>
      <c r="C5369">
        <v>120</v>
      </c>
      <c r="D5369">
        <v>3826.317</v>
      </c>
    </row>
    <row r="5370" spans="1:4" x14ac:dyDescent="0.25">
      <c r="A5370" t="s">
        <v>9</v>
      </c>
      <c r="B5370" t="s">
        <v>7</v>
      </c>
      <c r="C5370">
        <v>120</v>
      </c>
      <c r="D5370">
        <v>3916.241</v>
      </c>
    </row>
    <row r="5371" spans="1:4" x14ac:dyDescent="0.25">
      <c r="A5371" t="s">
        <v>9</v>
      </c>
      <c r="B5371" t="s">
        <v>7</v>
      </c>
      <c r="C5371">
        <v>120</v>
      </c>
      <c r="D5371">
        <v>3887.127</v>
      </c>
    </row>
    <row r="5372" spans="1:4" x14ac:dyDescent="0.25">
      <c r="A5372" t="s">
        <v>9</v>
      </c>
      <c r="B5372" t="s">
        <v>7</v>
      </c>
      <c r="C5372">
        <v>120</v>
      </c>
      <c r="D5372">
        <v>3982.2460000000001</v>
      </c>
    </row>
    <row r="5373" spans="1:4" x14ac:dyDescent="0.25">
      <c r="A5373" t="s">
        <v>9</v>
      </c>
      <c r="B5373" t="s">
        <v>7</v>
      </c>
      <c r="C5373">
        <v>120</v>
      </c>
      <c r="D5373">
        <v>3956.2550000000001</v>
      </c>
    </row>
    <row r="5374" spans="1:4" x14ac:dyDescent="0.25">
      <c r="A5374" t="s">
        <v>9</v>
      </c>
      <c r="B5374" t="s">
        <v>7</v>
      </c>
      <c r="C5374">
        <v>120</v>
      </c>
      <c r="D5374">
        <v>3824.2939999999999</v>
      </c>
    </row>
    <row r="5375" spans="1:4" x14ac:dyDescent="0.25">
      <c r="A5375" t="s">
        <v>9</v>
      </c>
      <c r="B5375" t="s">
        <v>7</v>
      </c>
      <c r="C5375">
        <v>120</v>
      </c>
      <c r="D5375">
        <v>4011.4340000000002</v>
      </c>
    </row>
    <row r="5376" spans="1:4" x14ac:dyDescent="0.25">
      <c r="A5376" t="s">
        <v>9</v>
      </c>
      <c r="B5376" t="s">
        <v>7</v>
      </c>
      <c r="C5376">
        <v>120</v>
      </c>
      <c r="D5376">
        <v>3823.8220000000001</v>
      </c>
    </row>
    <row r="5377" spans="1:4" x14ac:dyDescent="0.25">
      <c r="A5377" t="s">
        <v>9</v>
      </c>
      <c r="B5377" t="s">
        <v>7</v>
      </c>
      <c r="C5377">
        <v>120</v>
      </c>
      <c r="D5377">
        <v>3766.8409999999999</v>
      </c>
    </row>
    <row r="5378" spans="1:4" x14ac:dyDescent="0.25">
      <c r="A5378" t="s">
        <v>9</v>
      </c>
      <c r="B5378" t="s">
        <v>7</v>
      </c>
      <c r="C5378">
        <v>120</v>
      </c>
      <c r="D5378">
        <v>3947.6750000000002</v>
      </c>
    </row>
    <row r="5379" spans="1:4" x14ac:dyDescent="0.25">
      <c r="A5379" t="s">
        <v>9</v>
      </c>
      <c r="B5379" t="s">
        <v>7</v>
      </c>
      <c r="C5379">
        <v>120</v>
      </c>
      <c r="D5379">
        <v>3821.136</v>
      </c>
    </row>
    <row r="5380" spans="1:4" x14ac:dyDescent="0.25">
      <c r="A5380" t="s">
        <v>9</v>
      </c>
      <c r="B5380" t="s">
        <v>7</v>
      </c>
      <c r="C5380">
        <v>120</v>
      </c>
      <c r="D5380">
        <v>3890.16</v>
      </c>
    </row>
    <row r="5381" spans="1:4" x14ac:dyDescent="0.25">
      <c r="A5381" t="s">
        <v>9</v>
      </c>
      <c r="B5381" t="s">
        <v>7</v>
      </c>
      <c r="C5381">
        <v>120</v>
      </c>
      <c r="D5381">
        <v>3671.0720000000001</v>
      </c>
    </row>
    <row r="5382" spans="1:4" x14ac:dyDescent="0.25">
      <c r="A5382" t="s">
        <v>9</v>
      </c>
      <c r="B5382" t="s">
        <v>7</v>
      </c>
      <c r="C5382">
        <v>120</v>
      </c>
      <c r="D5382">
        <v>3897.66</v>
      </c>
    </row>
    <row r="5383" spans="1:4" x14ac:dyDescent="0.25">
      <c r="A5383" t="s">
        <v>9</v>
      </c>
      <c r="B5383" t="s">
        <v>7</v>
      </c>
      <c r="C5383">
        <v>120</v>
      </c>
      <c r="D5383">
        <v>4022.8710000000001</v>
      </c>
    </row>
    <row r="5384" spans="1:4" x14ac:dyDescent="0.25">
      <c r="A5384" t="s">
        <v>9</v>
      </c>
      <c r="B5384" t="s">
        <v>7</v>
      </c>
      <c r="C5384">
        <v>120</v>
      </c>
      <c r="D5384">
        <v>3855.21</v>
      </c>
    </row>
    <row r="5385" spans="1:4" x14ac:dyDescent="0.25">
      <c r="A5385" t="s">
        <v>9</v>
      </c>
      <c r="B5385" t="s">
        <v>7</v>
      </c>
      <c r="C5385">
        <v>120</v>
      </c>
      <c r="D5385">
        <v>4064.895</v>
      </c>
    </row>
    <row r="5386" spans="1:4" x14ac:dyDescent="0.25">
      <c r="A5386" t="s">
        <v>9</v>
      </c>
      <c r="B5386" t="s">
        <v>7</v>
      </c>
      <c r="C5386">
        <v>120</v>
      </c>
      <c r="D5386">
        <v>3937.2730000000001</v>
      </c>
    </row>
    <row r="5387" spans="1:4" x14ac:dyDescent="0.25">
      <c r="A5387" t="s">
        <v>9</v>
      </c>
      <c r="B5387" t="s">
        <v>7</v>
      </c>
      <c r="C5387">
        <v>120</v>
      </c>
      <c r="D5387">
        <v>3981.8969999999999</v>
      </c>
    </row>
    <row r="5388" spans="1:4" x14ac:dyDescent="0.25">
      <c r="A5388" t="s">
        <v>9</v>
      </c>
      <c r="B5388" t="s">
        <v>7</v>
      </c>
      <c r="C5388">
        <v>120</v>
      </c>
      <c r="D5388">
        <v>3688.0410000000002</v>
      </c>
    </row>
    <row r="5389" spans="1:4" x14ac:dyDescent="0.25">
      <c r="A5389" t="s">
        <v>9</v>
      </c>
      <c r="B5389" t="s">
        <v>7</v>
      </c>
      <c r="C5389">
        <v>120</v>
      </c>
      <c r="D5389">
        <v>3833.4140000000002</v>
      </c>
    </row>
    <row r="5390" spans="1:4" x14ac:dyDescent="0.25">
      <c r="A5390" t="s">
        <v>9</v>
      </c>
      <c r="B5390" t="s">
        <v>7</v>
      </c>
      <c r="C5390">
        <v>120</v>
      </c>
      <c r="D5390">
        <v>3887.8029999999999</v>
      </c>
    </row>
    <row r="5391" spans="1:4" x14ac:dyDescent="0.25">
      <c r="A5391" t="s">
        <v>9</v>
      </c>
      <c r="B5391" t="s">
        <v>7</v>
      </c>
      <c r="C5391">
        <v>120</v>
      </c>
      <c r="D5391">
        <v>3868.5320000000002</v>
      </c>
    </row>
    <row r="5392" spans="1:4" x14ac:dyDescent="0.25">
      <c r="A5392" t="s">
        <v>9</v>
      </c>
      <c r="B5392" t="s">
        <v>7</v>
      </c>
      <c r="C5392">
        <v>120</v>
      </c>
      <c r="D5392">
        <v>3892.3270000000002</v>
      </c>
    </row>
    <row r="5393" spans="1:4" x14ac:dyDescent="0.25">
      <c r="A5393" t="s">
        <v>9</v>
      </c>
      <c r="B5393" t="s">
        <v>7</v>
      </c>
      <c r="C5393">
        <v>120</v>
      </c>
      <c r="D5393">
        <v>3892.203</v>
      </c>
    </row>
    <row r="5394" spans="1:4" x14ac:dyDescent="0.25">
      <c r="A5394" t="s">
        <v>9</v>
      </c>
      <c r="B5394" t="s">
        <v>7</v>
      </c>
      <c r="C5394">
        <v>120</v>
      </c>
      <c r="D5394">
        <v>3804.3560000000002</v>
      </c>
    </row>
    <row r="5395" spans="1:4" x14ac:dyDescent="0.25">
      <c r="A5395" t="s">
        <v>9</v>
      </c>
      <c r="B5395" t="s">
        <v>7</v>
      </c>
      <c r="C5395">
        <v>120</v>
      </c>
      <c r="D5395">
        <v>3882.7950000000001</v>
      </c>
    </row>
    <row r="5396" spans="1:4" x14ac:dyDescent="0.25">
      <c r="A5396" t="s">
        <v>9</v>
      </c>
      <c r="B5396" t="s">
        <v>7</v>
      </c>
      <c r="C5396">
        <v>120</v>
      </c>
      <c r="D5396">
        <v>3807.9079999999999</v>
      </c>
    </row>
    <row r="5397" spans="1:4" x14ac:dyDescent="0.25">
      <c r="A5397" t="s">
        <v>9</v>
      </c>
      <c r="B5397" t="s">
        <v>7</v>
      </c>
      <c r="C5397">
        <v>120</v>
      </c>
      <c r="D5397">
        <v>3834.4340000000002</v>
      </c>
    </row>
    <row r="5398" spans="1:4" x14ac:dyDescent="0.25">
      <c r="A5398" t="s">
        <v>9</v>
      </c>
      <c r="B5398" t="s">
        <v>7</v>
      </c>
      <c r="C5398">
        <v>120</v>
      </c>
      <c r="D5398">
        <v>3860.4589999999998</v>
      </c>
    </row>
    <row r="5399" spans="1:4" x14ac:dyDescent="0.25">
      <c r="A5399" t="s">
        <v>9</v>
      </c>
      <c r="B5399" t="s">
        <v>7</v>
      </c>
      <c r="C5399">
        <v>120</v>
      </c>
      <c r="D5399">
        <v>3928.201</v>
      </c>
    </row>
    <row r="5400" spans="1:4" x14ac:dyDescent="0.25">
      <c r="A5400" t="s">
        <v>9</v>
      </c>
      <c r="B5400" t="s">
        <v>7</v>
      </c>
      <c r="C5400">
        <v>120</v>
      </c>
      <c r="D5400">
        <v>3867.29</v>
      </c>
    </row>
    <row r="5401" spans="1:4" x14ac:dyDescent="0.25">
      <c r="A5401" t="s">
        <v>9</v>
      </c>
      <c r="B5401" t="s">
        <v>7</v>
      </c>
      <c r="C5401">
        <v>120</v>
      </c>
      <c r="D5401">
        <v>3886.163</v>
      </c>
    </row>
  </sheetData>
  <sortState xmlns:xlrd2="http://schemas.microsoft.com/office/spreadsheetml/2017/richdata2" ref="A2:D5401">
    <sortCondition ref="A2:A5401"/>
    <sortCondition ref="B2:B5401"/>
    <sortCondition ref="C2:C54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7418-B8DE-49DA-8EA4-AF2D434A1657}">
  <dimension ref="A1:D35"/>
  <sheetViews>
    <sheetView workbookViewId="0">
      <selection activeCell="B15" sqref="B15"/>
    </sheetView>
  </sheetViews>
  <sheetFormatPr defaultRowHeight="15" x14ac:dyDescent="0.25"/>
  <cols>
    <col min="4" max="4" width="1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6</v>
      </c>
      <c r="C2">
        <v>20</v>
      </c>
      <c r="D2">
        <v>303</v>
      </c>
    </row>
    <row r="3" spans="1:4" x14ac:dyDescent="0.25">
      <c r="A3" t="s">
        <v>10</v>
      </c>
      <c r="B3" t="s">
        <v>6</v>
      </c>
      <c r="C3">
        <v>40</v>
      </c>
      <c r="D3">
        <v>497</v>
      </c>
    </row>
    <row r="4" spans="1:4" x14ac:dyDescent="0.25">
      <c r="A4" t="s">
        <v>10</v>
      </c>
      <c r="B4" t="s">
        <v>6</v>
      </c>
      <c r="C4">
        <v>60</v>
      </c>
      <c r="D4">
        <v>687</v>
      </c>
    </row>
    <row r="5" spans="1:4" x14ac:dyDescent="0.25">
      <c r="A5" t="s">
        <v>10</v>
      </c>
      <c r="B5" t="s">
        <v>6</v>
      </c>
      <c r="C5">
        <v>80</v>
      </c>
      <c r="D5">
        <v>877</v>
      </c>
    </row>
    <row r="6" spans="1:4" x14ac:dyDescent="0.25">
      <c r="A6" t="s">
        <v>10</v>
      </c>
      <c r="B6" t="s">
        <v>6</v>
      </c>
      <c r="C6">
        <v>100</v>
      </c>
      <c r="D6">
        <v>1093</v>
      </c>
    </row>
    <row r="7" spans="1:4" x14ac:dyDescent="0.25">
      <c r="A7" t="s">
        <v>10</v>
      </c>
      <c r="B7" t="s">
        <v>6</v>
      </c>
      <c r="C7">
        <v>120</v>
      </c>
      <c r="D7">
        <v>1295</v>
      </c>
    </row>
    <row r="8" spans="1:4" x14ac:dyDescent="0.25">
      <c r="A8" t="s">
        <v>10</v>
      </c>
      <c r="B8" t="s">
        <v>11</v>
      </c>
      <c r="C8">
        <v>20</v>
      </c>
      <c r="D8">
        <v>52.2</v>
      </c>
    </row>
    <row r="9" spans="1:4" x14ac:dyDescent="0.25">
      <c r="A9" t="s">
        <v>10</v>
      </c>
      <c r="B9" t="s">
        <v>11</v>
      </c>
      <c r="C9">
        <v>40</v>
      </c>
      <c r="D9">
        <v>85.4</v>
      </c>
    </row>
    <row r="10" spans="1:4" x14ac:dyDescent="0.25">
      <c r="A10" t="s">
        <v>10</v>
      </c>
      <c r="B10" t="s">
        <v>11</v>
      </c>
      <c r="C10">
        <v>60</v>
      </c>
      <c r="D10">
        <v>113.5</v>
      </c>
    </row>
    <row r="11" spans="1:4" x14ac:dyDescent="0.25">
      <c r="A11" t="s">
        <v>10</v>
      </c>
      <c r="B11" t="s">
        <v>11</v>
      </c>
      <c r="C11">
        <v>80</v>
      </c>
      <c r="D11">
        <v>147</v>
      </c>
    </row>
    <row r="12" spans="1:4" x14ac:dyDescent="0.25">
      <c r="A12" t="s">
        <v>10</v>
      </c>
      <c r="B12" t="s">
        <v>11</v>
      </c>
      <c r="C12">
        <v>100</v>
      </c>
      <c r="D12">
        <v>180.2</v>
      </c>
    </row>
    <row r="13" spans="1:4" x14ac:dyDescent="0.25">
      <c r="A13" t="s">
        <v>10</v>
      </c>
      <c r="B13" t="s">
        <v>12</v>
      </c>
      <c r="C13">
        <v>20</v>
      </c>
      <c r="D13">
        <v>920</v>
      </c>
    </row>
    <row r="14" spans="1:4" x14ac:dyDescent="0.25">
      <c r="A14" t="s">
        <v>10</v>
      </c>
      <c r="B14" t="s">
        <v>12</v>
      </c>
      <c r="C14">
        <v>40</v>
      </c>
      <c r="D14">
        <v>1480</v>
      </c>
    </row>
    <row r="15" spans="1:4" x14ac:dyDescent="0.25">
      <c r="A15" t="s">
        <v>10</v>
      </c>
      <c r="B15" t="s">
        <v>12</v>
      </c>
      <c r="C15">
        <v>60</v>
      </c>
      <c r="D15">
        <v>2130</v>
      </c>
    </row>
    <row r="16" spans="1:4" x14ac:dyDescent="0.25">
      <c r="A16" t="s">
        <v>10</v>
      </c>
      <c r="B16" t="s">
        <v>12</v>
      </c>
      <c r="C16">
        <v>80</v>
      </c>
      <c r="D16">
        <v>2740</v>
      </c>
    </row>
    <row r="17" spans="1:4" x14ac:dyDescent="0.25">
      <c r="A17" t="s">
        <v>10</v>
      </c>
      <c r="B17" t="s">
        <v>12</v>
      </c>
      <c r="C17">
        <v>100</v>
      </c>
      <c r="D17">
        <v>3350</v>
      </c>
    </row>
    <row r="18" spans="1:4" x14ac:dyDescent="0.25">
      <c r="A18" t="s">
        <v>10</v>
      </c>
      <c r="B18" t="s">
        <v>12</v>
      </c>
      <c r="C18">
        <v>120</v>
      </c>
      <c r="D18">
        <v>4010</v>
      </c>
    </row>
    <row r="19" spans="1:4" x14ac:dyDescent="0.25">
      <c r="A19" t="s">
        <v>13</v>
      </c>
      <c r="B19" t="s">
        <v>6</v>
      </c>
      <c r="C19">
        <v>20</v>
      </c>
      <c r="D19">
        <v>260</v>
      </c>
    </row>
    <row r="20" spans="1:4" x14ac:dyDescent="0.25">
      <c r="A20" t="s">
        <v>13</v>
      </c>
      <c r="B20" t="s">
        <v>6</v>
      </c>
      <c r="C20">
        <v>40</v>
      </c>
      <c r="D20">
        <v>458</v>
      </c>
    </row>
    <row r="21" spans="1:4" x14ac:dyDescent="0.25">
      <c r="A21" t="s">
        <v>13</v>
      </c>
      <c r="B21" t="s">
        <v>6</v>
      </c>
      <c r="C21">
        <v>60</v>
      </c>
      <c r="D21">
        <v>670</v>
      </c>
    </row>
    <row r="22" spans="1:4" x14ac:dyDescent="0.25">
      <c r="A22" t="s">
        <v>13</v>
      </c>
      <c r="B22" t="s">
        <v>6</v>
      </c>
      <c r="C22">
        <v>80</v>
      </c>
      <c r="D22">
        <v>859</v>
      </c>
    </row>
    <row r="23" spans="1:4" x14ac:dyDescent="0.25">
      <c r="A23" t="s">
        <v>13</v>
      </c>
      <c r="B23" t="s">
        <v>6</v>
      </c>
      <c r="C23">
        <v>100</v>
      </c>
      <c r="D23">
        <v>1084</v>
      </c>
    </row>
    <row r="24" spans="1:4" x14ac:dyDescent="0.25">
      <c r="A24" t="s">
        <v>13</v>
      </c>
      <c r="B24" t="s">
        <v>6</v>
      </c>
      <c r="C24">
        <v>120</v>
      </c>
      <c r="D24">
        <v>1282</v>
      </c>
    </row>
    <row r="25" spans="1:4" x14ac:dyDescent="0.25">
      <c r="A25" t="s">
        <v>13</v>
      </c>
      <c r="B25" t="s">
        <v>11</v>
      </c>
      <c r="C25">
        <v>20</v>
      </c>
      <c r="D25">
        <v>46</v>
      </c>
    </row>
    <row r="26" spans="1:4" x14ac:dyDescent="0.25">
      <c r="A26" t="s">
        <v>13</v>
      </c>
      <c r="B26" t="s">
        <v>11</v>
      </c>
      <c r="C26">
        <v>40</v>
      </c>
      <c r="D26">
        <v>79.7</v>
      </c>
    </row>
    <row r="27" spans="1:4" x14ac:dyDescent="0.25">
      <c r="A27" t="s">
        <v>13</v>
      </c>
      <c r="B27" t="s">
        <v>11</v>
      </c>
      <c r="C27">
        <v>60</v>
      </c>
      <c r="D27">
        <v>110.5</v>
      </c>
    </row>
    <row r="28" spans="1:4" x14ac:dyDescent="0.25">
      <c r="A28" t="s">
        <v>13</v>
      </c>
      <c r="B28" t="s">
        <v>11</v>
      </c>
      <c r="C28">
        <v>80</v>
      </c>
      <c r="D28">
        <v>144.5</v>
      </c>
    </row>
    <row r="29" spans="1:4" x14ac:dyDescent="0.25">
      <c r="A29" t="s">
        <v>13</v>
      </c>
      <c r="B29" t="s">
        <v>11</v>
      </c>
      <c r="C29">
        <v>100</v>
      </c>
      <c r="D29">
        <v>176</v>
      </c>
    </row>
    <row r="30" spans="1:4" x14ac:dyDescent="0.25">
      <c r="A30" t="s">
        <v>13</v>
      </c>
      <c r="B30" t="s">
        <v>12</v>
      </c>
      <c r="C30">
        <v>20</v>
      </c>
      <c r="D30">
        <v>750</v>
      </c>
    </row>
    <row r="31" spans="1:4" x14ac:dyDescent="0.25">
      <c r="A31" t="s">
        <v>13</v>
      </c>
      <c r="B31" t="s">
        <v>12</v>
      </c>
      <c r="C31">
        <v>40</v>
      </c>
      <c r="D31">
        <v>1410</v>
      </c>
    </row>
    <row r="32" spans="1:4" x14ac:dyDescent="0.25">
      <c r="A32" t="s">
        <v>13</v>
      </c>
      <c r="B32" t="s">
        <v>12</v>
      </c>
      <c r="C32">
        <v>60</v>
      </c>
      <c r="D32">
        <v>2040</v>
      </c>
    </row>
    <row r="33" spans="1:4" x14ac:dyDescent="0.25">
      <c r="A33" t="s">
        <v>13</v>
      </c>
      <c r="B33" t="s">
        <v>12</v>
      </c>
      <c r="C33">
        <v>80</v>
      </c>
      <c r="D33">
        <v>2670</v>
      </c>
    </row>
    <row r="34" spans="1:4" x14ac:dyDescent="0.25">
      <c r="A34" t="s">
        <v>13</v>
      </c>
      <c r="B34" t="s">
        <v>12</v>
      </c>
      <c r="C34">
        <v>100</v>
      </c>
      <c r="D34">
        <v>3280</v>
      </c>
    </row>
    <row r="35" spans="1:4" x14ac:dyDescent="0.25">
      <c r="A35" t="s">
        <v>13</v>
      </c>
      <c r="B35" t="s">
        <v>12</v>
      </c>
      <c r="C35">
        <v>120</v>
      </c>
      <c r="D35">
        <v>3960</v>
      </c>
    </row>
  </sheetData>
  <sortState xmlns:xlrd2="http://schemas.microsoft.com/office/spreadsheetml/2017/richdata2" ref="A2:D35">
    <sortCondition ref="A2:A35"/>
    <sortCondition ref="B2:B35"/>
    <sortCondition ref="C2:C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B907-F382-4D9E-84D8-C34EEF105AC7}">
  <dimension ref="A1:T3602"/>
  <sheetViews>
    <sheetView topLeftCell="F4" workbookViewId="0">
      <selection activeCell="S32" sqref="S32:S37"/>
    </sheetView>
  </sheetViews>
  <sheetFormatPr defaultRowHeight="15" x14ac:dyDescent="0.25"/>
  <cols>
    <col min="16" max="16" width="27.140625" bestFit="1" customWidth="1"/>
    <col min="17" max="17" width="16.85546875" bestFit="1" customWidth="1"/>
    <col min="18" max="18" width="6.140625" bestFit="1" customWidth="1"/>
    <col min="19" max="19" width="12" bestFit="1" customWidth="1"/>
    <col min="20" max="20" width="11.28515625" bestFit="1" customWidth="1"/>
    <col min="21" max="22" width="12" bestFit="1" customWidth="1"/>
    <col min="23" max="24" width="32.140625" bestFit="1" customWidth="1"/>
  </cols>
  <sheetData>
    <row r="1" spans="1:20" x14ac:dyDescent="0.25">
      <c r="B1" t="s">
        <v>31</v>
      </c>
      <c r="K1" t="s">
        <v>32</v>
      </c>
    </row>
    <row r="2" spans="1:20" x14ac:dyDescent="0.25">
      <c r="A2" t="s">
        <v>35</v>
      </c>
      <c r="B2" t="s">
        <v>0</v>
      </c>
      <c r="C2" t="s">
        <v>1</v>
      </c>
      <c r="D2" t="s">
        <v>2</v>
      </c>
      <c r="E2" t="s">
        <v>38</v>
      </c>
      <c r="F2" t="s">
        <v>37</v>
      </c>
      <c r="G2" t="s">
        <v>41</v>
      </c>
      <c r="H2" t="s">
        <v>42</v>
      </c>
      <c r="J2" t="s">
        <v>36</v>
      </c>
      <c r="K2" t="s">
        <v>0</v>
      </c>
      <c r="L2" t="s">
        <v>1</v>
      </c>
      <c r="M2" t="s">
        <v>2</v>
      </c>
      <c r="N2" t="s">
        <v>3</v>
      </c>
      <c r="P2" s="1" t="s">
        <v>39</v>
      </c>
      <c r="Q2" s="1" t="s">
        <v>40</v>
      </c>
    </row>
    <row r="3" spans="1:20" x14ac:dyDescent="0.25">
      <c r="A3" t="str">
        <f>B3&amp;","&amp;C3&amp;","&amp;D3</f>
        <v>Direct,NSFnet,20</v>
      </c>
      <c r="B3" t="s">
        <v>33</v>
      </c>
      <c r="C3" t="s">
        <v>6</v>
      </c>
      <c r="D3">
        <v>20</v>
      </c>
      <c r="E3">
        <v>318.36799999999999</v>
      </c>
      <c r="F3">
        <f t="shared" ref="F3:F66" si="0">_xlfn.XLOOKUP(A3,$J$3:$J$36,$N$3:$N$36)</f>
        <v>303</v>
      </c>
      <c r="G3">
        <f>ABS((E3-F3)/F3)*100</f>
        <v>5.0719471947194696</v>
      </c>
      <c r="H3">
        <f>ABS((F3-E3)/E3)*100</f>
        <v>4.8271183033470688</v>
      </c>
      <c r="J3" t="str">
        <f>K3&amp;","&amp;L3&amp;","&amp;M3</f>
        <v>Direct,NSFnet,20</v>
      </c>
      <c r="K3" t="s">
        <v>33</v>
      </c>
      <c r="L3" t="s">
        <v>6</v>
      </c>
      <c r="M3">
        <v>20</v>
      </c>
      <c r="N3">
        <v>303</v>
      </c>
      <c r="P3" s="1" t="s">
        <v>15</v>
      </c>
      <c r="Q3" t="s">
        <v>6</v>
      </c>
      <c r="R3" t="s">
        <v>5</v>
      </c>
      <c r="S3" t="s">
        <v>7</v>
      </c>
      <c r="T3" t="s">
        <v>14</v>
      </c>
    </row>
    <row r="4" spans="1:20" x14ac:dyDescent="0.25">
      <c r="A4" t="str">
        <f t="shared" ref="A4:A67" si="1">B4&amp;","&amp;C4&amp;","&amp;D4</f>
        <v>Direct,NSFnet,20</v>
      </c>
      <c r="B4" t="s">
        <v>33</v>
      </c>
      <c r="C4" t="s">
        <v>6</v>
      </c>
      <c r="D4">
        <v>20</v>
      </c>
      <c r="E4">
        <v>316.36799999999999</v>
      </c>
      <c r="F4">
        <f t="shared" si="0"/>
        <v>303</v>
      </c>
      <c r="G4">
        <f t="shared" ref="G4:G67" si="2">ABS((E4-F4)/F4)*100</f>
        <v>4.4118811881188105</v>
      </c>
      <c r="H4">
        <f t="shared" ref="H4:H67" si="3">ABS((F4-E4)/E4)*100</f>
        <v>4.2254589591867679</v>
      </c>
      <c r="J4" t="str">
        <f t="shared" ref="J4:J36" si="4">K4&amp;","&amp;L4&amp;","&amp;M4</f>
        <v>Direct,NSFnet,40</v>
      </c>
      <c r="K4" t="s">
        <v>33</v>
      </c>
      <c r="L4" t="s">
        <v>6</v>
      </c>
      <c r="M4">
        <v>40</v>
      </c>
      <c r="N4">
        <v>497</v>
      </c>
      <c r="P4" s="2" t="s">
        <v>33</v>
      </c>
      <c r="Q4">
        <v>3.9328239430074632</v>
      </c>
      <c r="R4" t="e">
        <v>#N/A</v>
      </c>
      <c r="S4">
        <v>3.94154222462784</v>
      </c>
      <c r="T4" t="e">
        <v>#N/A</v>
      </c>
    </row>
    <row r="5" spans="1:20" x14ac:dyDescent="0.25">
      <c r="A5" t="str">
        <f t="shared" si="1"/>
        <v>Direct,NSFnet,20</v>
      </c>
      <c r="B5" t="s">
        <v>33</v>
      </c>
      <c r="C5" t="s">
        <v>6</v>
      </c>
      <c r="D5">
        <v>20</v>
      </c>
      <c r="E5">
        <v>311.36799999999999</v>
      </c>
      <c r="F5">
        <f t="shared" si="0"/>
        <v>303</v>
      </c>
      <c r="G5">
        <f t="shared" si="2"/>
        <v>2.7617161716171603</v>
      </c>
      <c r="H5">
        <f t="shared" si="3"/>
        <v>2.6874951825492648</v>
      </c>
      <c r="J5" t="str">
        <f t="shared" si="4"/>
        <v>Direct,NSFnet,60</v>
      </c>
      <c r="K5" t="s">
        <v>33</v>
      </c>
      <c r="L5" t="s">
        <v>6</v>
      </c>
      <c r="M5">
        <v>60</v>
      </c>
      <c r="N5">
        <v>687</v>
      </c>
      <c r="P5" s="3">
        <v>20</v>
      </c>
      <c r="Q5" s="7">
        <v>4.2204620462046165</v>
      </c>
      <c r="R5" s="7">
        <v>1.5256704980842983</v>
      </c>
      <c r="S5" s="7">
        <v>5.3497826086956479</v>
      </c>
      <c r="T5" s="7">
        <v>3.6986383843281914</v>
      </c>
    </row>
    <row r="6" spans="1:20" x14ac:dyDescent="0.25">
      <c r="A6" t="str">
        <f t="shared" si="1"/>
        <v>Direct,NSFnet,20</v>
      </c>
      <c r="B6" t="s">
        <v>33</v>
      </c>
      <c r="C6" t="s">
        <v>6</v>
      </c>
      <c r="D6">
        <v>20</v>
      </c>
      <c r="E6">
        <v>319.36799999999999</v>
      </c>
      <c r="F6">
        <f t="shared" si="0"/>
        <v>303</v>
      </c>
      <c r="G6">
        <f t="shared" si="2"/>
        <v>5.4019801980198006</v>
      </c>
      <c r="H6">
        <f t="shared" si="3"/>
        <v>5.1251221161794529</v>
      </c>
      <c r="J6" t="str">
        <f t="shared" si="4"/>
        <v>Direct,NSFnet,80</v>
      </c>
      <c r="K6" t="s">
        <v>33</v>
      </c>
      <c r="L6" t="s">
        <v>6</v>
      </c>
      <c r="M6">
        <v>80</v>
      </c>
      <c r="N6">
        <v>877</v>
      </c>
      <c r="P6" s="3">
        <v>40</v>
      </c>
      <c r="Q6" s="7">
        <v>3.9239939637826975</v>
      </c>
      <c r="R6" s="7">
        <v>5.4311709601873561</v>
      </c>
      <c r="S6" s="7">
        <v>6.9722668918918895</v>
      </c>
      <c r="T6" s="7">
        <v>5.4424772719539813</v>
      </c>
    </row>
    <row r="7" spans="1:20" x14ac:dyDescent="0.25">
      <c r="A7" t="str">
        <f t="shared" si="1"/>
        <v>Direct,NSFnet,20</v>
      </c>
      <c r="B7" t="s">
        <v>33</v>
      </c>
      <c r="C7" t="s">
        <v>6</v>
      </c>
      <c r="D7">
        <v>20</v>
      </c>
      <c r="E7">
        <v>316.36799999999999</v>
      </c>
      <c r="F7">
        <f t="shared" si="0"/>
        <v>303</v>
      </c>
      <c r="G7">
        <f t="shared" si="2"/>
        <v>4.4118811881188105</v>
      </c>
      <c r="H7">
        <f t="shared" si="3"/>
        <v>4.2254589591867679</v>
      </c>
      <c r="J7" t="str">
        <f t="shared" si="4"/>
        <v>Direct,NSFnet,100</v>
      </c>
      <c r="K7" t="s">
        <v>33</v>
      </c>
      <c r="L7" t="s">
        <v>6</v>
      </c>
      <c r="M7">
        <v>100</v>
      </c>
      <c r="N7">
        <v>1093</v>
      </c>
      <c r="P7" s="3">
        <v>60</v>
      </c>
      <c r="Q7" s="7">
        <v>4.1591339155749658</v>
      </c>
      <c r="R7" s="7">
        <v>6.3066607929515408</v>
      </c>
      <c r="S7" s="7">
        <v>3.5237953051643207</v>
      </c>
      <c r="T7" s="7">
        <v>4.6631966712302706</v>
      </c>
    </row>
    <row r="8" spans="1:20" x14ac:dyDescent="0.25">
      <c r="A8" t="str">
        <f t="shared" si="1"/>
        <v>Direct,NSFnet,20</v>
      </c>
      <c r="B8" t="s">
        <v>33</v>
      </c>
      <c r="C8" t="s">
        <v>6</v>
      </c>
      <c r="D8">
        <v>20</v>
      </c>
      <c r="E8">
        <v>320.36799999999999</v>
      </c>
      <c r="F8">
        <f t="shared" si="0"/>
        <v>303</v>
      </c>
      <c r="G8">
        <f t="shared" si="2"/>
        <v>5.7320132013201306</v>
      </c>
      <c r="H8">
        <f t="shared" si="3"/>
        <v>5.4212655446236813</v>
      </c>
      <c r="J8" t="str">
        <f t="shared" si="4"/>
        <v>Direct,NSFnet,120</v>
      </c>
      <c r="K8" t="s">
        <v>33</v>
      </c>
      <c r="L8" t="s">
        <v>6</v>
      </c>
      <c r="M8">
        <v>120</v>
      </c>
      <c r="N8">
        <v>1295</v>
      </c>
      <c r="P8" s="3">
        <v>80</v>
      </c>
      <c r="Q8" s="7">
        <v>4.9416898517673875</v>
      </c>
      <c r="R8" s="7">
        <v>7.216591836734696</v>
      </c>
      <c r="S8" s="7">
        <v>3.0134025547445247</v>
      </c>
      <c r="T8" s="7">
        <v>5.0572280810822052</v>
      </c>
    </row>
    <row r="9" spans="1:20" x14ac:dyDescent="0.25">
      <c r="A9" t="str">
        <f t="shared" si="1"/>
        <v>Direct,NSFnet,20</v>
      </c>
      <c r="B9" t="s">
        <v>33</v>
      </c>
      <c r="C9" t="s">
        <v>6</v>
      </c>
      <c r="D9">
        <v>20</v>
      </c>
      <c r="E9">
        <v>318.36799999999999</v>
      </c>
      <c r="F9">
        <f t="shared" si="0"/>
        <v>303</v>
      </c>
      <c r="G9">
        <f t="shared" si="2"/>
        <v>5.0719471947194696</v>
      </c>
      <c r="H9">
        <f t="shared" si="3"/>
        <v>4.8271183033470688</v>
      </c>
      <c r="J9" t="str">
        <f t="shared" si="4"/>
        <v>Direct,Stnet,20</v>
      </c>
      <c r="K9" t="s">
        <v>33</v>
      </c>
      <c r="L9" t="s">
        <v>11</v>
      </c>
      <c r="M9">
        <v>20</v>
      </c>
      <c r="N9">
        <v>52.2</v>
      </c>
      <c r="P9" s="3">
        <v>100</v>
      </c>
      <c r="Q9" s="7">
        <v>3.0105827996340353</v>
      </c>
      <c r="R9" s="7">
        <v>6.2880188679245279</v>
      </c>
      <c r="S9" s="7">
        <v>2.941359104477614</v>
      </c>
      <c r="T9" s="7">
        <v>4.0799869240120579</v>
      </c>
    </row>
    <row r="10" spans="1:20" x14ac:dyDescent="0.25">
      <c r="A10" t="str">
        <f t="shared" si="1"/>
        <v>Direct,NSFnet,20</v>
      </c>
      <c r="B10" t="s">
        <v>33</v>
      </c>
      <c r="C10" t="s">
        <v>6</v>
      </c>
      <c r="D10">
        <v>20</v>
      </c>
      <c r="E10">
        <v>314.36799999999999</v>
      </c>
      <c r="F10">
        <f t="shared" si="0"/>
        <v>303</v>
      </c>
      <c r="G10">
        <f t="shared" si="2"/>
        <v>3.75181518151815</v>
      </c>
      <c r="H10">
        <f t="shared" si="3"/>
        <v>3.616144136807816</v>
      </c>
      <c r="J10" t="str">
        <f t="shared" si="4"/>
        <v>Direct,Stnet,40</v>
      </c>
      <c r="K10" t="s">
        <v>33</v>
      </c>
      <c r="L10" t="s">
        <v>11</v>
      </c>
      <c r="M10">
        <v>40</v>
      </c>
      <c r="N10">
        <v>85.4</v>
      </c>
      <c r="P10" s="3">
        <v>120</v>
      </c>
      <c r="Q10" s="7">
        <v>3.34108108108108</v>
      </c>
      <c r="R10" s="7" t="e">
        <v>#N/A</v>
      </c>
      <c r="S10" s="7">
        <v>1.8486468827930187</v>
      </c>
      <c r="T10" s="7" t="e">
        <v>#N/A</v>
      </c>
    </row>
    <row r="11" spans="1:20" x14ac:dyDescent="0.25">
      <c r="A11" t="str">
        <f t="shared" si="1"/>
        <v>Direct,NSFnet,20</v>
      </c>
      <c r="B11" t="s">
        <v>33</v>
      </c>
      <c r="C11" t="s">
        <v>6</v>
      </c>
      <c r="D11">
        <v>20</v>
      </c>
      <c r="E11">
        <v>311.36799999999999</v>
      </c>
      <c r="F11">
        <f t="shared" si="0"/>
        <v>303</v>
      </c>
      <c r="G11">
        <f t="shared" si="2"/>
        <v>2.7617161716171603</v>
      </c>
      <c r="H11">
        <f t="shared" si="3"/>
        <v>2.6874951825492648</v>
      </c>
      <c r="J11" t="str">
        <f t="shared" si="4"/>
        <v>Direct,Stnet,60</v>
      </c>
      <c r="K11" t="s">
        <v>33</v>
      </c>
      <c r="L11" t="s">
        <v>11</v>
      </c>
      <c r="M11">
        <v>60</v>
      </c>
      <c r="N11">
        <v>113.5</v>
      </c>
      <c r="P11" s="2" t="s">
        <v>34</v>
      </c>
      <c r="Q11">
        <v>2.7342028335418789</v>
      </c>
      <c r="R11" t="e">
        <v>#N/A</v>
      </c>
      <c r="S11">
        <v>3.0292579692780248</v>
      </c>
      <c r="T11" t="e">
        <v>#N/A</v>
      </c>
    </row>
    <row r="12" spans="1:20" x14ac:dyDescent="0.25">
      <c r="A12" t="str">
        <f t="shared" si="1"/>
        <v>Direct,NSFnet,20</v>
      </c>
      <c r="B12" t="s">
        <v>33</v>
      </c>
      <c r="C12" t="s">
        <v>6</v>
      </c>
      <c r="D12">
        <v>20</v>
      </c>
      <c r="E12">
        <v>315.36799999999999</v>
      </c>
      <c r="F12">
        <f t="shared" si="0"/>
        <v>303</v>
      </c>
      <c r="G12">
        <f t="shared" si="2"/>
        <v>4.0818481848184804</v>
      </c>
      <c r="H12">
        <f t="shared" si="3"/>
        <v>3.9217675858045191</v>
      </c>
      <c r="J12" t="str">
        <f t="shared" si="4"/>
        <v>Direct,Stnet,80</v>
      </c>
      <c r="K12" t="s">
        <v>33</v>
      </c>
      <c r="L12" t="s">
        <v>11</v>
      </c>
      <c r="M12">
        <v>80</v>
      </c>
      <c r="N12">
        <v>147</v>
      </c>
      <c r="P12" s="3">
        <v>20</v>
      </c>
      <c r="Q12" s="7">
        <v>2.3381038461538455</v>
      </c>
      <c r="R12" s="7">
        <v>3.0685869565217399</v>
      </c>
      <c r="S12" s="7">
        <v>8.9072800000000019</v>
      </c>
      <c r="T12" s="7">
        <v>4.7713236008918614</v>
      </c>
    </row>
    <row r="13" spans="1:20" x14ac:dyDescent="0.25">
      <c r="A13" t="str">
        <f t="shared" si="1"/>
        <v>Direct,NSFnet,20</v>
      </c>
      <c r="B13" t="s">
        <v>33</v>
      </c>
      <c r="C13" t="s">
        <v>6</v>
      </c>
      <c r="D13">
        <v>20</v>
      </c>
      <c r="E13">
        <v>315.36799999999999</v>
      </c>
      <c r="F13">
        <f t="shared" si="0"/>
        <v>303</v>
      </c>
      <c r="G13">
        <f t="shared" si="2"/>
        <v>4.0818481848184804</v>
      </c>
      <c r="H13">
        <f t="shared" si="3"/>
        <v>3.9217675858045191</v>
      </c>
      <c r="J13" t="str">
        <f t="shared" si="4"/>
        <v>Direct,Stnet,100</v>
      </c>
      <c r="K13" t="s">
        <v>33</v>
      </c>
      <c r="L13" t="s">
        <v>11</v>
      </c>
      <c r="M13">
        <v>100</v>
      </c>
      <c r="N13">
        <v>180.2</v>
      </c>
      <c r="P13" s="3">
        <v>40</v>
      </c>
      <c r="Q13" s="7">
        <v>2.0699432314410471</v>
      </c>
      <c r="R13" s="7">
        <v>6.3020577164366385</v>
      </c>
      <c r="S13" s="7">
        <v>1.0608489361702131</v>
      </c>
      <c r="T13" s="7">
        <v>3.1442832946826345</v>
      </c>
    </row>
    <row r="14" spans="1:20" x14ac:dyDescent="0.25">
      <c r="A14" t="str">
        <f t="shared" si="1"/>
        <v>Direct,NSFnet,20</v>
      </c>
      <c r="B14" t="s">
        <v>33</v>
      </c>
      <c r="C14" t="s">
        <v>6</v>
      </c>
      <c r="D14">
        <v>20</v>
      </c>
      <c r="E14">
        <v>314.36799999999999</v>
      </c>
      <c r="F14">
        <f t="shared" si="0"/>
        <v>303</v>
      </c>
      <c r="G14">
        <f t="shared" si="2"/>
        <v>3.75181518151815</v>
      </c>
      <c r="H14">
        <f t="shared" si="3"/>
        <v>3.616144136807816</v>
      </c>
      <c r="J14" t="str">
        <f t="shared" si="4"/>
        <v>Direct,Usnet,20</v>
      </c>
      <c r="K14" t="s">
        <v>33</v>
      </c>
      <c r="L14" t="s">
        <v>12</v>
      </c>
      <c r="M14">
        <v>20</v>
      </c>
      <c r="N14">
        <v>920</v>
      </c>
      <c r="P14" s="3">
        <v>60</v>
      </c>
      <c r="Q14" s="7">
        <v>2.8373014925373146</v>
      </c>
      <c r="R14" s="7">
        <v>6.535583710407237</v>
      </c>
      <c r="S14" s="7">
        <v>1.6160249999999998</v>
      </c>
      <c r="T14" s="7">
        <v>3.6629700676481822</v>
      </c>
    </row>
    <row r="15" spans="1:20" x14ac:dyDescent="0.25">
      <c r="A15" t="str">
        <f t="shared" si="1"/>
        <v>Direct,NSFnet,20</v>
      </c>
      <c r="B15" t="s">
        <v>33</v>
      </c>
      <c r="C15" t="s">
        <v>6</v>
      </c>
      <c r="D15">
        <v>20</v>
      </c>
      <c r="E15">
        <v>319.36799999999999</v>
      </c>
      <c r="F15">
        <f t="shared" si="0"/>
        <v>303</v>
      </c>
      <c r="G15">
        <f t="shared" si="2"/>
        <v>5.4019801980198006</v>
      </c>
      <c r="H15">
        <f t="shared" si="3"/>
        <v>5.1251221161794529</v>
      </c>
      <c r="J15" t="str">
        <f t="shared" si="4"/>
        <v>Direct,Usnet,40</v>
      </c>
      <c r="K15" t="s">
        <v>33</v>
      </c>
      <c r="L15" t="s">
        <v>12</v>
      </c>
      <c r="M15">
        <v>40</v>
      </c>
      <c r="N15">
        <v>1480</v>
      </c>
      <c r="P15" s="3">
        <v>80</v>
      </c>
      <c r="Q15" s="7">
        <v>2.74595227008149</v>
      </c>
      <c r="R15" s="7">
        <v>6.6755640138408276</v>
      </c>
      <c r="S15" s="7">
        <v>1.6999573033707869</v>
      </c>
      <c r="T15" s="7">
        <v>3.7071578624310351</v>
      </c>
    </row>
    <row r="16" spans="1:20" x14ac:dyDescent="0.25">
      <c r="A16" t="str">
        <f t="shared" si="1"/>
        <v>Direct,NSFnet,20</v>
      </c>
      <c r="B16" t="s">
        <v>33</v>
      </c>
      <c r="C16" t="s">
        <v>6</v>
      </c>
      <c r="D16">
        <v>20</v>
      </c>
      <c r="E16">
        <v>314.36799999999999</v>
      </c>
      <c r="F16">
        <f t="shared" si="0"/>
        <v>303</v>
      </c>
      <c r="G16">
        <f t="shared" si="2"/>
        <v>3.75181518151815</v>
      </c>
      <c r="H16">
        <f t="shared" si="3"/>
        <v>3.616144136807816</v>
      </c>
      <c r="J16" t="str">
        <f t="shared" si="4"/>
        <v>Direct,Usnet,60</v>
      </c>
      <c r="K16" t="s">
        <v>33</v>
      </c>
      <c r="L16" t="s">
        <v>12</v>
      </c>
      <c r="M16">
        <v>60</v>
      </c>
      <c r="N16">
        <v>2130</v>
      </c>
      <c r="P16" s="3">
        <v>100</v>
      </c>
      <c r="Q16" s="7">
        <v>3.3777702952029518</v>
      </c>
      <c r="R16" s="7">
        <v>7.2735738636363685</v>
      </c>
      <c r="S16" s="7">
        <v>2.0900100609756094</v>
      </c>
      <c r="T16" s="7">
        <v>4.2471180732716425</v>
      </c>
    </row>
    <row r="17" spans="1:20" x14ac:dyDescent="0.25">
      <c r="A17" t="str">
        <f t="shared" si="1"/>
        <v>Direct,NSFnet,20</v>
      </c>
      <c r="B17" t="s">
        <v>33</v>
      </c>
      <c r="C17" t="s">
        <v>6</v>
      </c>
      <c r="D17">
        <v>20</v>
      </c>
      <c r="E17">
        <v>313.36799999999999</v>
      </c>
      <c r="F17">
        <f t="shared" si="0"/>
        <v>303</v>
      </c>
      <c r="G17">
        <f t="shared" si="2"/>
        <v>3.4217821782178199</v>
      </c>
      <c r="H17">
        <f t="shared" si="3"/>
        <v>3.3085701156467779</v>
      </c>
      <c r="J17" t="str">
        <f t="shared" si="4"/>
        <v>Direct,Usnet,80</v>
      </c>
      <c r="K17" t="s">
        <v>33</v>
      </c>
      <c r="L17" t="s">
        <v>12</v>
      </c>
      <c r="M17">
        <v>80</v>
      </c>
      <c r="N17">
        <v>2740</v>
      </c>
      <c r="P17" s="3">
        <v>120</v>
      </c>
      <c r="Q17" s="7">
        <v>3.0361458658346332</v>
      </c>
      <c r="R17" s="7" t="e">
        <v>#N/A</v>
      </c>
      <c r="S17" s="7">
        <v>2.8014265151515163</v>
      </c>
      <c r="T17" s="7" t="e">
        <v>#N/A</v>
      </c>
    </row>
    <row r="18" spans="1:20" x14ac:dyDescent="0.25">
      <c r="A18" t="str">
        <f t="shared" si="1"/>
        <v>Direct,NSFnet,20</v>
      </c>
      <c r="B18" t="s">
        <v>33</v>
      </c>
      <c r="C18" t="s">
        <v>6</v>
      </c>
      <c r="D18">
        <v>20</v>
      </c>
      <c r="E18">
        <v>318.36799999999999</v>
      </c>
      <c r="F18">
        <f t="shared" si="0"/>
        <v>303</v>
      </c>
      <c r="G18">
        <f t="shared" si="2"/>
        <v>5.0719471947194696</v>
      </c>
      <c r="H18">
        <f t="shared" si="3"/>
        <v>4.8271183033470688</v>
      </c>
      <c r="J18" t="str">
        <f t="shared" si="4"/>
        <v>Direct,Usnet,100</v>
      </c>
      <c r="K18" t="s">
        <v>33</v>
      </c>
      <c r="L18" t="s">
        <v>12</v>
      </c>
      <c r="M18">
        <v>100</v>
      </c>
      <c r="N18">
        <v>3350</v>
      </c>
      <c r="P18" s="2" t="s">
        <v>14</v>
      </c>
      <c r="Q18">
        <v>3.3335133882746706</v>
      </c>
      <c r="R18" t="e">
        <v>#N/A</v>
      </c>
      <c r="S18">
        <v>3.4854000969529313</v>
      </c>
      <c r="T18" t="e">
        <v>#N/A</v>
      </c>
    </row>
    <row r="19" spans="1:20" x14ac:dyDescent="0.25">
      <c r="A19" t="str">
        <f t="shared" si="1"/>
        <v>Direct,NSFnet,20</v>
      </c>
      <c r="B19" t="s">
        <v>33</v>
      </c>
      <c r="C19" t="s">
        <v>6</v>
      </c>
      <c r="D19">
        <v>20</v>
      </c>
      <c r="E19">
        <v>315.36799999999999</v>
      </c>
      <c r="F19">
        <f t="shared" si="0"/>
        <v>303</v>
      </c>
      <c r="G19">
        <f t="shared" si="2"/>
        <v>4.0818481848184804</v>
      </c>
      <c r="H19">
        <f t="shared" si="3"/>
        <v>3.9217675858045191</v>
      </c>
      <c r="J19" t="str">
        <f t="shared" si="4"/>
        <v>Direct,Usnet,120</v>
      </c>
      <c r="K19" t="s">
        <v>33</v>
      </c>
      <c r="L19" t="s">
        <v>12</v>
      </c>
      <c r="M19">
        <v>120</v>
      </c>
      <c r="N19">
        <v>4010</v>
      </c>
    </row>
    <row r="20" spans="1:20" x14ac:dyDescent="0.25">
      <c r="A20" t="str">
        <f t="shared" si="1"/>
        <v>Direct,NSFnet,20</v>
      </c>
      <c r="B20" t="s">
        <v>33</v>
      </c>
      <c r="C20" t="s">
        <v>6</v>
      </c>
      <c r="D20">
        <v>20</v>
      </c>
      <c r="E20">
        <v>314.36799999999999</v>
      </c>
      <c r="F20">
        <f t="shared" si="0"/>
        <v>303</v>
      </c>
      <c r="G20">
        <f t="shared" si="2"/>
        <v>3.75181518151815</v>
      </c>
      <c r="H20">
        <f t="shared" si="3"/>
        <v>3.616144136807816</v>
      </c>
      <c r="J20" t="str">
        <f t="shared" si="4"/>
        <v>Multihop,NSFnet,20</v>
      </c>
      <c r="K20" t="s">
        <v>34</v>
      </c>
      <c r="L20" t="s">
        <v>6</v>
      </c>
      <c r="M20">
        <v>20</v>
      </c>
      <c r="N20">
        <v>260</v>
      </c>
    </row>
    <row r="21" spans="1:20" x14ac:dyDescent="0.25">
      <c r="A21" t="str">
        <f t="shared" si="1"/>
        <v>Direct,NSFnet,20</v>
      </c>
      <c r="B21" t="s">
        <v>33</v>
      </c>
      <c r="C21" t="s">
        <v>6</v>
      </c>
      <c r="D21">
        <v>20</v>
      </c>
      <c r="E21">
        <v>316.36799999999999</v>
      </c>
      <c r="F21">
        <f t="shared" si="0"/>
        <v>303</v>
      </c>
      <c r="G21">
        <f t="shared" si="2"/>
        <v>4.4118811881188105</v>
      </c>
      <c r="H21">
        <f t="shared" si="3"/>
        <v>4.2254589591867679</v>
      </c>
      <c r="J21" t="str">
        <f t="shared" si="4"/>
        <v>Multihop,NSFnet,40</v>
      </c>
      <c r="K21" t="s">
        <v>34</v>
      </c>
      <c r="L21" t="s">
        <v>6</v>
      </c>
      <c r="M21">
        <v>40</v>
      </c>
      <c r="N21">
        <v>458</v>
      </c>
    </row>
    <row r="22" spans="1:20" x14ac:dyDescent="0.25">
      <c r="A22" t="str">
        <f t="shared" si="1"/>
        <v>Direct,NSFnet,20</v>
      </c>
      <c r="B22" t="s">
        <v>33</v>
      </c>
      <c r="C22" t="s">
        <v>6</v>
      </c>
      <c r="D22">
        <v>20</v>
      </c>
      <c r="E22">
        <v>314.36799999999999</v>
      </c>
      <c r="F22">
        <f t="shared" si="0"/>
        <v>303</v>
      </c>
      <c r="G22">
        <f t="shared" si="2"/>
        <v>3.75181518151815</v>
      </c>
      <c r="H22">
        <f t="shared" si="3"/>
        <v>3.616144136807816</v>
      </c>
      <c r="J22" t="str">
        <f t="shared" si="4"/>
        <v>Multihop,NSFnet,60</v>
      </c>
      <c r="K22" t="s">
        <v>34</v>
      </c>
      <c r="L22" t="s">
        <v>6</v>
      </c>
      <c r="M22">
        <v>60</v>
      </c>
      <c r="N22">
        <v>670</v>
      </c>
      <c r="P22" s="1" t="s">
        <v>43</v>
      </c>
      <c r="Q22" s="1" t="s">
        <v>40</v>
      </c>
    </row>
    <row r="23" spans="1:20" x14ac:dyDescent="0.25">
      <c r="A23" t="str">
        <f t="shared" si="1"/>
        <v>Direct,NSFnet,20</v>
      </c>
      <c r="B23" t="s">
        <v>33</v>
      </c>
      <c r="C23" t="s">
        <v>6</v>
      </c>
      <c r="D23">
        <v>20</v>
      </c>
      <c r="E23">
        <v>316.36799999999999</v>
      </c>
      <c r="F23">
        <f t="shared" si="0"/>
        <v>303</v>
      </c>
      <c r="G23">
        <f t="shared" si="2"/>
        <v>4.4118811881188105</v>
      </c>
      <c r="H23">
        <f t="shared" si="3"/>
        <v>4.2254589591867679</v>
      </c>
      <c r="J23" t="str">
        <f t="shared" si="4"/>
        <v>Multihop,NSFnet,80</v>
      </c>
      <c r="K23" t="s">
        <v>34</v>
      </c>
      <c r="L23" t="s">
        <v>6</v>
      </c>
      <c r="M23">
        <v>80</v>
      </c>
      <c r="N23">
        <v>859</v>
      </c>
      <c r="P23" s="1" t="s">
        <v>15</v>
      </c>
      <c r="Q23" t="s">
        <v>6</v>
      </c>
      <c r="R23" t="s">
        <v>5</v>
      </c>
      <c r="S23" t="s">
        <v>7</v>
      </c>
      <c r="T23" t="s">
        <v>14</v>
      </c>
    </row>
    <row r="24" spans="1:20" x14ac:dyDescent="0.25">
      <c r="A24" t="str">
        <f t="shared" si="1"/>
        <v>Direct,NSFnet,20</v>
      </c>
      <c r="B24" t="s">
        <v>33</v>
      </c>
      <c r="C24" t="s">
        <v>6</v>
      </c>
      <c r="D24">
        <v>20</v>
      </c>
      <c r="E24">
        <v>316.36799999999999</v>
      </c>
      <c r="F24">
        <f t="shared" si="0"/>
        <v>303</v>
      </c>
      <c r="G24">
        <f t="shared" si="2"/>
        <v>4.4118811881188105</v>
      </c>
      <c r="H24">
        <f t="shared" si="3"/>
        <v>4.2254589591867679</v>
      </c>
      <c r="J24" t="str">
        <f t="shared" si="4"/>
        <v>Multihop,NSFnet,100</v>
      </c>
      <c r="K24" t="s">
        <v>34</v>
      </c>
      <c r="L24" t="s">
        <v>6</v>
      </c>
      <c r="M24">
        <v>100</v>
      </c>
      <c r="N24">
        <v>1084</v>
      </c>
      <c r="P24" s="2" t="s">
        <v>33</v>
      </c>
      <c r="Q24" s="7">
        <v>3.749896567613392</v>
      </c>
      <c r="R24" s="7" t="e">
        <v>#N/A</v>
      </c>
      <c r="S24" s="7">
        <v>3.749648086047229</v>
      </c>
      <c r="T24" s="7" t="e">
        <v>#N/A</v>
      </c>
    </row>
    <row r="25" spans="1:20" x14ac:dyDescent="0.25">
      <c r="A25" t="str">
        <f t="shared" si="1"/>
        <v>Direct,NSFnet,20</v>
      </c>
      <c r="B25" t="s">
        <v>33</v>
      </c>
      <c r="C25" t="s">
        <v>6</v>
      </c>
      <c r="D25">
        <v>20</v>
      </c>
      <c r="E25">
        <v>315.36799999999999</v>
      </c>
      <c r="F25">
        <f t="shared" si="0"/>
        <v>303</v>
      </c>
      <c r="G25">
        <f t="shared" si="2"/>
        <v>4.0818481848184804</v>
      </c>
      <c r="H25">
        <f t="shared" si="3"/>
        <v>3.9217675858045191</v>
      </c>
      <c r="J25" t="str">
        <f t="shared" si="4"/>
        <v>Multihop,NSFnet,120</v>
      </c>
      <c r="K25" t="s">
        <v>34</v>
      </c>
      <c r="L25" t="s">
        <v>6</v>
      </c>
      <c r="M25">
        <v>120</v>
      </c>
      <c r="N25">
        <v>1282</v>
      </c>
      <c r="P25" s="3">
        <v>20</v>
      </c>
      <c r="Q25" s="7">
        <v>4.0453223465711723</v>
      </c>
      <c r="R25" s="7">
        <v>1.5507141120401793</v>
      </c>
      <c r="S25" s="7">
        <v>5.0770258026146866</v>
      </c>
      <c r="T25" s="7">
        <v>3.5576874204086781</v>
      </c>
    </row>
    <row r="26" spans="1:20" x14ac:dyDescent="0.25">
      <c r="A26" t="str">
        <f t="shared" si="1"/>
        <v>Direct,NSFnet,20</v>
      </c>
      <c r="B26" t="s">
        <v>33</v>
      </c>
      <c r="C26" t="s">
        <v>6</v>
      </c>
      <c r="D26">
        <v>20</v>
      </c>
      <c r="E26">
        <v>315.36799999999999</v>
      </c>
      <c r="F26">
        <f t="shared" si="0"/>
        <v>303</v>
      </c>
      <c r="G26">
        <f t="shared" si="2"/>
        <v>4.0818481848184804</v>
      </c>
      <c r="H26">
        <f t="shared" si="3"/>
        <v>3.9217675858045191</v>
      </c>
      <c r="J26" t="str">
        <f t="shared" si="4"/>
        <v>Multihop,Stnet,20</v>
      </c>
      <c r="K26" t="s">
        <v>34</v>
      </c>
      <c r="L26" t="s">
        <v>11</v>
      </c>
      <c r="M26">
        <v>20</v>
      </c>
      <c r="N26">
        <v>46</v>
      </c>
      <c r="P26" s="3">
        <v>40</v>
      </c>
      <c r="Q26" s="7">
        <v>3.7191057085431241</v>
      </c>
      <c r="R26" s="7">
        <v>5.6679257601878463</v>
      </c>
      <c r="S26" s="7">
        <v>6.5007871280961407</v>
      </c>
      <c r="T26" s="7">
        <v>5.2959395322757068</v>
      </c>
    </row>
    <row r="27" spans="1:20" x14ac:dyDescent="0.25">
      <c r="A27" t="str">
        <f t="shared" si="1"/>
        <v>Direct,NSFnet,20</v>
      </c>
      <c r="B27" t="s">
        <v>33</v>
      </c>
      <c r="C27" t="s">
        <v>6</v>
      </c>
      <c r="D27">
        <v>20</v>
      </c>
      <c r="E27">
        <v>316.36799999999999</v>
      </c>
      <c r="F27">
        <f t="shared" si="0"/>
        <v>303</v>
      </c>
      <c r="G27">
        <f t="shared" si="2"/>
        <v>4.4118811881188105</v>
      </c>
      <c r="H27">
        <f t="shared" si="3"/>
        <v>4.2254589591867679</v>
      </c>
      <c r="J27" t="str">
        <f t="shared" si="4"/>
        <v>Multihop,Stnet,40</v>
      </c>
      <c r="K27" t="s">
        <v>34</v>
      </c>
      <c r="L27" t="s">
        <v>11</v>
      </c>
      <c r="M27">
        <v>40</v>
      </c>
      <c r="N27">
        <v>79.7</v>
      </c>
      <c r="P27" s="3">
        <v>60</v>
      </c>
      <c r="Q27" s="7">
        <v>3.9485157009134046</v>
      </c>
      <c r="R27" s="7">
        <v>5.9120538945059469</v>
      </c>
      <c r="S27" s="7">
        <v>3.3749553368850385</v>
      </c>
      <c r="T27" s="7">
        <v>4.4118416441014636</v>
      </c>
    </row>
    <row r="28" spans="1:20" x14ac:dyDescent="0.25">
      <c r="A28" t="str">
        <f t="shared" si="1"/>
        <v>Direct,NSFnet,20</v>
      </c>
      <c r="B28" t="s">
        <v>33</v>
      </c>
      <c r="C28" t="s">
        <v>6</v>
      </c>
      <c r="D28">
        <v>20</v>
      </c>
      <c r="E28">
        <v>315.36799999999999</v>
      </c>
      <c r="F28">
        <f t="shared" si="0"/>
        <v>303</v>
      </c>
      <c r="G28">
        <f t="shared" si="2"/>
        <v>4.0818481848184804</v>
      </c>
      <c r="H28">
        <f t="shared" si="3"/>
        <v>3.9217675858045191</v>
      </c>
      <c r="J28" t="str">
        <f t="shared" si="4"/>
        <v>Multihop,Stnet,60</v>
      </c>
      <c r="K28" t="s">
        <v>34</v>
      </c>
      <c r="L28" t="s">
        <v>11</v>
      </c>
      <c r="M28">
        <v>60</v>
      </c>
      <c r="N28">
        <v>110.5</v>
      </c>
      <c r="P28" s="3">
        <v>80</v>
      </c>
      <c r="Q28" s="7">
        <v>4.647258359088414</v>
      </c>
      <c r="R28" s="7">
        <v>7.3649938282479264</v>
      </c>
      <c r="S28" s="7">
        <v>2.8964436265087468</v>
      </c>
      <c r="T28" s="7">
        <v>4.9695652712816942</v>
      </c>
    </row>
    <row r="29" spans="1:20" x14ac:dyDescent="0.25">
      <c r="A29" t="str">
        <f t="shared" si="1"/>
        <v>Direct,NSFnet,20</v>
      </c>
      <c r="B29" t="s">
        <v>33</v>
      </c>
      <c r="C29" t="s">
        <v>6</v>
      </c>
      <c r="D29">
        <v>20</v>
      </c>
      <c r="E29">
        <v>316.36799999999999</v>
      </c>
      <c r="F29">
        <f t="shared" si="0"/>
        <v>303</v>
      </c>
      <c r="G29">
        <f t="shared" si="2"/>
        <v>4.4118811881188105</v>
      </c>
      <c r="H29">
        <f t="shared" si="3"/>
        <v>4.2254589591867679</v>
      </c>
      <c r="J29" t="str">
        <f t="shared" si="4"/>
        <v>Multihop,Stnet,80</v>
      </c>
      <c r="K29" t="s">
        <v>34</v>
      </c>
      <c r="L29" t="s">
        <v>11</v>
      </c>
      <c r="M29">
        <v>80</v>
      </c>
      <c r="N29">
        <v>144.5</v>
      </c>
      <c r="P29" s="3">
        <v>100</v>
      </c>
      <c r="Q29" s="7">
        <v>2.9073912869723593</v>
      </c>
      <c r="R29" s="7">
        <v>6.527519612026925</v>
      </c>
      <c r="S29" s="7">
        <v>2.8389720684129598</v>
      </c>
      <c r="T29" s="7">
        <v>4.0912943224707492</v>
      </c>
    </row>
    <row r="30" spans="1:20" x14ac:dyDescent="0.25">
      <c r="A30" t="str">
        <f t="shared" si="1"/>
        <v>Direct,NSFnet,20</v>
      </c>
      <c r="B30" t="s">
        <v>33</v>
      </c>
      <c r="C30" t="s">
        <v>6</v>
      </c>
      <c r="D30">
        <v>20</v>
      </c>
      <c r="E30">
        <v>315.36799999999999</v>
      </c>
      <c r="F30">
        <f t="shared" si="0"/>
        <v>303</v>
      </c>
      <c r="G30">
        <f t="shared" si="2"/>
        <v>4.0818481848184804</v>
      </c>
      <c r="H30">
        <f t="shared" si="3"/>
        <v>3.9217675858045191</v>
      </c>
      <c r="J30" t="str">
        <f t="shared" si="4"/>
        <v>Multihop,Stnet,100</v>
      </c>
      <c r="K30" t="s">
        <v>34</v>
      </c>
      <c r="L30" t="s">
        <v>11</v>
      </c>
      <c r="M30">
        <v>100</v>
      </c>
      <c r="N30">
        <v>176</v>
      </c>
      <c r="P30" s="3">
        <v>120</v>
      </c>
      <c r="Q30" s="7">
        <v>3.2317860035918562</v>
      </c>
      <c r="R30" s="7" t="e">
        <v>#N/A</v>
      </c>
      <c r="S30" s="7">
        <v>1.8097045537657801</v>
      </c>
      <c r="T30" s="7" t="e">
        <v>#N/A</v>
      </c>
    </row>
    <row r="31" spans="1:20" x14ac:dyDescent="0.25">
      <c r="A31" t="str">
        <f t="shared" si="1"/>
        <v>Direct,NSFnet,20</v>
      </c>
      <c r="B31" t="s">
        <v>33</v>
      </c>
      <c r="C31" t="s">
        <v>6</v>
      </c>
      <c r="D31">
        <v>20</v>
      </c>
      <c r="E31">
        <v>314.36799999999999</v>
      </c>
      <c r="F31">
        <f t="shared" si="0"/>
        <v>303</v>
      </c>
      <c r="G31">
        <f t="shared" si="2"/>
        <v>3.75181518151815</v>
      </c>
      <c r="H31">
        <f t="shared" si="3"/>
        <v>3.616144136807816</v>
      </c>
      <c r="J31" t="str">
        <f t="shared" si="4"/>
        <v>Multihop,Usnet,20</v>
      </c>
      <c r="K31" t="s">
        <v>34</v>
      </c>
      <c r="L31" t="s">
        <v>12</v>
      </c>
      <c r="M31">
        <v>20</v>
      </c>
      <c r="N31">
        <v>750</v>
      </c>
      <c r="P31" s="2" t="s">
        <v>34</v>
      </c>
      <c r="Q31" s="7">
        <v>2.7848835231460227</v>
      </c>
      <c r="R31" s="7" t="e">
        <v>#N/A</v>
      </c>
      <c r="S31" s="7">
        <v>2.9432236585531695</v>
      </c>
      <c r="T31" s="7" t="e">
        <v>#N/A</v>
      </c>
    </row>
    <row r="32" spans="1:20" x14ac:dyDescent="0.25">
      <c r="A32" t="str">
        <f t="shared" si="1"/>
        <v>Direct,NSFnet,20</v>
      </c>
      <c r="B32" t="s">
        <v>33</v>
      </c>
      <c r="C32" t="s">
        <v>6</v>
      </c>
      <c r="D32">
        <v>20</v>
      </c>
      <c r="E32">
        <v>316.36799999999999</v>
      </c>
      <c r="F32">
        <f t="shared" si="0"/>
        <v>303</v>
      </c>
      <c r="G32">
        <f t="shared" si="2"/>
        <v>4.4118811881188105</v>
      </c>
      <c r="H32">
        <f t="shared" si="3"/>
        <v>4.2254589591867679</v>
      </c>
      <c r="J32" t="str">
        <f t="shared" si="4"/>
        <v>Multihop,Usnet,40</v>
      </c>
      <c r="K32" t="s">
        <v>34</v>
      </c>
      <c r="L32" t="s">
        <v>12</v>
      </c>
      <c r="M32">
        <v>40</v>
      </c>
      <c r="N32">
        <v>1410</v>
      </c>
      <c r="P32" s="3">
        <v>20</v>
      </c>
      <c r="Q32" s="7">
        <v>2.2632052448293036</v>
      </c>
      <c r="R32" s="7">
        <v>3.1829698673698474</v>
      </c>
      <c r="S32" s="7">
        <v>8.1715800176023823</v>
      </c>
      <c r="T32" s="7">
        <v>4.5392517099338461</v>
      </c>
    </row>
    <row r="33" spans="1:20" x14ac:dyDescent="0.25">
      <c r="A33" t="str">
        <f t="shared" si="1"/>
        <v>Direct,NSFnet,20</v>
      </c>
      <c r="B33" t="s">
        <v>33</v>
      </c>
      <c r="C33" t="s">
        <v>6</v>
      </c>
      <c r="D33">
        <v>20</v>
      </c>
      <c r="E33">
        <v>321.36799999999999</v>
      </c>
      <c r="F33">
        <f t="shared" si="0"/>
        <v>303</v>
      </c>
      <c r="G33">
        <f t="shared" si="2"/>
        <v>6.0620462046204606</v>
      </c>
      <c r="H33">
        <f t="shared" si="3"/>
        <v>5.7155659555400646</v>
      </c>
      <c r="J33" t="str">
        <f t="shared" si="4"/>
        <v>Multihop,Usnet,60</v>
      </c>
      <c r="K33" t="s">
        <v>34</v>
      </c>
      <c r="L33" t="s">
        <v>12</v>
      </c>
      <c r="M33">
        <v>60</v>
      </c>
      <c r="N33">
        <v>2040</v>
      </c>
      <c r="P33" s="3">
        <v>40</v>
      </c>
      <c r="Q33" s="7">
        <v>2.049935090695322</v>
      </c>
      <c r="R33" s="7">
        <v>6.7427849399221857</v>
      </c>
      <c r="S33" s="7">
        <v>1.0553871940194519</v>
      </c>
      <c r="T33" s="7">
        <v>3.2827024082123204</v>
      </c>
    </row>
    <row r="34" spans="1:20" x14ac:dyDescent="0.25">
      <c r="A34" t="str">
        <f t="shared" si="1"/>
        <v>Direct,NSFnet,20</v>
      </c>
      <c r="B34" t="s">
        <v>33</v>
      </c>
      <c r="C34" t="s">
        <v>6</v>
      </c>
      <c r="D34">
        <v>20</v>
      </c>
      <c r="E34">
        <v>315.36799999999999</v>
      </c>
      <c r="F34">
        <f t="shared" si="0"/>
        <v>303</v>
      </c>
      <c r="G34">
        <f t="shared" si="2"/>
        <v>4.0818481848184804</v>
      </c>
      <c r="H34">
        <f t="shared" si="3"/>
        <v>3.9217675858045191</v>
      </c>
      <c r="J34" t="str">
        <f t="shared" si="4"/>
        <v>Multihop,Usnet,80</v>
      </c>
      <c r="K34" t="s">
        <v>34</v>
      </c>
      <c r="L34" t="s">
        <v>12</v>
      </c>
      <c r="M34">
        <v>80</v>
      </c>
      <c r="N34">
        <v>2670</v>
      </c>
      <c r="P34" s="3">
        <v>60</v>
      </c>
      <c r="Q34" s="7">
        <v>2.9571608858409051</v>
      </c>
      <c r="R34" s="7">
        <v>6.8492728720006646</v>
      </c>
      <c r="S34" s="7">
        <v>1.6489614711958691</v>
      </c>
      <c r="T34" s="7">
        <v>3.8184650763458134</v>
      </c>
    </row>
    <row r="35" spans="1:20" x14ac:dyDescent="0.25">
      <c r="A35" t="str">
        <f t="shared" si="1"/>
        <v>Direct,NSFnet,20</v>
      </c>
      <c r="B35" t="s">
        <v>33</v>
      </c>
      <c r="C35" t="s">
        <v>6</v>
      </c>
      <c r="D35">
        <v>20</v>
      </c>
      <c r="E35">
        <v>312.36799999999999</v>
      </c>
      <c r="F35">
        <f t="shared" si="0"/>
        <v>303</v>
      </c>
      <c r="G35">
        <f t="shared" si="2"/>
        <v>3.0917491749174899</v>
      </c>
      <c r="H35">
        <f t="shared" si="3"/>
        <v>2.9990267889156366</v>
      </c>
      <c r="J35" t="str">
        <f t="shared" si="4"/>
        <v>Multihop,Usnet,100</v>
      </c>
      <c r="K35" t="s">
        <v>34</v>
      </c>
      <c r="L35" t="s">
        <v>12</v>
      </c>
      <c r="M35">
        <v>100</v>
      </c>
      <c r="N35">
        <v>3280</v>
      </c>
      <c r="P35" s="3">
        <v>80</v>
      </c>
      <c r="Q35" s="7">
        <v>2.7632754494619833</v>
      </c>
      <c r="R35" s="7">
        <v>7.2047814184122254</v>
      </c>
      <c r="S35" s="7">
        <v>1.731919502299748</v>
      </c>
      <c r="T35" s="7">
        <v>3.8999921233913195</v>
      </c>
    </row>
    <row r="36" spans="1:20" x14ac:dyDescent="0.25">
      <c r="A36" t="str">
        <f t="shared" si="1"/>
        <v>Direct,NSFnet,20</v>
      </c>
      <c r="B36" t="s">
        <v>33</v>
      </c>
      <c r="C36" t="s">
        <v>6</v>
      </c>
      <c r="D36">
        <v>20</v>
      </c>
      <c r="E36">
        <v>315.36799999999999</v>
      </c>
      <c r="F36">
        <f t="shared" si="0"/>
        <v>303</v>
      </c>
      <c r="G36">
        <f t="shared" si="2"/>
        <v>4.0818481848184804</v>
      </c>
      <c r="H36">
        <f t="shared" si="3"/>
        <v>3.9217675858045191</v>
      </c>
      <c r="J36" t="str">
        <f t="shared" si="4"/>
        <v>Multihop,Usnet,120</v>
      </c>
      <c r="K36" t="s">
        <v>34</v>
      </c>
      <c r="L36" t="s">
        <v>12</v>
      </c>
      <c r="M36">
        <v>120</v>
      </c>
      <c r="N36">
        <v>3960</v>
      </c>
      <c r="P36" s="3">
        <v>100</v>
      </c>
      <c r="Q36" s="7">
        <v>3.5278983840914817</v>
      </c>
      <c r="R36" s="7">
        <v>7.8456811697286959</v>
      </c>
      <c r="S36" s="7">
        <v>2.1399856689530616</v>
      </c>
      <c r="T36" s="7">
        <v>4.5045217409244156</v>
      </c>
    </row>
    <row r="37" spans="1:20" x14ac:dyDescent="0.25">
      <c r="A37" t="str">
        <f t="shared" si="1"/>
        <v>Direct,NSFnet,20</v>
      </c>
      <c r="B37" t="s">
        <v>33</v>
      </c>
      <c r="C37" t="s">
        <v>6</v>
      </c>
      <c r="D37">
        <v>20</v>
      </c>
      <c r="E37">
        <v>313.36799999999999</v>
      </c>
      <c r="F37">
        <f t="shared" si="0"/>
        <v>303</v>
      </c>
      <c r="G37">
        <f t="shared" si="2"/>
        <v>3.4217821782178199</v>
      </c>
      <c r="H37">
        <f t="shared" si="3"/>
        <v>3.3085701156467779</v>
      </c>
      <c r="P37" s="3">
        <v>120</v>
      </c>
      <c r="Q37" s="7">
        <v>3.1478260839571499</v>
      </c>
      <c r="R37" s="7" t="e">
        <v>#N/A</v>
      </c>
      <c r="S37" s="7">
        <v>2.9115080972484928</v>
      </c>
      <c r="T37" s="7" t="e">
        <v>#N/A</v>
      </c>
    </row>
    <row r="38" spans="1:20" x14ac:dyDescent="0.25">
      <c r="A38" t="str">
        <f t="shared" si="1"/>
        <v>Direct,NSFnet,20</v>
      </c>
      <c r="B38" t="s">
        <v>33</v>
      </c>
      <c r="C38" t="s">
        <v>6</v>
      </c>
      <c r="D38">
        <v>20</v>
      </c>
      <c r="E38">
        <v>315.36799999999999</v>
      </c>
      <c r="F38">
        <f t="shared" si="0"/>
        <v>303</v>
      </c>
      <c r="G38">
        <f t="shared" si="2"/>
        <v>4.0818481848184804</v>
      </c>
      <c r="H38">
        <f t="shared" si="3"/>
        <v>3.9217675858045191</v>
      </c>
      <c r="P38" s="2" t="s">
        <v>14</v>
      </c>
      <c r="Q38">
        <v>3.2673900453797087</v>
      </c>
      <c r="R38" t="e">
        <v>#N/A</v>
      </c>
      <c r="S38">
        <v>3.3464358723002028</v>
      </c>
      <c r="T38" t="e">
        <v>#N/A</v>
      </c>
    </row>
    <row r="39" spans="1:20" x14ac:dyDescent="0.25">
      <c r="A39" t="str">
        <f t="shared" si="1"/>
        <v>Direct,NSFnet,20</v>
      </c>
      <c r="B39" t="s">
        <v>33</v>
      </c>
      <c r="C39" t="s">
        <v>6</v>
      </c>
      <c r="D39">
        <v>20</v>
      </c>
      <c r="E39">
        <v>317.36799999999999</v>
      </c>
      <c r="F39">
        <f t="shared" si="0"/>
        <v>303</v>
      </c>
      <c r="G39">
        <f t="shared" si="2"/>
        <v>4.7419141914191405</v>
      </c>
      <c r="H39">
        <f t="shared" si="3"/>
        <v>4.527236520380125</v>
      </c>
    </row>
    <row r="40" spans="1:20" x14ac:dyDescent="0.25">
      <c r="A40" t="str">
        <f t="shared" si="1"/>
        <v>Direct,NSFnet,20</v>
      </c>
      <c r="B40" t="s">
        <v>33</v>
      </c>
      <c r="C40" t="s">
        <v>6</v>
      </c>
      <c r="D40">
        <v>20</v>
      </c>
      <c r="E40">
        <v>318.36799999999999</v>
      </c>
      <c r="F40">
        <f t="shared" si="0"/>
        <v>303</v>
      </c>
      <c r="G40">
        <f t="shared" si="2"/>
        <v>5.0719471947194696</v>
      </c>
      <c r="H40">
        <f t="shared" si="3"/>
        <v>4.8271183033470688</v>
      </c>
    </row>
    <row r="41" spans="1:20" x14ac:dyDescent="0.25">
      <c r="A41" t="str">
        <f t="shared" si="1"/>
        <v>Direct,NSFnet,20</v>
      </c>
      <c r="B41" t="s">
        <v>33</v>
      </c>
      <c r="C41" t="s">
        <v>6</v>
      </c>
      <c r="D41">
        <v>20</v>
      </c>
      <c r="E41">
        <v>317.36799999999999</v>
      </c>
      <c r="F41">
        <f t="shared" si="0"/>
        <v>303</v>
      </c>
      <c r="G41">
        <f t="shared" si="2"/>
        <v>4.7419141914191405</v>
      </c>
      <c r="H41">
        <f t="shared" si="3"/>
        <v>4.527236520380125</v>
      </c>
    </row>
    <row r="42" spans="1:20" x14ac:dyDescent="0.25">
      <c r="A42" t="str">
        <f t="shared" si="1"/>
        <v>Direct,NSFnet,20</v>
      </c>
      <c r="B42" t="s">
        <v>33</v>
      </c>
      <c r="C42" t="s">
        <v>6</v>
      </c>
      <c r="D42">
        <v>20</v>
      </c>
      <c r="E42">
        <v>312.36799999999999</v>
      </c>
      <c r="F42">
        <f t="shared" si="0"/>
        <v>303</v>
      </c>
      <c r="G42">
        <f t="shared" si="2"/>
        <v>3.0917491749174899</v>
      </c>
      <c r="H42">
        <f t="shared" si="3"/>
        <v>2.9990267889156366</v>
      </c>
    </row>
    <row r="43" spans="1:20" x14ac:dyDescent="0.25">
      <c r="A43" t="str">
        <f t="shared" si="1"/>
        <v>Direct,NSFnet,20</v>
      </c>
      <c r="B43" t="s">
        <v>33</v>
      </c>
      <c r="C43" t="s">
        <v>6</v>
      </c>
      <c r="D43">
        <v>20</v>
      </c>
      <c r="E43">
        <v>314.36799999999999</v>
      </c>
      <c r="F43">
        <f t="shared" si="0"/>
        <v>303</v>
      </c>
      <c r="G43">
        <f t="shared" si="2"/>
        <v>3.75181518151815</v>
      </c>
      <c r="H43">
        <f t="shared" si="3"/>
        <v>3.616144136807816</v>
      </c>
    </row>
    <row r="44" spans="1:20" x14ac:dyDescent="0.25">
      <c r="A44" t="str">
        <f t="shared" si="1"/>
        <v>Direct,NSFnet,20</v>
      </c>
      <c r="B44" t="s">
        <v>33</v>
      </c>
      <c r="C44" t="s">
        <v>6</v>
      </c>
      <c r="D44">
        <v>20</v>
      </c>
      <c r="E44">
        <v>313.36799999999999</v>
      </c>
      <c r="F44">
        <f t="shared" si="0"/>
        <v>303</v>
      </c>
      <c r="G44">
        <f t="shared" si="2"/>
        <v>3.4217821782178199</v>
      </c>
      <c r="H44">
        <f t="shared" si="3"/>
        <v>3.3085701156467779</v>
      </c>
    </row>
    <row r="45" spans="1:20" x14ac:dyDescent="0.25">
      <c r="A45" t="str">
        <f t="shared" si="1"/>
        <v>Direct,NSFnet,20</v>
      </c>
      <c r="B45" t="s">
        <v>33</v>
      </c>
      <c r="C45" t="s">
        <v>6</v>
      </c>
      <c r="D45">
        <v>20</v>
      </c>
      <c r="E45">
        <v>318.36799999999999</v>
      </c>
      <c r="F45">
        <f t="shared" si="0"/>
        <v>303</v>
      </c>
      <c r="G45">
        <f t="shared" si="2"/>
        <v>5.0719471947194696</v>
      </c>
      <c r="H45">
        <f t="shared" si="3"/>
        <v>4.8271183033470688</v>
      </c>
    </row>
    <row r="46" spans="1:20" x14ac:dyDescent="0.25">
      <c r="A46" t="str">
        <f t="shared" si="1"/>
        <v>Direct,NSFnet,20</v>
      </c>
      <c r="B46" t="s">
        <v>33</v>
      </c>
      <c r="C46" t="s">
        <v>6</v>
      </c>
      <c r="D46">
        <v>20</v>
      </c>
      <c r="E46">
        <v>315.36799999999999</v>
      </c>
      <c r="F46">
        <f t="shared" si="0"/>
        <v>303</v>
      </c>
      <c r="G46">
        <f t="shared" si="2"/>
        <v>4.0818481848184804</v>
      </c>
      <c r="H46">
        <f t="shared" si="3"/>
        <v>3.9217675858045191</v>
      </c>
    </row>
    <row r="47" spans="1:20" x14ac:dyDescent="0.25">
      <c r="A47" t="str">
        <f t="shared" si="1"/>
        <v>Direct,NSFnet,20</v>
      </c>
      <c r="B47" t="s">
        <v>33</v>
      </c>
      <c r="C47" t="s">
        <v>6</v>
      </c>
      <c r="D47">
        <v>20</v>
      </c>
      <c r="E47">
        <v>316.36799999999999</v>
      </c>
      <c r="F47">
        <f t="shared" si="0"/>
        <v>303</v>
      </c>
      <c r="G47">
        <f t="shared" si="2"/>
        <v>4.4118811881188105</v>
      </c>
      <c r="H47">
        <f t="shared" si="3"/>
        <v>4.2254589591867679</v>
      </c>
    </row>
    <row r="48" spans="1:20" x14ac:dyDescent="0.25">
      <c r="A48" t="str">
        <f t="shared" si="1"/>
        <v>Direct,NSFnet,20</v>
      </c>
      <c r="B48" t="s">
        <v>33</v>
      </c>
      <c r="C48" t="s">
        <v>6</v>
      </c>
      <c r="D48">
        <v>20</v>
      </c>
      <c r="E48">
        <v>313.36799999999999</v>
      </c>
      <c r="F48">
        <f t="shared" si="0"/>
        <v>303</v>
      </c>
      <c r="G48">
        <f t="shared" si="2"/>
        <v>3.4217821782178199</v>
      </c>
      <c r="H48">
        <f t="shared" si="3"/>
        <v>3.3085701156467779</v>
      </c>
    </row>
    <row r="49" spans="1:8" x14ac:dyDescent="0.25">
      <c r="A49" t="str">
        <f t="shared" si="1"/>
        <v>Direct,NSFnet,20</v>
      </c>
      <c r="B49" t="s">
        <v>33</v>
      </c>
      <c r="C49" t="s">
        <v>6</v>
      </c>
      <c r="D49">
        <v>20</v>
      </c>
      <c r="E49">
        <v>317.36799999999999</v>
      </c>
      <c r="F49">
        <f t="shared" si="0"/>
        <v>303</v>
      </c>
      <c r="G49">
        <f t="shared" si="2"/>
        <v>4.7419141914191405</v>
      </c>
      <c r="H49">
        <f t="shared" si="3"/>
        <v>4.527236520380125</v>
      </c>
    </row>
    <row r="50" spans="1:8" x14ac:dyDescent="0.25">
      <c r="A50" t="str">
        <f t="shared" si="1"/>
        <v>Direct,NSFnet,20</v>
      </c>
      <c r="B50" t="s">
        <v>33</v>
      </c>
      <c r="C50" t="s">
        <v>6</v>
      </c>
      <c r="D50">
        <v>20</v>
      </c>
      <c r="E50">
        <v>314.36799999999999</v>
      </c>
      <c r="F50">
        <f t="shared" si="0"/>
        <v>303</v>
      </c>
      <c r="G50">
        <f t="shared" si="2"/>
        <v>3.75181518151815</v>
      </c>
      <c r="H50">
        <f t="shared" si="3"/>
        <v>3.616144136807816</v>
      </c>
    </row>
    <row r="51" spans="1:8" x14ac:dyDescent="0.25">
      <c r="A51" t="str">
        <f t="shared" si="1"/>
        <v>Direct,NSFnet,20</v>
      </c>
      <c r="B51" t="s">
        <v>33</v>
      </c>
      <c r="C51" t="s">
        <v>6</v>
      </c>
      <c r="D51">
        <v>20</v>
      </c>
      <c r="E51">
        <v>314.36799999999999</v>
      </c>
      <c r="F51">
        <f t="shared" si="0"/>
        <v>303</v>
      </c>
      <c r="G51">
        <f t="shared" si="2"/>
        <v>3.75181518151815</v>
      </c>
      <c r="H51">
        <f t="shared" si="3"/>
        <v>3.616144136807816</v>
      </c>
    </row>
    <row r="52" spans="1:8" x14ac:dyDescent="0.25">
      <c r="A52" t="str">
        <f t="shared" si="1"/>
        <v>Direct,NSFnet,20</v>
      </c>
      <c r="B52" t="s">
        <v>33</v>
      </c>
      <c r="C52" t="s">
        <v>6</v>
      </c>
      <c r="D52">
        <v>20</v>
      </c>
      <c r="E52">
        <v>319.36799999999999</v>
      </c>
      <c r="F52">
        <f t="shared" si="0"/>
        <v>303</v>
      </c>
      <c r="G52">
        <f t="shared" si="2"/>
        <v>5.4019801980198006</v>
      </c>
      <c r="H52">
        <f t="shared" si="3"/>
        <v>5.1251221161794529</v>
      </c>
    </row>
    <row r="53" spans="1:8" x14ac:dyDescent="0.25">
      <c r="A53" t="str">
        <f t="shared" si="1"/>
        <v>Direct,NSFnet,20</v>
      </c>
      <c r="B53" t="s">
        <v>33</v>
      </c>
      <c r="C53" t="s">
        <v>6</v>
      </c>
      <c r="D53">
        <v>20</v>
      </c>
      <c r="E53">
        <v>316.36799999999999</v>
      </c>
      <c r="F53">
        <f t="shared" si="0"/>
        <v>303</v>
      </c>
      <c r="G53">
        <f t="shared" si="2"/>
        <v>4.4118811881188105</v>
      </c>
      <c r="H53">
        <f t="shared" si="3"/>
        <v>4.2254589591867679</v>
      </c>
    </row>
    <row r="54" spans="1:8" x14ac:dyDescent="0.25">
      <c r="A54" t="str">
        <f t="shared" si="1"/>
        <v>Direct,NSFnet,20</v>
      </c>
      <c r="B54" t="s">
        <v>33</v>
      </c>
      <c r="C54" t="s">
        <v>6</v>
      </c>
      <c r="D54">
        <v>20</v>
      </c>
      <c r="E54">
        <v>317.36799999999999</v>
      </c>
      <c r="F54">
        <f t="shared" si="0"/>
        <v>303</v>
      </c>
      <c r="G54">
        <f t="shared" si="2"/>
        <v>4.7419141914191405</v>
      </c>
      <c r="H54">
        <f t="shared" si="3"/>
        <v>4.527236520380125</v>
      </c>
    </row>
    <row r="55" spans="1:8" x14ac:dyDescent="0.25">
      <c r="A55" t="str">
        <f t="shared" si="1"/>
        <v>Direct,NSFnet,20</v>
      </c>
      <c r="B55" t="s">
        <v>33</v>
      </c>
      <c r="C55" t="s">
        <v>6</v>
      </c>
      <c r="D55">
        <v>20</v>
      </c>
      <c r="E55">
        <v>314.36799999999999</v>
      </c>
      <c r="F55">
        <f t="shared" si="0"/>
        <v>303</v>
      </c>
      <c r="G55">
        <f t="shared" si="2"/>
        <v>3.75181518151815</v>
      </c>
      <c r="H55">
        <f t="shared" si="3"/>
        <v>3.616144136807816</v>
      </c>
    </row>
    <row r="56" spans="1:8" x14ac:dyDescent="0.25">
      <c r="A56" t="str">
        <f t="shared" si="1"/>
        <v>Direct,NSFnet,20</v>
      </c>
      <c r="B56" t="s">
        <v>33</v>
      </c>
      <c r="C56" t="s">
        <v>6</v>
      </c>
      <c r="D56">
        <v>20</v>
      </c>
      <c r="E56">
        <v>313.36799999999999</v>
      </c>
      <c r="F56">
        <f t="shared" si="0"/>
        <v>303</v>
      </c>
      <c r="G56">
        <f t="shared" si="2"/>
        <v>3.4217821782178199</v>
      </c>
      <c r="H56">
        <f t="shared" si="3"/>
        <v>3.3085701156467779</v>
      </c>
    </row>
    <row r="57" spans="1:8" x14ac:dyDescent="0.25">
      <c r="A57" t="str">
        <f t="shared" si="1"/>
        <v>Direct,NSFnet,20</v>
      </c>
      <c r="B57" t="s">
        <v>33</v>
      </c>
      <c r="C57" t="s">
        <v>6</v>
      </c>
      <c r="D57">
        <v>20</v>
      </c>
      <c r="E57">
        <v>316.36799999999999</v>
      </c>
      <c r="F57">
        <f t="shared" si="0"/>
        <v>303</v>
      </c>
      <c r="G57">
        <f t="shared" si="2"/>
        <v>4.4118811881188105</v>
      </c>
      <c r="H57">
        <f t="shared" si="3"/>
        <v>4.2254589591867679</v>
      </c>
    </row>
    <row r="58" spans="1:8" x14ac:dyDescent="0.25">
      <c r="A58" t="str">
        <f t="shared" si="1"/>
        <v>Direct,NSFnet,20</v>
      </c>
      <c r="B58" t="s">
        <v>33</v>
      </c>
      <c r="C58" t="s">
        <v>6</v>
      </c>
      <c r="D58">
        <v>20</v>
      </c>
      <c r="E58">
        <v>318.36799999999999</v>
      </c>
      <c r="F58">
        <f t="shared" si="0"/>
        <v>303</v>
      </c>
      <c r="G58">
        <f t="shared" si="2"/>
        <v>5.0719471947194696</v>
      </c>
      <c r="H58">
        <f t="shared" si="3"/>
        <v>4.8271183033470688</v>
      </c>
    </row>
    <row r="59" spans="1:8" x14ac:dyDescent="0.25">
      <c r="A59" t="str">
        <f t="shared" si="1"/>
        <v>Direct,NSFnet,20</v>
      </c>
      <c r="B59" t="s">
        <v>33</v>
      </c>
      <c r="C59" t="s">
        <v>6</v>
      </c>
      <c r="D59">
        <v>20</v>
      </c>
      <c r="E59">
        <v>313.36799999999999</v>
      </c>
      <c r="F59">
        <f t="shared" si="0"/>
        <v>303</v>
      </c>
      <c r="G59">
        <f t="shared" si="2"/>
        <v>3.4217821782178199</v>
      </c>
      <c r="H59">
        <f t="shared" si="3"/>
        <v>3.3085701156467779</v>
      </c>
    </row>
    <row r="60" spans="1:8" x14ac:dyDescent="0.25">
      <c r="A60" t="str">
        <f t="shared" si="1"/>
        <v>Direct,NSFnet,20</v>
      </c>
      <c r="B60" t="s">
        <v>33</v>
      </c>
      <c r="C60" t="s">
        <v>6</v>
      </c>
      <c r="D60">
        <v>20</v>
      </c>
      <c r="E60">
        <v>320.36799999999999</v>
      </c>
      <c r="F60">
        <f t="shared" si="0"/>
        <v>303</v>
      </c>
      <c r="G60">
        <f t="shared" si="2"/>
        <v>5.7320132013201306</v>
      </c>
      <c r="H60">
        <f t="shared" si="3"/>
        <v>5.4212655446236813</v>
      </c>
    </row>
    <row r="61" spans="1:8" x14ac:dyDescent="0.25">
      <c r="A61" t="str">
        <f t="shared" si="1"/>
        <v>Direct,NSFnet,20</v>
      </c>
      <c r="B61" t="s">
        <v>33</v>
      </c>
      <c r="C61" t="s">
        <v>6</v>
      </c>
      <c r="D61">
        <v>20</v>
      </c>
      <c r="E61">
        <v>316.36799999999999</v>
      </c>
      <c r="F61">
        <f t="shared" si="0"/>
        <v>303</v>
      </c>
      <c r="G61">
        <f t="shared" si="2"/>
        <v>4.4118811881188105</v>
      </c>
      <c r="H61">
        <f t="shared" si="3"/>
        <v>4.2254589591867679</v>
      </c>
    </row>
    <row r="62" spans="1:8" x14ac:dyDescent="0.25">
      <c r="A62" t="str">
        <f t="shared" si="1"/>
        <v>Direct,NSFnet,20</v>
      </c>
      <c r="B62" t="s">
        <v>33</v>
      </c>
      <c r="C62" t="s">
        <v>6</v>
      </c>
      <c r="D62">
        <v>20</v>
      </c>
      <c r="E62">
        <v>314.36799999999999</v>
      </c>
      <c r="F62">
        <f t="shared" si="0"/>
        <v>303</v>
      </c>
      <c r="G62">
        <f t="shared" si="2"/>
        <v>3.75181518151815</v>
      </c>
      <c r="H62">
        <f t="shared" si="3"/>
        <v>3.616144136807816</v>
      </c>
    </row>
    <row r="63" spans="1:8" x14ac:dyDescent="0.25">
      <c r="A63" t="str">
        <f t="shared" si="1"/>
        <v>Direct,NSFnet,20</v>
      </c>
      <c r="B63" t="s">
        <v>33</v>
      </c>
      <c r="C63" t="s">
        <v>6</v>
      </c>
      <c r="D63">
        <v>20</v>
      </c>
      <c r="E63">
        <v>316.36799999999999</v>
      </c>
      <c r="F63">
        <f t="shared" si="0"/>
        <v>303</v>
      </c>
      <c r="G63">
        <f t="shared" si="2"/>
        <v>4.4118811881188105</v>
      </c>
      <c r="H63">
        <f t="shared" si="3"/>
        <v>4.2254589591867679</v>
      </c>
    </row>
    <row r="64" spans="1:8" x14ac:dyDescent="0.25">
      <c r="A64" t="str">
        <f t="shared" si="1"/>
        <v>Direct,NSFnet,20</v>
      </c>
      <c r="B64" t="s">
        <v>33</v>
      </c>
      <c r="C64" t="s">
        <v>6</v>
      </c>
      <c r="D64">
        <v>20</v>
      </c>
      <c r="E64">
        <v>316.36799999999999</v>
      </c>
      <c r="F64">
        <f t="shared" si="0"/>
        <v>303</v>
      </c>
      <c r="G64">
        <f t="shared" si="2"/>
        <v>4.4118811881188105</v>
      </c>
      <c r="H64">
        <f t="shared" si="3"/>
        <v>4.2254589591867679</v>
      </c>
    </row>
    <row r="65" spans="1:8" x14ac:dyDescent="0.25">
      <c r="A65" t="str">
        <f t="shared" si="1"/>
        <v>Direct,NSFnet,20</v>
      </c>
      <c r="B65" t="s">
        <v>33</v>
      </c>
      <c r="C65" t="s">
        <v>6</v>
      </c>
      <c r="D65">
        <v>20</v>
      </c>
      <c r="E65">
        <v>319.36799999999999</v>
      </c>
      <c r="F65">
        <f t="shared" si="0"/>
        <v>303</v>
      </c>
      <c r="G65">
        <f t="shared" si="2"/>
        <v>5.4019801980198006</v>
      </c>
      <c r="H65">
        <f t="shared" si="3"/>
        <v>5.1251221161794529</v>
      </c>
    </row>
    <row r="66" spans="1:8" x14ac:dyDescent="0.25">
      <c r="A66" t="str">
        <f t="shared" si="1"/>
        <v>Direct,NSFnet,20</v>
      </c>
      <c r="B66" t="s">
        <v>33</v>
      </c>
      <c r="C66" t="s">
        <v>6</v>
      </c>
      <c r="D66">
        <v>20</v>
      </c>
      <c r="E66">
        <v>314.36799999999999</v>
      </c>
      <c r="F66">
        <f t="shared" si="0"/>
        <v>303</v>
      </c>
      <c r="G66">
        <f t="shared" si="2"/>
        <v>3.75181518151815</v>
      </c>
      <c r="H66">
        <f t="shared" si="3"/>
        <v>3.616144136807816</v>
      </c>
    </row>
    <row r="67" spans="1:8" x14ac:dyDescent="0.25">
      <c r="A67" t="str">
        <f t="shared" si="1"/>
        <v>Direct,NSFnet,20</v>
      </c>
      <c r="B67" t="s">
        <v>33</v>
      </c>
      <c r="C67" t="s">
        <v>6</v>
      </c>
      <c r="D67">
        <v>20</v>
      </c>
      <c r="E67">
        <v>311.36799999999999</v>
      </c>
      <c r="F67">
        <f t="shared" ref="F67:F130" si="5">_xlfn.XLOOKUP(A67,$J$3:$J$36,$N$3:$N$36)</f>
        <v>303</v>
      </c>
      <c r="G67">
        <f t="shared" si="2"/>
        <v>2.7617161716171603</v>
      </c>
      <c r="H67">
        <f t="shared" si="3"/>
        <v>2.6874951825492648</v>
      </c>
    </row>
    <row r="68" spans="1:8" x14ac:dyDescent="0.25">
      <c r="A68" t="str">
        <f t="shared" ref="A68:A131" si="6">B68&amp;","&amp;C68&amp;","&amp;D68</f>
        <v>Direct,NSFnet,20</v>
      </c>
      <c r="B68" t="s">
        <v>33</v>
      </c>
      <c r="C68" t="s">
        <v>6</v>
      </c>
      <c r="D68">
        <v>20</v>
      </c>
      <c r="E68">
        <v>316.36799999999999</v>
      </c>
      <c r="F68">
        <f t="shared" si="5"/>
        <v>303</v>
      </c>
      <c r="G68">
        <f t="shared" ref="G68:G131" si="7">ABS((E68-F68)/F68)*100</f>
        <v>4.4118811881188105</v>
      </c>
      <c r="H68">
        <f t="shared" ref="H68:H131" si="8">ABS((F68-E68)/E68)*100</f>
        <v>4.2254589591867679</v>
      </c>
    </row>
    <row r="69" spans="1:8" x14ac:dyDescent="0.25">
      <c r="A69" t="str">
        <f t="shared" si="6"/>
        <v>Direct,NSFnet,20</v>
      </c>
      <c r="B69" t="s">
        <v>33</v>
      </c>
      <c r="C69" t="s">
        <v>6</v>
      </c>
      <c r="D69">
        <v>20</v>
      </c>
      <c r="E69">
        <v>316.36799999999999</v>
      </c>
      <c r="F69">
        <f t="shared" si="5"/>
        <v>303</v>
      </c>
      <c r="G69">
        <f t="shared" si="7"/>
        <v>4.4118811881188105</v>
      </c>
      <c r="H69">
        <f t="shared" si="8"/>
        <v>4.2254589591867679</v>
      </c>
    </row>
    <row r="70" spans="1:8" x14ac:dyDescent="0.25">
      <c r="A70" t="str">
        <f t="shared" si="6"/>
        <v>Direct,NSFnet,20</v>
      </c>
      <c r="B70" t="s">
        <v>33</v>
      </c>
      <c r="C70" t="s">
        <v>6</v>
      </c>
      <c r="D70">
        <v>20</v>
      </c>
      <c r="E70">
        <v>314.36799999999999</v>
      </c>
      <c r="F70">
        <f t="shared" si="5"/>
        <v>303</v>
      </c>
      <c r="G70">
        <f t="shared" si="7"/>
        <v>3.75181518151815</v>
      </c>
      <c r="H70">
        <f t="shared" si="8"/>
        <v>3.616144136807816</v>
      </c>
    </row>
    <row r="71" spans="1:8" x14ac:dyDescent="0.25">
      <c r="A71" t="str">
        <f t="shared" si="6"/>
        <v>Direct,NSFnet,20</v>
      </c>
      <c r="B71" t="s">
        <v>33</v>
      </c>
      <c r="C71" t="s">
        <v>6</v>
      </c>
      <c r="D71">
        <v>20</v>
      </c>
      <c r="E71">
        <v>314.36799999999999</v>
      </c>
      <c r="F71">
        <f t="shared" si="5"/>
        <v>303</v>
      </c>
      <c r="G71">
        <f t="shared" si="7"/>
        <v>3.75181518151815</v>
      </c>
      <c r="H71">
        <f t="shared" si="8"/>
        <v>3.616144136807816</v>
      </c>
    </row>
    <row r="72" spans="1:8" x14ac:dyDescent="0.25">
      <c r="A72" t="str">
        <f t="shared" si="6"/>
        <v>Direct,NSFnet,20</v>
      </c>
      <c r="B72" t="s">
        <v>33</v>
      </c>
      <c r="C72" t="s">
        <v>6</v>
      </c>
      <c r="D72">
        <v>20</v>
      </c>
      <c r="E72">
        <v>315.36799999999999</v>
      </c>
      <c r="F72">
        <f t="shared" si="5"/>
        <v>303</v>
      </c>
      <c r="G72">
        <f t="shared" si="7"/>
        <v>4.0818481848184804</v>
      </c>
      <c r="H72">
        <f t="shared" si="8"/>
        <v>3.9217675858045191</v>
      </c>
    </row>
    <row r="73" spans="1:8" x14ac:dyDescent="0.25">
      <c r="A73" t="str">
        <f t="shared" si="6"/>
        <v>Direct,NSFnet,20</v>
      </c>
      <c r="B73" t="s">
        <v>33</v>
      </c>
      <c r="C73" t="s">
        <v>6</v>
      </c>
      <c r="D73">
        <v>20</v>
      </c>
      <c r="E73">
        <v>317.36799999999999</v>
      </c>
      <c r="F73">
        <f t="shared" si="5"/>
        <v>303</v>
      </c>
      <c r="G73">
        <f t="shared" si="7"/>
        <v>4.7419141914191405</v>
      </c>
      <c r="H73">
        <f t="shared" si="8"/>
        <v>4.527236520380125</v>
      </c>
    </row>
    <row r="74" spans="1:8" x14ac:dyDescent="0.25">
      <c r="A74" t="str">
        <f t="shared" si="6"/>
        <v>Direct,NSFnet,20</v>
      </c>
      <c r="B74" t="s">
        <v>33</v>
      </c>
      <c r="C74" t="s">
        <v>6</v>
      </c>
      <c r="D74">
        <v>20</v>
      </c>
      <c r="E74">
        <v>316.36799999999999</v>
      </c>
      <c r="F74">
        <f t="shared" si="5"/>
        <v>303</v>
      </c>
      <c r="G74">
        <f t="shared" si="7"/>
        <v>4.4118811881188105</v>
      </c>
      <c r="H74">
        <f t="shared" si="8"/>
        <v>4.2254589591867679</v>
      </c>
    </row>
    <row r="75" spans="1:8" x14ac:dyDescent="0.25">
      <c r="A75" t="str">
        <f t="shared" si="6"/>
        <v>Direct,NSFnet,20</v>
      </c>
      <c r="B75" t="s">
        <v>33</v>
      </c>
      <c r="C75" t="s">
        <v>6</v>
      </c>
      <c r="D75">
        <v>20</v>
      </c>
      <c r="E75">
        <v>314.36799999999999</v>
      </c>
      <c r="F75">
        <f t="shared" si="5"/>
        <v>303</v>
      </c>
      <c r="G75">
        <f t="shared" si="7"/>
        <v>3.75181518151815</v>
      </c>
      <c r="H75">
        <f t="shared" si="8"/>
        <v>3.616144136807816</v>
      </c>
    </row>
    <row r="76" spans="1:8" x14ac:dyDescent="0.25">
      <c r="A76" t="str">
        <f t="shared" si="6"/>
        <v>Direct,NSFnet,20</v>
      </c>
      <c r="B76" t="s">
        <v>33</v>
      </c>
      <c r="C76" t="s">
        <v>6</v>
      </c>
      <c r="D76">
        <v>20</v>
      </c>
      <c r="E76">
        <v>314.36799999999999</v>
      </c>
      <c r="F76">
        <f t="shared" si="5"/>
        <v>303</v>
      </c>
      <c r="G76">
        <f t="shared" si="7"/>
        <v>3.75181518151815</v>
      </c>
      <c r="H76">
        <f t="shared" si="8"/>
        <v>3.616144136807816</v>
      </c>
    </row>
    <row r="77" spans="1:8" x14ac:dyDescent="0.25">
      <c r="A77" t="str">
        <f t="shared" si="6"/>
        <v>Direct,NSFnet,20</v>
      </c>
      <c r="B77" t="s">
        <v>33</v>
      </c>
      <c r="C77" t="s">
        <v>6</v>
      </c>
      <c r="D77">
        <v>20</v>
      </c>
      <c r="E77">
        <v>315.36799999999999</v>
      </c>
      <c r="F77">
        <f t="shared" si="5"/>
        <v>303</v>
      </c>
      <c r="G77">
        <f t="shared" si="7"/>
        <v>4.0818481848184804</v>
      </c>
      <c r="H77">
        <f t="shared" si="8"/>
        <v>3.9217675858045191</v>
      </c>
    </row>
    <row r="78" spans="1:8" x14ac:dyDescent="0.25">
      <c r="A78" t="str">
        <f t="shared" si="6"/>
        <v>Direct,NSFnet,20</v>
      </c>
      <c r="B78" t="s">
        <v>33</v>
      </c>
      <c r="C78" t="s">
        <v>6</v>
      </c>
      <c r="D78">
        <v>20</v>
      </c>
      <c r="E78">
        <v>316.36799999999999</v>
      </c>
      <c r="F78">
        <f t="shared" si="5"/>
        <v>303</v>
      </c>
      <c r="G78">
        <f t="shared" si="7"/>
        <v>4.4118811881188105</v>
      </c>
      <c r="H78">
        <f t="shared" si="8"/>
        <v>4.2254589591867679</v>
      </c>
    </row>
    <row r="79" spans="1:8" x14ac:dyDescent="0.25">
      <c r="A79" t="str">
        <f t="shared" si="6"/>
        <v>Direct,NSFnet,20</v>
      </c>
      <c r="B79" t="s">
        <v>33</v>
      </c>
      <c r="C79" t="s">
        <v>6</v>
      </c>
      <c r="D79">
        <v>20</v>
      </c>
      <c r="E79">
        <v>320.36799999999999</v>
      </c>
      <c r="F79">
        <f t="shared" si="5"/>
        <v>303</v>
      </c>
      <c r="G79">
        <f t="shared" si="7"/>
        <v>5.7320132013201306</v>
      </c>
      <c r="H79">
        <f t="shared" si="8"/>
        <v>5.4212655446236813</v>
      </c>
    </row>
    <row r="80" spans="1:8" x14ac:dyDescent="0.25">
      <c r="A80" t="str">
        <f t="shared" si="6"/>
        <v>Direct,NSFnet,20</v>
      </c>
      <c r="B80" t="s">
        <v>33</v>
      </c>
      <c r="C80" t="s">
        <v>6</v>
      </c>
      <c r="D80">
        <v>20</v>
      </c>
      <c r="E80">
        <v>313.36799999999999</v>
      </c>
      <c r="F80">
        <f t="shared" si="5"/>
        <v>303</v>
      </c>
      <c r="G80">
        <f t="shared" si="7"/>
        <v>3.4217821782178199</v>
      </c>
      <c r="H80">
        <f t="shared" si="8"/>
        <v>3.3085701156467779</v>
      </c>
    </row>
    <row r="81" spans="1:8" x14ac:dyDescent="0.25">
      <c r="A81" t="str">
        <f t="shared" si="6"/>
        <v>Direct,NSFnet,20</v>
      </c>
      <c r="B81" t="s">
        <v>33</v>
      </c>
      <c r="C81" t="s">
        <v>6</v>
      </c>
      <c r="D81">
        <v>20</v>
      </c>
      <c r="E81">
        <v>315.36799999999999</v>
      </c>
      <c r="F81">
        <f t="shared" si="5"/>
        <v>303</v>
      </c>
      <c r="G81">
        <f t="shared" si="7"/>
        <v>4.0818481848184804</v>
      </c>
      <c r="H81">
        <f t="shared" si="8"/>
        <v>3.9217675858045191</v>
      </c>
    </row>
    <row r="82" spans="1:8" x14ac:dyDescent="0.25">
      <c r="A82" t="str">
        <f t="shared" si="6"/>
        <v>Direct,NSFnet,20</v>
      </c>
      <c r="B82" t="s">
        <v>33</v>
      </c>
      <c r="C82" t="s">
        <v>6</v>
      </c>
      <c r="D82">
        <v>20</v>
      </c>
      <c r="E82">
        <v>317.36799999999999</v>
      </c>
      <c r="F82">
        <f t="shared" si="5"/>
        <v>303</v>
      </c>
      <c r="G82">
        <f t="shared" si="7"/>
        <v>4.7419141914191405</v>
      </c>
      <c r="H82">
        <f t="shared" si="8"/>
        <v>4.527236520380125</v>
      </c>
    </row>
    <row r="83" spans="1:8" x14ac:dyDescent="0.25">
      <c r="A83" t="str">
        <f t="shared" si="6"/>
        <v>Direct,NSFnet,20</v>
      </c>
      <c r="B83" t="s">
        <v>33</v>
      </c>
      <c r="C83" t="s">
        <v>6</v>
      </c>
      <c r="D83">
        <v>20</v>
      </c>
      <c r="E83">
        <v>317.36799999999999</v>
      </c>
      <c r="F83">
        <f t="shared" si="5"/>
        <v>303</v>
      </c>
      <c r="G83">
        <f t="shared" si="7"/>
        <v>4.7419141914191405</v>
      </c>
      <c r="H83">
        <f t="shared" si="8"/>
        <v>4.527236520380125</v>
      </c>
    </row>
    <row r="84" spans="1:8" x14ac:dyDescent="0.25">
      <c r="A84" t="str">
        <f t="shared" si="6"/>
        <v>Direct,NSFnet,20</v>
      </c>
      <c r="B84" t="s">
        <v>33</v>
      </c>
      <c r="C84" t="s">
        <v>6</v>
      </c>
      <c r="D84">
        <v>20</v>
      </c>
      <c r="E84">
        <v>316.36799999999999</v>
      </c>
      <c r="F84">
        <f t="shared" si="5"/>
        <v>303</v>
      </c>
      <c r="G84">
        <f t="shared" si="7"/>
        <v>4.4118811881188105</v>
      </c>
      <c r="H84">
        <f t="shared" si="8"/>
        <v>4.2254589591867679</v>
      </c>
    </row>
    <row r="85" spans="1:8" x14ac:dyDescent="0.25">
      <c r="A85" t="str">
        <f t="shared" si="6"/>
        <v>Direct,NSFnet,20</v>
      </c>
      <c r="B85" t="s">
        <v>33</v>
      </c>
      <c r="C85" t="s">
        <v>6</v>
      </c>
      <c r="D85">
        <v>20</v>
      </c>
      <c r="E85">
        <v>316.36799999999999</v>
      </c>
      <c r="F85">
        <f t="shared" si="5"/>
        <v>303</v>
      </c>
      <c r="G85">
        <f t="shared" si="7"/>
        <v>4.4118811881188105</v>
      </c>
      <c r="H85">
        <f t="shared" si="8"/>
        <v>4.2254589591867679</v>
      </c>
    </row>
    <row r="86" spans="1:8" x14ac:dyDescent="0.25">
      <c r="A86" t="str">
        <f t="shared" si="6"/>
        <v>Direct,NSFnet,20</v>
      </c>
      <c r="B86" t="s">
        <v>33</v>
      </c>
      <c r="C86" t="s">
        <v>6</v>
      </c>
      <c r="D86">
        <v>20</v>
      </c>
      <c r="E86">
        <v>314.36799999999999</v>
      </c>
      <c r="F86">
        <f t="shared" si="5"/>
        <v>303</v>
      </c>
      <c r="G86">
        <f t="shared" si="7"/>
        <v>3.75181518151815</v>
      </c>
      <c r="H86">
        <f t="shared" si="8"/>
        <v>3.616144136807816</v>
      </c>
    </row>
    <row r="87" spans="1:8" x14ac:dyDescent="0.25">
      <c r="A87" t="str">
        <f t="shared" si="6"/>
        <v>Direct,NSFnet,20</v>
      </c>
      <c r="B87" t="s">
        <v>33</v>
      </c>
      <c r="C87" t="s">
        <v>6</v>
      </c>
      <c r="D87">
        <v>20</v>
      </c>
      <c r="E87">
        <v>316.36799999999999</v>
      </c>
      <c r="F87">
        <f t="shared" si="5"/>
        <v>303</v>
      </c>
      <c r="G87">
        <f t="shared" si="7"/>
        <v>4.4118811881188105</v>
      </c>
      <c r="H87">
        <f t="shared" si="8"/>
        <v>4.2254589591867679</v>
      </c>
    </row>
    <row r="88" spans="1:8" x14ac:dyDescent="0.25">
      <c r="A88" t="str">
        <f t="shared" si="6"/>
        <v>Direct,NSFnet,20</v>
      </c>
      <c r="B88" t="s">
        <v>33</v>
      </c>
      <c r="C88" t="s">
        <v>6</v>
      </c>
      <c r="D88">
        <v>20</v>
      </c>
      <c r="E88">
        <v>312.36799999999999</v>
      </c>
      <c r="F88">
        <f t="shared" si="5"/>
        <v>303</v>
      </c>
      <c r="G88">
        <f t="shared" si="7"/>
        <v>3.0917491749174899</v>
      </c>
      <c r="H88">
        <f t="shared" si="8"/>
        <v>2.9990267889156366</v>
      </c>
    </row>
    <row r="89" spans="1:8" x14ac:dyDescent="0.25">
      <c r="A89" t="str">
        <f t="shared" si="6"/>
        <v>Direct,NSFnet,20</v>
      </c>
      <c r="B89" t="s">
        <v>33</v>
      </c>
      <c r="C89" t="s">
        <v>6</v>
      </c>
      <c r="D89">
        <v>20</v>
      </c>
      <c r="E89">
        <v>316.36799999999999</v>
      </c>
      <c r="F89">
        <f t="shared" si="5"/>
        <v>303</v>
      </c>
      <c r="G89">
        <f t="shared" si="7"/>
        <v>4.4118811881188105</v>
      </c>
      <c r="H89">
        <f t="shared" si="8"/>
        <v>4.2254589591867679</v>
      </c>
    </row>
    <row r="90" spans="1:8" x14ac:dyDescent="0.25">
      <c r="A90" t="str">
        <f t="shared" si="6"/>
        <v>Direct,NSFnet,20</v>
      </c>
      <c r="B90" t="s">
        <v>33</v>
      </c>
      <c r="C90" t="s">
        <v>6</v>
      </c>
      <c r="D90">
        <v>20</v>
      </c>
      <c r="E90">
        <v>316.36799999999999</v>
      </c>
      <c r="F90">
        <f t="shared" si="5"/>
        <v>303</v>
      </c>
      <c r="G90">
        <f t="shared" si="7"/>
        <v>4.4118811881188105</v>
      </c>
      <c r="H90">
        <f t="shared" si="8"/>
        <v>4.2254589591867679</v>
      </c>
    </row>
    <row r="91" spans="1:8" x14ac:dyDescent="0.25">
      <c r="A91" t="str">
        <f t="shared" si="6"/>
        <v>Direct,NSFnet,20</v>
      </c>
      <c r="B91" t="s">
        <v>33</v>
      </c>
      <c r="C91" t="s">
        <v>6</v>
      </c>
      <c r="D91">
        <v>20</v>
      </c>
      <c r="E91">
        <v>312.36799999999999</v>
      </c>
      <c r="F91">
        <f t="shared" si="5"/>
        <v>303</v>
      </c>
      <c r="G91">
        <f t="shared" si="7"/>
        <v>3.0917491749174899</v>
      </c>
      <c r="H91">
        <f t="shared" si="8"/>
        <v>2.9990267889156366</v>
      </c>
    </row>
    <row r="92" spans="1:8" x14ac:dyDescent="0.25">
      <c r="A92" t="str">
        <f t="shared" si="6"/>
        <v>Direct,NSFnet,20</v>
      </c>
      <c r="B92" t="s">
        <v>33</v>
      </c>
      <c r="C92" t="s">
        <v>6</v>
      </c>
      <c r="D92">
        <v>20</v>
      </c>
      <c r="E92">
        <v>316.36799999999999</v>
      </c>
      <c r="F92">
        <f t="shared" si="5"/>
        <v>303</v>
      </c>
      <c r="G92">
        <f t="shared" si="7"/>
        <v>4.4118811881188105</v>
      </c>
      <c r="H92">
        <f t="shared" si="8"/>
        <v>4.2254589591867679</v>
      </c>
    </row>
    <row r="93" spans="1:8" x14ac:dyDescent="0.25">
      <c r="A93" t="str">
        <f t="shared" si="6"/>
        <v>Direct,NSFnet,20</v>
      </c>
      <c r="B93" t="s">
        <v>33</v>
      </c>
      <c r="C93" t="s">
        <v>6</v>
      </c>
      <c r="D93">
        <v>20</v>
      </c>
      <c r="E93">
        <v>314.36799999999999</v>
      </c>
      <c r="F93">
        <f t="shared" si="5"/>
        <v>303</v>
      </c>
      <c r="G93">
        <f t="shared" si="7"/>
        <v>3.75181518151815</v>
      </c>
      <c r="H93">
        <f t="shared" si="8"/>
        <v>3.616144136807816</v>
      </c>
    </row>
    <row r="94" spans="1:8" x14ac:dyDescent="0.25">
      <c r="A94" t="str">
        <f t="shared" si="6"/>
        <v>Direct,NSFnet,20</v>
      </c>
      <c r="B94" t="s">
        <v>33</v>
      </c>
      <c r="C94" t="s">
        <v>6</v>
      </c>
      <c r="D94">
        <v>20</v>
      </c>
      <c r="E94">
        <v>314.36799999999999</v>
      </c>
      <c r="F94">
        <f t="shared" si="5"/>
        <v>303</v>
      </c>
      <c r="G94">
        <f t="shared" si="7"/>
        <v>3.75181518151815</v>
      </c>
      <c r="H94">
        <f t="shared" si="8"/>
        <v>3.616144136807816</v>
      </c>
    </row>
    <row r="95" spans="1:8" x14ac:dyDescent="0.25">
      <c r="A95" t="str">
        <f t="shared" si="6"/>
        <v>Direct,NSFnet,20</v>
      </c>
      <c r="B95" t="s">
        <v>33</v>
      </c>
      <c r="C95" t="s">
        <v>6</v>
      </c>
      <c r="D95">
        <v>20</v>
      </c>
      <c r="E95">
        <v>316.36799999999999</v>
      </c>
      <c r="F95">
        <f t="shared" si="5"/>
        <v>303</v>
      </c>
      <c r="G95">
        <f t="shared" si="7"/>
        <v>4.4118811881188105</v>
      </c>
      <c r="H95">
        <f t="shared" si="8"/>
        <v>4.2254589591867679</v>
      </c>
    </row>
    <row r="96" spans="1:8" x14ac:dyDescent="0.25">
      <c r="A96" t="str">
        <f t="shared" si="6"/>
        <v>Direct,NSFnet,20</v>
      </c>
      <c r="B96" t="s">
        <v>33</v>
      </c>
      <c r="C96" t="s">
        <v>6</v>
      </c>
      <c r="D96">
        <v>20</v>
      </c>
      <c r="E96">
        <v>317.36799999999999</v>
      </c>
      <c r="F96">
        <f t="shared" si="5"/>
        <v>303</v>
      </c>
      <c r="G96">
        <f t="shared" si="7"/>
        <v>4.7419141914191405</v>
      </c>
      <c r="H96">
        <f t="shared" si="8"/>
        <v>4.527236520380125</v>
      </c>
    </row>
    <row r="97" spans="1:8" x14ac:dyDescent="0.25">
      <c r="A97" t="str">
        <f t="shared" si="6"/>
        <v>Direct,NSFnet,20</v>
      </c>
      <c r="B97" t="s">
        <v>33</v>
      </c>
      <c r="C97" t="s">
        <v>6</v>
      </c>
      <c r="D97">
        <v>20</v>
      </c>
      <c r="E97">
        <v>313.36799999999999</v>
      </c>
      <c r="F97">
        <f t="shared" si="5"/>
        <v>303</v>
      </c>
      <c r="G97">
        <f t="shared" si="7"/>
        <v>3.4217821782178199</v>
      </c>
      <c r="H97">
        <f t="shared" si="8"/>
        <v>3.3085701156467779</v>
      </c>
    </row>
    <row r="98" spans="1:8" x14ac:dyDescent="0.25">
      <c r="A98" t="str">
        <f t="shared" si="6"/>
        <v>Direct,NSFnet,20</v>
      </c>
      <c r="B98" t="s">
        <v>33</v>
      </c>
      <c r="C98" t="s">
        <v>6</v>
      </c>
      <c r="D98">
        <v>20</v>
      </c>
      <c r="E98">
        <v>316.36799999999999</v>
      </c>
      <c r="F98">
        <f t="shared" si="5"/>
        <v>303</v>
      </c>
      <c r="G98">
        <f t="shared" si="7"/>
        <v>4.4118811881188105</v>
      </c>
      <c r="H98">
        <f t="shared" si="8"/>
        <v>4.2254589591867679</v>
      </c>
    </row>
    <row r="99" spans="1:8" x14ac:dyDescent="0.25">
      <c r="A99" t="str">
        <f t="shared" si="6"/>
        <v>Direct,NSFnet,20</v>
      </c>
      <c r="B99" t="s">
        <v>33</v>
      </c>
      <c r="C99" t="s">
        <v>6</v>
      </c>
      <c r="D99">
        <v>20</v>
      </c>
      <c r="E99">
        <v>316.36799999999999</v>
      </c>
      <c r="F99">
        <f t="shared" si="5"/>
        <v>303</v>
      </c>
      <c r="G99">
        <f t="shared" si="7"/>
        <v>4.4118811881188105</v>
      </c>
      <c r="H99">
        <f t="shared" si="8"/>
        <v>4.2254589591867679</v>
      </c>
    </row>
    <row r="100" spans="1:8" x14ac:dyDescent="0.25">
      <c r="A100" t="str">
        <f t="shared" si="6"/>
        <v>Direct,NSFnet,20</v>
      </c>
      <c r="B100" t="s">
        <v>33</v>
      </c>
      <c r="C100" t="s">
        <v>6</v>
      </c>
      <c r="D100">
        <v>20</v>
      </c>
      <c r="E100">
        <v>316.36799999999999</v>
      </c>
      <c r="F100">
        <f t="shared" si="5"/>
        <v>303</v>
      </c>
      <c r="G100">
        <f t="shared" si="7"/>
        <v>4.4118811881188105</v>
      </c>
      <c r="H100">
        <f t="shared" si="8"/>
        <v>4.2254589591867679</v>
      </c>
    </row>
    <row r="101" spans="1:8" x14ac:dyDescent="0.25">
      <c r="A101" t="str">
        <f t="shared" si="6"/>
        <v>Direct,NSFnet,20</v>
      </c>
      <c r="B101" t="s">
        <v>33</v>
      </c>
      <c r="C101" t="s">
        <v>6</v>
      </c>
      <c r="D101">
        <v>20</v>
      </c>
      <c r="E101">
        <v>312.36799999999999</v>
      </c>
      <c r="F101">
        <f t="shared" si="5"/>
        <v>303</v>
      </c>
      <c r="G101">
        <f t="shared" si="7"/>
        <v>3.0917491749174899</v>
      </c>
      <c r="H101">
        <f t="shared" si="8"/>
        <v>2.9990267889156366</v>
      </c>
    </row>
    <row r="102" spans="1:8" x14ac:dyDescent="0.25">
      <c r="A102" t="str">
        <f t="shared" si="6"/>
        <v>Direct,NSFnet,20</v>
      </c>
      <c r="B102" t="s">
        <v>33</v>
      </c>
      <c r="C102" t="s">
        <v>6</v>
      </c>
      <c r="D102">
        <v>20</v>
      </c>
      <c r="E102">
        <v>320.36799999999999</v>
      </c>
      <c r="F102">
        <f t="shared" si="5"/>
        <v>303</v>
      </c>
      <c r="G102">
        <f t="shared" si="7"/>
        <v>5.7320132013201306</v>
      </c>
      <c r="H102">
        <f t="shared" si="8"/>
        <v>5.4212655446236813</v>
      </c>
    </row>
    <row r="103" spans="1:8" x14ac:dyDescent="0.25">
      <c r="A103" t="str">
        <f t="shared" si="6"/>
        <v>Direct,NSFnet,40</v>
      </c>
      <c r="B103" t="s">
        <v>33</v>
      </c>
      <c r="C103" t="s">
        <v>6</v>
      </c>
      <c r="D103">
        <v>40</v>
      </c>
      <c r="E103">
        <v>494.24</v>
      </c>
      <c r="F103">
        <f t="shared" si="5"/>
        <v>497</v>
      </c>
      <c r="G103">
        <f t="shared" si="7"/>
        <v>0.55533199195170846</v>
      </c>
      <c r="H103">
        <f t="shared" si="8"/>
        <v>0.55843314988669279</v>
      </c>
    </row>
    <row r="104" spans="1:8" x14ac:dyDescent="0.25">
      <c r="A104" t="str">
        <f t="shared" si="6"/>
        <v>Direct,NSFnet,40</v>
      </c>
      <c r="B104" t="s">
        <v>33</v>
      </c>
      <c r="C104" t="s">
        <v>6</v>
      </c>
      <c r="D104">
        <v>40</v>
      </c>
      <c r="E104">
        <v>512.33799999999997</v>
      </c>
      <c r="F104">
        <f t="shared" si="5"/>
        <v>497</v>
      </c>
      <c r="G104">
        <f t="shared" si="7"/>
        <v>3.0861167002012002</v>
      </c>
      <c r="H104">
        <f t="shared" si="8"/>
        <v>2.9937267975438027</v>
      </c>
    </row>
    <row r="105" spans="1:8" x14ac:dyDescent="0.25">
      <c r="A105" t="str">
        <f t="shared" si="6"/>
        <v>Direct,NSFnet,40</v>
      </c>
      <c r="B105" t="s">
        <v>33</v>
      </c>
      <c r="C105" t="s">
        <v>6</v>
      </c>
      <c r="D105">
        <v>40</v>
      </c>
      <c r="E105">
        <v>495.02800000000002</v>
      </c>
      <c r="F105">
        <f t="shared" si="5"/>
        <v>497</v>
      </c>
      <c r="G105">
        <f t="shared" si="7"/>
        <v>0.3967806841046238</v>
      </c>
      <c r="H105">
        <f t="shared" si="8"/>
        <v>0.39836130481507709</v>
      </c>
    </row>
    <row r="106" spans="1:8" x14ac:dyDescent="0.25">
      <c r="A106" t="str">
        <f t="shared" si="6"/>
        <v>Direct,NSFnet,40</v>
      </c>
      <c r="B106" t="s">
        <v>33</v>
      </c>
      <c r="C106" t="s">
        <v>6</v>
      </c>
      <c r="D106">
        <v>40</v>
      </c>
      <c r="E106">
        <v>533.73</v>
      </c>
      <c r="F106">
        <f t="shared" si="5"/>
        <v>497</v>
      </c>
      <c r="G106">
        <f t="shared" si="7"/>
        <v>7.3903420523138861</v>
      </c>
      <c r="H106">
        <f t="shared" si="8"/>
        <v>6.8817566934592431</v>
      </c>
    </row>
    <row r="107" spans="1:8" x14ac:dyDescent="0.25">
      <c r="A107" t="str">
        <f t="shared" si="6"/>
        <v>Direct,NSFnet,40</v>
      </c>
      <c r="B107" t="s">
        <v>33</v>
      </c>
      <c r="C107" t="s">
        <v>6</v>
      </c>
      <c r="D107">
        <v>40</v>
      </c>
      <c r="E107">
        <v>512.48400000000004</v>
      </c>
      <c r="F107">
        <f t="shared" si="5"/>
        <v>497</v>
      </c>
      <c r="G107">
        <f t="shared" si="7"/>
        <v>3.1154929577464867</v>
      </c>
      <c r="H107">
        <f t="shared" si="8"/>
        <v>3.0213626181500373</v>
      </c>
    </row>
    <row r="108" spans="1:8" x14ac:dyDescent="0.25">
      <c r="A108" t="str">
        <f t="shared" si="6"/>
        <v>Direct,NSFnet,40</v>
      </c>
      <c r="B108" t="s">
        <v>33</v>
      </c>
      <c r="C108" t="s">
        <v>6</v>
      </c>
      <c r="D108">
        <v>40</v>
      </c>
      <c r="E108">
        <v>541.38099999999997</v>
      </c>
      <c r="F108">
        <f t="shared" si="5"/>
        <v>497</v>
      </c>
      <c r="G108">
        <f t="shared" si="7"/>
        <v>8.929778672032187</v>
      </c>
      <c r="H108">
        <f t="shared" si="8"/>
        <v>8.1977387459109146</v>
      </c>
    </row>
    <row r="109" spans="1:8" x14ac:dyDescent="0.25">
      <c r="A109" t="str">
        <f t="shared" si="6"/>
        <v>Direct,NSFnet,40</v>
      </c>
      <c r="B109" t="s">
        <v>33</v>
      </c>
      <c r="C109" t="s">
        <v>6</v>
      </c>
      <c r="D109">
        <v>40</v>
      </c>
      <c r="E109">
        <v>530.16899999999998</v>
      </c>
      <c r="F109">
        <f t="shared" si="5"/>
        <v>497</v>
      </c>
      <c r="G109">
        <f t="shared" si="7"/>
        <v>6.6738430583500969</v>
      </c>
      <c r="H109">
        <f t="shared" si="8"/>
        <v>6.2563069511797149</v>
      </c>
    </row>
    <row r="110" spans="1:8" x14ac:dyDescent="0.25">
      <c r="A110" t="str">
        <f t="shared" si="6"/>
        <v>Direct,NSFnet,40</v>
      </c>
      <c r="B110" t="s">
        <v>33</v>
      </c>
      <c r="C110" t="s">
        <v>6</v>
      </c>
      <c r="D110">
        <v>40</v>
      </c>
      <c r="E110">
        <v>542.42600000000004</v>
      </c>
      <c r="F110">
        <f t="shared" si="5"/>
        <v>497</v>
      </c>
      <c r="G110">
        <f t="shared" si="7"/>
        <v>9.1400402414487001</v>
      </c>
      <c r="H110">
        <f t="shared" si="8"/>
        <v>8.3745985627532669</v>
      </c>
    </row>
    <row r="111" spans="1:8" x14ac:dyDescent="0.25">
      <c r="A111" t="str">
        <f t="shared" si="6"/>
        <v>Direct,NSFnet,40</v>
      </c>
      <c r="B111" t="s">
        <v>33</v>
      </c>
      <c r="C111" t="s">
        <v>6</v>
      </c>
      <c r="D111">
        <v>40</v>
      </c>
      <c r="E111">
        <v>512.21199999999999</v>
      </c>
      <c r="F111">
        <f t="shared" si="5"/>
        <v>497</v>
      </c>
      <c r="G111">
        <f t="shared" si="7"/>
        <v>3.0607645875251488</v>
      </c>
      <c r="H111">
        <f t="shared" si="8"/>
        <v>2.9698640406706578</v>
      </c>
    </row>
    <row r="112" spans="1:8" x14ac:dyDescent="0.25">
      <c r="A112" t="str">
        <f t="shared" si="6"/>
        <v>Direct,NSFnet,40</v>
      </c>
      <c r="B112" t="s">
        <v>33</v>
      </c>
      <c r="C112" t="s">
        <v>6</v>
      </c>
      <c r="D112">
        <v>40</v>
      </c>
      <c r="E112">
        <v>530.02</v>
      </c>
      <c r="F112">
        <f t="shared" si="5"/>
        <v>497</v>
      </c>
      <c r="G112">
        <f t="shared" si="7"/>
        <v>6.6438631790744429</v>
      </c>
      <c r="H112">
        <f t="shared" si="8"/>
        <v>6.2299535866571043</v>
      </c>
    </row>
    <row r="113" spans="1:8" x14ac:dyDescent="0.25">
      <c r="A113" t="str">
        <f t="shared" si="6"/>
        <v>Direct,NSFnet,40</v>
      </c>
      <c r="B113" t="s">
        <v>33</v>
      </c>
      <c r="C113" t="s">
        <v>6</v>
      </c>
      <c r="D113">
        <v>40</v>
      </c>
      <c r="E113">
        <v>505.37799999999999</v>
      </c>
      <c r="F113">
        <f t="shared" si="5"/>
        <v>497</v>
      </c>
      <c r="G113">
        <f t="shared" si="7"/>
        <v>1.6857142857142828</v>
      </c>
      <c r="H113">
        <f t="shared" si="8"/>
        <v>1.6577690362461337</v>
      </c>
    </row>
    <row r="114" spans="1:8" x14ac:dyDescent="0.25">
      <c r="A114" t="str">
        <f t="shared" si="6"/>
        <v>Direct,NSFnet,40</v>
      </c>
      <c r="B114" t="s">
        <v>33</v>
      </c>
      <c r="C114" t="s">
        <v>6</v>
      </c>
      <c r="D114">
        <v>40</v>
      </c>
      <c r="E114">
        <v>507.44499999999999</v>
      </c>
      <c r="F114">
        <f t="shared" si="5"/>
        <v>497</v>
      </c>
      <c r="G114">
        <f t="shared" si="7"/>
        <v>2.1016096579476846</v>
      </c>
      <c r="H114">
        <f t="shared" si="8"/>
        <v>2.0583511513563035</v>
      </c>
    </row>
    <row r="115" spans="1:8" x14ac:dyDescent="0.25">
      <c r="A115" t="str">
        <f t="shared" si="6"/>
        <v>Direct,NSFnet,40</v>
      </c>
      <c r="B115" t="s">
        <v>33</v>
      </c>
      <c r="C115" t="s">
        <v>6</v>
      </c>
      <c r="D115">
        <v>40</v>
      </c>
      <c r="E115">
        <v>532.77700000000004</v>
      </c>
      <c r="F115">
        <f t="shared" si="5"/>
        <v>497</v>
      </c>
      <c r="G115">
        <f t="shared" si="7"/>
        <v>7.1985915492957835</v>
      </c>
      <c r="H115">
        <f t="shared" si="8"/>
        <v>6.7151922849522485</v>
      </c>
    </row>
    <row r="116" spans="1:8" x14ac:dyDescent="0.25">
      <c r="A116" t="str">
        <f t="shared" si="6"/>
        <v>Direct,NSFnet,40</v>
      </c>
      <c r="B116" t="s">
        <v>33</v>
      </c>
      <c r="C116" t="s">
        <v>6</v>
      </c>
      <c r="D116">
        <v>40</v>
      </c>
      <c r="E116">
        <v>491.82</v>
      </c>
      <c r="F116">
        <f t="shared" si="5"/>
        <v>497</v>
      </c>
      <c r="G116">
        <f t="shared" si="7"/>
        <v>1.0422535211267621</v>
      </c>
      <c r="H116">
        <f t="shared" si="8"/>
        <v>1.0532308568175364</v>
      </c>
    </row>
    <row r="117" spans="1:8" x14ac:dyDescent="0.25">
      <c r="A117" t="str">
        <f t="shared" si="6"/>
        <v>Direct,NSFnet,40</v>
      </c>
      <c r="B117" t="s">
        <v>33</v>
      </c>
      <c r="C117" t="s">
        <v>6</v>
      </c>
      <c r="D117">
        <v>40</v>
      </c>
      <c r="E117">
        <v>509.05700000000002</v>
      </c>
      <c r="F117">
        <f t="shared" si="5"/>
        <v>497</v>
      </c>
      <c r="G117">
        <f t="shared" si="7"/>
        <v>2.425955734406442</v>
      </c>
      <c r="H117">
        <f t="shared" si="8"/>
        <v>2.3684970445352911</v>
      </c>
    </row>
    <row r="118" spans="1:8" x14ac:dyDescent="0.25">
      <c r="A118" t="str">
        <f t="shared" si="6"/>
        <v>Direct,NSFnet,40</v>
      </c>
      <c r="B118" t="s">
        <v>33</v>
      </c>
      <c r="C118" t="s">
        <v>6</v>
      </c>
      <c r="D118">
        <v>40</v>
      </c>
      <c r="E118">
        <v>509.96</v>
      </c>
      <c r="F118">
        <f t="shared" si="5"/>
        <v>497</v>
      </c>
      <c r="G118">
        <f t="shared" si="7"/>
        <v>2.6076458752515053</v>
      </c>
      <c r="H118">
        <f t="shared" si="8"/>
        <v>2.541375794179932</v>
      </c>
    </row>
    <row r="119" spans="1:8" x14ac:dyDescent="0.25">
      <c r="A119" t="str">
        <f t="shared" si="6"/>
        <v>Direct,NSFnet,40</v>
      </c>
      <c r="B119" t="s">
        <v>33</v>
      </c>
      <c r="C119" t="s">
        <v>6</v>
      </c>
      <c r="D119">
        <v>40</v>
      </c>
      <c r="E119">
        <v>495.75099999999998</v>
      </c>
      <c r="F119">
        <f t="shared" si="5"/>
        <v>497</v>
      </c>
      <c r="G119">
        <f t="shared" si="7"/>
        <v>0.2513078470824997</v>
      </c>
      <c r="H119">
        <f t="shared" si="8"/>
        <v>0.25194099457187658</v>
      </c>
    </row>
    <row r="120" spans="1:8" x14ac:dyDescent="0.25">
      <c r="A120" t="str">
        <f t="shared" si="6"/>
        <v>Direct,NSFnet,40</v>
      </c>
      <c r="B120" t="s">
        <v>33</v>
      </c>
      <c r="C120" t="s">
        <v>6</v>
      </c>
      <c r="D120">
        <v>40</v>
      </c>
      <c r="E120">
        <v>519.99699999999996</v>
      </c>
      <c r="F120">
        <f t="shared" si="5"/>
        <v>497</v>
      </c>
      <c r="G120">
        <f t="shared" si="7"/>
        <v>4.6271629778671945</v>
      </c>
      <c r="H120">
        <f t="shared" si="8"/>
        <v>4.4225255145702684</v>
      </c>
    </row>
    <row r="121" spans="1:8" x14ac:dyDescent="0.25">
      <c r="A121" t="str">
        <f t="shared" si="6"/>
        <v>Direct,NSFnet,40</v>
      </c>
      <c r="B121" t="s">
        <v>33</v>
      </c>
      <c r="C121" t="s">
        <v>6</v>
      </c>
      <c r="D121">
        <v>40</v>
      </c>
      <c r="E121">
        <v>523.58000000000004</v>
      </c>
      <c r="F121">
        <f t="shared" si="5"/>
        <v>497</v>
      </c>
      <c r="G121">
        <f t="shared" si="7"/>
        <v>5.3480885311871313</v>
      </c>
      <c r="H121">
        <f t="shared" si="8"/>
        <v>5.0765881049696402</v>
      </c>
    </row>
    <row r="122" spans="1:8" x14ac:dyDescent="0.25">
      <c r="A122" t="str">
        <f t="shared" si="6"/>
        <v>Direct,NSFnet,40</v>
      </c>
      <c r="B122" t="s">
        <v>33</v>
      </c>
      <c r="C122" t="s">
        <v>6</v>
      </c>
      <c r="D122">
        <v>40</v>
      </c>
      <c r="E122">
        <v>518.69200000000001</v>
      </c>
      <c r="F122">
        <f t="shared" si="5"/>
        <v>497</v>
      </c>
      <c r="G122">
        <f t="shared" si="7"/>
        <v>4.364587525150907</v>
      </c>
      <c r="H122">
        <f t="shared" si="8"/>
        <v>4.1820579457558642</v>
      </c>
    </row>
    <row r="123" spans="1:8" x14ac:dyDescent="0.25">
      <c r="A123" t="str">
        <f t="shared" si="6"/>
        <v>Direct,NSFnet,40</v>
      </c>
      <c r="B123" t="s">
        <v>33</v>
      </c>
      <c r="C123" t="s">
        <v>6</v>
      </c>
      <c r="D123">
        <v>40</v>
      </c>
      <c r="E123">
        <v>509.88200000000001</v>
      </c>
      <c r="F123">
        <f t="shared" si="5"/>
        <v>497</v>
      </c>
      <c r="G123">
        <f t="shared" si="7"/>
        <v>2.5919517102615703</v>
      </c>
      <c r="H123">
        <f t="shared" si="8"/>
        <v>2.5264669080297018</v>
      </c>
    </row>
    <row r="124" spans="1:8" x14ac:dyDescent="0.25">
      <c r="A124" t="str">
        <f t="shared" si="6"/>
        <v>Direct,NSFnet,40</v>
      </c>
      <c r="B124" t="s">
        <v>33</v>
      </c>
      <c r="C124" t="s">
        <v>6</v>
      </c>
      <c r="D124">
        <v>40</v>
      </c>
      <c r="E124">
        <v>496.57100000000003</v>
      </c>
      <c r="F124">
        <f t="shared" si="5"/>
        <v>497</v>
      </c>
      <c r="G124">
        <f t="shared" si="7"/>
        <v>8.6317907444662695E-2</v>
      </c>
      <c r="H124">
        <f t="shared" si="8"/>
        <v>8.6392479625264793E-2</v>
      </c>
    </row>
    <row r="125" spans="1:8" x14ac:dyDescent="0.25">
      <c r="A125" t="str">
        <f t="shared" si="6"/>
        <v>Direct,NSFnet,40</v>
      </c>
      <c r="B125" t="s">
        <v>33</v>
      </c>
      <c r="C125" t="s">
        <v>6</v>
      </c>
      <c r="D125">
        <v>40</v>
      </c>
      <c r="E125">
        <v>485.84300000000002</v>
      </c>
      <c r="F125">
        <f t="shared" si="5"/>
        <v>497</v>
      </c>
      <c r="G125">
        <f t="shared" si="7"/>
        <v>2.2448692152917471</v>
      </c>
      <c r="H125">
        <f t="shared" si="8"/>
        <v>2.2964208602367395</v>
      </c>
    </row>
    <row r="126" spans="1:8" x14ac:dyDescent="0.25">
      <c r="A126" t="str">
        <f t="shared" si="6"/>
        <v>Direct,NSFnet,40</v>
      </c>
      <c r="B126" t="s">
        <v>33</v>
      </c>
      <c r="C126" t="s">
        <v>6</v>
      </c>
      <c r="D126">
        <v>40</v>
      </c>
      <c r="E126">
        <v>506.2</v>
      </c>
      <c r="F126">
        <f t="shared" si="5"/>
        <v>497</v>
      </c>
      <c r="G126">
        <f t="shared" si="7"/>
        <v>1.8511066398390321</v>
      </c>
      <c r="H126">
        <f t="shared" si="8"/>
        <v>1.8174634531805587</v>
      </c>
    </row>
    <row r="127" spans="1:8" x14ac:dyDescent="0.25">
      <c r="A127" t="str">
        <f t="shared" si="6"/>
        <v>Direct,NSFnet,40</v>
      </c>
      <c r="B127" t="s">
        <v>33</v>
      </c>
      <c r="C127" t="s">
        <v>6</v>
      </c>
      <c r="D127">
        <v>40</v>
      </c>
      <c r="E127">
        <v>507.827</v>
      </c>
      <c r="F127">
        <f t="shared" si="5"/>
        <v>497</v>
      </c>
      <c r="G127">
        <f t="shared" si="7"/>
        <v>2.1784708249496978</v>
      </c>
      <c r="H127">
        <f t="shared" si="8"/>
        <v>2.1320252763244172</v>
      </c>
    </row>
    <row r="128" spans="1:8" x14ac:dyDescent="0.25">
      <c r="A128" t="str">
        <f t="shared" si="6"/>
        <v>Direct,NSFnet,40</v>
      </c>
      <c r="B128" t="s">
        <v>33</v>
      </c>
      <c r="C128" t="s">
        <v>6</v>
      </c>
      <c r="D128">
        <v>40</v>
      </c>
      <c r="E128">
        <v>539.91099999999994</v>
      </c>
      <c r="F128">
        <f t="shared" si="5"/>
        <v>497</v>
      </c>
      <c r="G128">
        <f t="shared" si="7"/>
        <v>8.6340040241448577</v>
      </c>
      <c r="H128">
        <f t="shared" si="8"/>
        <v>7.9477913952484673</v>
      </c>
    </row>
    <row r="129" spans="1:8" x14ac:dyDescent="0.25">
      <c r="A129" t="str">
        <f t="shared" si="6"/>
        <v>Direct,NSFnet,40</v>
      </c>
      <c r="B129" t="s">
        <v>33</v>
      </c>
      <c r="C129" t="s">
        <v>6</v>
      </c>
      <c r="D129">
        <v>40</v>
      </c>
      <c r="E129">
        <v>504.38499999999999</v>
      </c>
      <c r="F129">
        <f t="shared" si="5"/>
        <v>497</v>
      </c>
      <c r="G129">
        <f t="shared" si="7"/>
        <v>1.4859154929577445</v>
      </c>
      <c r="H129">
        <f t="shared" si="8"/>
        <v>1.4641593227395722</v>
      </c>
    </row>
    <row r="130" spans="1:8" x14ac:dyDescent="0.25">
      <c r="A130" t="str">
        <f t="shared" si="6"/>
        <v>Direct,NSFnet,40</v>
      </c>
      <c r="B130" t="s">
        <v>33</v>
      </c>
      <c r="C130" t="s">
        <v>6</v>
      </c>
      <c r="D130">
        <v>40</v>
      </c>
      <c r="E130">
        <v>500.23099999999999</v>
      </c>
      <c r="F130">
        <f t="shared" si="5"/>
        <v>497</v>
      </c>
      <c r="G130">
        <f t="shared" si="7"/>
        <v>0.65010060362172928</v>
      </c>
      <c r="H130">
        <f t="shared" si="8"/>
        <v>0.6459015934638187</v>
      </c>
    </row>
    <row r="131" spans="1:8" x14ac:dyDescent="0.25">
      <c r="A131" t="str">
        <f t="shared" si="6"/>
        <v>Direct,NSFnet,40</v>
      </c>
      <c r="B131" t="s">
        <v>33</v>
      </c>
      <c r="C131" t="s">
        <v>6</v>
      </c>
      <c r="D131">
        <v>40</v>
      </c>
      <c r="E131">
        <v>496.55500000000001</v>
      </c>
      <c r="F131">
        <f t="shared" ref="F131:F194" si="9">_xlfn.XLOOKUP(A131,$J$3:$J$36,$N$3:$N$36)</f>
        <v>497</v>
      </c>
      <c r="G131">
        <f t="shared" si="7"/>
        <v>8.9537223340038871E-2</v>
      </c>
      <c r="H131">
        <f t="shared" si="8"/>
        <v>8.9617464329227001E-2</v>
      </c>
    </row>
    <row r="132" spans="1:8" x14ac:dyDescent="0.25">
      <c r="A132" t="str">
        <f t="shared" ref="A132:A195" si="10">B132&amp;","&amp;C132&amp;","&amp;D132</f>
        <v>Direct,NSFnet,40</v>
      </c>
      <c r="B132" t="s">
        <v>33</v>
      </c>
      <c r="C132" t="s">
        <v>6</v>
      </c>
      <c r="D132">
        <v>40</v>
      </c>
      <c r="E132">
        <v>496.78399999999999</v>
      </c>
      <c r="F132">
        <f t="shared" si="9"/>
        <v>497</v>
      </c>
      <c r="G132">
        <f t="shared" ref="G132:G195" si="11">ABS((E132-F132)/F132)*100</f>
        <v>4.3460764587526797E-2</v>
      </c>
      <c r="H132">
        <f t="shared" ref="H132:H195" si="12">ABS((F132-E132)/E132)*100</f>
        <v>4.3479661180716007E-2</v>
      </c>
    </row>
    <row r="133" spans="1:8" x14ac:dyDescent="0.25">
      <c r="A133" t="str">
        <f t="shared" si="10"/>
        <v>Direct,NSFnet,40</v>
      </c>
      <c r="B133" t="s">
        <v>33</v>
      </c>
      <c r="C133" t="s">
        <v>6</v>
      </c>
      <c r="D133">
        <v>40</v>
      </c>
      <c r="E133">
        <v>512.08600000000001</v>
      </c>
      <c r="F133">
        <f t="shared" si="9"/>
        <v>497</v>
      </c>
      <c r="G133">
        <f t="shared" si="11"/>
        <v>3.0354124748490969</v>
      </c>
      <c r="H133">
        <f t="shared" si="12"/>
        <v>2.9459895408193182</v>
      </c>
    </row>
    <row r="134" spans="1:8" x14ac:dyDescent="0.25">
      <c r="A134" t="str">
        <f t="shared" si="10"/>
        <v>Direct,NSFnet,40</v>
      </c>
      <c r="B134" t="s">
        <v>33</v>
      </c>
      <c r="C134" t="s">
        <v>6</v>
      </c>
      <c r="D134">
        <v>40</v>
      </c>
      <c r="E134">
        <v>497.90499999999997</v>
      </c>
      <c r="F134">
        <f t="shared" si="9"/>
        <v>497</v>
      </c>
      <c r="G134">
        <f t="shared" si="11"/>
        <v>0.18209255533198646</v>
      </c>
      <c r="H134">
        <f t="shared" si="12"/>
        <v>0.18176158102448714</v>
      </c>
    </row>
    <row r="135" spans="1:8" x14ac:dyDescent="0.25">
      <c r="A135" t="str">
        <f t="shared" si="10"/>
        <v>Direct,NSFnet,40</v>
      </c>
      <c r="B135" t="s">
        <v>33</v>
      </c>
      <c r="C135" t="s">
        <v>6</v>
      </c>
      <c r="D135">
        <v>40</v>
      </c>
      <c r="E135">
        <v>512.09400000000005</v>
      </c>
      <c r="F135">
        <f t="shared" si="9"/>
        <v>497</v>
      </c>
      <c r="G135">
        <f t="shared" si="11"/>
        <v>3.0370221327967908</v>
      </c>
      <c r="H135">
        <f t="shared" si="12"/>
        <v>2.9475057313696413</v>
      </c>
    </row>
    <row r="136" spans="1:8" x14ac:dyDescent="0.25">
      <c r="A136" t="str">
        <f t="shared" si="10"/>
        <v>Direct,NSFnet,40</v>
      </c>
      <c r="B136" t="s">
        <v>33</v>
      </c>
      <c r="C136" t="s">
        <v>6</v>
      </c>
      <c r="D136">
        <v>40</v>
      </c>
      <c r="E136">
        <v>516.41899999999998</v>
      </c>
      <c r="F136">
        <f t="shared" si="9"/>
        <v>497</v>
      </c>
      <c r="G136">
        <f t="shared" si="11"/>
        <v>3.9072434607645841</v>
      </c>
      <c r="H136">
        <f t="shared" si="12"/>
        <v>3.7603186559750865</v>
      </c>
    </row>
    <row r="137" spans="1:8" x14ac:dyDescent="0.25">
      <c r="A137" t="str">
        <f t="shared" si="10"/>
        <v>Direct,NSFnet,40</v>
      </c>
      <c r="B137" t="s">
        <v>33</v>
      </c>
      <c r="C137" t="s">
        <v>6</v>
      </c>
      <c r="D137">
        <v>40</v>
      </c>
      <c r="E137">
        <v>503.47</v>
      </c>
      <c r="F137">
        <f t="shared" si="9"/>
        <v>497</v>
      </c>
      <c r="G137">
        <f t="shared" si="11"/>
        <v>1.3018108651911524</v>
      </c>
      <c r="H137">
        <f t="shared" si="12"/>
        <v>1.2850815341529838</v>
      </c>
    </row>
    <row r="138" spans="1:8" x14ac:dyDescent="0.25">
      <c r="A138" t="str">
        <f t="shared" si="10"/>
        <v>Direct,NSFnet,40</v>
      </c>
      <c r="B138" t="s">
        <v>33</v>
      </c>
      <c r="C138" t="s">
        <v>6</v>
      </c>
      <c r="D138">
        <v>40</v>
      </c>
      <c r="E138">
        <v>495.57900000000001</v>
      </c>
      <c r="F138">
        <f t="shared" si="9"/>
        <v>497</v>
      </c>
      <c r="G138">
        <f t="shared" si="11"/>
        <v>0.28591549295774493</v>
      </c>
      <c r="H138">
        <f t="shared" si="12"/>
        <v>0.2867353136432319</v>
      </c>
    </row>
    <row r="139" spans="1:8" x14ac:dyDescent="0.25">
      <c r="A139" t="str">
        <f t="shared" si="10"/>
        <v>Direct,NSFnet,40</v>
      </c>
      <c r="B139" t="s">
        <v>33</v>
      </c>
      <c r="C139" t="s">
        <v>6</v>
      </c>
      <c r="D139">
        <v>40</v>
      </c>
      <c r="E139">
        <v>535.72900000000004</v>
      </c>
      <c r="F139">
        <f t="shared" si="9"/>
        <v>497</v>
      </c>
      <c r="G139">
        <f t="shared" si="11"/>
        <v>7.7925553319919603</v>
      </c>
      <c r="H139">
        <f t="shared" si="12"/>
        <v>7.2292147709009669</v>
      </c>
    </row>
    <row r="140" spans="1:8" x14ac:dyDescent="0.25">
      <c r="A140" t="str">
        <f t="shared" si="10"/>
        <v>Direct,NSFnet,40</v>
      </c>
      <c r="B140" t="s">
        <v>33</v>
      </c>
      <c r="C140" t="s">
        <v>6</v>
      </c>
      <c r="D140">
        <v>40</v>
      </c>
      <c r="E140">
        <v>549.44200000000001</v>
      </c>
      <c r="F140">
        <f t="shared" si="9"/>
        <v>497</v>
      </c>
      <c r="G140">
        <f t="shared" si="11"/>
        <v>10.551710261569418</v>
      </c>
      <c r="H140">
        <f t="shared" si="12"/>
        <v>9.5445925138595165</v>
      </c>
    </row>
    <row r="141" spans="1:8" x14ac:dyDescent="0.25">
      <c r="A141" t="str">
        <f t="shared" si="10"/>
        <v>Direct,NSFnet,40</v>
      </c>
      <c r="B141" t="s">
        <v>33</v>
      </c>
      <c r="C141" t="s">
        <v>6</v>
      </c>
      <c r="D141">
        <v>40</v>
      </c>
      <c r="E141">
        <v>519.11900000000003</v>
      </c>
      <c r="F141">
        <f t="shared" si="9"/>
        <v>497</v>
      </c>
      <c r="G141">
        <f t="shared" si="11"/>
        <v>4.450503018108658</v>
      </c>
      <c r="H141">
        <f t="shared" si="12"/>
        <v>4.2608727478670643</v>
      </c>
    </row>
    <row r="142" spans="1:8" x14ac:dyDescent="0.25">
      <c r="A142" t="str">
        <f t="shared" si="10"/>
        <v>Direct,NSFnet,40</v>
      </c>
      <c r="B142" t="s">
        <v>33</v>
      </c>
      <c r="C142" t="s">
        <v>6</v>
      </c>
      <c r="D142">
        <v>40</v>
      </c>
      <c r="E142">
        <v>515.1</v>
      </c>
      <c r="F142">
        <f t="shared" si="9"/>
        <v>497</v>
      </c>
      <c r="G142">
        <f t="shared" si="11"/>
        <v>3.6418511066398436</v>
      </c>
      <c r="H142">
        <f t="shared" si="12"/>
        <v>3.5138807998446944</v>
      </c>
    </row>
    <row r="143" spans="1:8" x14ac:dyDescent="0.25">
      <c r="A143" t="str">
        <f t="shared" si="10"/>
        <v>Direct,NSFnet,40</v>
      </c>
      <c r="B143" t="s">
        <v>33</v>
      </c>
      <c r="C143" t="s">
        <v>6</v>
      </c>
      <c r="D143">
        <v>40</v>
      </c>
      <c r="E143">
        <v>510.10599999999999</v>
      </c>
      <c r="F143">
        <f t="shared" si="9"/>
        <v>497</v>
      </c>
      <c r="G143">
        <f t="shared" si="11"/>
        <v>2.6370221327967793</v>
      </c>
      <c r="H143">
        <f t="shared" si="12"/>
        <v>2.5692699164487371</v>
      </c>
    </row>
    <row r="144" spans="1:8" x14ac:dyDescent="0.25">
      <c r="A144" t="str">
        <f t="shared" si="10"/>
        <v>Direct,NSFnet,40</v>
      </c>
      <c r="B144" t="s">
        <v>33</v>
      </c>
      <c r="C144" t="s">
        <v>6</v>
      </c>
      <c r="D144">
        <v>40</v>
      </c>
      <c r="E144">
        <v>517.08600000000001</v>
      </c>
      <c r="F144">
        <f t="shared" si="9"/>
        <v>497</v>
      </c>
      <c r="G144">
        <f t="shared" si="11"/>
        <v>4.0414486921529198</v>
      </c>
      <c r="H144">
        <f t="shared" si="12"/>
        <v>3.8844602251849811</v>
      </c>
    </row>
    <row r="145" spans="1:8" x14ac:dyDescent="0.25">
      <c r="A145" t="str">
        <f t="shared" si="10"/>
        <v>Direct,NSFnet,40</v>
      </c>
      <c r="B145" t="s">
        <v>33</v>
      </c>
      <c r="C145" t="s">
        <v>6</v>
      </c>
      <c r="D145">
        <v>40</v>
      </c>
      <c r="E145">
        <v>515.47799999999995</v>
      </c>
      <c r="F145">
        <f t="shared" si="9"/>
        <v>497</v>
      </c>
      <c r="G145">
        <f t="shared" si="11"/>
        <v>3.7179074446679983</v>
      </c>
      <c r="H145">
        <f t="shared" si="12"/>
        <v>3.5846340677972583</v>
      </c>
    </row>
    <row r="146" spans="1:8" x14ac:dyDescent="0.25">
      <c r="A146" t="str">
        <f t="shared" si="10"/>
        <v>Direct,NSFnet,40</v>
      </c>
      <c r="B146" t="s">
        <v>33</v>
      </c>
      <c r="C146" t="s">
        <v>6</v>
      </c>
      <c r="D146">
        <v>40</v>
      </c>
      <c r="E146">
        <v>507.80500000000001</v>
      </c>
      <c r="F146">
        <f t="shared" si="9"/>
        <v>497</v>
      </c>
      <c r="G146">
        <f t="shared" si="11"/>
        <v>2.1740442655935626</v>
      </c>
      <c r="H146">
        <f t="shared" si="12"/>
        <v>2.1277852719055557</v>
      </c>
    </row>
    <row r="147" spans="1:8" x14ac:dyDescent="0.25">
      <c r="A147" t="str">
        <f t="shared" si="10"/>
        <v>Direct,NSFnet,40</v>
      </c>
      <c r="B147" t="s">
        <v>33</v>
      </c>
      <c r="C147" t="s">
        <v>6</v>
      </c>
      <c r="D147">
        <v>40</v>
      </c>
      <c r="E147">
        <v>497.52499999999998</v>
      </c>
      <c r="F147">
        <f t="shared" si="9"/>
        <v>497</v>
      </c>
      <c r="G147">
        <f t="shared" si="11"/>
        <v>0.10563380281689684</v>
      </c>
      <c r="H147">
        <f t="shared" si="12"/>
        <v>0.10552233556102251</v>
      </c>
    </row>
    <row r="148" spans="1:8" x14ac:dyDescent="0.25">
      <c r="A148" t="str">
        <f t="shared" si="10"/>
        <v>Direct,NSFnet,40</v>
      </c>
      <c r="B148" t="s">
        <v>33</v>
      </c>
      <c r="C148" t="s">
        <v>6</v>
      </c>
      <c r="D148">
        <v>40</v>
      </c>
      <c r="E148">
        <v>510.51799999999997</v>
      </c>
      <c r="F148">
        <f t="shared" si="9"/>
        <v>497</v>
      </c>
      <c r="G148">
        <f t="shared" si="11"/>
        <v>2.71991951710261</v>
      </c>
      <c r="H148">
        <f t="shared" si="12"/>
        <v>2.6478988008258226</v>
      </c>
    </row>
    <row r="149" spans="1:8" x14ac:dyDescent="0.25">
      <c r="A149" t="str">
        <f t="shared" si="10"/>
        <v>Direct,NSFnet,40</v>
      </c>
      <c r="B149" t="s">
        <v>33</v>
      </c>
      <c r="C149" t="s">
        <v>6</v>
      </c>
      <c r="D149">
        <v>40</v>
      </c>
      <c r="E149">
        <v>501.92500000000001</v>
      </c>
      <c r="F149">
        <f t="shared" si="9"/>
        <v>497</v>
      </c>
      <c r="G149">
        <f t="shared" si="11"/>
        <v>0.99094567404426781</v>
      </c>
      <c r="H149">
        <f t="shared" si="12"/>
        <v>0.98122229416745754</v>
      </c>
    </row>
    <row r="150" spans="1:8" x14ac:dyDescent="0.25">
      <c r="A150" t="str">
        <f t="shared" si="10"/>
        <v>Direct,NSFnet,40</v>
      </c>
      <c r="B150" t="s">
        <v>33</v>
      </c>
      <c r="C150" t="s">
        <v>6</v>
      </c>
      <c r="D150">
        <v>40</v>
      </c>
      <c r="E150">
        <v>508.553</v>
      </c>
      <c r="F150">
        <f t="shared" si="9"/>
        <v>497</v>
      </c>
      <c r="G150">
        <f t="shared" si="11"/>
        <v>2.3245472837022128</v>
      </c>
      <c r="H150">
        <f t="shared" si="12"/>
        <v>2.271739622025629</v>
      </c>
    </row>
    <row r="151" spans="1:8" x14ac:dyDescent="0.25">
      <c r="A151" t="str">
        <f t="shared" si="10"/>
        <v>Direct,NSFnet,40</v>
      </c>
      <c r="B151" t="s">
        <v>33</v>
      </c>
      <c r="C151" t="s">
        <v>6</v>
      </c>
      <c r="D151">
        <v>40</v>
      </c>
      <c r="E151">
        <v>504.36500000000001</v>
      </c>
      <c r="F151">
        <f t="shared" si="9"/>
        <v>497</v>
      </c>
      <c r="G151">
        <f t="shared" si="11"/>
        <v>1.481891348088533</v>
      </c>
      <c r="H151">
        <f t="shared" si="12"/>
        <v>1.4602520000396557</v>
      </c>
    </row>
    <row r="152" spans="1:8" x14ac:dyDescent="0.25">
      <c r="A152" t="str">
        <f t="shared" si="10"/>
        <v>Direct,NSFnet,40</v>
      </c>
      <c r="B152" t="s">
        <v>33</v>
      </c>
      <c r="C152" t="s">
        <v>6</v>
      </c>
      <c r="D152">
        <v>40</v>
      </c>
      <c r="E152">
        <v>517.35500000000002</v>
      </c>
      <c r="F152">
        <f t="shared" si="9"/>
        <v>497</v>
      </c>
      <c r="G152">
        <f t="shared" si="11"/>
        <v>4.0955734406438671</v>
      </c>
      <c r="H152">
        <f t="shared" si="12"/>
        <v>3.9344357356167459</v>
      </c>
    </row>
    <row r="153" spans="1:8" x14ac:dyDescent="0.25">
      <c r="A153" t="str">
        <f t="shared" si="10"/>
        <v>Direct,NSFnet,40</v>
      </c>
      <c r="B153" t="s">
        <v>33</v>
      </c>
      <c r="C153" t="s">
        <v>6</v>
      </c>
      <c r="D153">
        <v>40</v>
      </c>
      <c r="E153">
        <v>523.73500000000001</v>
      </c>
      <c r="F153">
        <f t="shared" si="9"/>
        <v>497</v>
      </c>
      <c r="G153">
        <f t="shared" si="11"/>
        <v>5.3792756539235436</v>
      </c>
      <c r="H153">
        <f t="shared" si="12"/>
        <v>5.1046808023141503</v>
      </c>
    </row>
    <row r="154" spans="1:8" x14ac:dyDescent="0.25">
      <c r="A154" t="str">
        <f t="shared" si="10"/>
        <v>Direct,NSFnet,40</v>
      </c>
      <c r="B154" t="s">
        <v>33</v>
      </c>
      <c r="C154" t="s">
        <v>6</v>
      </c>
      <c r="D154">
        <v>40</v>
      </c>
      <c r="E154">
        <v>547.67100000000005</v>
      </c>
      <c r="F154">
        <f t="shared" si="9"/>
        <v>497</v>
      </c>
      <c r="G154">
        <f t="shared" si="11"/>
        <v>10.195372233400413</v>
      </c>
      <c r="H154">
        <f t="shared" si="12"/>
        <v>9.2520874758751237</v>
      </c>
    </row>
    <row r="155" spans="1:8" x14ac:dyDescent="0.25">
      <c r="A155" t="str">
        <f t="shared" si="10"/>
        <v>Direct,NSFnet,40</v>
      </c>
      <c r="B155" t="s">
        <v>33</v>
      </c>
      <c r="C155" t="s">
        <v>6</v>
      </c>
      <c r="D155">
        <v>40</v>
      </c>
      <c r="E155">
        <v>513.30899999999997</v>
      </c>
      <c r="F155">
        <f t="shared" si="9"/>
        <v>497</v>
      </c>
      <c r="G155">
        <f t="shared" si="11"/>
        <v>3.2814889336016035</v>
      </c>
      <c r="H155">
        <f t="shared" si="12"/>
        <v>3.1772285309628256</v>
      </c>
    </row>
    <row r="156" spans="1:8" x14ac:dyDescent="0.25">
      <c r="A156" t="str">
        <f t="shared" si="10"/>
        <v>Direct,NSFnet,40</v>
      </c>
      <c r="B156" t="s">
        <v>33</v>
      </c>
      <c r="C156" t="s">
        <v>6</v>
      </c>
      <c r="D156">
        <v>40</v>
      </c>
      <c r="E156">
        <v>510.017</v>
      </c>
      <c r="F156">
        <f t="shared" si="9"/>
        <v>497</v>
      </c>
      <c r="G156">
        <f t="shared" si="11"/>
        <v>2.6191146881287719</v>
      </c>
      <c r="H156">
        <f t="shared" si="12"/>
        <v>2.5522678655809505</v>
      </c>
    </row>
    <row r="157" spans="1:8" x14ac:dyDescent="0.25">
      <c r="A157" t="str">
        <f t="shared" si="10"/>
        <v>Direct,NSFnet,40</v>
      </c>
      <c r="B157" t="s">
        <v>33</v>
      </c>
      <c r="C157" t="s">
        <v>6</v>
      </c>
      <c r="D157">
        <v>40</v>
      </c>
      <c r="E157">
        <v>523.47299999999996</v>
      </c>
      <c r="F157">
        <f t="shared" si="9"/>
        <v>497</v>
      </c>
      <c r="G157">
        <f t="shared" si="11"/>
        <v>5.3265593561368121</v>
      </c>
      <c r="H157">
        <f t="shared" si="12"/>
        <v>5.0571853753679674</v>
      </c>
    </row>
    <row r="158" spans="1:8" x14ac:dyDescent="0.25">
      <c r="A158" t="str">
        <f t="shared" si="10"/>
        <v>Direct,NSFnet,40</v>
      </c>
      <c r="B158" t="s">
        <v>33</v>
      </c>
      <c r="C158" t="s">
        <v>6</v>
      </c>
      <c r="D158">
        <v>40</v>
      </c>
      <c r="E158">
        <v>505.40699999999998</v>
      </c>
      <c r="F158">
        <f t="shared" si="9"/>
        <v>497</v>
      </c>
      <c r="G158">
        <f t="shared" si="11"/>
        <v>1.6915492957746441</v>
      </c>
      <c r="H158">
        <f t="shared" si="12"/>
        <v>1.6634118641016018</v>
      </c>
    </row>
    <row r="159" spans="1:8" x14ac:dyDescent="0.25">
      <c r="A159" t="str">
        <f t="shared" si="10"/>
        <v>Direct,NSFnet,40</v>
      </c>
      <c r="B159" t="s">
        <v>33</v>
      </c>
      <c r="C159" t="s">
        <v>6</v>
      </c>
      <c r="D159">
        <v>40</v>
      </c>
      <c r="E159">
        <v>502.22399999999999</v>
      </c>
      <c r="F159">
        <f t="shared" si="9"/>
        <v>497</v>
      </c>
      <c r="G159">
        <f t="shared" si="11"/>
        <v>1.0511066398390321</v>
      </c>
      <c r="H159">
        <f t="shared" si="12"/>
        <v>1.0401733091210275</v>
      </c>
    </row>
    <row r="160" spans="1:8" x14ac:dyDescent="0.25">
      <c r="A160" t="str">
        <f t="shared" si="10"/>
        <v>Direct,NSFnet,40</v>
      </c>
      <c r="B160" t="s">
        <v>33</v>
      </c>
      <c r="C160" t="s">
        <v>6</v>
      </c>
      <c r="D160">
        <v>40</v>
      </c>
      <c r="E160">
        <v>536.43799999999999</v>
      </c>
      <c r="F160">
        <f t="shared" si="9"/>
        <v>497</v>
      </c>
      <c r="G160">
        <f t="shared" si="11"/>
        <v>7.9352112676056308</v>
      </c>
      <c r="H160">
        <f t="shared" si="12"/>
        <v>7.3518281702638495</v>
      </c>
    </row>
    <row r="161" spans="1:8" x14ac:dyDescent="0.25">
      <c r="A161" t="str">
        <f t="shared" si="10"/>
        <v>Direct,NSFnet,40</v>
      </c>
      <c r="B161" t="s">
        <v>33</v>
      </c>
      <c r="C161" t="s">
        <v>6</v>
      </c>
      <c r="D161">
        <v>40</v>
      </c>
      <c r="E161">
        <v>528.82399999999996</v>
      </c>
      <c r="F161">
        <f t="shared" si="9"/>
        <v>497</v>
      </c>
      <c r="G161">
        <f t="shared" si="11"/>
        <v>6.4032193158953632</v>
      </c>
      <c r="H161">
        <f t="shared" si="12"/>
        <v>6.0178811854227421</v>
      </c>
    </row>
    <row r="162" spans="1:8" x14ac:dyDescent="0.25">
      <c r="A162" t="str">
        <f t="shared" si="10"/>
        <v>Direct,NSFnet,40</v>
      </c>
      <c r="B162" t="s">
        <v>33</v>
      </c>
      <c r="C162" t="s">
        <v>6</v>
      </c>
      <c r="D162">
        <v>40</v>
      </c>
      <c r="E162">
        <v>523.50900000000001</v>
      </c>
      <c r="F162">
        <f t="shared" si="9"/>
        <v>497</v>
      </c>
      <c r="G162">
        <f t="shared" si="11"/>
        <v>5.3338028169014109</v>
      </c>
      <c r="H162">
        <f t="shared" si="12"/>
        <v>5.0637142818939145</v>
      </c>
    </row>
    <row r="163" spans="1:8" x14ac:dyDescent="0.25">
      <c r="A163" t="str">
        <f t="shared" si="10"/>
        <v>Direct,NSFnet,40</v>
      </c>
      <c r="B163" t="s">
        <v>33</v>
      </c>
      <c r="C163" t="s">
        <v>6</v>
      </c>
      <c r="D163">
        <v>40</v>
      </c>
      <c r="E163">
        <v>546.80200000000002</v>
      </c>
      <c r="F163">
        <f t="shared" si="9"/>
        <v>497</v>
      </c>
      <c r="G163">
        <f t="shared" si="11"/>
        <v>10.020523138833003</v>
      </c>
      <c r="H163">
        <f t="shared" si="12"/>
        <v>9.1078671987300748</v>
      </c>
    </row>
    <row r="164" spans="1:8" x14ac:dyDescent="0.25">
      <c r="A164" t="str">
        <f t="shared" si="10"/>
        <v>Direct,NSFnet,40</v>
      </c>
      <c r="B164" t="s">
        <v>33</v>
      </c>
      <c r="C164" t="s">
        <v>6</v>
      </c>
      <c r="D164">
        <v>40</v>
      </c>
      <c r="E164">
        <v>519.58199999999999</v>
      </c>
      <c r="F164">
        <f t="shared" si="9"/>
        <v>497</v>
      </c>
      <c r="G164">
        <f t="shared" si="11"/>
        <v>4.5436619718309847</v>
      </c>
      <c r="H164">
        <f t="shared" si="12"/>
        <v>4.3461859725702574</v>
      </c>
    </row>
    <row r="165" spans="1:8" x14ac:dyDescent="0.25">
      <c r="A165" t="str">
        <f t="shared" si="10"/>
        <v>Direct,NSFnet,40</v>
      </c>
      <c r="B165" t="s">
        <v>33</v>
      </c>
      <c r="C165" t="s">
        <v>6</v>
      </c>
      <c r="D165">
        <v>40</v>
      </c>
      <c r="E165">
        <v>518.96299999999997</v>
      </c>
      <c r="F165">
        <f t="shared" si="9"/>
        <v>497</v>
      </c>
      <c r="G165">
        <f t="shared" si="11"/>
        <v>4.4191146881287651</v>
      </c>
      <c r="H165">
        <f t="shared" si="12"/>
        <v>4.2320936174640522</v>
      </c>
    </row>
    <row r="166" spans="1:8" x14ac:dyDescent="0.25">
      <c r="A166" t="str">
        <f t="shared" si="10"/>
        <v>Direct,NSFnet,40</v>
      </c>
      <c r="B166" t="s">
        <v>33</v>
      </c>
      <c r="C166" t="s">
        <v>6</v>
      </c>
      <c r="D166">
        <v>40</v>
      </c>
      <c r="E166">
        <v>522.73199999999997</v>
      </c>
      <c r="F166">
        <f t="shared" si="9"/>
        <v>497</v>
      </c>
      <c r="G166">
        <f t="shared" si="11"/>
        <v>5.1774647887323884</v>
      </c>
      <c r="H166">
        <f t="shared" si="12"/>
        <v>4.9225989608441747</v>
      </c>
    </row>
    <row r="167" spans="1:8" x14ac:dyDescent="0.25">
      <c r="A167" t="str">
        <f t="shared" si="10"/>
        <v>Direct,NSFnet,40</v>
      </c>
      <c r="B167" t="s">
        <v>33</v>
      </c>
      <c r="C167" t="s">
        <v>6</v>
      </c>
      <c r="D167">
        <v>40</v>
      </c>
      <c r="E167">
        <v>529.09299999999996</v>
      </c>
      <c r="F167">
        <f t="shared" si="9"/>
        <v>497</v>
      </c>
      <c r="G167">
        <f t="shared" si="11"/>
        <v>6.4573440643863096</v>
      </c>
      <c r="H167">
        <f t="shared" si="12"/>
        <v>6.0656633143889565</v>
      </c>
    </row>
    <row r="168" spans="1:8" x14ac:dyDescent="0.25">
      <c r="A168" t="str">
        <f t="shared" si="10"/>
        <v>Direct,NSFnet,40</v>
      </c>
      <c r="B168" t="s">
        <v>33</v>
      </c>
      <c r="C168" t="s">
        <v>6</v>
      </c>
      <c r="D168">
        <v>40</v>
      </c>
      <c r="E168">
        <v>523.23699999999997</v>
      </c>
      <c r="F168">
        <f t="shared" si="9"/>
        <v>497</v>
      </c>
      <c r="G168">
        <f t="shared" si="11"/>
        <v>5.2790744466800739</v>
      </c>
      <c r="H168">
        <f t="shared" si="12"/>
        <v>5.0143625164122501</v>
      </c>
    </row>
    <row r="169" spans="1:8" x14ac:dyDescent="0.25">
      <c r="A169" t="str">
        <f t="shared" si="10"/>
        <v>Direct,NSFnet,40</v>
      </c>
      <c r="B169" t="s">
        <v>33</v>
      </c>
      <c r="C169" t="s">
        <v>6</v>
      </c>
      <c r="D169">
        <v>40</v>
      </c>
      <c r="E169">
        <v>520.9</v>
      </c>
      <c r="F169">
        <f t="shared" si="9"/>
        <v>497</v>
      </c>
      <c r="G169">
        <f t="shared" si="11"/>
        <v>4.8088531187122685</v>
      </c>
      <c r="H169">
        <f t="shared" si="12"/>
        <v>4.5882127087732725</v>
      </c>
    </row>
    <row r="170" spans="1:8" x14ac:dyDescent="0.25">
      <c r="A170" t="str">
        <f t="shared" si="10"/>
        <v>Direct,NSFnet,40</v>
      </c>
      <c r="B170" t="s">
        <v>33</v>
      </c>
      <c r="C170" t="s">
        <v>6</v>
      </c>
      <c r="D170">
        <v>40</v>
      </c>
      <c r="E170">
        <v>519.524</v>
      </c>
      <c r="F170">
        <f t="shared" si="9"/>
        <v>497</v>
      </c>
      <c r="G170">
        <f t="shared" si="11"/>
        <v>4.5319919517102614</v>
      </c>
      <c r="H170">
        <f t="shared" si="12"/>
        <v>4.3355071180542186</v>
      </c>
    </row>
    <row r="171" spans="1:8" x14ac:dyDescent="0.25">
      <c r="A171" t="str">
        <f t="shared" si="10"/>
        <v>Direct,NSFnet,40</v>
      </c>
      <c r="B171" t="s">
        <v>33</v>
      </c>
      <c r="C171" t="s">
        <v>6</v>
      </c>
      <c r="D171">
        <v>40</v>
      </c>
      <c r="E171">
        <v>509.81</v>
      </c>
      <c r="F171">
        <f t="shared" si="9"/>
        <v>497</v>
      </c>
      <c r="G171">
        <f t="shared" si="11"/>
        <v>2.5774647887323949</v>
      </c>
      <c r="H171">
        <f t="shared" si="12"/>
        <v>2.5127008101057262</v>
      </c>
    </row>
    <row r="172" spans="1:8" x14ac:dyDescent="0.25">
      <c r="A172" t="str">
        <f t="shared" si="10"/>
        <v>Direct,NSFnet,40</v>
      </c>
      <c r="B172" t="s">
        <v>33</v>
      </c>
      <c r="C172" t="s">
        <v>6</v>
      </c>
      <c r="D172">
        <v>40</v>
      </c>
      <c r="E172">
        <v>518.42200000000003</v>
      </c>
      <c r="F172">
        <f t="shared" si="9"/>
        <v>497</v>
      </c>
      <c r="G172">
        <f t="shared" si="11"/>
        <v>4.3102615694165038</v>
      </c>
      <c r="H172">
        <f t="shared" si="12"/>
        <v>4.1321548854022438</v>
      </c>
    </row>
    <row r="173" spans="1:8" x14ac:dyDescent="0.25">
      <c r="A173" t="str">
        <f t="shared" si="10"/>
        <v>Direct,NSFnet,40</v>
      </c>
      <c r="B173" t="s">
        <v>33</v>
      </c>
      <c r="C173" t="s">
        <v>6</v>
      </c>
      <c r="D173">
        <v>40</v>
      </c>
      <c r="E173">
        <v>505.40100000000001</v>
      </c>
      <c r="F173">
        <f t="shared" si="9"/>
        <v>497</v>
      </c>
      <c r="G173">
        <f t="shared" si="11"/>
        <v>1.6903420523138855</v>
      </c>
      <c r="H173">
        <f t="shared" si="12"/>
        <v>1.6622444356065798</v>
      </c>
    </row>
    <row r="174" spans="1:8" x14ac:dyDescent="0.25">
      <c r="A174" t="str">
        <f t="shared" si="10"/>
        <v>Direct,NSFnet,40</v>
      </c>
      <c r="B174" t="s">
        <v>33</v>
      </c>
      <c r="C174" t="s">
        <v>6</v>
      </c>
      <c r="D174">
        <v>40</v>
      </c>
      <c r="E174">
        <v>515.93799999999999</v>
      </c>
      <c r="F174">
        <f t="shared" si="9"/>
        <v>497</v>
      </c>
      <c r="G174">
        <f t="shared" si="11"/>
        <v>3.810462776659957</v>
      </c>
      <c r="H174">
        <f t="shared" si="12"/>
        <v>3.6705960793738757</v>
      </c>
    </row>
    <row r="175" spans="1:8" x14ac:dyDescent="0.25">
      <c r="A175" t="str">
        <f t="shared" si="10"/>
        <v>Direct,NSFnet,40</v>
      </c>
      <c r="B175" t="s">
        <v>33</v>
      </c>
      <c r="C175" t="s">
        <v>6</v>
      </c>
      <c r="D175">
        <v>40</v>
      </c>
      <c r="E175">
        <v>510.82600000000002</v>
      </c>
      <c r="F175">
        <f t="shared" si="9"/>
        <v>497</v>
      </c>
      <c r="G175">
        <f t="shared" si="11"/>
        <v>2.7818913480885357</v>
      </c>
      <c r="H175">
        <f t="shared" si="12"/>
        <v>2.7065967668051396</v>
      </c>
    </row>
    <row r="176" spans="1:8" x14ac:dyDescent="0.25">
      <c r="A176" t="str">
        <f t="shared" si="10"/>
        <v>Direct,NSFnet,40</v>
      </c>
      <c r="B176" t="s">
        <v>33</v>
      </c>
      <c r="C176" t="s">
        <v>6</v>
      </c>
      <c r="D176">
        <v>40</v>
      </c>
      <c r="E176">
        <v>480.56099999999998</v>
      </c>
      <c r="F176">
        <f t="shared" si="9"/>
        <v>497</v>
      </c>
      <c r="G176">
        <f t="shared" si="11"/>
        <v>3.3076458752515139</v>
      </c>
      <c r="H176">
        <f t="shared" si="12"/>
        <v>3.4207936141301567</v>
      </c>
    </row>
    <row r="177" spans="1:8" x14ac:dyDescent="0.25">
      <c r="A177" t="str">
        <f t="shared" si="10"/>
        <v>Direct,NSFnet,40</v>
      </c>
      <c r="B177" t="s">
        <v>33</v>
      </c>
      <c r="C177" t="s">
        <v>6</v>
      </c>
      <c r="D177">
        <v>40</v>
      </c>
      <c r="E177">
        <v>530.15700000000004</v>
      </c>
      <c r="F177">
        <f t="shared" si="9"/>
        <v>497</v>
      </c>
      <c r="G177">
        <f t="shared" si="11"/>
        <v>6.6714285714285797</v>
      </c>
      <c r="H177">
        <f t="shared" si="12"/>
        <v>6.2541850810231754</v>
      </c>
    </row>
    <row r="178" spans="1:8" x14ac:dyDescent="0.25">
      <c r="A178" t="str">
        <f t="shared" si="10"/>
        <v>Direct,NSFnet,40</v>
      </c>
      <c r="B178" t="s">
        <v>33</v>
      </c>
      <c r="C178" t="s">
        <v>6</v>
      </c>
      <c r="D178">
        <v>40</v>
      </c>
      <c r="E178">
        <v>514.95000000000005</v>
      </c>
      <c r="F178">
        <f t="shared" si="9"/>
        <v>497</v>
      </c>
      <c r="G178">
        <f t="shared" si="11"/>
        <v>3.6116700201207337</v>
      </c>
      <c r="H178">
        <f t="shared" si="12"/>
        <v>3.4857753179920468</v>
      </c>
    </row>
    <row r="179" spans="1:8" x14ac:dyDescent="0.25">
      <c r="A179" t="str">
        <f t="shared" si="10"/>
        <v>Direct,NSFnet,40</v>
      </c>
      <c r="B179" t="s">
        <v>33</v>
      </c>
      <c r="C179" t="s">
        <v>6</v>
      </c>
      <c r="D179">
        <v>40</v>
      </c>
      <c r="E179">
        <v>495.15899999999999</v>
      </c>
      <c r="F179">
        <f t="shared" si="9"/>
        <v>497</v>
      </c>
      <c r="G179">
        <f t="shared" si="11"/>
        <v>0.37042253521126928</v>
      </c>
      <c r="H179">
        <f t="shared" si="12"/>
        <v>0.37179976532790643</v>
      </c>
    </row>
    <row r="180" spans="1:8" x14ac:dyDescent="0.25">
      <c r="A180" t="str">
        <f t="shared" si="10"/>
        <v>Direct,NSFnet,40</v>
      </c>
      <c r="B180" t="s">
        <v>33</v>
      </c>
      <c r="C180" t="s">
        <v>6</v>
      </c>
      <c r="D180">
        <v>40</v>
      </c>
      <c r="E180">
        <v>540.673</v>
      </c>
      <c r="F180">
        <f t="shared" si="9"/>
        <v>497</v>
      </c>
      <c r="G180">
        <f t="shared" si="11"/>
        <v>8.7873239436619723</v>
      </c>
      <c r="H180">
        <f t="shared" si="12"/>
        <v>8.0775256023511446</v>
      </c>
    </row>
    <row r="181" spans="1:8" x14ac:dyDescent="0.25">
      <c r="A181" t="str">
        <f t="shared" si="10"/>
        <v>Direct,NSFnet,40</v>
      </c>
      <c r="B181" t="s">
        <v>33</v>
      </c>
      <c r="C181" t="s">
        <v>6</v>
      </c>
      <c r="D181">
        <v>40</v>
      </c>
      <c r="E181">
        <v>528.79700000000003</v>
      </c>
      <c r="F181">
        <f t="shared" si="9"/>
        <v>497</v>
      </c>
      <c r="G181">
        <f t="shared" si="11"/>
        <v>6.3977867203219363</v>
      </c>
      <c r="H181">
        <f t="shared" si="12"/>
        <v>6.0130825250521509</v>
      </c>
    </row>
    <row r="182" spans="1:8" x14ac:dyDescent="0.25">
      <c r="A182" t="str">
        <f t="shared" si="10"/>
        <v>Direct,NSFnet,40</v>
      </c>
      <c r="B182" t="s">
        <v>33</v>
      </c>
      <c r="C182" t="s">
        <v>6</v>
      </c>
      <c r="D182">
        <v>40</v>
      </c>
      <c r="E182">
        <v>519.71799999999996</v>
      </c>
      <c r="F182">
        <f t="shared" si="9"/>
        <v>497</v>
      </c>
      <c r="G182">
        <f t="shared" si="11"/>
        <v>4.5710261569416417</v>
      </c>
      <c r="H182">
        <f t="shared" si="12"/>
        <v>4.3712166982863714</v>
      </c>
    </row>
    <row r="183" spans="1:8" x14ac:dyDescent="0.25">
      <c r="A183" t="str">
        <f t="shared" si="10"/>
        <v>Direct,NSFnet,40</v>
      </c>
      <c r="B183" t="s">
        <v>33</v>
      </c>
      <c r="C183" t="s">
        <v>6</v>
      </c>
      <c r="D183">
        <v>40</v>
      </c>
      <c r="E183">
        <v>512.01700000000005</v>
      </c>
      <c r="F183">
        <f t="shared" si="9"/>
        <v>497</v>
      </c>
      <c r="G183">
        <f t="shared" si="11"/>
        <v>3.0215291750503122</v>
      </c>
      <c r="H183">
        <f t="shared" si="12"/>
        <v>2.9329104307083655</v>
      </c>
    </row>
    <row r="184" spans="1:8" x14ac:dyDescent="0.25">
      <c r="A184" t="str">
        <f t="shared" si="10"/>
        <v>Direct,NSFnet,40</v>
      </c>
      <c r="B184" t="s">
        <v>33</v>
      </c>
      <c r="C184" t="s">
        <v>6</v>
      </c>
      <c r="D184">
        <v>40</v>
      </c>
      <c r="E184">
        <v>512.30899999999997</v>
      </c>
      <c r="F184">
        <f t="shared" si="9"/>
        <v>497</v>
      </c>
      <c r="G184">
        <f t="shared" si="11"/>
        <v>3.080281690140839</v>
      </c>
      <c r="H184">
        <f t="shared" si="12"/>
        <v>2.9882356156147893</v>
      </c>
    </row>
    <row r="185" spans="1:8" x14ac:dyDescent="0.25">
      <c r="A185" t="str">
        <f t="shared" si="10"/>
        <v>Direct,NSFnet,40</v>
      </c>
      <c r="B185" t="s">
        <v>33</v>
      </c>
      <c r="C185" t="s">
        <v>6</v>
      </c>
      <c r="D185">
        <v>40</v>
      </c>
      <c r="E185">
        <v>519.58000000000004</v>
      </c>
      <c r="F185">
        <f t="shared" si="9"/>
        <v>497</v>
      </c>
      <c r="G185">
        <f t="shared" si="11"/>
        <v>4.5432595573440722</v>
      </c>
      <c r="H185">
        <f t="shared" si="12"/>
        <v>4.3458177758959238</v>
      </c>
    </row>
    <row r="186" spans="1:8" x14ac:dyDescent="0.25">
      <c r="A186" t="str">
        <f t="shared" si="10"/>
        <v>Direct,NSFnet,40</v>
      </c>
      <c r="B186" t="s">
        <v>33</v>
      </c>
      <c r="C186" t="s">
        <v>6</v>
      </c>
      <c r="D186">
        <v>40</v>
      </c>
      <c r="E186">
        <v>532.38</v>
      </c>
      <c r="F186">
        <f t="shared" si="9"/>
        <v>497</v>
      </c>
      <c r="G186">
        <f t="shared" si="11"/>
        <v>7.11871227364185</v>
      </c>
      <c r="H186">
        <f t="shared" si="12"/>
        <v>6.645629061948231</v>
      </c>
    </row>
    <row r="187" spans="1:8" x14ac:dyDescent="0.25">
      <c r="A187" t="str">
        <f t="shared" si="10"/>
        <v>Direct,NSFnet,40</v>
      </c>
      <c r="B187" t="s">
        <v>33</v>
      </c>
      <c r="C187" t="s">
        <v>6</v>
      </c>
      <c r="D187">
        <v>40</v>
      </c>
      <c r="E187">
        <v>520.15200000000004</v>
      </c>
      <c r="F187">
        <f t="shared" si="9"/>
        <v>497</v>
      </c>
      <c r="G187">
        <f t="shared" si="11"/>
        <v>4.6583501006036299</v>
      </c>
      <c r="H187">
        <f t="shared" si="12"/>
        <v>4.4510066288315802</v>
      </c>
    </row>
    <row r="188" spans="1:8" x14ac:dyDescent="0.25">
      <c r="A188" t="str">
        <f t="shared" si="10"/>
        <v>Direct,NSFnet,40</v>
      </c>
      <c r="B188" t="s">
        <v>33</v>
      </c>
      <c r="C188" t="s">
        <v>6</v>
      </c>
      <c r="D188">
        <v>40</v>
      </c>
      <c r="E188">
        <v>519.64099999999996</v>
      </c>
      <c r="F188">
        <f t="shared" si="9"/>
        <v>497</v>
      </c>
      <c r="G188">
        <f t="shared" si="11"/>
        <v>4.555533199195164</v>
      </c>
      <c r="H188">
        <f t="shared" si="12"/>
        <v>4.3570464994101634</v>
      </c>
    </row>
    <row r="189" spans="1:8" x14ac:dyDescent="0.25">
      <c r="A189" t="str">
        <f t="shared" si="10"/>
        <v>Direct,NSFnet,40</v>
      </c>
      <c r="B189" t="s">
        <v>33</v>
      </c>
      <c r="C189" t="s">
        <v>6</v>
      </c>
      <c r="D189">
        <v>40</v>
      </c>
      <c r="E189">
        <v>513.96600000000001</v>
      </c>
      <c r="F189">
        <f t="shared" si="9"/>
        <v>497</v>
      </c>
      <c r="G189">
        <f t="shared" si="11"/>
        <v>3.4136820925553333</v>
      </c>
      <c r="H189">
        <f t="shared" si="12"/>
        <v>3.3009965639750503</v>
      </c>
    </row>
    <row r="190" spans="1:8" x14ac:dyDescent="0.25">
      <c r="A190" t="str">
        <f t="shared" si="10"/>
        <v>Direct,NSFnet,40</v>
      </c>
      <c r="B190" t="s">
        <v>33</v>
      </c>
      <c r="C190" t="s">
        <v>6</v>
      </c>
      <c r="D190">
        <v>40</v>
      </c>
      <c r="E190">
        <v>506.30099999999999</v>
      </c>
      <c r="F190">
        <f t="shared" si="9"/>
        <v>497</v>
      </c>
      <c r="G190">
        <f t="shared" si="11"/>
        <v>1.871428571428569</v>
      </c>
      <c r="H190">
        <f t="shared" si="12"/>
        <v>1.8370495021736057</v>
      </c>
    </row>
    <row r="191" spans="1:8" x14ac:dyDescent="0.25">
      <c r="A191" t="str">
        <f t="shared" si="10"/>
        <v>Direct,NSFnet,40</v>
      </c>
      <c r="B191" t="s">
        <v>33</v>
      </c>
      <c r="C191" t="s">
        <v>6</v>
      </c>
      <c r="D191">
        <v>40</v>
      </c>
      <c r="E191">
        <v>535.80399999999997</v>
      </c>
      <c r="F191">
        <f t="shared" si="9"/>
        <v>497</v>
      </c>
      <c r="G191">
        <f t="shared" si="11"/>
        <v>7.8076458752515041</v>
      </c>
      <c r="H191">
        <f t="shared" si="12"/>
        <v>7.2422005061552319</v>
      </c>
    </row>
    <row r="192" spans="1:8" x14ac:dyDescent="0.25">
      <c r="A192" t="str">
        <f t="shared" si="10"/>
        <v>Direct,NSFnet,40</v>
      </c>
      <c r="B192" t="s">
        <v>33</v>
      </c>
      <c r="C192" t="s">
        <v>6</v>
      </c>
      <c r="D192">
        <v>40</v>
      </c>
      <c r="E192">
        <v>532.66200000000003</v>
      </c>
      <c r="F192">
        <f t="shared" si="9"/>
        <v>497</v>
      </c>
      <c r="G192">
        <f t="shared" si="11"/>
        <v>7.1754527162977935</v>
      </c>
      <c r="H192">
        <f t="shared" si="12"/>
        <v>6.6950523972049885</v>
      </c>
    </row>
    <row r="193" spans="1:8" x14ac:dyDescent="0.25">
      <c r="A193" t="str">
        <f t="shared" si="10"/>
        <v>Direct,NSFnet,40</v>
      </c>
      <c r="B193" t="s">
        <v>33</v>
      </c>
      <c r="C193" t="s">
        <v>6</v>
      </c>
      <c r="D193">
        <v>40</v>
      </c>
      <c r="E193">
        <v>522.15899999999999</v>
      </c>
      <c r="F193">
        <f t="shared" si="9"/>
        <v>497</v>
      </c>
      <c r="G193">
        <f t="shared" si="11"/>
        <v>5.0621730382293748</v>
      </c>
      <c r="H193">
        <f t="shared" si="12"/>
        <v>4.8182641685770031</v>
      </c>
    </row>
    <row r="194" spans="1:8" x14ac:dyDescent="0.25">
      <c r="A194" t="str">
        <f t="shared" si="10"/>
        <v>Direct,NSFnet,40</v>
      </c>
      <c r="B194" t="s">
        <v>33</v>
      </c>
      <c r="C194" t="s">
        <v>6</v>
      </c>
      <c r="D194">
        <v>40</v>
      </c>
      <c r="E194">
        <v>508.48099999999999</v>
      </c>
      <c r="F194">
        <f t="shared" si="9"/>
        <v>497</v>
      </c>
      <c r="G194">
        <f t="shared" si="11"/>
        <v>2.3100603621730373</v>
      </c>
      <c r="H194">
        <f t="shared" si="12"/>
        <v>2.2579014751780293</v>
      </c>
    </row>
    <row r="195" spans="1:8" x14ac:dyDescent="0.25">
      <c r="A195" t="str">
        <f t="shared" si="10"/>
        <v>Direct,NSFnet,40</v>
      </c>
      <c r="B195" t="s">
        <v>33</v>
      </c>
      <c r="C195" t="s">
        <v>6</v>
      </c>
      <c r="D195">
        <v>40</v>
      </c>
      <c r="E195">
        <v>522.36800000000005</v>
      </c>
      <c r="F195">
        <f t="shared" ref="F195:F258" si="13">_xlfn.XLOOKUP(A195,$J$3:$J$36,$N$3:$N$36)</f>
        <v>497</v>
      </c>
      <c r="G195">
        <f t="shared" si="11"/>
        <v>5.104225352112687</v>
      </c>
      <c r="H195">
        <f t="shared" si="12"/>
        <v>4.8563464837049839</v>
      </c>
    </row>
    <row r="196" spans="1:8" x14ac:dyDescent="0.25">
      <c r="A196" t="str">
        <f t="shared" ref="A196:A259" si="14">B196&amp;","&amp;C196&amp;","&amp;D196</f>
        <v>Direct,NSFnet,40</v>
      </c>
      <c r="B196" t="s">
        <v>33</v>
      </c>
      <c r="C196" t="s">
        <v>6</v>
      </c>
      <c r="D196">
        <v>40</v>
      </c>
      <c r="E196">
        <v>495.61599999999999</v>
      </c>
      <c r="F196">
        <f t="shared" si="13"/>
        <v>497</v>
      </c>
      <c r="G196">
        <f t="shared" ref="G196:G259" si="15">ABS((E196-F196)/F196)*100</f>
        <v>0.2784708249497011</v>
      </c>
      <c r="H196">
        <f t="shared" ref="H196:H259" si="16">ABS((F196-E196)/E196)*100</f>
        <v>0.27924845041322605</v>
      </c>
    </row>
    <row r="197" spans="1:8" x14ac:dyDescent="0.25">
      <c r="A197" t="str">
        <f t="shared" si="14"/>
        <v>Direct,NSFnet,40</v>
      </c>
      <c r="B197" t="s">
        <v>33</v>
      </c>
      <c r="C197" t="s">
        <v>6</v>
      </c>
      <c r="D197">
        <v>40</v>
      </c>
      <c r="E197">
        <v>502.41899999999998</v>
      </c>
      <c r="F197">
        <f t="shared" si="13"/>
        <v>497</v>
      </c>
      <c r="G197">
        <f t="shared" si="15"/>
        <v>1.0903420523138798</v>
      </c>
      <c r="H197">
        <f t="shared" si="16"/>
        <v>1.0785818211492764</v>
      </c>
    </row>
    <row r="198" spans="1:8" x14ac:dyDescent="0.25">
      <c r="A198" t="str">
        <f t="shared" si="14"/>
        <v>Direct,NSFnet,40</v>
      </c>
      <c r="B198" t="s">
        <v>33</v>
      </c>
      <c r="C198" t="s">
        <v>6</v>
      </c>
      <c r="D198">
        <v>40</v>
      </c>
      <c r="E198">
        <v>498.279</v>
      </c>
      <c r="F198">
        <f t="shared" si="13"/>
        <v>497</v>
      </c>
      <c r="G198">
        <f t="shared" si="15"/>
        <v>0.25734406438631718</v>
      </c>
      <c r="H198">
        <f t="shared" si="16"/>
        <v>0.25668350462291134</v>
      </c>
    </row>
    <row r="199" spans="1:8" x14ac:dyDescent="0.25">
      <c r="A199" t="str">
        <f t="shared" si="14"/>
        <v>Direct,NSFnet,40</v>
      </c>
      <c r="B199" t="s">
        <v>33</v>
      </c>
      <c r="C199" t="s">
        <v>6</v>
      </c>
      <c r="D199">
        <v>40</v>
      </c>
      <c r="E199">
        <v>524.61300000000006</v>
      </c>
      <c r="F199">
        <f t="shared" si="13"/>
        <v>497</v>
      </c>
      <c r="G199">
        <f t="shared" si="15"/>
        <v>5.5559356136821041</v>
      </c>
      <c r="H199">
        <f t="shared" si="16"/>
        <v>5.26349899830924</v>
      </c>
    </row>
    <row r="200" spans="1:8" x14ac:dyDescent="0.25">
      <c r="A200" t="str">
        <f t="shared" si="14"/>
        <v>Direct,NSFnet,40</v>
      </c>
      <c r="B200" t="s">
        <v>33</v>
      </c>
      <c r="C200" t="s">
        <v>6</v>
      </c>
      <c r="D200">
        <v>40</v>
      </c>
      <c r="E200">
        <v>484.75099999999998</v>
      </c>
      <c r="F200">
        <f t="shared" si="13"/>
        <v>497</v>
      </c>
      <c r="G200">
        <f t="shared" si="15"/>
        <v>2.4645875251509102</v>
      </c>
      <c r="H200">
        <f t="shared" si="16"/>
        <v>2.5268643076548627</v>
      </c>
    </row>
    <row r="201" spans="1:8" x14ac:dyDescent="0.25">
      <c r="A201" t="str">
        <f t="shared" si="14"/>
        <v>Direct,NSFnet,40</v>
      </c>
      <c r="B201" t="s">
        <v>33</v>
      </c>
      <c r="C201" t="s">
        <v>6</v>
      </c>
      <c r="D201">
        <v>40</v>
      </c>
      <c r="E201">
        <v>538.75699999999995</v>
      </c>
      <c r="F201">
        <f t="shared" si="13"/>
        <v>497</v>
      </c>
      <c r="G201">
        <f t="shared" si="15"/>
        <v>8.4018108651911358</v>
      </c>
      <c r="H201">
        <f t="shared" si="16"/>
        <v>7.7506185534480201</v>
      </c>
    </row>
    <row r="202" spans="1:8" x14ac:dyDescent="0.25">
      <c r="A202" t="str">
        <f t="shared" si="14"/>
        <v>Direct,NSFnet,40</v>
      </c>
      <c r="B202" t="s">
        <v>33</v>
      </c>
      <c r="C202" t="s">
        <v>6</v>
      </c>
      <c r="D202">
        <v>40</v>
      </c>
      <c r="E202">
        <v>538.30100000000004</v>
      </c>
      <c r="F202">
        <f t="shared" si="13"/>
        <v>497</v>
      </c>
      <c r="G202">
        <f t="shared" si="15"/>
        <v>8.3100603621730471</v>
      </c>
      <c r="H202">
        <f t="shared" si="16"/>
        <v>7.6724732073691193</v>
      </c>
    </row>
    <row r="203" spans="1:8" x14ac:dyDescent="0.25">
      <c r="A203" t="str">
        <f t="shared" si="14"/>
        <v>Direct,NSFnet,60</v>
      </c>
      <c r="B203" t="s">
        <v>33</v>
      </c>
      <c r="C203" t="s">
        <v>6</v>
      </c>
      <c r="D203">
        <v>60</v>
      </c>
      <c r="E203">
        <v>702.56299999999999</v>
      </c>
      <c r="F203">
        <f t="shared" si="13"/>
        <v>687</v>
      </c>
      <c r="G203">
        <f t="shared" si="15"/>
        <v>2.2653566229985427</v>
      </c>
      <c r="H203">
        <f t="shared" si="16"/>
        <v>2.2151750092162534</v>
      </c>
    </row>
    <row r="204" spans="1:8" x14ac:dyDescent="0.25">
      <c r="A204" t="str">
        <f t="shared" si="14"/>
        <v>Direct,NSFnet,60</v>
      </c>
      <c r="B204" t="s">
        <v>33</v>
      </c>
      <c r="C204" t="s">
        <v>6</v>
      </c>
      <c r="D204">
        <v>60</v>
      </c>
      <c r="E204">
        <v>678.61199999999997</v>
      </c>
      <c r="F204">
        <f t="shared" si="13"/>
        <v>687</v>
      </c>
      <c r="G204">
        <f t="shared" si="15"/>
        <v>1.2209606986899613</v>
      </c>
      <c r="H204">
        <f t="shared" si="16"/>
        <v>1.2360524128662673</v>
      </c>
    </row>
    <row r="205" spans="1:8" x14ac:dyDescent="0.25">
      <c r="A205" t="str">
        <f t="shared" si="14"/>
        <v>Direct,NSFnet,60</v>
      </c>
      <c r="B205" t="s">
        <v>33</v>
      </c>
      <c r="C205" t="s">
        <v>6</v>
      </c>
      <c r="D205">
        <v>60</v>
      </c>
      <c r="E205">
        <v>694.56399999999996</v>
      </c>
      <c r="F205">
        <f t="shared" si="13"/>
        <v>687</v>
      </c>
      <c r="G205">
        <f t="shared" si="15"/>
        <v>1.101018922852979</v>
      </c>
      <c r="H205">
        <f t="shared" si="16"/>
        <v>1.0890285128512225</v>
      </c>
    </row>
    <row r="206" spans="1:8" x14ac:dyDescent="0.25">
      <c r="A206" t="str">
        <f t="shared" si="14"/>
        <v>Direct,NSFnet,60</v>
      </c>
      <c r="B206" t="s">
        <v>33</v>
      </c>
      <c r="C206" t="s">
        <v>6</v>
      </c>
      <c r="D206">
        <v>60</v>
      </c>
      <c r="E206">
        <v>713.60799999999995</v>
      </c>
      <c r="F206">
        <f t="shared" si="13"/>
        <v>687</v>
      </c>
      <c r="G206">
        <f t="shared" si="15"/>
        <v>3.8730713245997013</v>
      </c>
      <c r="H206">
        <f t="shared" si="16"/>
        <v>3.728657750473642</v>
      </c>
    </row>
    <row r="207" spans="1:8" x14ac:dyDescent="0.25">
      <c r="A207" t="str">
        <f t="shared" si="14"/>
        <v>Direct,NSFnet,60</v>
      </c>
      <c r="B207" t="s">
        <v>33</v>
      </c>
      <c r="C207" t="s">
        <v>6</v>
      </c>
      <c r="D207">
        <v>60</v>
      </c>
      <c r="E207">
        <v>670.29</v>
      </c>
      <c r="F207">
        <f t="shared" si="13"/>
        <v>687</v>
      </c>
      <c r="G207">
        <f t="shared" si="15"/>
        <v>2.4323144104803545</v>
      </c>
      <c r="H207">
        <f t="shared" si="16"/>
        <v>2.4929508123349651</v>
      </c>
    </row>
    <row r="208" spans="1:8" x14ac:dyDescent="0.25">
      <c r="A208" t="str">
        <f t="shared" si="14"/>
        <v>Direct,NSFnet,60</v>
      </c>
      <c r="B208" t="s">
        <v>33</v>
      </c>
      <c r="C208" t="s">
        <v>6</v>
      </c>
      <c r="D208">
        <v>60</v>
      </c>
      <c r="E208">
        <v>663.28499999999997</v>
      </c>
      <c r="F208">
        <f t="shared" si="13"/>
        <v>687</v>
      </c>
      <c r="G208">
        <f t="shared" si="15"/>
        <v>3.4519650655021881</v>
      </c>
      <c r="H208">
        <f t="shared" si="16"/>
        <v>3.5753861462267404</v>
      </c>
    </row>
    <row r="209" spans="1:8" x14ac:dyDescent="0.25">
      <c r="A209" t="str">
        <f t="shared" si="14"/>
        <v>Direct,NSFnet,60</v>
      </c>
      <c r="B209" t="s">
        <v>33</v>
      </c>
      <c r="C209" t="s">
        <v>6</v>
      </c>
      <c r="D209">
        <v>60</v>
      </c>
      <c r="E209">
        <v>719.447</v>
      </c>
      <c r="F209">
        <f t="shared" si="13"/>
        <v>687</v>
      </c>
      <c r="G209">
        <f t="shared" si="15"/>
        <v>4.7229985443959244</v>
      </c>
      <c r="H209">
        <f t="shared" si="16"/>
        <v>4.5099917019599776</v>
      </c>
    </row>
    <row r="210" spans="1:8" x14ac:dyDescent="0.25">
      <c r="A210" t="str">
        <f t="shared" si="14"/>
        <v>Direct,NSFnet,60</v>
      </c>
      <c r="B210" t="s">
        <v>33</v>
      </c>
      <c r="C210" t="s">
        <v>6</v>
      </c>
      <c r="D210">
        <v>60</v>
      </c>
      <c r="E210">
        <v>726.22</v>
      </c>
      <c r="F210">
        <f t="shared" si="13"/>
        <v>687</v>
      </c>
      <c r="G210">
        <f t="shared" si="15"/>
        <v>5.708879184861722</v>
      </c>
      <c r="H210">
        <f t="shared" si="16"/>
        <v>5.4005673211974363</v>
      </c>
    </row>
    <row r="211" spans="1:8" x14ac:dyDescent="0.25">
      <c r="A211" t="str">
        <f t="shared" si="14"/>
        <v>Direct,NSFnet,60</v>
      </c>
      <c r="B211" t="s">
        <v>33</v>
      </c>
      <c r="C211" t="s">
        <v>6</v>
      </c>
      <c r="D211">
        <v>60</v>
      </c>
      <c r="E211">
        <v>694.23800000000006</v>
      </c>
      <c r="F211">
        <f t="shared" si="13"/>
        <v>687</v>
      </c>
      <c r="G211">
        <f t="shared" si="15"/>
        <v>1.053566229985452</v>
      </c>
      <c r="H211">
        <f t="shared" si="16"/>
        <v>1.0425819387587623</v>
      </c>
    </row>
    <row r="212" spans="1:8" x14ac:dyDescent="0.25">
      <c r="A212" t="str">
        <f t="shared" si="14"/>
        <v>Direct,NSFnet,60</v>
      </c>
      <c r="B212" t="s">
        <v>33</v>
      </c>
      <c r="C212" t="s">
        <v>6</v>
      </c>
      <c r="D212">
        <v>60</v>
      </c>
      <c r="E212">
        <v>747.22699999999998</v>
      </c>
      <c r="F212">
        <f t="shared" si="13"/>
        <v>687</v>
      </c>
      <c r="G212">
        <f t="shared" si="15"/>
        <v>8.7666666666666622</v>
      </c>
      <c r="H212">
        <f t="shared" si="16"/>
        <v>8.0600674226172195</v>
      </c>
    </row>
    <row r="213" spans="1:8" x14ac:dyDescent="0.25">
      <c r="A213" t="str">
        <f t="shared" si="14"/>
        <v>Direct,NSFnet,60</v>
      </c>
      <c r="B213" t="s">
        <v>33</v>
      </c>
      <c r="C213" t="s">
        <v>6</v>
      </c>
      <c r="D213">
        <v>60</v>
      </c>
      <c r="E213">
        <v>724.53899999999999</v>
      </c>
      <c r="F213">
        <f t="shared" si="13"/>
        <v>687</v>
      </c>
      <c r="G213">
        <f t="shared" si="15"/>
        <v>5.4641921397379898</v>
      </c>
      <c r="H213">
        <f t="shared" si="16"/>
        <v>5.1810875605039879</v>
      </c>
    </row>
    <row r="214" spans="1:8" x14ac:dyDescent="0.25">
      <c r="A214" t="str">
        <f t="shared" si="14"/>
        <v>Direct,NSFnet,60</v>
      </c>
      <c r="B214" t="s">
        <v>33</v>
      </c>
      <c r="C214" t="s">
        <v>6</v>
      </c>
      <c r="D214">
        <v>60</v>
      </c>
      <c r="E214">
        <v>713.29</v>
      </c>
      <c r="F214">
        <f t="shared" si="13"/>
        <v>687</v>
      </c>
      <c r="G214">
        <f t="shared" si="15"/>
        <v>3.8267831149927169</v>
      </c>
      <c r="H214">
        <f t="shared" si="16"/>
        <v>3.6857379186586057</v>
      </c>
    </row>
    <row r="215" spans="1:8" x14ac:dyDescent="0.25">
      <c r="A215" t="str">
        <f t="shared" si="14"/>
        <v>Direct,NSFnet,60</v>
      </c>
      <c r="B215" t="s">
        <v>33</v>
      </c>
      <c r="C215" t="s">
        <v>6</v>
      </c>
      <c r="D215">
        <v>60</v>
      </c>
      <c r="E215">
        <v>708.154</v>
      </c>
      <c r="F215">
        <f t="shared" si="13"/>
        <v>687</v>
      </c>
      <c r="G215">
        <f t="shared" si="15"/>
        <v>3.0791848617176121</v>
      </c>
      <c r="H215">
        <f t="shared" si="16"/>
        <v>2.9872033484242126</v>
      </c>
    </row>
    <row r="216" spans="1:8" x14ac:dyDescent="0.25">
      <c r="A216" t="str">
        <f t="shared" si="14"/>
        <v>Direct,NSFnet,60</v>
      </c>
      <c r="B216" t="s">
        <v>33</v>
      </c>
      <c r="C216" t="s">
        <v>6</v>
      </c>
      <c r="D216">
        <v>60</v>
      </c>
      <c r="E216">
        <v>703.28300000000002</v>
      </c>
      <c r="F216">
        <f t="shared" si="13"/>
        <v>687</v>
      </c>
      <c r="G216">
        <f t="shared" si="15"/>
        <v>2.3701601164483286</v>
      </c>
      <c r="H216">
        <f t="shared" si="16"/>
        <v>2.3152841743650869</v>
      </c>
    </row>
    <row r="217" spans="1:8" x14ac:dyDescent="0.25">
      <c r="A217" t="str">
        <f t="shared" si="14"/>
        <v>Direct,NSFnet,60</v>
      </c>
      <c r="B217" t="s">
        <v>33</v>
      </c>
      <c r="C217" t="s">
        <v>6</v>
      </c>
      <c r="D217">
        <v>60</v>
      </c>
      <c r="E217">
        <v>744.80499999999995</v>
      </c>
      <c r="F217">
        <f t="shared" si="13"/>
        <v>687</v>
      </c>
      <c r="G217">
        <f t="shared" si="15"/>
        <v>8.414119359534201</v>
      </c>
      <c r="H217">
        <f t="shared" si="16"/>
        <v>7.7610918294050064</v>
      </c>
    </row>
    <row r="218" spans="1:8" x14ac:dyDescent="0.25">
      <c r="A218" t="str">
        <f t="shared" si="14"/>
        <v>Direct,NSFnet,60</v>
      </c>
      <c r="B218" t="s">
        <v>33</v>
      </c>
      <c r="C218" t="s">
        <v>6</v>
      </c>
      <c r="D218">
        <v>60</v>
      </c>
      <c r="E218">
        <v>715.87699999999995</v>
      </c>
      <c r="F218">
        <f t="shared" si="13"/>
        <v>687</v>
      </c>
      <c r="G218">
        <f t="shared" si="15"/>
        <v>4.2033478893740828</v>
      </c>
      <c r="H218">
        <f t="shared" si="16"/>
        <v>4.0337935148077051</v>
      </c>
    </row>
    <row r="219" spans="1:8" x14ac:dyDescent="0.25">
      <c r="A219" t="str">
        <f t="shared" si="14"/>
        <v>Direct,NSFnet,60</v>
      </c>
      <c r="B219" t="s">
        <v>33</v>
      </c>
      <c r="C219" t="s">
        <v>6</v>
      </c>
      <c r="D219">
        <v>60</v>
      </c>
      <c r="E219">
        <v>739.91800000000001</v>
      </c>
      <c r="F219">
        <f t="shared" si="13"/>
        <v>687</v>
      </c>
      <c r="G219">
        <f t="shared" si="15"/>
        <v>7.7027656477438144</v>
      </c>
      <c r="H219">
        <f t="shared" si="16"/>
        <v>7.1518735859919618</v>
      </c>
    </row>
    <row r="220" spans="1:8" x14ac:dyDescent="0.25">
      <c r="A220" t="str">
        <f t="shared" si="14"/>
        <v>Direct,NSFnet,60</v>
      </c>
      <c r="B220" t="s">
        <v>33</v>
      </c>
      <c r="C220" t="s">
        <v>6</v>
      </c>
      <c r="D220">
        <v>60</v>
      </c>
      <c r="E220">
        <v>697.91099999999994</v>
      </c>
      <c r="F220">
        <f t="shared" si="13"/>
        <v>687</v>
      </c>
      <c r="G220">
        <f t="shared" si="15"/>
        <v>1.5882096069868914</v>
      </c>
      <c r="H220">
        <f t="shared" si="16"/>
        <v>1.5633798578901816</v>
      </c>
    </row>
    <row r="221" spans="1:8" x14ac:dyDescent="0.25">
      <c r="A221" t="str">
        <f t="shared" si="14"/>
        <v>Direct,NSFnet,60</v>
      </c>
      <c r="B221" t="s">
        <v>33</v>
      </c>
      <c r="C221" t="s">
        <v>6</v>
      </c>
      <c r="D221">
        <v>60</v>
      </c>
      <c r="E221">
        <v>693.51</v>
      </c>
      <c r="F221">
        <f t="shared" si="13"/>
        <v>687</v>
      </c>
      <c r="G221">
        <f t="shared" si="15"/>
        <v>0.94759825327510783</v>
      </c>
      <c r="H221">
        <f t="shared" si="16"/>
        <v>0.93870311891681313</v>
      </c>
    </row>
    <row r="222" spans="1:8" x14ac:dyDescent="0.25">
      <c r="A222" t="str">
        <f t="shared" si="14"/>
        <v>Direct,NSFnet,60</v>
      </c>
      <c r="B222" t="s">
        <v>33</v>
      </c>
      <c r="C222" t="s">
        <v>6</v>
      </c>
      <c r="D222">
        <v>60</v>
      </c>
      <c r="E222">
        <v>712.96699999999998</v>
      </c>
      <c r="F222">
        <f t="shared" si="13"/>
        <v>687</v>
      </c>
      <c r="G222">
        <f t="shared" si="15"/>
        <v>3.7797671033478872</v>
      </c>
      <c r="H222">
        <f t="shared" si="16"/>
        <v>3.6421040525017268</v>
      </c>
    </row>
    <row r="223" spans="1:8" x14ac:dyDescent="0.25">
      <c r="A223" t="str">
        <f t="shared" si="14"/>
        <v>Direct,NSFnet,60</v>
      </c>
      <c r="B223" t="s">
        <v>33</v>
      </c>
      <c r="C223" t="s">
        <v>6</v>
      </c>
      <c r="D223">
        <v>60</v>
      </c>
      <c r="E223">
        <v>750.34900000000005</v>
      </c>
      <c r="F223">
        <f t="shared" si="13"/>
        <v>687</v>
      </c>
      <c r="G223">
        <f t="shared" si="15"/>
        <v>9.2211062590975317</v>
      </c>
      <c r="H223">
        <f t="shared" si="16"/>
        <v>8.4426047079425768</v>
      </c>
    </row>
    <row r="224" spans="1:8" x14ac:dyDescent="0.25">
      <c r="A224" t="str">
        <f t="shared" si="14"/>
        <v>Direct,NSFnet,60</v>
      </c>
      <c r="B224" t="s">
        <v>33</v>
      </c>
      <c r="C224" t="s">
        <v>6</v>
      </c>
      <c r="D224">
        <v>60</v>
      </c>
      <c r="E224">
        <v>757.42200000000003</v>
      </c>
      <c r="F224">
        <f t="shared" si="13"/>
        <v>687</v>
      </c>
      <c r="G224">
        <f t="shared" si="15"/>
        <v>10.250655021834065</v>
      </c>
      <c r="H224">
        <f t="shared" si="16"/>
        <v>9.2975910390772931</v>
      </c>
    </row>
    <row r="225" spans="1:8" x14ac:dyDescent="0.25">
      <c r="A225" t="str">
        <f t="shared" si="14"/>
        <v>Direct,NSFnet,60</v>
      </c>
      <c r="B225" t="s">
        <v>33</v>
      </c>
      <c r="C225" t="s">
        <v>6</v>
      </c>
      <c r="D225">
        <v>60</v>
      </c>
      <c r="E225">
        <v>682.08199999999999</v>
      </c>
      <c r="F225">
        <f t="shared" si="13"/>
        <v>687</v>
      </c>
      <c r="G225">
        <f t="shared" si="15"/>
        <v>0.7158660844250373</v>
      </c>
      <c r="H225">
        <f t="shared" si="16"/>
        <v>0.72102767702417103</v>
      </c>
    </row>
    <row r="226" spans="1:8" x14ac:dyDescent="0.25">
      <c r="A226" t="str">
        <f t="shared" si="14"/>
        <v>Direct,NSFnet,60</v>
      </c>
      <c r="B226" t="s">
        <v>33</v>
      </c>
      <c r="C226" t="s">
        <v>6</v>
      </c>
      <c r="D226">
        <v>60</v>
      </c>
      <c r="E226">
        <v>668.35900000000004</v>
      </c>
      <c r="F226">
        <f t="shared" si="13"/>
        <v>687</v>
      </c>
      <c r="G226">
        <f t="shared" si="15"/>
        <v>2.7133915574963554</v>
      </c>
      <c r="H226">
        <f t="shared" si="16"/>
        <v>2.7890699459422201</v>
      </c>
    </row>
    <row r="227" spans="1:8" x14ac:dyDescent="0.25">
      <c r="A227" t="str">
        <f t="shared" si="14"/>
        <v>Direct,NSFnet,60</v>
      </c>
      <c r="B227" t="s">
        <v>33</v>
      </c>
      <c r="C227" t="s">
        <v>6</v>
      </c>
      <c r="D227">
        <v>60</v>
      </c>
      <c r="E227">
        <v>728.19200000000001</v>
      </c>
      <c r="F227">
        <f t="shared" si="13"/>
        <v>687</v>
      </c>
      <c r="G227">
        <f t="shared" si="15"/>
        <v>5.9959243085880649</v>
      </c>
      <c r="H227">
        <f t="shared" si="16"/>
        <v>5.6567498681666386</v>
      </c>
    </row>
    <row r="228" spans="1:8" x14ac:dyDescent="0.25">
      <c r="A228" t="str">
        <f t="shared" si="14"/>
        <v>Direct,NSFnet,60</v>
      </c>
      <c r="B228" t="s">
        <v>33</v>
      </c>
      <c r="C228" t="s">
        <v>6</v>
      </c>
      <c r="D228">
        <v>60</v>
      </c>
      <c r="E228">
        <v>716.77200000000005</v>
      </c>
      <c r="F228">
        <f t="shared" si="13"/>
        <v>687</v>
      </c>
      <c r="G228">
        <f t="shared" si="15"/>
        <v>4.3336244541484783</v>
      </c>
      <c r="H228">
        <f t="shared" si="16"/>
        <v>4.1536220722907764</v>
      </c>
    </row>
    <row r="229" spans="1:8" x14ac:dyDescent="0.25">
      <c r="A229" t="str">
        <f t="shared" si="14"/>
        <v>Direct,NSFnet,60</v>
      </c>
      <c r="B229" t="s">
        <v>33</v>
      </c>
      <c r="C229" t="s">
        <v>6</v>
      </c>
      <c r="D229">
        <v>60</v>
      </c>
      <c r="E229">
        <v>684.12300000000005</v>
      </c>
      <c r="F229">
        <f t="shared" si="13"/>
        <v>687</v>
      </c>
      <c r="G229">
        <f t="shared" si="15"/>
        <v>0.41877729257641233</v>
      </c>
      <c r="H229">
        <f t="shared" si="16"/>
        <v>0.42053841195222968</v>
      </c>
    </row>
    <row r="230" spans="1:8" x14ac:dyDescent="0.25">
      <c r="A230" t="str">
        <f t="shared" si="14"/>
        <v>Direct,NSFnet,60</v>
      </c>
      <c r="B230" t="s">
        <v>33</v>
      </c>
      <c r="C230" t="s">
        <v>6</v>
      </c>
      <c r="D230">
        <v>60</v>
      </c>
      <c r="E230">
        <v>692.00599999999997</v>
      </c>
      <c r="F230">
        <f t="shared" si="13"/>
        <v>687</v>
      </c>
      <c r="G230">
        <f t="shared" si="15"/>
        <v>0.72867540029111677</v>
      </c>
      <c r="H230">
        <f t="shared" si="16"/>
        <v>0.72340413233410872</v>
      </c>
    </row>
    <row r="231" spans="1:8" x14ac:dyDescent="0.25">
      <c r="A231" t="str">
        <f t="shared" si="14"/>
        <v>Direct,NSFnet,60</v>
      </c>
      <c r="B231" t="s">
        <v>33</v>
      </c>
      <c r="C231" t="s">
        <v>6</v>
      </c>
      <c r="D231">
        <v>60</v>
      </c>
      <c r="E231">
        <v>704.89200000000005</v>
      </c>
      <c r="F231">
        <f t="shared" si="13"/>
        <v>687</v>
      </c>
      <c r="G231">
        <f t="shared" si="15"/>
        <v>2.6043668122270818</v>
      </c>
      <c r="H231">
        <f t="shared" si="16"/>
        <v>2.5382611804361592</v>
      </c>
    </row>
    <row r="232" spans="1:8" x14ac:dyDescent="0.25">
      <c r="A232" t="str">
        <f t="shared" si="14"/>
        <v>Direct,NSFnet,60</v>
      </c>
      <c r="B232" t="s">
        <v>33</v>
      </c>
      <c r="C232" t="s">
        <v>6</v>
      </c>
      <c r="D232">
        <v>60</v>
      </c>
      <c r="E232">
        <v>728.221</v>
      </c>
      <c r="F232">
        <f t="shared" si="13"/>
        <v>687</v>
      </c>
      <c r="G232">
        <f t="shared" si="15"/>
        <v>6.0001455604075691</v>
      </c>
      <c r="H232">
        <f t="shared" si="16"/>
        <v>5.6605069065572131</v>
      </c>
    </row>
    <row r="233" spans="1:8" x14ac:dyDescent="0.25">
      <c r="A233" t="str">
        <f t="shared" si="14"/>
        <v>Direct,NSFnet,60</v>
      </c>
      <c r="B233" t="s">
        <v>33</v>
      </c>
      <c r="C233" t="s">
        <v>6</v>
      </c>
      <c r="D233">
        <v>60</v>
      </c>
      <c r="E233">
        <v>698.024</v>
      </c>
      <c r="F233">
        <f t="shared" si="13"/>
        <v>687</v>
      </c>
      <c r="G233">
        <f t="shared" si="15"/>
        <v>1.6046579330422126</v>
      </c>
      <c r="H233">
        <f t="shared" si="16"/>
        <v>1.5793153244014535</v>
      </c>
    </row>
    <row r="234" spans="1:8" x14ac:dyDescent="0.25">
      <c r="A234" t="str">
        <f t="shared" si="14"/>
        <v>Direct,NSFnet,60</v>
      </c>
      <c r="B234" t="s">
        <v>33</v>
      </c>
      <c r="C234" t="s">
        <v>6</v>
      </c>
      <c r="D234">
        <v>60</v>
      </c>
      <c r="E234">
        <v>698.50900000000001</v>
      </c>
      <c r="F234">
        <f t="shared" si="13"/>
        <v>687</v>
      </c>
      <c r="G234">
        <f t="shared" si="15"/>
        <v>1.6752547307132482</v>
      </c>
      <c r="H234">
        <f t="shared" si="16"/>
        <v>1.6476523566625503</v>
      </c>
    </row>
    <row r="235" spans="1:8" x14ac:dyDescent="0.25">
      <c r="A235" t="str">
        <f t="shared" si="14"/>
        <v>Direct,NSFnet,60</v>
      </c>
      <c r="B235" t="s">
        <v>33</v>
      </c>
      <c r="C235" t="s">
        <v>6</v>
      </c>
      <c r="D235">
        <v>60</v>
      </c>
      <c r="E235">
        <v>697.35</v>
      </c>
      <c r="F235">
        <f t="shared" si="13"/>
        <v>687</v>
      </c>
      <c r="G235">
        <f t="shared" si="15"/>
        <v>1.5065502183406145</v>
      </c>
      <c r="H235">
        <f t="shared" si="16"/>
        <v>1.4841901484190181</v>
      </c>
    </row>
    <row r="236" spans="1:8" x14ac:dyDescent="0.25">
      <c r="A236" t="str">
        <f t="shared" si="14"/>
        <v>Direct,NSFnet,60</v>
      </c>
      <c r="B236" t="s">
        <v>33</v>
      </c>
      <c r="C236" t="s">
        <v>6</v>
      </c>
      <c r="D236">
        <v>60</v>
      </c>
      <c r="E236">
        <v>667.09100000000001</v>
      </c>
      <c r="F236">
        <f t="shared" si="13"/>
        <v>687</v>
      </c>
      <c r="G236">
        <f t="shared" si="15"/>
        <v>2.8979621542940306</v>
      </c>
      <c r="H236">
        <f t="shared" si="16"/>
        <v>2.9844503973221035</v>
      </c>
    </row>
    <row r="237" spans="1:8" x14ac:dyDescent="0.25">
      <c r="A237" t="str">
        <f t="shared" si="14"/>
        <v>Direct,NSFnet,60</v>
      </c>
      <c r="B237" t="s">
        <v>33</v>
      </c>
      <c r="C237" t="s">
        <v>6</v>
      </c>
      <c r="D237">
        <v>60</v>
      </c>
      <c r="E237">
        <v>706.57600000000002</v>
      </c>
      <c r="F237">
        <f t="shared" si="13"/>
        <v>687</v>
      </c>
      <c r="G237">
        <f t="shared" si="15"/>
        <v>2.849490538573511</v>
      </c>
      <c r="H237">
        <f t="shared" si="16"/>
        <v>2.7705441452865678</v>
      </c>
    </row>
    <row r="238" spans="1:8" x14ac:dyDescent="0.25">
      <c r="A238" t="str">
        <f t="shared" si="14"/>
        <v>Direct,NSFnet,60</v>
      </c>
      <c r="B238" t="s">
        <v>33</v>
      </c>
      <c r="C238" t="s">
        <v>6</v>
      </c>
      <c r="D238">
        <v>60</v>
      </c>
      <c r="E238">
        <v>710.59799999999996</v>
      </c>
      <c r="F238">
        <f t="shared" si="13"/>
        <v>687</v>
      </c>
      <c r="G238">
        <f t="shared" si="15"/>
        <v>3.4349344978165877</v>
      </c>
      <c r="H238">
        <f t="shared" si="16"/>
        <v>3.3208649616238657</v>
      </c>
    </row>
    <row r="239" spans="1:8" x14ac:dyDescent="0.25">
      <c r="A239" t="str">
        <f t="shared" si="14"/>
        <v>Direct,NSFnet,60</v>
      </c>
      <c r="B239" t="s">
        <v>33</v>
      </c>
      <c r="C239" t="s">
        <v>6</v>
      </c>
      <c r="D239">
        <v>60</v>
      </c>
      <c r="E239">
        <v>737.16200000000003</v>
      </c>
      <c r="F239">
        <f t="shared" si="13"/>
        <v>687</v>
      </c>
      <c r="G239">
        <f t="shared" si="15"/>
        <v>7.301601164483265</v>
      </c>
      <c r="H239">
        <f t="shared" si="16"/>
        <v>6.8047457682300543</v>
      </c>
    </row>
    <row r="240" spans="1:8" x14ac:dyDescent="0.25">
      <c r="A240" t="str">
        <f t="shared" si="14"/>
        <v>Direct,NSFnet,60</v>
      </c>
      <c r="B240" t="s">
        <v>33</v>
      </c>
      <c r="C240" t="s">
        <v>6</v>
      </c>
      <c r="D240">
        <v>60</v>
      </c>
      <c r="E240">
        <v>713.97199999999998</v>
      </c>
      <c r="F240">
        <f t="shared" si="13"/>
        <v>687</v>
      </c>
      <c r="G240">
        <f t="shared" si="15"/>
        <v>3.9260553129548734</v>
      </c>
      <c r="H240">
        <f t="shared" si="16"/>
        <v>3.7777391830491927</v>
      </c>
    </row>
    <row r="241" spans="1:8" x14ac:dyDescent="0.25">
      <c r="A241" t="str">
        <f t="shared" si="14"/>
        <v>Direct,NSFnet,60</v>
      </c>
      <c r="B241" t="s">
        <v>33</v>
      </c>
      <c r="C241" t="s">
        <v>6</v>
      </c>
      <c r="D241">
        <v>60</v>
      </c>
      <c r="E241">
        <v>725.41</v>
      </c>
      <c r="F241">
        <f t="shared" si="13"/>
        <v>687</v>
      </c>
      <c r="G241">
        <f t="shared" si="15"/>
        <v>5.5909752547307088</v>
      </c>
      <c r="H241">
        <f t="shared" si="16"/>
        <v>5.2949366565114859</v>
      </c>
    </row>
    <row r="242" spans="1:8" x14ac:dyDescent="0.25">
      <c r="A242" t="str">
        <f t="shared" si="14"/>
        <v>Direct,NSFnet,60</v>
      </c>
      <c r="B242" t="s">
        <v>33</v>
      </c>
      <c r="C242" t="s">
        <v>6</v>
      </c>
      <c r="D242">
        <v>60</v>
      </c>
      <c r="E242">
        <v>743.99599999999998</v>
      </c>
      <c r="F242">
        <f t="shared" si="13"/>
        <v>687</v>
      </c>
      <c r="G242">
        <f t="shared" si="15"/>
        <v>8.2963609898107684</v>
      </c>
      <c r="H242">
        <f t="shared" si="16"/>
        <v>7.6607938752358855</v>
      </c>
    </row>
    <row r="243" spans="1:8" x14ac:dyDescent="0.25">
      <c r="A243" t="str">
        <f t="shared" si="14"/>
        <v>Direct,NSFnet,60</v>
      </c>
      <c r="B243" t="s">
        <v>33</v>
      </c>
      <c r="C243" t="s">
        <v>6</v>
      </c>
      <c r="D243">
        <v>60</v>
      </c>
      <c r="E243">
        <v>705.48800000000006</v>
      </c>
      <c r="F243">
        <f t="shared" si="13"/>
        <v>687</v>
      </c>
      <c r="G243">
        <f t="shared" si="15"/>
        <v>2.6911208151382904</v>
      </c>
      <c r="H243">
        <f t="shared" si="16"/>
        <v>2.6205973737327999</v>
      </c>
    </row>
    <row r="244" spans="1:8" x14ac:dyDescent="0.25">
      <c r="A244" t="str">
        <f t="shared" si="14"/>
        <v>Direct,NSFnet,60</v>
      </c>
      <c r="B244" t="s">
        <v>33</v>
      </c>
      <c r="C244" t="s">
        <v>6</v>
      </c>
      <c r="D244">
        <v>60</v>
      </c>
      <c r="E244">
        <v>697.62199999999996</v>
      </c>
      <c r="F244">
        <f t="shared" si="13"/>
        <v>687</v>
      </c>
      <c r="G244">
        <f t="shared" si="15"/>
        <v>1.5461426491994117</v>
      </c>
      <c r="H244">
        <f t="shared" si="16"/>
        <v>1.522601064759993</v>
      </c>
    </row>
    <row r="245" spans="1:8" x14ac:dyDescent="0.25">
      <c r="A245" t="str">
        <f t="shared" si="14"/>
        <v>Direct,NSFnet,60</v>
      </c>
      <c r="B245" t="s">
        <v>33</v>
      </c>
      <c r="C245" t="s">
        <v>6</v>
      </c>
      <c r="D245">
        <v>60</v>
      </c>
      <c r="E245">
        <v>697.10699999999997</v>
      </c>
      <c r="F245">
        <f t="shared" si="13"/>
        <v>687</v>
      </c>
      <c r="G245">
        <f t="shared" si="15"/>
        <v>1.4711790393013058</v>
      </c>
      <c r="H245">
        <f t="shared" si="16"/>
        <v>1.4498491623237137</v>
      </c>
    </row>
    <row r="246" spans="1:8" x14ac:dyDescent="0.25">
      <c r="A246" t="str">
        <f t="shared" si="14"/>
        <v>Direct,NSFnet,60</v>
      </c>
      <c r="B246" t="s">
        <v>33</v>
      </c>
      <c r="C246" t="s">
        <v>6</v>
      </c>
      <c r="D246">
        <v>60</v>
      </c>
      <c r="E246">
        <v>708.58100000000002</v>
      </c>
      <c r="F246">
        <f t="shared" si="13"/>
        <v>687</v>
      </c>
      <c r="G246">
        <f t="shared" si="15"/>
        <v>3.1413391557496388</v>
      </c>
      <c r="H246">
        <f t="shared" si="16"/>
        <v>3.0456645041286765</v>
      </c>
    </row>
    <row r="247" spans="1:8" x14ac:dyDescent="0.25">
      <c r="A247" t="str">
        <f t="shared" si="14"/>
        <v>Direct,NSFnet,60</v>
      </c>
      <c r="B247" t="s">
        <v>33</v>
      </c>
      <c r="C247" t="s">
        <v>6</v>
      </c>
      <c r="D247">
        <v>60</v>
      </c>
      <c r="E247">
        <v>718.68100000000004</v>
      </c>
      <c r="F247">
        <f t="shared" si="13"/>
        <v>687</v>
      </c>
      <c r="G247">
        <f t="shared" si="15"/>
        <v>4.6114992721979675</v>
      </c>
      <c r="H247">
        <f t="shared" si="16"/>
        <v>4.4082144929391536</v>
      </c>
    </row>
    <row r="248" spans="1:8" x14ac:dyDescent="0.25">
      <c r="A248" t="str">
        <f t="shared" si="14"/>
        <v>Direct,NSFnet,60</v>
      </c>
      <c r="B248" t="s">
        <v>33</v>
      </c>
      <c r="C248" t="s">
        <v>6</v>
      </c>
      <c r="D248">
        <v>60</v>
      </c>
      <c r="E248">
        <v>727.49</v>
      </c>
      <c r="F248">
        <f t="shared" si="13"/>
        <v>687</v>
      </c>
      <c r="G248">
        <f t="shared" si="15"/>
        <v>5.8937409024745282</v>
      </c>
      <c r="H248">
        <f t="shared" si="16"/>
        <v>5.5657122434672655</v>
      </c>
    </row>
    <row r="249" spans="1:8" x14ac:dyDescent="0.25">
      <c r="A249" t="str">
        <f t="shared" si="14"/>
        <v>Direct,NSFnet,60</v>
      </c>
      <c r="B249" t="s">
        <v>33</v>
      </c>
      <c r="C249" t="s">
        <v>6</v>
      </c>
      <c r="D249">
        <v>60</v>
      </c>
      <c r="E249">
        <v>696.721</v>
      </c>
      <c r="F249">
        <f t="shared" si="13"/>
        <v>687</v>
      </c>
      <c r="G249">
        <f t="shared" si="15"/>
        <v>1.4149927219796221</v>
      </c>
      <c r="H249">
        <f t="shared" si="16"/>
        <v>1.3952500355235458</v>
      </c>
    </row>
    <row r="250" spans="1:8" x14ac:dyDescent="0.25">
      <c r="A250" t="str">
        <f t="shared" si="14"/>
        <v>Direct,NSFnet,60</v>
      </c>
      <c r="B250" t="s">
        <v>33</v>
      </c>
      <c r="C250" t="s">
        <v>6</v>
      </c>
      <c r="D250">
        <v>60</v>
      </c>
      <c r="E250">
        <v>706.51300000000003</v>
      </c>
      <c r="F250">
        <f t="shared" si="13"/>
        <v>687</v>
      </c>
      <c r="G250">
        <f t="shared" si="15"/>
        <v>2.8403202328966572</v>
      </c>
      <c r="H250">
        <f t="shared" si="16"/>
        <v>2.7618741622588732</v>
      </c>
    </row>
    <row r="251" spans="1:8" x14ac:dyDescent="0.25">
      <c r="A251" t="str">
        <f t="shared" si="14"/>
        <v>Direct,NSFnet,60</v>
      </c>
      <c r="B251" t="s">
        <v>33</v>
      </c>
      <c r="C251" t="s">
        <v>6</v>
      </c>
      <c r="D251">
        <v>60</v>
      </c>
      <c r="E251">
        <v>697.23</v>
      </c>
      <c r="F251">
        <f t="shared" si="13"/>
        <v>687</v>
      </c>
      <c r="G251">
        <f t="shared" si="15"/>
        <v>1.4890829694323171</v>
      </c>
      <c r="H251">
        <f t="shared" si="16"/>
        <v>1.4672346284583306</v>
      </c>
    </row>
    <row r="252" spans="1:8" x14ac:dyDescent="0.25">
      <c r="A252" t="str">
        <f t="shared" si="14"/>
        <v>Direct,NSFnet,60</v>
      </c>
      <c r="B252" t="s">
        <v>33</v>
      </c>
      <c r="C252" t="s">
        <v>6</v>
      </c>
      <c r="D252">
        <v>60</v>
      </c>
      <c r="E252">
        <v>750.84900000000005</v>
      </c>
      <c r="F252">
        <f t="shared" si="13"/>
        <v>687</v>
      </c>
      <c r="G252">
        <f t="shared" si="15"/>
        <v>9.293886462882103</v>
      </c>
      <c r="H252">
        <f t="shared" si="16"/>
        <v>8.5035739542837572</v>
      </c>
    </row>
    <row r="253" spans="1:8" x14ac:dyDescent="0.25">
      <c r="A253" t="str">
        <f t="shared" si="14"/>
        <v>Direct,NSFnet,60</v>
      </c>
      <c r="B253" t="s">
        <v>33</v>
      </c>
      <c r="C253" t="s">
        <v>6</v>
      </c>
      <c r="D253">
        <v>60</v>
      </c>
      <c r="E253">
        <v>746.00099999999998</v>
      </c>
      <c r="F253">
        <f t="shared" si="13"/>
        <v>687</v>
      </c>
      <c r="G253">
        <f t="shared" si="15"/>
        <v>8.5882096069868972</v>
      </c>
      <c r="H253">
        <f t="shared" si="16"/>
        <v>7.9089706314066577</v>
      </c>
    </row>
    <row r="254" spans="1:8" x14ac:dyDescent="0.25">
      <c r="A254" t="str">
        <f t="shared" si="14"/>
        <v>Direct,NSFnet,60</v>
      </c>
      <c r="B254" t="s">
        <v>33</v>
      </c>
      <c r="C254" t="s">
        <v>6</v>
      </c>
      <c r="D254">
        <v>60</v>
      </c>
      <c r="E254">
        <v>713.94</v>
      </c>
      <c r="F254">
        <f t="shared" si="13"/>
        <v>687</v>
      </c>
      <c r="G254">
        <f t="shared" si="15"/>
        <v>3.9213973799126713</v>
      </c>
      <c r="H254">
        <f t="shared" si="16"/>
        <v>3.7734263383477678</v>
      </c>
    </row>
    <row r="255" spans="1:8" x14ac:dyDescent="0.25">
      <c r="A255" t="str">
        <f t="shared" si="14"/>
        <v>Direct,NSFnet,60</v>
      </c>
      <c r="B255" t="s">
        <v>33</v>
      </c>
      <c r="C255" t="s">
        <v>6</v>
      </c>
      <c r="D255">
        <v>60</v>
      </c>
      <c r="E255">
        <v>664.60199999999998</v>
      </c>
      <c r="F255">
        <f t="shared" si="13"/>
        <v>687</v>
      </c>
      <c r="G255">
        <f t="shared" si="15"/>
        <v>3.2602620087336285</v>
      </c>
      <c r="H255">
        <f t="shared" si="16"/>
        <v>3.3701373152653806</v>
      </c>
    </row>
    <row r="256" spans="1:8" x14ac:dyDescent="0.25">
      <c r="A256" t="str">
        <f t="shared" si="14"/>
        <v>Direct,NSFnet,60</v>
      </c>
      <c r="B256" t="s">
        <v>33</v>
      </c>
      <c r="C256" t="s">
        <v>6</v>
      </c>
      <c r="D256">
        <v>60</v>
      </c>
      <c r="E256">
        <v>726.25599999999997</v>
      </c>
      <c r="F256">
        <f t="shared" si="13"/>
        <v>687</v>
      </c>
      <c r="G256">
        <f t="shared" si="15"/>
        <v>5.7141193595342026</v>
      </c>
      <c r="H256">
        <f t="shared" si="16"/>
        <v>5.4052565486550161</v>
      </c>
    </row>
    <row r="257" spans="1:8" x14ac:dyDescent="0.25">
      <c r="A257" t="str">
        <f t="shared" si="14"/>
        <v>Direct,NSFnet,60</v>
      </c>
      <c r="B257" t="s">
        <v>33</v>
      </c>
      <c r="C257" t="s">
        <v>6</v>
      </c>
      <c r="D257">
        <v>60</v>
      </c>
      <c r="E257">
        <v>728.51300000000003</v>
      </c>
      <c r="F257">
        <f t="shared" si="13"/>
        <v>687</v>
      </c>
      <c r="G257">
        <f t="shared" si="15"/>
        <v>6.0426491994177631</v>
      </c>
      <c r="H257">
        <f t="shared" si="16"/>
        <v>5.6983197279938764</v>
      </c>
    </row>
    <row r="258" spans="1:8" x14ac:dyDescent="0.25">
      <c r="A258" t="str">
        <f t="shared" si="14"/>
        <v>Direct,NSFnet,60</v>
      </c>
      <c r="B258" t="s">
        <v>33</v>
      </c>
      <c r="C258" t="s">
        <v>6</v>
      </c>
      <c r="D258">
        <v>60</v>
      </c>
      <c r="E258">
        <v>721.84799999999996</v>
      </c>
      <c r="F258">
        <f t="shared" si="13"/>
        <v>687</v>
      </c>
      <c r="G258">
        <f t="shared" si="15"/>
        <v>5.072489082969426</v>
      </c>
      <c r="H258">
        <f t="shared" si="16"/>
        <v>4.8276091365495173</v>
      </c>
    </row>
    <row r="259" spans="1:8" x14ac:dyDescent="0.25">
      <c r="A259" t="str">
        <f t="shared" si="14"/>
        <v>Direct,NSFnet,60</v>
      </c>
      <c r="B259" t="s">
        <v>33</v>
      </c>
      <c r="C259" t="s">
        <v>6</v>
      </c>
      <c r="D259">
        <v>60</v>
      </c>
      <c r="E259">
        <v>690.26099999999997</v>
      </c>
      <c r="F259">
        <f t="shared" ref="F259:F322" si="17">_xlfn.XLOOKUP(A259,$J$3:$J$36,$N$3:$N$36)</f>
        <v>687</v>
      </c>
      <c r="G259">
        <f t="shared" si="15"/>
        <v>0.47467248908296467</v>
      </c>
      <c r="H259">
        <f t="shared" si="16"/>
        <v>0.47242999387187856</v>
      </c>
    </row>
    <row r="260" spans="1:8" x14ac:dyDescent="0.25">
      <c r="A260" t="str">
        <f t="shared" ref="A260:A323" si="18">B260&amp;","&amp;C260&amp;","&amp;D260</f>
        <v>Direct,NSFnet,60</v>
      </c>
      <c r="B260" t="s">
        <v>33</v>
      </c>
      <c r="C260" t="s">
        <v>6</v>
      </c>
      <c r="D260">
        <v>60</v>
      </c>
      <c r="E260">
        <v>701.80600000000004</v>
      </c>
      <c r="F260">
        <f t="shared" si="17"/>
        <v>687</v>
      </c>
      <c r="G260">
        <f t="shared" ref="G260:G323" si="19">ABS((E260-F260)/F260)*100</f>
        <v>2.1551673944687102</v>
      </c>
      <c r="H260">
        <f t="shared" ref="H260:H323" si="20">ABS((F260-E260)/E260)*100</f>
        <v>2.1096998315773932</v>
      </c>
    </row>
    <row r="261" spans="1:8" x14ac:dyDescent="0.25">
      <c r="A261" t="str">
        <f t="shared" si="18"/>
        <v>Direct,NSFnet,60</v>
      </c>
      <c r="B261" t="s">
        <v>33</v>
      </c>
      <c r="C261" t="s">
        <v>6</v>
      </c>
      <c r="D261">
        <v>60</v>
      </c>
      <c r="E261">
        <v>676.053</v>
      </c>
      <c r="F261">
        <f t="shared" si="17"/>
        <v>687</v>
      </c>
      <c r="G261">
        <f t="shared" si="19"/>
        <v>1.5934497816593891</v>
      </c>
      <c r="H261">
        <f t="shared" si="20"/>
        <v>1.6192517450554917</v>
      </c>
    </row>
    <row r="262" spans="1:8" x14ac:dyDescent="0.25">
      <c r="A262" t="str">
        <f t="shared" si="18"/>
        <v>Direct,NSFnet,60</v>
      </c>
      <c r="B262" t="s">
        <v>33</v>
      </c>
      <c r="C262" t="s">
        <v>6</v>
      </c>
      <c r="D262">
        <v>60</v>
      </c>
      <c r="E262">
        <v>739.21</v>
      </c>
      <c r="F262">
        <f t="shared" si="17"/>
        <v>687</v>
      </c>
      <c r="G262">
        <f t="shared" si="19"/>
        <v>7.5997088791848677</v>
      </c>
      <c r="H262">
        <f t="shared" si="20"/>
        <v>7.062945577034947</v>
      </c>
    </row>
    <row r="263" spans="1:8" x14ac:dyDescent="0.25">
      <c r="A263" t="str">
        <f t="shared" si="18"/>
        <v>Direct,NSFnet,60</v>
      </c>
      <c r="B263" t="s">
        <v>33</v>
      </c>
      <c r="C263" t="s">
        <v>6</v>
      </c>
      <c r="D263">
        <v>60</v>
      </c>
      <c r="E263">
        <v>723.01800000000003</v>
      </c>
      <c r="F263">
        <f t="shared" si="17"/>
        <v>687</v>
      </c>
      <c r="G263">
        <f t="shared" si="19"/>
        <v>5.2427947598253315</v>
      </c>
      <c r="H263">
        <f t="shared" si="20"/>
        <v>4.9816187148867703</v>
      </c>
    </row>
    <row r="264" spans="1:8" x14ac:dyDescent="0.25">
      <c r="A264" t="str">
        <f t="shared" si="18"/>
        <v>Direct,NSFnet,60</v>
      </c>
      <c r="B264" t="s">
        <v>33</v>
      </c>
      <c r="C264" t="s">
        <v>6</v>
      </c>
      <c r="D264">
        <v>60</v>
      </c>
      <c r="E264">
        <v>703.01400000000001</v>
      </c>
      <c r="F264">
        <f t="shared" si="17"/>
        <v>687</v>
      </c>
      <c r="G264">
        <f t="shared" si="19"/>
        <v>2.3310043668122287</v>
      </c>
      <c r="H264">
        <f t="shared" si="20"/>
        <v>2.2779062721368293</v>
      </c>
    </row>
    <row r="265" spans="1:8" x14ac:dyDescent="0.25">
      <c r="A265" t="str">
        <f t="shared" si="18"/>
        <v>Direct,NSFnet,60</v>
      </c>
      <c r="B265" t="s">
        <v>33</v>
      </c>
      <c r="C265" t="s">
        <v>6</v>
      </c>
      <c r="D265">
        <v>60</v>
      </c>
      <c r="E265">
        <v>703.78</v>
      </c>
      <c r="F265">
        <f t="shared" si="17"/>
        <v>687</v>
      </c>
      <c r="G265">
        <f t="shared" si="19"/>
        <v>2.4425036390101855</v>
      </c>
      <c r="H265">
        <f t="shared" si="20"/>
        <v>2.3842678109636495</v>
      </c>
    </row>
    <row r="266" spans="1:8" x14ac:dyDescent="0.25">
      <c r="A266" t="str">
        <f t="shared" si="18"/>
        <v>Direct,NSFnet,60</v>
      </c>
      <c r="B266" t="s">
        <v>33</v>
      </c>
      <c r="C266" t="s">
        <v>6</v>
      </c>
      <c r="D266">
        <v>60</v>
      </c>
      <c r="E266">
        <v>679.49699999999996</v>
      </c>
      <c r="F266">
        <f t="shared" si="17"/>
        <v>687</v>
      </c>
      <c r="G266">
        <f t="shared" si="19"/>
        <v>1.0921397379912725</v>
      </c>
      <c r="H266">
        <f t="shared" si="20"/>
        <v>1.1041991355370286</v>
      </c>
    </row>
    <row r="267" spans="1:8" x14ac:dyDescent="0.25">
      <c r="A267" t="str">
        <f t="shared" si="18"/>
        <v>Direct,NSFnet,60</v>
      </c>
      <c r="B267" t="s">
        <v>33</v>
      </c>
      <c r="C267" t="s">
        <v>6</v>
      </c>
      <c r="D267">
        <v>60</v>
      </c>
      <c r="E267">
        <v>694.74300000000005</v>
      </c>
      <c r="F267">
        <f t="shared" si="17"/>
        <v>687</v>
      </c>
      <c r="G267">
        <f t="shared" si="19"/>
        <v>1.1270742358078678</v>
      </c>
      <c r="H267">
        <f t="shared" si="20"/>
        <v>1.1145128486361218</v>
      </c>
    </row>
    <row r="268" spans="1:8" x14ac:dyDescent="0.25">
      <c r="A268" t="str">
        <f t="shared" si="18"/>
        <v>Direct,NSFnet,60</v>
      </c>
      <c r="B268" t="s">
        <v>33</v>
      </c>
      <c r="C268" t="s">
        <v>6</v>
      </c>
      <c r="D268">
        <v>60</v>
      </c>
      <c r="E268">
        <v>723.17399999999998</v>
      </c>
      <c r="F268">
        <f t="shared" si="17"/>
        <v>687</v>
      </c>
      <c r="G268">
        <f t="shared" si="19"/>
        <v>5.2655021834061104</v>
      </c>
      <c r="H268">
        <f t="shared" si="20"/>
        <v>5.0021156734063972</v>
      </c>
    </row>
    <row r="269" spans="1:8" x14ac:dyDescent="0.25">
      <c r="A269" t="str">
        <f t="shared" si="18"/>
        <v>Direct,NSFnet,60</v>
      </c>
      <c r="B269" t="s">
        <v>33</v>
      </c>
      <c r="C269" t="s">
        <v>6</v>
      </c>
      <c r="D269">
        <v>60</v>
      </c>
      <c r="E269">
        <v>718.28499999999997</v>
      </c>
      <c r="F269">
        <f t="shared" si="17"/>
        <v>687</v>
      </c>
      <c r="G269">
        <f t="shared" si="19"/>
        <v>4.5538573508005777</v>
      </c>
      <c r="H269">
        <f t="shared" si="20"/>
        <v>4.3555134800253335</v>
      </c>
    </row>
    <row r="270" spans="1:8" x14ac:dyDescent="0.25">
      <c r="A270" t="str">
        <f t="shared" si="18"/>
        <v>Direct,NSFnet,60</v>
      </c>
      <c r="B270" t="s">
        <v>33</v>
      </c>
      <c r="C270" t="s">
        <v>6</v>
      </c>
      <c r="D270">
        <v>60</v>
      </c>
      <c r="E270">
        <v>714.08299999999997</v>
      </c>
      <c r="F270">
        <f t="shared" si="17"/>
        <v>687</v>
      </c>
      <c r="G270">
        <f t="shared" si="19"/>
        <v>3.9422125181950465</v>
      </c>
      <c r="H270">
        <f t="shared" si="20"/>
        <v>3.7926963672290155</v>
      </c>
    </row>
    <row r="271" spans="1:8" x14ac:dyDescent="0.25">
      <c r="A271" t="str">
        <f t="shared" si="18"/>
        <v>Direct,NSFnet,60</v>
      </c>
      <c r="B271" t="s">
        <v>33</v>
      </c>
      <c r="C271" t="s">
        <v>6</v>
      </c>
      <c r="D271">
        <v>60</v>
      </c>
      <c r="E271">
        <v>700.38499999999999</v>
      </c>
      <c r="F271">
        <f t="shared" si="17"/>
        <v>687</v>
      </c>
      <c r="G271">
        <f t="shared" si="19"/>
        <v>1.9483260553129533</v>
      </c>
      <c r="H271">
        <f t="shared" si="20"/>
        <v>1.9110917566766836</v>
      </c>
    </row>
    <row r="272" spans="1:8" x14ac:dyDescent="0.25">
      <c r="A272" t="str">
        <f t="shared" si="18"/>
        <v>Direct,NSFnet,60</v>
      </c>
      <c r="B272" t="s">
        <v>33</v>
      </c>
      <c r="C272" t="s">
        <v>6</v>
      </c>
      <c r="D272">
        <v>60</v>
      </c>
      <c r="E272">
        <v>759.56</v>
      </c>
      <c r="F272">
        <f t="shared" si="17"/>
        <v>687</v>
      </c>
      <c r="G272">
        <f t="shared" si="19"/>
        <v>10.561863173216878</v>
      </c>
      <c r="H272">
        <f t="shared" si="20"/>
        <v>9.5528990468165702</v>
      </c>
    </row>
    <row r="273" spans="1:8" x14ac:dyDescent="0.25">
      <c r="A273" t="str">
        <f t="shared" si="18"/>
        <v>Direct,NSFnet,60</v>
      </c>
      <c r="B273" t="s">
        <v>33</v>
      </c>
      <c r="C273" t="s">
        <v>6</v>
      </c>
      <c r="D273">
        <v>60</v>
      </c>
      <c r="E273">
        <v>744.803</v>
      </c>
      <c r="F273">
        <f t="shared" si="17"/>
        <v>687</v>
      </c>
      <c r="G273">
        <f t="shared" si="19"/>
        <v>8.4138282387190682</v>
      </c>
      <c r="H273">
        <f t="shared" si="20"/>
        <v>7.7608441426793391</v>
      </c>
    </row>
    <row r="274" spans="1:8" x14ac:dyDescent="0.25">
      <c r="A274" t="str">
        <f t="shared" si="18"/>
        <v>Direct,NSFnet,60</v>
      </c>
      <c r="B274" t="s">
        <v>33</v>
      </c>
      <c r="C274" t="s">
        <v>6</v>
      </c>
      <c r="D274">
        <v>60</v>
      </c>
      <c r="E274">
        <v>741.59199999999998</v>
      </c>
      <c r="F274">
        <f t="shared" si="17"/>
        <v>687</v>
      </c>
      <c r="G274">
        <f t="shared" si="19"/>
        <v>7.9464337700145533</v>
      </c>
      <c r="H274">
        <f t="shared" si="20"/>
        <v>7.3614602099267499</v>
      </c>
    </row>
    <row r="275" spans="1:8" x14ac:dyDescent="0.25">
      <c r="A275" t="str">
        <f t="shared" si="18"/>
        <v>Direct,NSFnet,60</v>
      </c>
      <c r="B275" t="s">
        <v>33</v>
      </c>
      <c r="C275" t="s">
        <v>6</v>
      </c>
      <c r="D275">
        <v>60</v>
      </c>
      <c r="E275">
        <v>725.05200000000002</v>
      </c>
      <c r="F275">
        <f t="shared" si="17"/>
        <v>687</v>
      </c>
      <c r="G275">
        <f t="shared" si="19"/>
        <v>5.5388646288209635</v>
      </c>
      <c r="H275">
        <f t="shared" si="20"/>
        <v>5.2481753032885941</v>
      </c>
    </row>
    <row r="276" spans="1:8" x14ac:dyDescent="0.25">
      <c r="A276" t="str">
        <f t="shared" si="18"/>
        <v>Direct,NSFnet,60</v>
      </c>
      <c r="B276" t="s">
        <v>33</v>
      </c>
      <c r="C276" t="s">
        <v>6</v>
      </c>
      <c r="D276">
        <v>60</v>
      </c>
      <c r="E276">
        <v>729.87900000000002</v>
      </c>
      <c r="F276">
        <f t="shared" si="17"/>
        <v>687</v>
      </c>
      <c r="G276">
        <f t="shared" si="19"/>
        <v>6.241484716157208</v>
      </c>
      <c r="H276">
        <f t="shared" si="20"/>
        <v>5.8748093862133342</v>
      </c>
    </row>
    <row r="277" spans="1:8" x14ac:dyDescent="0.25">
      <c r="A277" t="str">
        <f t="shared" si="18"/>
        <v>Direct,NSFnet,60</v>
      </c>
      <c r="B277" t="s">
        <v>33</v>
      </c>
      <c r="C277" t="s">
        <v>6</v>
      </c>
      <c r="D277">
        <v>60</v>
      </c>
      <c r="E277">
        <v>700.38099999999997</v>
      </c>
      <c r="F277">
        <f t="shared" si="17"/>
        <v>687</v>
      </c>
      <c r="G277">
        <f t="shared" si="19"/>
        <v>1.9477438136826741</v>
      </c>
      <c r="H277">
        <f t="shared" si="20"/>
        <v>1.9105315535401406</v>
      </c>
    </row>
    <row r="278" spans="1:8" x14ac:dyDescent="0.25">
      <c r="A278" t="str">
        <f t="shared" si="18"/>
        <v>Direct,NSFnet,60</v>
      </c>
      <c r="B278" t="s">
        <v>33</v>
      </c>
      <c r="C278" t="s">
        <v>6</v>
      </c>
      <c r="D278">
        <v>60</v>
      </c>
      <c r="E278">
        <v>707.71299999999997</v>
      </c>
      <c r="F278">
        <f t="shared" si="17"/>
        <v>687</v>
      </c>
      <c r="G278">
        <f t="shared" si="19"/>
        <v>3.0149927219796164</v>
      </c>
      <c r="H278">
        <f t="shared" si="20"/>
        <v>2.9267513808563592</v>
      </c>
    </row>
    <row r="279" spans="1:8" x14ac:dyDescent="0.25">
      <c r="A279" t="str">
        <f t="shared" si="18"/>
        <v>Direct,NSFnet,60</v>
      </c>
      <c r="B279" t="s">
        <v>33</v>
      </c>
      <c r="C279" t="s">
        <v>6</v>
      </c>
      <c r="D279">
        <v>60</v>
      </c>
      <c r="E279">
        <v>728.68499999999995</v>
      </c>
      <c r="F279">
        <f t="shared" si="17"/>
        <v>687</v>
      </c>
      <c r="G279">
        <f t="shared" si="19"/>
        <v>6.0676855895196429</v>
      </c>
      <c r="H279">
        <f t="shared" si="20"/>
        <v>5.7205788509438165</v>
      </c>
    </row>
    <row r="280" spans="1:8" x14ac:dyDescent="0.25">
      <c r="A280" t="str">
        <f t="shared" si="18"/>
        <v>Direct,NSFnet,60</v>
      </c>
      <c r="B280" t="s">
        <v>33</v>
      </c>
      <c r="C280" t="s">
        <v>6</v>
      </c>
      <c r="D280">
        <v>60</v>
      </c>
      <c r="E280">
        <v>752.48199999999997</v>
      </c>
      <c r="F280">
        <f t="shared" si="17"/>
        <v>687</v>
      </c>
      <c r="G280">
        <f t="shared" si="19"/>
        <v>9.5315866084424989</v>
      </c>
      <c r="H280">
        <f t="shared" si="20"/>
        <v>8.7021350676826792</v>
      </c>
    </row>
    <row r="281" spans="1:8" x14ac:dyDescent="0.25">
      <c r="A281" t="str">
        <f t="shared" si="18"/>
        <v>Direct,NSFnet,60</v>
      </c>
      <c r="B281" t="s">
        <v>33</v>
      </c>
      <c r="C281" t="s">
        <v>6</v>
      </c>
      <c r="D281">
        <v>60</v>
      </c>
      <c r="E281">
        <v>655.98</v>
      </c>
      <c r="F281">
        <f t="shared" si="17"/>
        <v>687</v>
      </c>
      <c r="G281">
        <f t="shared" si="19"/>
        <v>4.5152838427947577</v>
      </c>
      <c r="H281">
        <f t="shared" si="20"/>
        <v>4.7288027073996135</v>
      </c>
    </row>
    <row r="282" spans="1:8" x14ac:dyDescent="0.25">
      <c r="A282" t="str">
        <f t="shared" si="18"/>
        <v>Direct,NSFnet,60</v>
      </c>
      <c r="B282" t="s">
        <v>33</v>
      </c>
      <c r="C282" t="s">
        <v>6</v>
      </c>
      <c r="D282">
        <v>60</v>
      </c>
      <c r="E282">
        <v>704.57500000000005</v>
      </c>
      <c r="F282">
        <f t="shared" si="17"/>
        <v>687</v>
      </c>
      <c r="G282">
        <f t="shared" si="19"/>
        <v>2.558224163027663</v>
      </c>
      <c r="H282">
        <f t="shared" si="20"/>
        <v>2.4944115246780036</v>
      </c>
    </row>
    <row r="283" spans="1:8" x14ac:dyDescent="0.25">
      <c r="A283" t="str">
        <f t="shared" si="18"/>
        <v>Direct,NSFnet,60</v>
      </c>
      <c r="B283" t="s">
        <v>33</v>
      </c>
      <c r="C283" t="s">
        <v>6</v>
      </c>
      <c r="D283">
        <v>60</v>
      </c>
      <c r="E283">
        <v>738.92600000000004</v>
      </c>
      <c r="F283">
        <f t="shared" si="17"/>
        <v>687</v>
      </c>
      <c r="G283">
        <f t="shared" si="19"/>
        <v>7.5583697234352325</v>
      </c>
      <c r="H283">
        <f t="shared" si="20"/>
        <v>7.0272260009798053</v>
      </c>
    </row>
    <row r="284" spans="1:8" x14ac:dyDescent="0.25">
      <c r="A284" t="str">
        <f t="shared" si="18"/>
        <v>Direct,NSFnet,60</v>
      </c>
      <c r="B284" t="s">
        <v>33</v>
      </c>
      <c r="C284" t="s">
        <v>6</v>
      </c>
      <c r="D284">
        <v>60</v>
      </c>
      <c r="E284">
        <v>719.66800000000001</v>
      </c>
      <c r="F284">
        <f t="shared" si="17"/>
        <v>687</v>
      </c>
      <c r="G284">
        <f t="shared" si="19"/>
        <v>4.755167394468705</v>
      </c>
      <c r="H284">
        <f t="shared" si="20"/>
        <v>4.5393153509673914</v>
      </c>
    </row>
    <row r="285" spans="1:8" x14ac:dyDescent="0.25">
      <c r="A285" t="str">
        <f t="shared" si="18"/>
        <v>Direct,NSFnet,60</v>
      </c>
      <c r="B285" t="s">
        <v>33</v>
      </c>
      <c r="C285" t="s">
        <v>6</v>
      </c>
      <c r="D285">
        <v>60</v>
      </c>
      <c r="E285">
        <v>735.67899999999997</v>
      </c>
      <c r="F285">
        <f t="shared" si="17"/>
        <v>687</v>
      </c>
      <c r="G285">
        <f t="shared" si="19"/>
        <v>7.0857350800582193</v>
      </c>
      <c r="H285">
        <f t="shared" si="20"/>
        <v>6.6168804600919655</v>
      </c>
    </row>
    <row r="286" spans="1:8" x14ac:dyDescent="0.25">
      <c r="A286" t="str">
        <f t="shared" si="18"/>
        <v>Direct,NSFnet,60</v>
      </c>
      <c r="B286" t="s">
        <v>33</v>
      </c>
      <c r="C286" t="s">
        <v>6</v>
      </c>
      <c r="D286">
        <v>60</v>
      </c>
      <c r="E286">
        <v>677.37300000000005</v>
      </c>
      <c r="F286">
        <f t="shared" si="17"/>
        <v>687</v>
      </c>
      <c r="G286">
        <f t="shared" si="19"/>
        <v>1.4013100436681154</v>
      </c>
      <c r="H286">
        <f t="shared" si="20"/>
        <v>1.42122582388137</v>
      </c>
    </row>
    <row r="287" spans="1:8" x14ac:dyDescent="0.25">
      <c r="A287" t="str">
        <f t="shared" si="18"/>
        <v>Direct,NSFnet,60</v>
      </c>
      <c r="B287" t="s">
        <v>33</v>
      </c>
      <c r="C287" t="s">
        <v>6</v>
      </c>
      <c r="D287">
        <v>60</v>
      </c>
      <c r="E287">
        <v>759.73099999999999</v>
      </c>
      <c r="F287">
        <f t="shared" si="17"/>
        <v>687</v>
      </c>
      <c r="G287">
        <f t="shared" si="19"/>
        <v>10.586754002911206</v>
      </c>
      <c r="H287">
        <f t="shared" si="20"/>
        <v>9.5732568501219504</v>
      </c>
    </row>
    <row r="288" spans="1:8" x14ac:dyDescent="0.25">
      <c r="A288" t="str">
        <f t="shared" si="18"/>
        <v>Direct,NSFnet,60</v>
      </c>
      <c r="B288" t="s">
        <v>33</v>
      </c>
      <c r="C288" t="s">
        <v>6</v>
      </c>
      <c r="D288">
        <v>60</v>
      </c>
      <c r="E288">
        <v>707.202</v>
      </c>
      <c r="F288">
        <f t="shared" si="17"/>
        <v>687</v>
      </c>
      <c r="G288">
        <f t="shared" si="19"/>
        <v>2.9406113537117902</v>
      </c>
      <c r="H288">
        <f t="shared" si="20"/>
        <v>2.8566095684118538</v>
      </c>
    </row>
    <row r="289" spans="1:8" x14ac:dyDescent="0.25">
      <c r="A289" t="str">
        <f t="shared" si="18"/>
        <v>Direct,NSFnet,60</v>
      </c>
      <c r="B289" t="s">
        <v>33</v>
      </c>
      <c r="C289" t="s">
        <v>6</v>
      </c>
      <c r="D289">
        <v>60</v>
      </c>
      <c r="E289">
        <v>674.76</v>
      </c>
      <c r="F289">
        <f t="shared" si="17"/>
        <v>687</v>
      </c>
      <c r="G289">
        <f t="shared" si="19"/>
        <v>1.7816593886462895</v>
      </c>
      <c r="H289">
        <f t="shared" si="20"/>
        <v>1.8139783033967647</v>
      </c>
    </row>
    <row r="290" spans="1:8" x14ac:dyDescent="0.25">
      <c r="A290" t="str">
        <f t="shared" si="18"/>
        <v>Direct,NSFnet,60</v>
      </c>
      <c r="B290" t="s">
        <v>33</v>
      </c>
      <c r="C290" t="s">
        <v>6</v>
      </c>
      <c r="D290">
        <v>60</v>
      </c>
      <c r="E290">
        <v>721.02700000000004</v>
      </c>
      <c r="F290">
        <f t="shared" si="17"/>
        <v>687</v>
      </c>
      <c r="G290">
        <f t="shared" si="19"/>
        <v>4.9529839883551734</v>
      </c>
      <c r="H290">
        <f t="shared" si="20"/>
        <v>4.7192407496529318</v>
      </c>
    </row>
    <row r="291" spans="1:8" x14ac:dyDescent="0.25">
      <c r="A291" t="str">
        <f t="shared" si="18"/>
        <v>Direct,NSFnet,60</v>
      </c>
      <c r="B291" t="s">
        <v>33</v>
      </c>
      <c r="C291" t="s">
        <v>6</v>
      </c>
      <c r="D291">
        <v>60</v>
      </c>
      <c r="E291">
        <v>716.94799999999998</v>
      </c>
      <c r="F291">
        <f t="shared" si="17"/>
        <v>687</v>
      </c>
      <c r="G291">
        <f t="shared" si="19"/>
        <v>4.359243085880637</v>
      </c>
      <c r="H291">
        <f t="shared" si="20"/>
        <v>4.1771509230794948</v>
      </c>
    </row>
    <row r="292" spans="1:8" x14ac:dyDescent="0.25">
      <c r="A292" t="str">
        <f t="shared" si="18"/>
        <v>Direct,NSFnet,60</v>
      </c>
      <c r="B292" t="s">
        <v>33</v>
      </c>
      <c r="C292" t="s">
        <v>6</v>
      </c>
      <c r="D292">
        <v>60</v>
      </c>
      <c r="E292">
        <v>715.85900000000004</v>
      </c>
      <c r="F292">
        <f t="shared" si="17"/>
        <v>687</v>
      </c>
      <c r="G292">
        <f t="shared" si="19"/>
        <v>4.2007278020378518</v>
      </c>
      <c r="H292">
        <f t="shared" si="20"/>
        <v>4.0313804813517793</v>
      </c>
    </row>
    <row r="293" spans="1:8" x14ac:dyDescent="0.25">
      <c r="A293" t="str">
        <f t="shared" si="18"/>
        <v>Direct,NSFnet,60</v>
      </c>
      <c r="B293" t="s">
        <v>33</v>
      </c>
      <c r="C293" t="s">
        <v>6</v>
      </c>
      <c r="D293">
        <v>60</v>
      </c>
      <c r="E293">
        <v>706.44</v>
      </c>
      <c r="F293">
        <f t="shared" si="17"/>
        <v>687</v>
      </c>
      <c r="G293">
        <f t="shared" si="19"/>
        <v>2.8296943231441127</v>
      </c>
      <c r="H293">
        <f t="shared" si="20"/>
        <v>2.7518260574146503</v>
      </c>
    </row>
    <row r="294" spans="1:8" x14ac:dyDescent="0.25">
      <c r="A294" t="str">
        <f t="shared" si="18"/>
        <v>Direct,NSFnet,60</v>
      </c>
      <c r="B294" t="s">
        <v>33</v>
      </c>
      <c r="C294" t="s">
        <v>6</v>
      </c>
      <c r="D294">
        <v>60</v>
      </c>
      <c r="E294">
        <v>696.221</v>
      </c>
      <c r="F294">
        <f t="shared" si="17"/>
        <v>687</v>
      </c>
      <c r="G294">
        <f t="shared" si="19"/>
        <v>1.3422125181950515</v>
      </c>
      <c r="H294">
        <f t="shared" si="20"/>
        <v>1.3244357754218852</v>
      </c>
    </row>
    <row r="295" spans="1:8" x14ac:dyDescent="0.25">
      <c r="A295" t="str">
        <f t="shared" si="18"/>
        <v>Direct,NSFnet,60</v>
      </c>
      <c r="B295" t="s">
        <v>33</v>
      </c>
      <c r="C295" t="s">
        <v>6</v>
      </c>
      <c r="D295">
        <v>60</v>
      </c>
      <c r="E295">
        <v>722.41300000000001</v>
      </c>
      <c r="F295">
        <f t="shared" si="17"/>
        <v>687</v>
      </c>
      <c r="G295">
        <f t="shared" si="19"/>
        <v>5.154730713245999</v>
      </c>
      <c r="H295">
        <f t="shared" si="20"/>
        <v>4.9020435678759942</v>
      </c>
    </row>
    <row r="296" spans="1:8" x14ac:dyDescent="0.25">
      <c r="A296" t="str">
        <f t="shared" si="18"/>
        <v>Direct,NSFnet,60</v>
      </c>
      <c r="B296" t="s">
        <v>33</v>
      </c>
      <c r="C296" t="s">
        <v>6</v>
      </c>
      <c r="D296">
        <v>60</v>
      </c>
      <c r="E296">
        <v>694.15599999999995</v>
      </c>
      <c r="F296">
        <f t="shared" si="17"/>
        <v>687</v>
      </c>
      <c r="G296">
        <f t="shared" si="19"/>
        <v>1.0416302765647669</v>
      </c>
      <c r="H296">
        <f t="shared" si="20"/>
        <v>1.0308921913806046</v>
      </c>
    </row>
    <row r="297" spans="1:8" x14ac:dyDescent="0.25">
      <c r="A297" t="str">
        <f t="shared" si="18"/>
        <v>Direct,NSFnet,60</v>
      </c>
      <c r="B297" t="s">
        <v>33</v>
      </c>
      <c r="C297" t="s">
        <v>6</v>
      </c>
      <c r="D297">
        <v>60</v>
      </c>
      <c r="E297">
        <v>729.553</v>
      </c>
      <c r="F297">
        <f t="shared" si="17"/>
        <v>687</v>
      </c>
      <c r="G297">
        <f t="shared" si="19"/>
        <v>6.1940320232896644</v>
      </c>
      <c r="H297">
        <f t="shared" si="20"/>
        <v>5.8327496425893663</v>
      </c>
    </row>
    <row r="298" spans="1:8" x14ac:dyDescent="0.25">
      <c r="A298" t="str">
        <f t="shared" si="18"/>
        <v>Direct,NSFnet,60</v>
      </c>
      <c r="B298" t="s">
        <v>33</v>
      </c>
      <c r="C298" t="s">
        <v>6</v>
      </c>
      <c r="D298">
        <v>60</v>
      </c>
      <c r="E298">
        <v>697.673</v>
      </c>
      <c r="F298">
        <f t="shared" si="17"/>
        <v>687</v>
      </c>
      <c r="G298">
        <f t="shared" si="19"/>
        <v>1.5535662299854442</v>
      </c>
      <c r="H298">
        <f t="shared" si="20"/>
        <v>1.5297997772595473</v>
      </c>
    </row>
    <row r="299" spans="1:8" x14ac:dyDescent="0.25">
      <c r="A299" t="str">
        <f t="shared" si="18"/>
        <v>Direct,NSFnet,60</v>
      </c>
      <c r="B299" t="s">
        <v>33</v>
      </c>
      <c r="C299" t="s">
        <v>6</v>
      </c>
      <c r="D299">
        <v>60</v>
      </c>
      <c r="E299">
        <v>679.75400000000002</v>
      </c>
      <c r="F299">
        <f t="shared" si="17"/>
        <v>687</v>
      </c>
      <c r="G299">
        <f t="shared" si="19"/>
        <v>1.0547307132459942</v>
      </c>
      <c r="H299">
        <f t="shared" si="20"/>
        <v>1.0659738670165944</v>
      </c>
    </row>
    <row r="300" spans="1:8" x14ac:dyDescent="0.25">
      <c r="A300" t="str">
        <f t="shared" si="18"/>
        <v>Direct,NSFnet,60</v>
      </c>
      <c r="B300" t="s">
        <v>33</v>
      </c>
      <c r="C300" t="s">
        <v>6</v>
      </c>
      <c r="D300">
        <v>60</v>
      </c>
      <c r="E300">
        <v>724.97799999999995</v>
      </c>
      <c r="F300">
        <f t="shared" si="17"/>
        <v>687</v>
      </c>
      <c r="G300">
        <f t="shared" si="19"/>
        <v>5.5280931586608375</v>
      </c>
      <c r="H300">
        <f t="shared" si="20"/>
        <v>5.2385037890804895</v>
      </c>
    </row>
    <row r="301" spans="1:8" x14ac:dyDescent="0.25">
      <c r="A301" t="str">
        <f t="shared" si="18"/>
        <v>Direct,NSFnet,60</v>
      </c>
      <c r="B301" t="s">
        <v>33</v>
      </c>
      <c r="C301" t="s">
        <v>6</v>
      </c>
      <c r="D301">
        <v>60</v>
      </c>
      <c r="E301">
        <v>736.67100000000005</v>
      </c>
      <c r="F301">
        <f t="shared" si="17"/>
        <v>687</v>
      </c>
      <c r="G301">
        <f t="shared" si="19"/>
        <v>7.230131004366819</v>
      </c>
      <c r="H301">
        <f t="shared" si="20"/>
        <v>6.7426300207283907</v>
      </c>
    </row>
    <row r="302" spans="1:8" x14ac:dyDescent="0.25">
      <c r="A302" t="str">
        <f t="shared" si="18"/>
        <v>Direct,NSFnet,60</v>
      </c>
      <c r="B302" t="s">
        <v>33</v>
      </c>
      <c r="C302" t="s">
        <v>6</v>
      </c>
      <c r="D302">
        <v>60</v>
      </c>
      <c r="E302">
        <v>709.14800000000002</v>
      </c>
      <c r="F302">
        <f t="shared" si="17"/>
        <v>687</v>
      </c>
      <c r="G302">
        <f t="shared" si="19"/>
        <v>3.2238719068413428</v>
      </c>
      <c r="H302">
        <f t="shared" si="20"/>
        <v>3.1231844410475702</v>
      </c>
    </row>
    <row r="303" spans="1:8" x14ac:dyDescent="0.25">
      <c r="A303" t="str">
        <f t="shared" si="18"/>
        <v>Direct,NSFnet,80</v>
      </c>
      <c r="B303" t="s">
        <v>33</v>
      </c>
      <c r="C303" t="s">
        <v>6</v>
      </c>
      <c r="D303">
        <v>80</v>
      </c>
      <c r="E303">
        <v>927.39</v>
      </c>
      <c r="F303">
        <f t="shared" si="17"/>
        <v>877</v>
      </c>
      <c r="G303">
        <f t="shared" si="19"/>
        <v>5.7457240592930425</v>
      </c>
      <c r="H303">
        <f t="shared" si="20"/>
        <v>5.4335285047283222</v>
      </c>
    </row>
    <row r="304" spans="1:8" x14ac:dyDescent="0.25">
      <c r="A304" t="str">
        <f t="shared" si="18"/>
        <v>Direct,NSFnet,80</v>
      </c>
      <c r="B304" t="s">
        <v>33</v>
      </c>
      <c r="C304" t="s">
        <v>6</v>
      </c>
      <c r="D304">
        <v>80</v>
      </c>
      <c r="E304">
        <v>929.76300000000003</v>
      </c>
      <c r="F304">
        <f t="shared" si="17"/>
        <v>877</v>
      </c>
      <c r="G304">
        <f t="shared" si="19"/>
        <v>6.0163055872291942</v>
      </c>
      <c r="H304">
        <f t="shared" si="20"/>
        <v>5.6748870411061771</v>
      </c>
    </row>
    <row r="305" spans="1:8" x14ac:dyDescent="0.25">
      <c r="A305" t="str">
        <f t="shared" si="18"/>
        <v>Direct,NSFnet,80</v>
      </c>
      <c r="B305" t="s">
        <v>33</v>
      </c>
      <c r="C305" t="s">
        <v>6</v>
      </c>
      <c r="D305">
        <v>80</v>
      </c>
      <c r="E305">
        <v>911.50099999999998</v>
      </c>
      <c r="F305">
        <f t="shared" si="17"/>
        <v>877</v>
      </c>
      <c r="G305">
        <f t="shared" si="19"/>
        <v>3.9339794754846036</v>
      </c>
      <c r="H305">
        <f t="shared" si="20"/>
        <v>3.7850753866424696</v>
      </c>
    </row>
    <row r="306" spans="1:8" x14ac:dyDescent="0.25">
      <c r="A306" t="str">
        <f t="shared" si="18"/>
        <v>Direct,NSFnet,80</v>
      </c>
      <c r="B306" t="s">
        <v>33</v>
      </c>
      <c r="C306" t="s">
        <v>6</v>
      </c>
      <c r="D306">
        <v>80</v>
      </c>
      <c r="E306">
        <v>896.2</v>
      </c>
      <c r="F306">
        <f t="shared" si="17"/>
        <v>877</v>
      </c>
      <c r="G306">
        <f t="shared" si="19"/>
        <v>2.1892816419612369</v>
      </c>
      <c r="H306">
        <f t="shared" si="20"/>
        <v>2.1423789332738274</v>
      </c>
    </row>
    <row r="307" spans="1:8" x14ac:dyDescent="0.25">
      <c r="A307" t="str">
        <f t="shared" si="18"/>
        <v>Direct,NSFnet,80</v>
      </c>
      <c r="B307" t="s">
        <v>33</v>
      </c>
      <c r="C307" t="s">
        <v>6</v>
      </c>
      <c r="D307">
        <v>80</v>
      </c>
      <c r="E307">
        <v>877.327</v>
      </c>
      <c r="F307">
        <f t="shared" si="17"/>
        <v>877</v>
      </c>
      <c r="G307">
        <f t="shared" si="19"/>
        <v>3.7286202964652015E-2</v>
      </c>
      <c r="H307">
        <f t="shared" si="20"/>
        <v>3.7272305537159822E-2</v>
      </c>
    </row>
    <row r="308" spans="1:8" x14ac:dyDescent="0.25">
      <c r="A308" t="str">
        <f t="shared" si="18"/>
        <v>Direct,NSFnet,80</v>
      </c>
      <c r="B308" t="s">
        <v>33</v>
      </c>
      <c r="C308" t="s">
        <v>6</v>
      </c>
      <c r="D308">
        <v>80</v>
      </c>
      <c r="E308">
        <v>883.98699999999997</v>
      </c>
      <c r="F308">
        <f t="shared" si="17"/>
        <v>877</v>
      </c>
      <c r="G308">
        <f t="shared" si="19"/>
        <v>0.79669327251995059</v>
      </c>
      <c r="H308">
        <f t="shared" si="20"/>
        <v>0.79039623885871246</v>
      </c>
    </row>
    <row r="309" spans="1:8" x14ac:dyDescent="0.25">
      <c r="A309" t="str">
        <f t="shared" si="18"/>
        <v>Direct,NSFnet,80</v>
      </c>
      <c r="B309" t="s">
        <v>33</v>
      </c>
      <c r="C309" t="s">
        <v>6</v>
      </c>
      <c r="D309">
        <v>80</v>
      </c>
      <c r="E309">
        <v>886.32799999999997</v>
      </c>
      <c r="F309">
        <f t="shared" si="17"/>
        <v>877</v>
      </c>
      <c r="G309">
        <f t="shared" si="19"/>
        <v>1.0636259977194953</v>
      </c>
      <c r="H309">
        <f t="shared" si="20"/>
        <v>1.0524320567555099</v>
      </c>
    </row>
    <row r="310" spans="1:8" x14ac:dyDescent="0.25">
      <c r="A310" t="str">
        <f t="shared" si="18"/>
        <v>Direct,NSFnet,80</v>
      </c>
      <c r="B310" t="s">
        <v>33</v>
      </c>
      <c r="C310" t="s">
        <v>6</v>
      </c>
      <c r="D310">
        <v>80</v>
      </c>
      <c r="E310">
        <v>862.66499999999996</v>
      </c>
      <c r="F310">
        <f t="shared" si="17"/>
        <v>877</v>
      </c>
      <c r="G310">
        <f t="shared" si="19"/>
        <v>1.6345496009122047</v>
      </c>
      <c r="H310">
        <f t="shared" si="20"/>
        <v>1.6617110929503385</v>
      </c>
    </row>
    <row r="311" spans="1:8" x14ac:dyDescent="0.25">
      <c r="A311" t="str">
        <f t="shared" si="18"/>
        <v>Direct,NSFnet,80</v>
      </c>
      <c r="B311" t="s">
        <v>33</v>
      </c>
      <c r="C311" t="s">
        <v>6</v>
      </c>
      <c r="D311">
        <v>80</v>
      </c>
      <c r="E311">
        <v>878.79600000000005</v>
      </c>
      <c r="F311">
        <f t="shared" si="17"/>
        <v>877</v>
      </c>
      <c r="G311">
        <f t="shared" si="19"/>
        <v>0.20478905359179581</v>
      </c>
      <c r="H311">
        <f t="shared" si="20"/>
        <v>0.20437052512756645</v>
      </c>
    </row>
    <row r="312" spans="1:8" x14ac:dyDescent="0.25">
      <c r="A312" t="str">
        <f t="shared" si="18"/>
        <v>Direct,NSFnet,80</v>
      </c>
      <c r="B312" t="s">
        <v>33</v>
      </c>
      <c r="C312" t="s">
        <v>6</v>
      </c>
      <c r="D312">
        <v>80</v>
      </c>
      <c r="E312">
        <v>963.74400000000003</v>
      </c>
      <c r="F312">
        <f t="shared" si="17"/>
        <v>877</v>
      </c>
      <c r="G312">
        <f t="shared" si="19"/>
        <v>9.8909920182440167</v>
      </c>
      <c r="H312">
        <f t="shared" si="20"/>
        <v>9.0007304844440039</v>
      </c>
    </row>
    <row r="313" spans="1:8" x14ac:dyDescent="0.25">
      <c r="A313" t="str">
        <f t="shared" si="18"/>
        <v>Direct,NSFnet,80</v>
      </c>
      <c r="B313" t="s">
        <v>33</v>
      </c>
      <c r="C313" t="s">
        <v>6</v>
      </c>
      <c r="D313">
        <v>80</v>
      </c>
      <c r="E313">
        <v>957.15300000000002</v>
      </c>
      <c r="F313">
        <f t="shared" si="17"/>
        <v>877</v>
      </c>
      <c r="G313">
        <f t="shared" si="19"/>
        <v>9.1394526795895121</v>
      </c>
      <c r="H313">
        <f t="shared" si="20"/>
        <v>8.3741052893320109</v>
      </c>
    </row>
    <row r="314" spans="1:8" x14ac:dyDescent="0.25">
      <c r="A314" t="str">
        <f t="shared" si="18"/>
        <v>Direct,NSFnet,80</v>
      </c>
      <c r="B314" t="s">
        <v>33</v>
      </c>
      <c r="C314" t="s">
        <v>6</v>
      </c>
      <c r="D314">
        <v>80</v>
      </c>
      <c r="E314">
        <v>851.63699999999994</v>
      </c>
      <c r="F314">
        <f t="shared" si="17"/>
        <v>877</v>
      </c>
      <c r="G314">
        <f t="shared" si="19"/>
        <v>2.8920182440136895</v>
      </c>
      <c r="H314">
        <f t="shared" si="20"/>
        <v>2.9781467925888681</v>
      </c>
    </row>
    <row r="315" spans="1:8" x14ac:dyDescent="0.25">
      <c r="A315" t="str">
        <f t="shared" si="18"/>
        <v>Direct,NSFnet,80</v>
      </c>
      <c r="B315" t="s">
        <v>33</v>
      </c>
      <c r="C315" t="s">
        <v>6</v>
      </c>
      <c r="D315">
        <v>80</v>
      </c>
      <c r="E315">
        <v>842.38900000000001</v>
      </c>
      <c r="F315">
        <f t="shared" si="17"/>
        <v>877</v>
      </c>
      <c r="G315">
        <f t="shared" si="19"/>
        <v>3.9465222348916749</v>
      </c>
      <c r="H315">
        <f t="shared" si="20"/>
        <v>4.1086718843669603</v>
      </c>
    </row>
    <row r="316" spans="1:8" x14ac:dyDescent="0.25">
      <c r="A316" t="str">
        <f t="shared" si="18"/>
        <v>Direct,NSFnet,80</v>
      </c>
      <c r="B316" t="s">
        <v>33</v>
      </c>
      <c r="C316" t="s">
        <v>6</v>
      </c>
      <c r="D316">
        <v>80</v>
      </c>
      <c r="E316">
        <v>881.41300000000001</v>
      </c>
      <c r="F316">
        <f t="shared" si="17"/>
        <v>877</v>
      </c>
      <c r="G316">
        <f t="shared" si="19"/>
        <v>0.50319270239452796</v>
      </c>
      <c r="H316">
        <f t="shared" si="20"/>
        <v>0.50067335063131713</v>
      </c>
    </row>
    <row r="317" spans="1:8" x14ac:dyDescent="0.25">
      <c r="A317" t="str">
        <f t="shared" si="18"/>
        <v>Direct,NSFnet,80</v>
      </c>
      <c r="B317" t="s">
        <v>33</v>
      </c>
      <c r="C317" t="s">
        <v>6</v>
      </c>
      <c r="D317">
        <v>80</v>
      </c>
      <c r="E317">
        <v>893.36699999999996</v>
      </c>
      <c r="F317">
        <f t="shared" si="17"/>
        <v>877</v>
      </c>
      <c r="G317">
        <f t="shared" si="19"/>
        <v>1.8662485746864268</v>
      </c>
      <c r="H317">
        <f t="shared" si="20"/>
        <v>1.8320578217014913</v>
      </c>
    </row>
    <row r="318" spans="1:8" x14ac:dyDescent="0.25">
      <c r="A318" t="str">
        <f t="shared" si="18"/>
        <v>Direct,NSFnet,80</v>
      </c>
      <c r="B318" t="s">
        <v>33</v>
      </c>
      <c r="C318" t="s">
        <v>6</v>
      </c>
      <c r="D318">
        <v>80</v>
      </c>
      <c r="E318">
        <v>910.05499999999995</v>
      </c>
      <c r="F318">
        <f t="shared" si="17"/>
        <v>877</v>
      </c>
      <c r="G318">
        <f t="shared" si="19"/>
        <v>3.7690992018243956</v>
      </c>
      <c r="H318">
        <f t="shared" si="20"/>
        <v>3.6321980539637666</v>
      </c>
    </row>
    <row r="319" spans="1:8" x14ac:dyDescent="0.25">
      <c r="A319" t="str">
        <f t="shared" si="18"/>
        <v>Direct,NSFnet,80</v>
      </c>
      <c r="B319" t="s">
        <v>33</v>
      </c>
      <c r="C319" t="s">
        <v>6</v>
      </c>
      <c r="D319">
        <v>80</v>
      </c>
      <c r="E319">
        <v>910.28399999999999</v>
      </c>
      <c r="F319">
        <f t="shared" si="17"/>
        <v>877</v>
      </c>
      <c r="G319">
        <f t="shared" si="19"/>
        <v>3.7952109464082091</v>
      </c>
      <c r="H319">
        <f t="shared" si="20"/>
        <v>3.6564412864556548</v>
      </c>
    </row>
    <row r="320" spans="1:8" x14ac:dyDescent="0.25">
      <c r="A320" t="str">
        <f t="shared" si="18"/>
        <v>Direct,NSFnet,80</v>
      </c>
      <c r="B320" t="s">
        <v>33</v>
      </c>
      <c r="C320" t="s">
        <v>6</v>
      </c>
      <c r="D320">
        <v>80</v>
      </c>
      <c r="E320">
        <v>909.33500000000004</v>
      </c>
      <c r="F320">
        <f t="shared" si="17"/>
        <v>877</v>
      </c>
      <c r="G320">
        <f t="shared" si="19"/>
        <v>3.6870011402508589</v>
      </c>
      <c r="H320">
        <f t="shared" si="20"/>
        <v>3.5558952421274928</v>
      </c>
    </row>
    <row r="321" spans="1:8" x14ac:dyDescent="0.25">
      <c r="A321" t="str">
        <f t="shared" si="18"/>
        <v>Direct,NSFnet,80</v>
      </c>
      <c r="B321" t="s">
        <v>33</v>
      </c>
      <c r="C321" t="s">
        <v>6</v>
      </c>
      <c r="D321">
        <v>80</v>
      </c>
      <c r="E321">
        <v>943.06799999999998</v>
      </c>
      <c r="F321">
        <f t="shared" si="17"/>
        <v>877</v>
      </c>
      <c r="G321">
        <f t="shared" si="19"/>
        <v>7.5334093500570107</v>
      </c>
      <c r="H321">
        <f t="shared" si="20"/>
        <v>7.0056454041490097</v>
      </c>
    </row>
    <row r="322" spans="1:8" x14ac:dyDescent="0.25">
      <c r="A322" t="str">
        <f t="shared" si="18"/>
        <v>Direct,NSFnet,80</v>
      </c>
      <c r="B322" t="s">
        <v>33</v>
      </c>
      <c r="C322" t="s">
        <v>6</v>
      </c>
      <c r="D322">
        <v>80</v>
      </c>
      <c r="E322">
        <v>964.79100000000005</v>
      </c>
      <c r="F322">
        <f t="shared" si="17"/>
        <v>877</v>
      </c>
      <c r="G322">
        <f t="shared" si="19"/>
        <v>10.010376282782218</v>
      </c>
      <c r="H322">
        <f t="shared" si="20"/>
        <v>9.0994837223813292</v>
      </c>
    </row>
    <row r="323" spans="1:8" x14ac:dyDescent="0.25">
      <c r="A323" t="str">
        <f t="shared" si="18"/>
        <v>Direct,NSFnet,80</v>
      </c>
      <c r="B323" t="s">
        <v>33</v>
      </c>
      <c r="C323" t="s">
        <v>6</v>
      </c>
      <c r="D323">
        <v>80</v>
      </c>
      <c r="E323">
        <v>913.64</v>
      </c>
      <c r="F323">
        <f t="shared" ref="F323:F386" si="21">_xlfn.XLOOKUP(A323,$J$3:$J$36,$N$3:$N$36)</f>
        <v>877</v>
      </c>
      <c r="G323">
        <f t="shared" si="19"/>
        <v>4.1778791334093484</v>
      </c>
      <c r="H323">
        <f t="shared" si="20"/>
        <v>4.0103322971848856</v>
      </c>
    </row>
    <row r="324" spans="1:8" x14ac:dyDescent="0.25">
      <c r="A324" t="str">
        <f t="shared" ref="A324:A387" si="22">B324&amp;","&amp;C324&amp;","&amp;D324</f>
        <v>Direct,NSFnet,80</v>
      </c>
      <c r="B324" t="s">
        <v>33</v>
      </c>
      <c r="C324" t="s">
        <v>6</v>
      </c>
      <c r="D324">
        <v>80</v>
      </c>
      <c r="E324">
        <v>917.077</v>
      </c>
      <c r="F324">
        <f t="shared" si="21"/>
        <v>877</v>
      </c>
      <c r="G324">
        <f t="shared" ref="G324:G387" si="23">ABS((E324-F324)/F324)*100</f>
        <v>4.569783352337514</v>
      </c>
      <c r="H324">
        <f t="shared" ref="H324:H387" si="24">ABS((F324-E324)/E324)*100</f>
        <v>4.3700801568461536</v>
      </c>
    </row>
    <row r="325" spans="1:8" x14ac:dyDescent="0.25">
      <c r="A325" t="str">
        <f t="shared" si="22"/>
        <v>Direct,NSFnet,80</v>
      </c>
      <c r="B325" t="s">
        <v>33</v>
      </c>
      <c r="C325" t="s">
        <v>6</v>
      </c>
      <c r="D325">
        <v>80</v>
      </c>
      <c r="E325">
        <v>885.31500000000005</v>
      </c>
      <c r="F325">
        <f t="shared" si="21"/>
        <v>877</v>
      </c>
      <c r="G325">
        <f t="shared" si="23"/>
        <v>0.94811858608894584</v>
      </c>
      <c r="H325">
        <f t="shared" si="24"/>
        <v>0.93921372618786025</v>
      </c>
    </row>
    <row r="326" spans="1:8" x14ac:dyDescent="0.25">
      <c r="A326" t="str">
        <f t="shared" si="22"/>
        <v>Direct,NSFnet,80</v>
      </c>
      <c r="B326" t="s">
        <v>33</v>
      </c>
      <c r="C326" t="s">
        <v>6</v>
      </c>
      <c r="D326">
        <v>80</v>
      </c>
      <c r="E326">
        <v>929.90200000000004</v>
      </c>
      <c r="F326">
        <f t="shared" si="21"/>
        <v>877</v>
      </c>
      <c r="G326">
        <f t="shared" si="23"/>
        <v>6.0321550741163108</v>
      </c>
      <c r="H326">
        <f t="shared" si="24"/>
        <v>5.6889865813816982</v>
      </c>
    </row>
    <row r="327" spans="1:8" x14ac:dyDescent="0.25">
      <c r="A327" t="str">
        <f t="shared" si="22"/>
        <v>Direct,NSFnet,80</v>
      </c>
      <c r="B327" t="s">
        <v>33</v>
      </c>
      <c r="C327" t="s">
        <v>6</v>
      </c>
      <c r="D327">
        <v>80</v>
      </c>
      <c r="E327">
        <v>919.13900000000001</v>
      </c>
      <c r="F327">
        <f t="shared" si="21"/>
        <v>877</v>
      </c>
      <c r="G327">
        <f t="shared" si="23"/>
        <v>4.8049030786773104</v>
      </c>
      <c r="H327">
        <f t="shared" si="24"/>
        <v>4.5846166901850545</v>
      </c>
    </row>
    <row r="328" spans="1:8" x14ac:dyDescent="0.25">
      <c r="A328" t="str">
        <f t="shared" si="22"/>
        <v>Direct,NSFnet,80</v>
      </c>
      <c r="B328" t="s">
        <v>33</v>
      </c>
      <c r="C328" t="s">
        <v>6</v>
      </c>
      <c r="D328">
        <v>80</v>
      </c>
      <c r="E328">
        <v>877.54</v>
      </c>
      <c r="F328">
        <f t="shared" si="21"/>
        <v>877</v>
      </c>
      <c r="G328">
        <f t="shared" si="23"/>
        <v>6.1573546180155488E-2</v>
      </c>
      <c r="H328">
        <f t="shared" si="24"/>
        <v>6.1535656494286717E-2</v>
      </c>
    </row>
    <row r="329" spans="1:8" x14ac:dyDescent="0.25">
      <c r="A329" t="str">
        <f t="shared" si="22"/>
        <v>Direct,NSFnet,80</v>
      </c>
      <c r="B329" t="s">
        <v>33</v>
      </c>
      <c r="C329" t="s">
        <v>6</v>
      </c>
      <c r="D329">
        <v>80</v>
      </c>
      <c r="E329">
        <v>834.31600000000003</v>
      </c>
      <c r="F329">
        <f t="shared" si="21"/>
        <v>877</v>
      </c>
      <c r="G329">
        <f t="shared" si="23"/>
        <v>4.8670467502850592</v>
      </c>
      <c r="H329">
        <f t="shared" si="24"/>
        <v>5.1160471571922352</v>
      </c>
    </row>
    <row r="330" spans="1:8" x14ac:dyDescent="0.25">
      <c r="A330" t="str">
        <f t="shared" si="22"/>
        <v>Direct,NSFnet,80</v>
      </c>
      <c r="B330" t="s">
        <v>33</v>
      </c>
      <c r="C330" t="s">
        <v>6</v>
      </c>
      <c r="D330">
        <v>80</v>
      </c>
      <c r="E330">
        <v>894.74</v>
      </c>
      <c r="F330">
        <f t="shared" si="21"/>
        <v>877</v>
      </c>
      <c r="G330">
        <f t="shared" si="23"/>
        <v>2.0228050171037641</v>
      </c>
      <c r="H330">
        <f t="shared" si="24"/>
        <v>1.9826988845921729</v>
      </c>
    </row>
    <row r="331" spans="1:8" x14ac:dyDescent="0.25">
      <c r="A331" t="str">
        <f t="shared" si="22"/>
        <v>Direct,NSFnet,80</v>
      </c>
      <c r="B331" t="s">
        <v>33</v>
      </c>
      <c r="C331" t="s">
        <v>6</v>
      </c>
      <c r="D331">
        <v>80</v>
      </c>
      <c r="E331">
        <v>904.71299999999997</v>
      </c>
      <c r="F331">
        <f t="shared" si="21"/>
        <v>877</v>
      </c>
      <c r="G331">
        <f t="shared" si="23"/>
        <v>3.1599771949828921</v>
      </c>
      <c r="H331">
        <f t="shared" si="24"/>
        <v>3.0631813624873265</v>
      </c>
    </row>
    <row r="332" spans="1:8" x14ac:dyDescent="0.25">
      <c r="A332" t="str">
        <f t="shared" si="22"/>
        <v>Direct,NSFnet,80</v>
      </c>
      <c r="B332" t="s">
        <v>33</v>
      </c>
      <c r="C332" t="s">
        <v>6</v>
      </c>
      <c r="D332">
        <v>80</v>
      </c>
      <c r="E332">
        <v>928.88599999999997</v>
      </c>
      <c r="F332">
        <f t="shared" si="21"/>
        <v>877</v>
      </c>
      <c r="G332">
        <f t="shared" si="23"/>
        <v>5.9163055872291874</v>
      </c>
      <c r="H332">
        <f t="shared" si="24"/>
        <v>5.5858307693301406</v>
      </c>
    </row>
    <row r="333" spans="1:8" x14ac:dyDescent="0.25">
      <c r="A333" t="str">
        <f t="shared" si="22"/>
        <v>Direct,NSFnet,80</v>
      </c>
      <c r="B333" t="s">
        <v>33</v>
      </c>
      <c r="C333" t="s">
        <v>6</v>
      </c>
      <c r="D333">
        <v>80</v>
      </c>
      <c r="E333">
        <v>922.43100000000004</v>
      </c>
      <c r="F333">
        <f t="shared" si="21"/>
        <v>877</v>
      </c>
      <c r="G333">
        <f t="shared" si="23"/>
        <v>5.1802736602052502</v>
      </c>
      <c r="H333">
        <f t="shared" si="24"/>
        <v>4.9251380320045657</v>
      </c>
    </row>
    <row r="334" spans="1:8" x14ac:dyDescent="0.25">
      <c r="A334" t="str">
        <f t="shared" si="22"/>
        <v>Direct,NSFnet,80</v>
      </c>
      <c r="B334" t="s">
        <v>33</v>
      </c>
      <c r="C334" t="s">
        <v>6</v>
      </c>
      <c r="D334">
        <v>80</v>
      </c>
      <c r="E334">
        <v>944.60599999999999</v>
      </c>
      <c r="F334">
        <f t="shared" si="21"/>
        <v>877</v>
      </c>
      <c r="G334">
        <f t="shared" si="23"/>
        <v>7.7087799315849486</v>
      </c>
      <c r="H334">
        <f t="shared" si="24"/>
        <v>7.1570580750069333</v>
      </c>
    </row>
    <row r="335" spans="1:8" x14ac:dyDescent="0.25">
      <c r="A335" t="str">
        <f t="shared" si="22"/>
        <v>Direct,NSFnet,80</v>
      </c>
      <c r="B335" t="s">
        <v>33</v>
      </c>
      <c r="C335" t="s">
        <v>6</v>
      </c>
      <c r="D335">
        <v>80</v>
      </c>
      <c r="E335">
        <v>904.34100000000001</v>
      </c>
      <c r="F335">
        <f t="shared" si="21"/>
        <v>877</v>
      </c>
      <c r="G335">
        <f t="shared" si="23"/>
        <v>3.1175598631698982</v>
      </c>
      <c r="H335">
        <f t="shared" si="24"/>
        <v>3.0233064739959827</v>
      </c>
    </row>
    <row r="336" spans="1:8" x14ac:dyDescent="0.25">
      <c r="A336" t="str">
        <f t="shared" si="22"/>
        <v>Direct,NSFnet,80</v>
      </c>
      <c r="B336" t="s">
        <v>33</v>
      </c>
      <c r="C336" t="s">
        <v>6</v>
      </c>
      <c r="D336">
        <v>80</v>
      </c>
      <c r="E336">
        <v>943.63300000000004</v>
      </c>
      <c r="F336">
        <f t="shared" si="21"/>
        <v>877</v>
      </c>
      <c r="G336">
        <f t="shared" si="23"/>
        <v>7.5978335233751473</v>
      </c>
      <c r="H336">
        <f t="shared" si="24"/>
        <v>7.0613257484636538</v>
      </c>
    </row>
    <row r="337" spans="1:8" x14ac:dyDescent="0.25">
      <c r="A337" t="str">
        <f t="shared" si="22"/>
        <v>Direct,NSFnet,80</v>
      </c>
      <c r="B337" t="s">
        <v>33</v>
      </c>
      <c r="C337" t="s">
        <v>6</v>
      </c>
      <c r="D337">
        <v>80</v>
      </c>
      <c r="E337">
        <v>922.654</v>
      </c>
      <c r="F337">
        <f t="shared" si="21"/>
        <v>877</v>
      </c>
      <c r="G337">
        <f t="shared" si="23"/>
        <v>5.2057012542759402</v>
      </c>
      <c r="H337">
        <f t="shared" si="24"/>
        <v>4.9481170623007102</v>
      </c>
    </row>
    <row r="338" spans="1:8" x14ac:dyDescent="0.25">
      <c r="A338" t="str">
        <f t="shared" si="22"/>
        <v>Direct,NSFnet,80</v>
      </c>
      <c r="B338" t="s">
        <v>33</v>
      </c>
      <c r="C338" t="s">
        <v>6</v>
      </c>
      <c r="D338">
        <v>80</v>
      </c>
      <c r="E338">
        <v>950.10400000000004</v>
      </c>
      <c r="F338">
        <f t="shared" si="21"/>
        <v>877</v>
      </c>
      <c r="G338">
        <f t="shared" si="23"/>
        <v>8.335689851767393</v>
      </c>
      <c r="H338">
        <f t="shared" si="24"/>
        <v>7.6943155696639565</v>
      </c>
    </row>
    <row r="339" spans="1:8" x14ac:dyDescent="0.25">
      <c r="A339" t="str">
        <f t="shared" si="22"/>
        <v>Direct,NSFnet,80</v>
      </c>
      <c r="B339" t="s">
        <v>33</v>
      </c>
      <c r="C339" t="s">
        <v>6</v>
      </c>
      <c r="D339">
        <v>80</v>
      </c>
      <c r="E339">
        <v>928.44799999999998</v>
      </c>
      <c r="F339">
        <f t="shared" si="21"/>
        <v>877</v>
      </c>
      <c r="G339">
        <f t="shared" si="23"/>
        <v>5.8663625997719473</v>
      </c>
      <c r="H339">
        <f t="shared" si="24"/>
        <v>5.5412904115254689</v>
      </c>
    </row>
    <row r="340" spans="1:8" x14ac:dyDescent="0.25">
      <c r="A340" t="str">
        <f t="shared" si="22"/>
        <v>Direct,NSFnet,80</v>
      </c>
      <c r="B340" t="s">
        <v>33</v>
      </c>
      <c r="C340" t="s">
        <v>6</v>
      </c>
      <c r="D340">
        <v>80</v>
      </c>
      <c r="E340">
        <v>903.755</v>
      </c>
      <c r="F340">
        <f t="shared" si="21"/>
        <v>877</v>
      </c>
      <c r="G340">
        <f t="shared" si="23"/>
        <v>3.0507411630558718</v>
      </c>
      <c r="H340">
        <f t="shared" si="24"/>
        <v>2.9604262217083162</v>
      </c>
    </row>
    <row r="341" spans="1:8" x14ac:dyDescent="0.25">
      <c r="A341" t="str">
        <f t="shared" si="22"/>
        <v>Direct,NSFnet,80</v>
      </c>
      <c r="B341" t="s">
        <v>33</v>
      </c>
      <c r="C341" t="s">
        <v>6</v>
      </c>
      <c r="D341">
        <v>80</v>
      </c>
      <c r="E341">
        <v>904.43799999999999</v>
      </c>
      <c r="F341">
        <f t="shared" si="21"/>
        <v>877</v>
      </c>
      <c r="G341">
        <f t="shared" si="23"/>
        <v>3.128620296465221</v>
      </c>
      <c r="H341">
        <f t="shared" si="24"/>
        <v>3.033707119780459</v>
      </c>
    </row>
    <row r="342" spans="1:8" x14ac:dyDescent="0.25">
      <c r="A342" t="str">
        <f t="shared" si="22"/>
        <v>Direct,NSFnet,80</v>
      </c>
      <c r="B342" t="s">
        <v>33</v>
      </c>
      <c r="C342" t="s">
        <v>6</v>
      </c>
      <c r="D342">
        <v>80</v>
      </c>
      <c r="E342">
        <v>914.45500000000004</v>
      </c>
      <c r="F342">
        <f t="shared" si="21"/>
        <v>877</v>
      </c>
      <c r="G342">
        <f t="shared" si="23"/>
        <v>4.2708095781071886</v>
      </c>
      <c r="H342">
        <f t="shared" si="24"/>
        <v>4.0958822468027449</v>
      </c>
    </row>
    <row r="343" spans="1:8" x14ac:dyDescent="0.25">
      <c r="A343" t="str">
        <f t="shared" si="22"/>
        <v>Direct,NSFnet,80</v>
      </c>
      <c r="B343" t="s">
        <v>33</v>
      </c>
      <c r="C343" t="s">
        <v>6</v>
      </c>
      <c r="D343">
        <v>80</v>
      </c>
      <c r="E343">
        <v>933.46699999999998</v>
      </c>
      <c r="F343">
        <f t="shared" si="21"/>
        <v>877</v>
      </c>
      <c r="G343">
        <f t="shared" si="23"/>
        <v>6.4386545039908762</v>
      </c>
      <c r="H343">
        <f t="shared" si="24"/>
        <v>6.0491693868128156</v>
      </c>
    </row>
    <row r="344" spans="1:8" x14ac:dyDescent="0.25">
      <c r="A344" t="str">
        <f t="shared" si="22"/>
        <v>Direct,NSFnet,80</v>
      </c>
      <c r="B344" t="s">
        <v>33</v>
      </c>
      <c r="C344" t="s">
        <v>6</v>
      </c>
      <c r="D344">
        <v>80</v>
      </c>
      <c r="E344">
        <v>940.79700000000003</v>
      </c>
      <c r="F344">
        <f t="shared" si="21"/>
        <v>877</v>
      </c>
      <c r="G344">
        <f t="shared" si="23"/>
        <v>7.2744583808437886</v>
      </c>
      <c r="H344">
        <f t="shared" si="24"/>
        <v>6.7811653310969344</v>
      </c>
    </row>
    <row r="345" spans="1:8" x14ac:dyDescent="0.25">
      <c r="A345" t="str">
        <f t="shared" si="22"/>
        <v>Direct,NSFnet,80</v>
      </c>
      <c r="B345" t="s">
        <v>33</v>
      </c>
      <c r="C345" t="s">
        <v>6</v>
      </c>
      <c r="D345">
        <v>80</v>
      </c>
      <c r="E345">
        <v>945.19200000000001</v>
      </c>
      <c r="F345">
        <f t="shared" si="21"/>
        <v>877</v>
      </c>
      <c r="G345">
        <f t="shared" si="23"/>
        <v>7.7755986316989736</v>
      </c>
      <c r="H345">
        <f t="shared" si="24"/>
        <v>7.2146188287670663</v>
      </c>
    </row>
    <row r="346" spans="1:8" x14ac:dyDescent="0.25">
      <c r="A346" t="str">
        <f t="shared" si="22"/>
        <v>Direct,NSFnet,80</v>
      </c>
      <c r="B346" t="s">
        <v>33</v>
      </c>
      <c r="C346" t="s">
        <v>6</v>
      </c>
      <c r="D346">
        <v>80</v>
      </c>
      <c r="E346">
        <v>940.39800000000002</v>
      </c>
      <c r="F346">
        <f t="shared" si="21"/>
        <v>877</v>
      </c>
      <c r="G346">
        <f t="shared" si="23"/>
        <v>7.2289623717217815</v>
      </c>
      <c r="H346">
        <f t="shared" si="24"/>
        <v>6.7416136571962104</v>
      </c>
    </row>
    <row r="347" spans="1:8" x14ac:dyDescent="0.25">
      <c r="A347" t="str">
        <f t="shared" si="22"/>
        <v>Direct,NSFnet,80</v>
      </c>
      <c r="B347" t="s">
        <v>33</v>
      </c>
      <c r="C347" t="s">
        <v>6</v>
      </c>
      <c r="D347">
        <v>80</v>
      </c>
      <c r="E347">
        <v>910.97400000000005</v>
      </c>
      <c r="F347">
        <f t="shared" si="21"/>
        <v>877</v>
      </c>
      <c r="G347">
        <f t="shared" si="23"/>
        <v>3.8738882554161966</v>
      </c>
      <c r="H347">
        <f t="shared" si="24"/>
        <v>3.7294148899968653</v>
      </c>
    </row>
    <row r="348" spans="1:8" x14ac:dyDescent="0.25">
      <c r="A348" t="str">
        <f t="shared" si="22"/>
        <v>Direct,NSFnet,80</v>
      </c>
      <c r="B348" t="s">
        <v>33</v>
      </c>
      <c r="C348" t="s">
        <v>6</v>
      </c>
      <c r="D348">
        <v>80</v>
      </c>
      <c r="E348">
        <v>934.03800000000001</v>
      </c>
      <c r="F348">
        <f t="shared" si="21"/>
        <v>877</v>
      </c>
      <c r="G348">
        <f t="shared" si="23"/>
        <v>6.503762827822122</v>
      </c>
      <c r="H348">
        <f t="shared" si="24"/>
        <v>6.1066037998454039</v>
      </c>
    </row>
    <row r="349" spans="1:8" x14ac:dyDescent="0.25">
      <c r="A349" t="str">
        <f t="shared" si="22"/>
        <v>Direct,NSFnet,80</v>
      </c>
      <c r="B349" t="s">
        <v>33</v>
      </c>
      <c r="C349" t="s">
        <v>6</v>
      </c>
      <c r="D349">
        <v>80</v>
      </c>
      <c r="E349">
        <v>942.7</v>
      </c>
      <c r="F349">
        <f t="shared" si="21"/>
        <v>877</v>
      </c>
      <c r="G349">
        <f t="shared" si="23"/>
        <v>7.4914481185860939</v>
      </c>
      <c r="H349">
        <f t="shared" si="24"/>
        <v>6.9693433754110581</v>
      </c>
    </row>
    <row r="350" spans="1:8" x14ac:dyDescent="0.25">
      <c r="A350" t="str">
        <f t="shared" si="22"/>
        <v>Direct,NSFnet,80</v>
      </c>
      <c r="B350" t="s">
        <v>33</v>
      </c>
      <c r="C350" t="s">
        <v>6</v>
      </c>
      <c r="D350">
        <v>80</v>
      </c>
      <c r="E350">
        <v>954.36400000000003</v>
      </c>
      <c r="F350">
        <f t="shared" si="21"/>
        <v>877</v>
      </c>
      <c r="G350">
        <f t="shared" si="23"/>
        <v>8.8214367160775407</v>
      </c>
      <c r="H350">
        <f t="shared" si="24"/>
        <v>8.106340976818073</v>
      </c>
    </row>
    <row r="351" spans="1:8" x14ac:dyDescent="0.25">
      <c r="A351" t="str">
        <f t="shared" si="22"/>
        <v>Direct,NSFnet,80</v>
      </c>
      <c r="B351" t="s">
        <v>33</v>
      </c>
      <c r="C351" t="s">
        <v>6</v>
      </c>
      <c r="D351">
        <v>80</v>
      </c>
      <c r="E351">
        <v>917.39300000000003</v>
      </c>
      <c r="F351">
        <f t="shared" si="21"/>
        <v>877</v>
      </c>
      <c r="G351">
        <f t="shared" si="23"/>
        <v>4.6058152793614626</v>
      </c>
      <c r="H351">
        <f t="shared" si="24"/>
        <v>4.4030202977349973</v>
      </c>
    </row>
    <row r="352" spans="1:8" x14ac:dyDescent="0.25">
      <c r="A352" t="str">
        <f t="shared" si="22"/>
        <v>Direct,NSFnet,80</v>
      </c>
      <c r="B352" t="s">
        <v>33</v>
      </c>
      <c r="C352" t="s">
        <v>6</v>
      </c>
      <c r="D352">
        <v>80</v>
      </c>
      <c r="E352">
        <v>869.95100000000002</v>
      </c>
      <c r="F352">
        <f t="shared" si="21"/>
        <v>877</v>
      </c>
      <c r="G352">
        <f t="shared" si="23"/>
        <v>0.80376282782211839</v>
      </c>
      <c r="H352">
        <f t="shared" si="24"/>
        <v>0.81027552126498814</v>
      </c>
    </row>
    <row r="353" spans="1:8" x14ac:dyDescent="0.25">
      <c r="A353" t="str">
        <f t="shared" si="22"/>
        <v>Direct,NSFnet,80</v>
      </c>
      <c r="B353" t="s">
        <v>33</v>
      </c>
      <c r="C353" t="s">
        <v>6</v>
      </c>
      <c r="D353">
        <v>80</v>
      </c>
      <c r="E353">
        <v>862.09199999999998</v>
      </c>
      <c r="F353">
        <f t="shared" si="21"/>
        <v>877</v>
      </c>
      <c r="G353">
        <f t="shared" si="23"/>
        <v>1.699885974914483</v>
      </c>
      <c r="H353">
        <f t="shared" si="24"/>
        <v>1.7292817935904772</v>
      </c>
    </row>
    <row r="354" spans="1:8" x14ac:dyDescent="0.25">
      <c r="A354" t="str">
        <f t="shared" si="22"/>
        <v>Direct,NSFnet,80</v>
      </c>
      <c r="B354" t="s">
        <v>33</v>
      </c>
      <c r="C354" t="s">
        <v>6</v>
      </c>
      <c r="D354">
        <v>80</v>
      </c>
      <c r="E354">
        <v>886.01400000000001</v>
      </c>
      <c r="F354">
        <f t="shared" si="21"/>
        <v>877</v>
      </c>
      <c r="G354">
        <f t="shared" si="23"/>
        <v>1.0278221208665919</v>
      </c>
      <c r="H354">
        <f t="shared" si="24"/>
        <v>1.0173654140905235</v>
      </c>
    </row>
    <row r="355" spans="1:8" x14ac:dyDescent="0.25">
      <c r="A355" t="str">
        <f t="shared" si="22"/>
        <v>Direct,NSFnet,80</v>
      </c>
      <c r="B355" t="s">
        <v>33</v>
      </c>
      <c r="C355" t="s">
        <v>6</v>
      </c>
      <c r="D355">
        <v>80</v>
      </c>
      <c r="E355">
        <v>951.93</v>
      </c>
      <c r="F355">
        <f t="shared" si="21"/>
        <v>877</v>
      </c>
      <c r="G355">
        <f t="shared" si="23"/>
        <v>8.5438996579247384</v>
      </c>
      <c r="H355">
        <f t="shared" si="24"/>
        <v>7.8713770970554515</v>
      </c>
    </row>
    <row r="356" spans="1:8" x14ac:dyDescent="0.25">
      <c r="A356" t="str">
        <f t="shared" si="22"/>
        <v>Direct,NSFnet,80</v>
      </c>
      <c r="B356" t="s">
        <v>33</v>
      </c>
      <c r="C356" t="s">
        <v>6</v>
      </c>
      <c r="D356">
        <v>80</v>
      </c>
      <c r="E356">
        <v>888.83100000000002</v>
      </c>
      <c r="F356">
        <f t="shared" si="21"/>
        <v>877</v>
      </c>
      <c r="G356">
        <f t="shared" si="23"/>
        <v>1.349030786773092</v>
      </c>
      <c r="H356">
        <f t="shared" si="24"/>
        <v>1.3310741862063786</v>
      </c>
    </row>
    <row r="357" spans="1:8" x14ac:dyDescent="0.25">
      <c r="A357" t="str">
        <f t="shared" si="22"/>
        <v>Direct,NSFnet,80</v>
      </c>
      <c r="B357" t="s">
        <v>33</v>
      </c>
      <c r="C357" t="s">
        <v>6</v>
      </c>
      <c r="D357">
        <v>80</v>
      </c>
      <c r="E357">
        <v>915.13900000000001</v>
      </c>
      <c r="F357">
        <f t="shared" si="21"/>
        <v>877</v>
      </c>
      <c r="G357">
        <f t="shared" si="23"/>
        <v>4.3488027366020541</v>
      </c>
      <c r="H357">
        <f t="shared" si="24"/>
        <v>4.1675636160189882</v>
      </c>
    </row>
    <row r="358" spans="1:8" x14ac:dyDescent="0.25">
      <c r="A358" t="str">
        <f t="shared" si="22"/>
        <v>Direct,NSFnet,80</v>
      </c>
      <c r="B358" t="s">
        <v>33</v>
      </c>
      <c r="C358" t="s">
        <v>6</v>
      </c>
      <c r="D358">
        <v>80</v>
      </c>
      <c r="E358">
        <v>941</v>
      </c>
      <c r="F358">
        <f t="shared" si="21"/>
        <v>877</v>
      </c>
      <c r="G358">
        <f t="shared" si="23"/>
        <v>7.2976054732041051</v>
      </c>
      <c r="H358">
        <f t="shared" si="24"/>
        <v>6.8012752391073326</v>
      </c>
    </row>
    <row r="359" spans="1:8" x14ac:dyDescent="0.25">
      <c r="A359" t="str">
        <f t="shared" si="22"/>
        <v>Direct,NSFnet,80</v>
      </c>
      <c r="B359" t="s">
        <v>33</v>
      </c>
      <c r="C359" t="s">
        <v>6</v>
      </c>
      <c r="D359">
        <v>80</v>
      </c>
      <c r="E359">
        <v>947.26</v>
      </c>
      <c r="F359">
        <f t="shared" si="21"/>
        <v>877</v>
      </c>
      <c r="G359">
        <f t="shared" si="23"/>
        <v>8.0114025085518801</v>
      </c>
      <c r="H359">
        <f t="shared" si="24"/>
        <v>7.417182188628253</v>
      </c>
    </row>
    <row r="360" spans="1:8" x14ac:dyDescent="0.25">
      <c r="A360" t="str">
        <f t="shared" si="22"/>
        <v>Direct,NSFnet,80</v>
      </c>
      <c r="B360" t="s">
        <v>33</v>
      </c>
      <c r="C360" t="s">
        <v>6</v>
      </c>
      <c r="D360">
        <v>80</v>
      </c>
      <c r="E360">
        <v>957.11900000000003</v>
      </c>
      <c r="F360">
        <f t="shared" si="21"/>
        <v>877</v>
      </c>
      <c r="G360">
        <f t="shared" si="23"/>
        <v>9.1355758266818725</v>
      </c>
      <c r="H360">
        <f t="shared" si="24"/>
        <v>8.3708504376153883</v>
      </c>
    </row>
    <row r="361" spans="1:8" x14ac:dyDescent="0.25">
      <c r="A361" t="str">
        <f t="shared" si="22"/>
        <v>Direct,NSFnet,80</v>
      </c>
      <c r="B361" t="s">
        <v>33</v>
      </c>
      <c r="C361" t="s">
        <v>6</v>
      </c>
      <c r="D361">
        <v>80</v>
      </c>
      <c r="E361">
        <v>893.34799999999996</v>
      </c>
      <c r="F361">
        <f t="shared" si="21"/>
        <v>877</v>
      </c>
      <c r="G361">
        <f t="shared" si="23"/>
        <v>1.8640820980615684</v>
      </c>
      <c r="H361">
        <f t="shared" si="24"/>
        <v>1.8299699557171403</v>
      </c>
    </row>
    <row r="362" spans="1:8" x14ac:dyDescent="0.25">
      <c r="A362" t="str">
        <f t="shared" si="22"/>
        <v>Direct,NSFnet,80</v>
      </c>
      <c r="B362" t="s">
        <v>33</v>
      </c>
      <c r="C362" t="s">
        <v>6</v>
      </c>
      <c r="D362">
        <v>80</v>
      </c>
      <c r="E362">
        <v>913.02300000000002</v>
      </c>
      <c r="F362">
        <f t="shared" si="21"/>
        <v>877</v>
      </c>
      <c r="G362">
        <f t="shared" si="23"/>
        <v>4.1075256556442445</v>
      </c>
      <c r="H362">
        <f t="shared" si="24"/>
        <v>3.9454646816126231</v>
      </c>
    </row>
    <row r="363" spans="1:8" x14ac:dyDescent="0.25">
      <c r="A363" t="str">
        <f t="shared" si="22"/>
        <v>Direct,NSFnet,80</v>
      </c>
      <c r="B363" t="s">
        <v>33</v>
      </c>
      <c r="C363" t="s">
        <v>6</v>
      </c>
      <c r="D363">
        <v>80</v>
      </c>
      <c r="E363">
        <v>938.30700000000002</v>
      </c>
      <c r="F363">
        <f t="shared" si="21"/>
        <v>877</v>
      </c>
      <c r="G363">
        <f t="shared" si="23"/>
        <v>6.9905359179019397</v>
      </c>
      <c r="H363">
        <f t="shared" si="24"/>
        <v>6.533789047721057</v>
      </c>
    </row>
    <row r="364" spans="1:8" x14ac:dyDescent="0.25">
      <c r="A364" t="str">
        <f t="shared" si="22"/>
        <v>Direct,NSFnet,80</v>
      </c>
      <c r="B364" t="s">
        <v>33</v>
      </c>
      <c r="C364" t="s">
        <v>6</v>
      </c>
      <c r="D364">
        <v>80</v>
      </c>
      <c r="E364">
        <v>920.654</v>
      </c>
      <c r="F364">
        <f t="shared" si="21"/>
        <v>877</v>
      </c>
      <c r="G364">
        <f t="shared" si="23"/>
        <v>4.9776510832383121</v>
      </c>
      <c r="H364">
        <f t="shared" si="24"/>
        <v>4.74162932002685</v>
      </c>
    </row>
    <row r="365" spans="1:8" x14ac:dyDescent="0.25">
      <c r="A365" t="str">
        <f t="shared" si="22"/>
        <v>Direct,NSFnet,80</v>
      </c>
      <c r="B365" t="s">
        <v>33</v>
      </c>
      <c r="C365" t="s">
        <v>6</v>
      </c>
      <c r="D365">
        <v>80</v>
      </c>
      <c r="E365">
        <v>859.88699999999994</v>
      </c>
      <c r="F365">
        <f t="shared" si="21"/>
        <v>877</v>
      </c>
      <c r="G365">
        <f t="shared" si="23"/>
        <v>1.9513112884834729</v>
      </c>
      <c r="H365">
        <f t="shared" si="24"/>
        <v>1.9901452167552316</v>
      </c>
    </row>
    <row r="366" spans="1:8" x14ac:dyDescent="0.25">
      <c r="A366" t="str">
        <f t="shared" si="22"/>
        <v>Direct,NSFnet,80</v>
      </c>
      <c r="B366" t="s">
        <v>33</v>
      </c>
      <c r="C366" t="s">
        <v>6</v>
      </c>
      <c r="D366">
        <v>80</v>
      </c>
      <c r="E366">
        <v>874.82899999999995</v>
      </c>
      <c r="F366">
        <f t="shared" si="21"/>
        <v>877</v>
      </c>
      <c r="G366">
        <f t="shared" si="23"/>
        <v>0.24754846066135111</v>
      </c>
      <c r="H366">
        <f t="shared" si="24"/>
        <v>0.24816278381261359</v>
      </c>
    </row>
    <row r="367" spans="1:8" x14ac:dyDescent="0.25">
      <c r="A367" t="str">
        <f t="shared" si="22"/>
        <v>Direct,NSFnet,80</v>
      </c>
      <c r="B367" t="s">
        <v>33</v>
      </c>
      <c r="C367" t="s">
        <v>6</v>
      </c>
      <c r="D367">
        <v>80</v>
      </c>
      <c r="E367">
        <v>954.30700000000002</v>
      </c>
      <c r="F367">
        <f t="shared" si="21"/>
        <v>877</v>
      </c>
      <c r="G367">
        <f t="shared" si="23"/>
        <v>8.8149372862029658</v>
      </c>
      <c r="H367">
        <f t="shared" si="24"/>
        <v>8.1008522414694646</v>
      </c>
    </row>
    <row r="368" spans="1:8" x14ac:dyDescent="0.25">
      <c r="A368" t="str">
        <f t="shared" si="22"/>
        <v>Direct,NSFnet,80</v>
      </c>
      <c r="B368" t="s">
        <v>33</v>
      </c>
      <c r="C368" t="s">
        <v>6</v>
      </c>
      <c r="D368">
        <v>80</v>
      </c>
      <c r="E368">
        <v>978.64200000000005</v>
      </c>
      <c r="F368">
        <f t="shared" si="21"/>
        <v>877</v>
      </c>
      <c r="G368">
        <f t="shared" si="23"/>
        <v>11.589737742303313</v>
      </c>
      <c r="H368">
        <f t="shared" si="24"/>
        <v>10.386024715881808</v>
      </c>
    </row>
    <row r="369" spans="1:8" x14ac:dyDescent="0.25">
      <c r="A369" t="str">
        <f t="shared" si="22"/>
        <v>Direct,NSFnet,80</v>
      </c>
      <c r="B369" t="s">
        <v>33</v>
      </c>
      <c r="C369" t="s">
        <v>6</v>
      </c>
      <c r="D369">
        <v>80</v>
      </c>
      <c r="E369">
        <v>986.66499999999996</v>
      </c>
      <c r="F369">
        <f t="shared" si="21"/>
        <v>877</v>
      </c>
      <c r="G369">
        <f t="shared" si="23"/>
        <v>12.504561003420747</v>
      </c>
      <c r="H369">
        <f t="shared" si="24"/>
        <v>11.11471472080189</v>
      </c>
    </row>
    <row r="370" spans="1:8" x14ac:dyDescent="0.25">
      <c r="A370" t="str">
        <f t="shared" si="22"/>
        <v>Direct,NSFnet,80</v>
      </c>
      <c r="B370" t="s">
        <v>33</v>
      </c>
      <c r="C370" t="s">
        <v>6</v>
      </c>
      <c r="D370">
        <v>80</v>
      </c>
      <c r="E370">
        <v>919.61</v>
      </c>
      <c r="F370">
        <f t="shared" si="21"/>
        <v>877</v>
      </c>
      <c r="G370">
        <f t="shared" si="23"/>
        <v>4.8586088939566725</v>
      </c>
      <c r="H370">
        <f t="shared" si="24"/>
        <v>4.6334859342547396</v>
      </c>
    </row>
    <row r="371" spans="1:8" x14ac:dyDescent="0.25">
      <c r="A371" t="str">
        <f t="shared" si="22"/>
        <v>Direct,NSFnet,80</v>
      </c>
      <c r="B371" t="s">
        <v>33</v>
      </c>
      <c r="C371" t="s">
        <v>6</v>
      </c>
      <c r="D371">
        <v>80</v>
      </c>
      <c r="E371">
        <v>869.28200000000004</v>
      </c>
      <c r="F371">
        <f t="shared" si="21"/>
        <v>877</v>
      </c>
      <c r="G371">
        <f t="shared" si="23"/>
        <v>0.88004561003420312</v>
      </c>
      <c r="H371">
        <f t="shared" si="24"/>
        <v>0.8878591757335319</v>
      </c>
    </row>
    <row r="372" spans="1:8" x14ac:dyDescent="0.25">
      <c r="A372" t="str">
        <f t="shared" si="22"/>
        <v>Direct,NSFnet,80</v>
      </c>
      <c r="B372" t="s">
        <v>33</v>
      </c>
      <c r="C372" t="s">
        <v>6</v>
      </c>
      <c r="D372">
        <v>80</v>
      </c>
      <c r="E372">
        <v>957.221</v>
      </c>
      <c r="F372">
        <f t="shared" si="21"/>
        <v>877</v>
      </c>
      <c r="G372">
        <f t="shared" si="23"/>
        <v>9.1472063854047896</v>
      </c>
      <c r="H372">
        <f t="shared" si="24"/>
        <v>8.3806142991012518</v>
      </c>
    </row>
    <row r="373" spans="1:8" x14ac:dyDescent="0.25">
      <c r="A373" t="str">
        <f t="shared" si="22"/>
        <v>Direct,NSFnet,80</v>
      </c>
      <c r="B373" t="s">
        <v>33</v>
      </c>
      <c r="C373" t="s">
        <v>6</v>
      </c>
      <c r="D373">
        <v>80</v>
      </c>
      <c r="E373">
        <v>931.25099999999998</v>
      </c>
      <c r="F373">
        <f t="shared" si="21"/>
        <v>877</v>
      </c>
      <c r="G373">
        <f t="shared" si="23"/>
        <v>6.1859749144811831</v>
      </c>
      <c r="H373">
        <f t="shared" si="24"/>
        <v>5.8256044825723654</v>
      </c>
    </row>
    <row r="374" spans="1:8" x14ac:dyDescent="0.25">
      <c r="A374" t="str">
        <f t="shared" si="22"/>
        <v>Direct,NSFnet,80</v>
      </c>
      <c r="B374" t="s">
        <v>33</v>
      </c>
      <c r="C374" t="s">
        <v>6</v>
      </c>
      <c r="D374">
        <v>80</v>
      </c>
      <c r="E374">
        <v>889.32100000000003</v>
      </c>
      <c r="F374">
        <f t="shared" si="21"/>
        <v>877</v>
      </c>
      <c r="G374">
        <f t="shared" si="23"/>
        <v>1.404903078677312</v>
      </c>
      <c r="H374">
        <f t="shared" si="24"/>
        <v>1.3854390034644437</v>
      </c>
    </row>
    <row r="375" spans="1:8" x14ac:dyDescent="0.25">
      <c r="A375" t="str">
        <f t="shared" si="22"/>
        <v>Direct,NSFnet,80</v>
      </c>
      <c r="B375" t="s">
        <v>33</v>
      </c>
      <c r="C375" t="s">
        <v>6</v>
      </c>
      <c r="D375">
        <v>80</v>
      </c>
      <c r="E375">
        <v>934.08900000000006</v>
      </c>
      <c r="F375">
        <f t="shared" si="21"/>
        <v>877</v>
      </c>
      <c r="G375">
        <f t="shared" si="23"/>
        <v>6.5095781071835859</v>
      </c>
      <c r="H375">
        <f t="shared" si="24"/>
        <v>6.1117302526847075</v>
      </c>
    </row>
    <row r="376" spans="1:8" x14ac:dyDescent="0.25">
      <c r="A376" t="str">
        <f t="shared" si="22"/>
        <v>Direct,NSFnet,80</v>
      </c>
      <c r="B376" t="s">
        <v>33</v>
      </c>
      <c r="C376" t="s">
        <v>6</v>
      </c>
      <c r="D376">
        <v>80</v>
      </c>
      <c r="E376">
        <v>931.45699999999999</v>
      </c>
      <c r="F376">
        <f t="shared" si="21"/>
        <v>877</v>
      </c>
      <c r="G376">
        <f t="shared" si="23"/>
        <v>6.2094640820980613</v>
      </c>
      <c r="H376">
        <f t="shared" si="24"/>
        <v>5.8464319877353423</v>
      </c>
    </row>
    <row r="377" spans="1:8" x14ac:dyDescent="0.25">
      <c r="A377" t="str">
        <f t="shared" si="22"/>
        <v>Direct,NSFnet,80</v>
      </c>
      <c r="B377" t="s">
        <v>33</v>
      </c>
      <c r="C377" t="s">
        <v>6</v>
      </c>
      <c r="D377">
        <v>80</v>
      </c>
      <c r="E377">
        <v>961.09500000000003</v>
      </c>
      <c r="F377">
        <f t="shared" si="21"/>
        <v>877</v>
      </c>
      <c r="G377">
        <f t="shared" si="23"/>
        <v>9.5889395667046777</v>
      </c>
      <c r="H377">
        <f t="shared" si="24"/>
        <v>8.7499154610106213</v>
      </c>
    </row>
    <row r="378" spans="1:8" x14ac:dyDescent="0.25">
      <c r="A378" t="str">
        <f t="shared" si="22"/>
        <v>Direct,NSFnet,80</v>
      </c>
      <c r="B378" t="s">
        <v>33</v>
      </c>
      <c r="C378" t="s">
        <v>6</v>
      </c>
      <c r="D378">
        <v>80</v>
      </c>
      <c r="E378">
        <v>915.19</v>
      </c>
      <c r="F378">
        <f t="shared" si="21"/>
        <v>877</v>
      </c>
      <c r="G378">
        <f t="shared" si="23"/>
        <v>4.3546180159635188</v>
      </c>
      <c r="H378">
        <f t="shared" si="24"/>
        <v>4.1729039871502147</v>
      </c>
    </row>
    <row r="379" spans="1:8" x14ac:dyDescent="0.25">
      <c r="A379" t="str">
        <f t="shared" si="22"/>
        <v>Direct,NSFnet,80</v>
      </c>
      <c r="B379" t="s">
        <v>33</v>
      </c>
      <c r="C379" t="s">
        <v>6</v>
      </c>
      <c r="D379">
        <v>80</v>
      </c>
      <c r="E379">
        <v>898.54399999999998</v>
      </c>
      <c r="F379">
        <f t="shared" si="21"/>
        <v>877</v>
      </c>
      <c r="G379">
        <f t="shared" si="23"/>
        <v>2.4565564424173298</v>
      </c>
      <c r="H379">
        <f t="shared" si="24"/>
        <v>2.3976566534304364</v>
      </c>
    </row>
    <row r="380" spans="1:8" x14ac:dyDescent="0.25">
      <c r="A380" t="str">
        <f t="shared" si="22"/>
        <v>Direct,NSFnet,80</v>
      </c>
      <c r="B380" t="s">
        <v>33</v>
      </c>
      <c r="C380" t="s">
        <v>6</v>
      </c>
      <c r="D380">
        <v>80</v>
      </c>
      <c r="E380">
        <v>907.94500000000005</v>
      </c>
      <c r="F380">
        <f t="shared" si="21"/>
        <v>877</v>
      </c>
      <c r="G380">
        <f t="shared" si="23"/>
        <v>3.5285062713797091</v>
      </c>
      <c r="H380">
        <f t="shared" si="24"/>
        <v>3.4082460942017465</v>
      </c>
    </row>
    <row r="381" spans="1:8" x14ac:dyDescent="0.25">
      <c r="A381" t="str">
        <f t="shared" si="22"/>
        <v>Direct,NSFnet,80</v>
      </c>
      <c r="B381" t="s">
        <v>33</v>
      </c>
      <c r="C381" t="s">
        <v>6</v>
      </c>
      <c r="D381">
        <v>80</v>
      </c>
      <c r="E381">
        <v>966.31500000000005</v>
      </c>
      <c r="F381">
        <f t="shared" si="21"/>
        <v>877</v>
      </c>
      <c r="G381">
        <f t="shared" si="23"/>
        <v>10.184150513112892</v>
      </c>
      <c r="H381">
        <f t="shared" si="24"/>
        <v>9.2428452419759655</v>
      </c>
    </row>
    <row r="382" spans="1:8" x14ac:dyDescent="0.25">
      <c r="A382" t="str">
        <f t="shared" si="22"/>
        <v>Direct,NSFnet,80</v>
      </c>
      <c r="B382" t="s">
        <v>33</v>
      </c>
      <c r="C382" t="s">
        <v>6</v>
      </c>
      <c r="D382">
        <v>80</v>
      </c>
      <c r="E382">
        <v>935.46799999999996</v>
      </c>
      <c r="F382">
        <f t="shared" si="21"/>
        <v>877</v>
      </c>
      <c r="G382">
        <f t="shared" si="23"/>
        <v>6.6668187001140202</v>
      </c>
      <c r="H382">
        <f t="shared" si="24"/>
        <v>6.2501336229566347</v>
      </c>
    </row>
    <row r="383" spans="1:8" x14ac:dyDescent="0.25">
      <c r="A383" t="str">
        <f t="shared" si="22"/>
        <v>Direct,NSFnet,80</v>
      </c>
      <c r="B383" t="s">
        <v>33</v>
      </c>
      <c r="C383" t="s">
        <v>6</v>
      </c>
      <c r="D383">
        <v>80</v>
      </c>
      <c r="E383">
        <v>881.02599999999995</v>
      </c>
      <c r="F383">
        <f t="shared" si="21"/>
        <v>877</v>
      </c>
      <c r="G383">
        <f t="shared" si="23"/>
        <v>0.45906499429874048</v>
      </c>
      <c r="H383">
        <f t="shared" si="24"/>
        <v>0.4569672177665533</v>
      </c>
    </row>
    <row r="384" spans="1:8" x14ac:dyDescent="0.25">
      <c r="A384" t="str">
        <f t="shared" si="22"/>
        <v>Direct,NSFnet,80</v>
      </c>
      <c r="B384" t="s">
        <v>33</v>
      </c>
      <c r="C384" t="s">
        <v>6</v>
      </c>
      <c r="D384">
        <v>80</v>
      </c>
      <c r="E384">
        <v>889.61699999999996</v>
      </c>
      <c r="F384">
        <f t="shared" si="21"/>
        <v>877</v>
      </c>
      <c r="G384">
        <f t="shared" si="23"/>
        <v>1.4386545039908736</v>
      </c>
      <c r="H384">
        <f t="shared" si="24"/>
        <v>1.4182507753336506</v>
      </c>
    </row>
    <row r="385" spans="1:8" x14ac:dyDescent="0.25">
      <c r="A385" t="str">
        <f t="shared" si="22"/>
        <v>Direct,NSFnet,80</v>
      </c>
      <c r="B385" t="s">
        <v>33</v>
      </c>
      <c r="C385" t="s">
        <v>6</v>
      </c>
      <c r="D385">
        <v>80</v>
      </c>
      <c r="E385">
        <v>935.86400000000003</v>
      </c>
      <c r="F385">
        <f t="shared" si="21"/>
        <v>877</v>
      </c>
      <c r="G385">
        <f t="shared" si="23"/>
        <v>6.7119726339794799</v>
      </c>
      <c r="H385">
        <f t="shared" si="24"/>
        <v>6.2898027918586497</v>
      </c>
    </row>
    <row r="386" spans="1:8" x14ac:dyDescent="0.25">
      <c r="A386" t="str">
        <f t="shared" si="22"/>
        <v>Direct,NSFnet,80</v>
      </c>
      <c r="B386" t="s">
        <v>33</v>
      </c>
      <c r="C386" t="s">
        <v>6</v>
      </c>
      <c r="D386">
        <v>80</v>
      </c>
      <c r="E386">
        <v>950.82799999999997</v>
      </c>
      <c r="F386">
        <f t="shared" si="21"/>
        <v>877</v>
      </c>
      <c r="G386">
        <f t="shared" si="23"/>
        <v>8.4182440136830081</v>
      </c>
      <c r="H386">
        <f t="shared" si="24"/>
        <v>7.7646009583226387</v>
      </c>
    </row>
    <row r="387" spans="1:8" x14ac:dyDescent="0.25">
      <c r="A387" t="str">
        <f t="shared" si="22"/>
        <v>Direct,NSFnet,80</v>
      </c>
      <c r="B387" t="s">
        <v>33</v>
      </c>
      <c r="C387" t="s">
        <v>6</v>
      </c>
      <c r="D387">
        <v>80</v>
      </c>
      <c r="E387">
        <v>878.86599999999999</v>
      </c>
      <c r="F387">
        <f t="shared" ref="F387:F450" si="25">_xlfn.XLOOKUP(A387,$J$3:$J$36,$N$3:$N$36)</f>
        <v>877</v>
      </c>
      <c r="G387">
        <f t="shared" si="23"/>
        <v>0.21277080957810551</v>
      </c>
      <c r="H387">
        <f t="shared" si="24"/>
        <v>0.21231905660248382</v>
      </c>
    </row>
    <row r="388" spans="1:8" x14ac:dyDescent="0.25">
      <c r="A388" t="str">
        <f t="shared" ref="A388:A451" si="26">B388&amp;","&amp;C388&amp;","&amp;D388</f>
        <v>Direct,NSFnet,80</v>
      </c>
      <c r="B388" t="s">
        <v>33</v>
      </c>
      <c r="C388" t="s">
        <v>6</v>
      </c>
      <c r="D388">
        <v>80</v>
      </c>
      <c r="E388">
        <v>908.42399999999998</v>
      </c>
      <c r="F388">
        <f t="shared" si="25"/>
        <v>877</v>
      </c>
      <c r="G388">
        <f t="shared" ref="G388:G451" si="27">ABS((E388-F388)/F388)*100</f>
        <v>3.583124287343213</v>
      </c>
      <c r="H388">
        <f t="shared" ref="H388:H451" si="28">ABS((F388-E388)/E388)*100</f>
        <v>3.4591776527260372</v>
      </c>
    </row>
    <row r="389" spans="1:8" x14ac:dyDescent="0.25">
      <c r="A389" t="str">
        <f t="shared" si="26"/>
        <v>Direct,NSFnet,80</v>
      </c>
      <c r="B389" t="s">
        <v>33</v>
      </c>
      <c r="C389" t="s">
        <v>6</v>
      </c>
      <c r="D389">
        <v>80</v>
      </c>
      <c r="E389">
        <v>957.10599999999999</v>
      </c>
      <c r="F389">
        <f t="shared" si="25"/>
        <v>877</v>
      </c>
      <c r="G389">
        <f t="shared" si="27"/>
        <v>9.134093500570124</v>
      </c>
      <c r="H389">
        <f t="shared" si="28"/>
        <v>8.3696058743754609</v>
      </c>
    </row>
    <row r="390" spans="1:8" x14ac:dyDescent="0.25">
      <c r="A390" t="str">
        <f t="shared" si="26"/>
        <v>Direct,NSFnet,80</v>
      </c>
      <c r="B390" t="s">
        <v>33</v>
      </c>
      <c r="C390" t="s">
        <v>6</v>
      </c>
      <c r="D390">
        <v>80</v>
      </c>
      <c r="E390">
        <v>910.82100000000003</v>
      </c>
      <c r="F390">
        <f t="shared" si="25"/>
        <v>877</v>
      </c>
      <c r="G390">
        <f t="shared" si="27"/>
        <v>3.8564424173318157</v>
      </c>
      <c r="H390">
        <f t="shared" si="28"/>
        <v>3.7132433266251028</v>
      </c>
    </row>
    <row r="391" spans="1:8" x14ac:dyDescent="0.25">
      <c r="A391" t="str">
        <f t="shared" si="26"/>
        <v>Direct,NSFnet,80</v>
      </c>
      <c r="B391" t="s">
        <v>33</v>
      </c>
      <c r="C391" t="s">
        <v>6</v>
      </c>
      <c r="D391">
        <v>80</v>
      </c>
      <c r="E391">
        <v>883.00800000000004</v>
      </c>
      <c r="F391">
        <f t="shared" si="25"/>
        <v>877</v>
      </c>
      <c r="G391">
        <f t="shared" si="27"/>
        <v>0.68506271379703976</v>
      </c>
      <c r="H391">
        <f t="shared" si="28"/>
        <v>0.68040153656592439</v>
      </c>
    </row>
    <row r="392" spans="1:8" x14ac:dyDescent="0.25">
      <c r="A392" t="str">
        <f t="shared" si="26"/>
        <v>Direct,NSFnet,80</v>
      </c>
      <c r="B392" t="s">
        <v>33</v>
      </c>
      <c r="C392" t="s">
        <v>6</v>
      </c>
      <c r="D392">
        <v>80</v>
      </c>
      <c r="E392">
        <v>852.63900000000001</v>
      </c>
      <c r="F392">
        <f t="shared" si="25"/>
        <v>877</v>
      </c>
      <c r="G392">
        <f t="shared" si="27"/>
        <v>2.7777651083238304</v>
      </c>
      <c r="H392">
        <f t="shared" si="28"/>
        <v>2.8571294533794478</v>
      </c>
    </row>
    <row r="393" spans="1:8" x14ac:dyDescent="0.25">
      <c r="A393" t="str">
        <f t="shared" si="26"/>
        <v>Direct,NSFnet,80</v>
      </c>
      <c r="B393" t="s">
        <v>33</v>
      </c>
      <c r="C393" t="s">
        <v>6</v>
      </c>
      <c r="D393">
        <v>80</v>
      </c>
      <c r="E393">
        <v>950.61900000000003</v>
      </c>
      <c r="F393">
        <f t="shared" si="25"/>
        <v>877</v>
      </c>
      <c r="G393">
        <f t="shared" si="27"/>
        <v>8.3944127708095806</v>
      </c>
      <c r="H393">
        <f t="shared" si="28"/>
        <v>7.7443223836258293</v>
      </c>
    </row>
    <row r="394" spans="1:8" x14ac:dyDescent="0.25">
      <c r="A394" t="str">
        <f t="shared" si="26"/>
        <v>Direct,NSFnet,80</v>
      </c>
      <c r="B394" t="s">
        <v>33</v>
      </c>
      <c r="C394" t="s">
        <v>6</v>
      </c>
      <c r="D394">
        <v>80</v>
      </c>
      <c r="E394">
        <v>951.59199999999998</v>
      </c>
      <c r="F394">
        <f t="shared" si="25"/>
        <v>877</v>
      </c>
      <c r="G394">
        <f t="shared" si="27"/>
        <v>8.5053591790193828</v>
      </c>
      <c r="H394">
        <f t="shared" si="28"/>
        <v>7.8386535405930253</v>
      </c>
    </row>
    <row r="395" spans="1:8" x14ac:dyDescent="0.25">
      <c r="A395" t="str">
        <f t="shared" si="26"/>
        <v>Direct,NSFnet,80</v>
      </c>
      <c r="B395" t="s">
        <v>33</v>
      </c>
      <c r="C395" t="s">
        <v>6</v>
      </c>
      <c r="D395">
        <v>80</v>
      </c>
      <c r="E395">
        <v>837.42100000000005</v>
      </c>
      <c r="F395">
        <f t="shared" si="25"/>
        <v>877</v>
      </c>
      <c r="G395">
        <f t="shared" si="27"/>
        <v>4.5129988597491391</v>
      </c>
      <c r="H395">
        <f t="shared" si="28"/>
        <v>4.7262965700645134</v>
      </c>
    </row>
    <row r="396" spans="1:8" x14ac:dyDescent="0.25">
      <c r="A396" t="str">
        <f t="shared" si="26"/>
        <v>Direct,NSFnet,80</v>
      </c>
      <c r="B396" t="s">
        <v>33</v>
      </c>
      <c r="C396" t="s">
        <v>6</v>
      </c>
      <c r="D396">
        <v>80</v>
      </c>
      <c r="E396">
        <v>848.947</v>
      </c>
      <c r="F396">
        <f t="shared" si="25"/>
        <v>877</v>
      </c>
      <c r="G396">
        <f t="shared" si="27"/>
        <v>3.1987457240592923</v>
      </c>
      <c r="H396">
        <f t="shared" si="28"/>
        <v>3.3044465673357699</v>
      </c>
    </row>
    <row r="397" spans="1:8" x14ac:dyDescent="0.25">
      <c r="A397" t="str">
        <f t="shared" si="26"/>
        <v>Direct,NSFnet,80</v>
      </c>
      <c r="B397" t="s">
        <v>33</v>
      </c>
      <c r="C397" t="s">
        <v>6</v>
      </c>
      <c r="D397">
        <v>80</v>
      </c>
      <c r="E397">
        <v>896.00300000000004</v>
      </c>
      <c r="F397">
        <f t="shared" si="25"/>
        <v>877</v>
      </c>
      <c r="G397">
        <f t="shared" si="27"/>
        <v>2.16681870011403</v>
      </c>
      <c r="H397">
        <f t="shared" si="28"/>
        <v>2.1208634346090407</v>
      </c>
    </row>
    <row r="398" spans="1:8" x14ac:dyDescent="0.25">
      <c r="A398" t="str">
        <f t="shared" si="26"/>
        <v>Direct,NSFnet,80</v>
      </c>
      <c r="B398" t="s">
        <v>33</v>
      </c>
      <c r="C398" t="s">
        <v>6</v>
      </c>
      <c r="D398">
        <v>80</v>
      </c>
      <c r="E398">
        <v>969.27099999999996</v>
      </c>
      <c r="F398">
        <f t="shared" si="25"/>
        <v>877</v>
      </c>
      <c r="G398">
        <f t="shared" si="27"/>
        <v>10.521208665906496</v>
      </c>
      <c r="H398">
        <f t="shared" si="28"/>
        <v>9.5196286693814169</v>
      </c>
    </row>
    <row r="399" spans="1:8" x14ac:dyDescent="0.25">
      <c r="A399" t="str">
        <f t="shared" si="26"/>
        <v>Direct,NSFnet,80</v>
      </c>
      <c r="B399" t="s">
        <v>33</v>
      </c>
      <c r="C399" t="s">
        <v>6</v>
      </c>
      <c r="D399">
        <v>80</v>
      </c>
      <c r="E399">
        <v>918.70799999999997</v>
      </c>
      <c r="F399">
        <f t="shared" si="25"/>
        <v>877</v>
      </c>
      <c r="G399">
        <f t="shared" si="27"/>
        <v>4.7557582668186962</v>
      </c>
      <c r="H399">
        <f t="shared" si="28"/>
        <v>4.5398537946768691</v>
      </c>
    </row>
    <row r="400" spans="1:8" x14ac:dyDescent="0.25">
      <c r="A400" t="str">
        <f t="shared" si="26"/>
        <v>Direct,NSFnet,80</v>
      </c>
      <c r="B400" t="s">
        <v>33</v>
      </c>
      <c r="C400" t="s">
        <v>6</v>
      </c>
      <c r="D400">
        <v>80</v>
      </c>
      <c r="E400">
        <v>913.726</v>
      </c>
      <c r="F400">
        <f t="shared" si="25"/>
        <v>877</v>
      </c>
      <c r="G400">
        <f t="shared" si="27"/>
        <v>4.1876852907639677</v>
      </c>
      <c r="H400">
        <f t="shared" si="28"/>
        <v>4.0193668561472471</v>
      </c>
    </row>
    <row r="401" spans="1:8" x14ac:dyDescent="0.25">
      <c r="A401" t="str">
        <f t="shared" si="26"/>
        <v>Direct,NSFnet,80</v>
      </c>
      <c r="B401" t="s">
        <v>33</v>
      </c>
      <c r="C401" t="s">
        <v>6</v>
      </c>
      <c r="D401">
        <v>80</v>
      </c>
      <c r="E401">
        <v>971.26300000000003</v>
      </c>
      <c r="F401">
        <f t="shared" si="25"/>
        <v>877</v>
      </c>
      <c r="G401">
        <f t="shared" si="27"/>
        <v>10.748346636259981</v>
      </c>
      <c r="H401">
        <f t="shared" si="28"/>
        <v>9.705198283060307</v>
      </c>
    </row>
    <row r="402" spans="1:8" x14ac:dyDescent="0.25">
      <c r="A402" t="str">
        <f t="shared" si="26"/>
        <v>Direct,NSFnet,80</v>
      </c>
      <c r="B402" t="s">
        <v>33</v>
      </c>
      <c r="C402" t="s">
        <v>6</v>
      </c>
      <c r="D402">
        <v>80</v>
      </c>
      <c r="E402">
        <v>911.78800000000001</v>
      </c>
      <c r="F402">
        <f t="shared" si="25"/>
        <v>877</v>
      </c>
      <c r="G402">
        <f t="shared" si="27"/>
        <v>3.9667046750285073</v>
      </c>
      <c r="H402">
        <f t="shared" si="28"/>
        <v>3.815360588206909</v>
      </c>
    </row>
    <row r="403" spans="1:8" x14ac:dyDescent="0.25">
      <c r="A403" t="str">
        <f t="shared" si="26"/>
        <v>Direct,NSFnet,100</v>
      </c>
      <c r="B403" t="s">
        <v>33</v>
      </c>
      <c r="C403" t="s">
        <v>6</v>
      </c>
      <c r="D403">
        <v>100</v>
      </c>
      <c r="E403">
        <v>1085.7650000000001</v>
      </c>
      <c r="F403">
        <f t="shared" si="25"/>
        <v>1093</v>
      </c>
      <c r="G403">
        <f t="shared" si="27"/>
        <v>0.66193961573649596</v>
      </c>
      <c r="H403">
        <f t="shared" si="28"/>
        <v>0.66635045336697163</v>
      </c>
    </row>
    <row r="404" spans="1:8" x14ac:dyDescent="0.25">
      <c r="A404" t="str">
        <f t="shared" si="26"/>
        <v>Direct,NSFnet,100</v>
      </c>
      <c r="B404" t="s">
        <v>33</v>
      </c>
      <c r="C404" t="s">
        <v>6</v>
      </c>
      <c r="D404">
        <v>100</v>
      </c>
      <c r="E404">
        <v>1098.45</v>
      </c>
      <c r="F404">
        <f t="shared" si="25"/>
        <v>1093</v>
      </c>
      <c r="G404">
        <f t="shared" si="27"/>
        <v>0.49862763037511854</v>
      </c>
      <c r="H404">
        <f t="shared" si="28"/>
        <v>0.49615367108198327</v>
      </c>
    </row>
    <row r="405" spans="1:8" x14ac:dyDescent="0.25">
      <c r="A405" t="str">
        <f t="shared" si="26"/>
        <v>Direct,NSFnet,100</v>
      </c>
      <c r="B405" t="s">
        <v>33</v>
      </c>
      <c r="C405" t="s">
        <v>6</v>
      </c>
      <c r="D405">
        <v>100</v>
      </c>
      <c r="E405">
        <v>1152.4649999999999</v>
      </c>
      <c r="F405">
        <f t="shared" si="25"/>
        <v>1093</v>
      </c>
      <c r="G405">
        <f t="shared" si="27"/>
        <v>5.4405306495882817</v>
      </c>
      <c r="H405">
        <f t="shared" si="28"/>
        <v>5.1598096254549963</v>
      </c>
    </row>
    <row r="406" spans="1:8" x14ac:dyDescent="0.25">
      <c r="A406" t="str">
        <f t="shared" si="26"/>
        <v>Direct,NSFnet,100</v>
      </c>
      <c r="B406" t="s">
        <v>33</v>
      </c>
      <c r="C406" t="s">
        <v>6</v>
      </c>
      <c r="D406">
        <v>100</v>
      </c>
      <c r="E406">
        <v>1082.6420000000001</v>
      </c>
      <c r="F406">
        <f t="shared" si="25"/>
        <v>1093</v>
      </c>
      <c r="G406">
        <f t="shared" si="27"/>
        <v>0.94766697163768954</v>
      </c>
      <c r="H406">
        <f t="shared" si="28"/>
        <v>0.9567336201625235</v>
      </c>
    </row>
    <row r="407" spans="1:8" x14ac:dyDescent="0.25">
      <c r="A407" t="str">
        <f t="shared" si="26"/>
        <v>Direct,NSFnet,100</v>
      </c>
      <c r="B407" t="s">
        <v>33</v>
      </c>
      <c r="C407" t="s">
        <v>6</v>
      </c>
      <c r="D407">
        <v>100</v>
      </c>
      <c r="E407">
        <v>1137.684</v>
      </c>
      <c r="F407">
        <f t="shared" si="25"/>
        <v>1093</v>
      </c>
      <c r="G407">
        <f t="shared" si="27"/>
        <v>4.088197621225981</v>
      </c>
      <c r="H407">
        <f t="shared" si="28"/>
        <v>3.9276284099978529</v>
      </c>
    </row>
    <row r="408" spans="1:8" x14ac:dyDescent="0.25">
      <c r="A408" t="str">
        <f t="shared" si="26"/>
        <v>Direct,NSFnet,100</v>
      </c>
      <c r="B408" t="s">
        <v>33</v>
      </c>
      <c r="C408" t="s">
        <v>6</v>
      </c>
      <c r="D408">
        <v>100</v>
      </c>
      <c r="E408">
        <v>1158.2049999999999</v>
      </c>
      <c r="F408">
        <f t="shared" si="25"/>
        <v>1093</v>
      </c>
      <c r="G408">
        <f t="shared" si="27"/>
        <v>5.9656907593778525</v>
      </c>
      <c r="H408">
        <f t="shared" si="28"/>
        <v>5.6298323699172368</v>
      </c>
    </row>
    <row r="409" spans="1:8" x14ac:dyDescent="0.25">
      <c r="A409" t="str">
        <f t="shared" si="26"/>
        <v>Direct,NSFnet,100</v>
      </c>
      <c r="B409" t="s">
        <v>33</v>
      </c>
      <c r="C409" t="s">
        <v>6</v>
      </c>
      <c r="D409">
        <v>100</v>
      </c>
      <c r="E409">
        <v>1139</v>
      </c>
      <c r="F409">
        <f t="shared" si="25"/>
        <v>1093</v>
      </c>
      <c r="G409">
        <f t="shared" si="27"/>
        <v>4.2086001829826163</v>
      </c>
      <c r="H409">
        <f t="shared" si="28"/>
        <v>4.0386303775241439</v>
      </c>
    </row>
    <row r="410" spans="1:8" x14ac:dyDescent="0.25">
      <c r="A410" t="str">
        <f t="shared" si="26"/>
        <v>Direct,NSFnet,100</v>
      </c>
      <c r="B410" t="s">
        <v>33</v>
      </c>
      <c r="C410" t="s">
        <v>6</v>
      </c>
      <c r="D410">
        <v>100</v>
      </c>
      <c r="E410">
        <v>1133.722</v>
      </c>
      <c r="F410">
        <f t="shared" si="25"/>
        <v>1093</v>
      </c>
      <c r="G410">
        <f t="shared" si="27"/>
        <v>3.7257090576395222</v>
      </c>
      <c r="H410">
        <f t="shared" si="28"/>
        <v>3.5918858415025885</v>
      </c>
    </row>
    <row r="411" spans="1:8" x14ac:dyDescent="0.25">
      <c r="A411" t="str">
        <f t="shared" si="26"/>
        <v>Direct,NSFnet,100</v>
      </c>
      <c r="B411" t="s">
        <v>33</v>
      </c>
      <c r="C411" t="s">
        <v>6</v>
      </c>
      <c r="D411">
        <v>100</v>
      </c>
      <c r="E411">
        <v>1094.6379999999999</v>
      </c>
      <c r="F411">
        <f t="shared" si="25"/>
        <v>1093</v>
      </c>
      <c r="G411">
        <f t="shared" si="27"/>
        <v>0.14986276303750412</v>
      </c>
      <c r="H411">
        <f t="shared" si="28"/>
        <v>0.14963851063090447</v>
      </c>
    </row>
    <row r="412" spans="1:8" x14ac:dyDescent="0.25">
      <c r="A412" t="str">
        <f t="shared" si="26"/>
        <v>Direct,NSFnet,100</v>
      </c>
      <c r="B412" t="s">
        <v>33</v>
      </c>
      <c r="C412" t="s">
        <v>6</v>
      </c>
      <c r="D412">
        <v>100</v>
      </c>
      <c r="E412">
        <v>1123.5250000000001</v>
      </c>
      <c r="F412">
        <f t="shared" si="25"/>
        <v>1093</v>
      </c>
      <c r="G412">
        <f t="shared" si="27"/>
        <v>2.7927721866422774</v>
      </c>
      <c r="H412">
        <f t="shared" si="28"/>
        <v>2.7168954851917038</v>
      </c>
    </row>
    <row r="413" spans="1:8" x14ac:dyDescent="0.25">
      <c r="A413" t="str">
        <f t="shared" si="26"/>
        <v>Direct,NSFnet,100</v>
      </c>
      <c r="B413" t="s">
        <v>33</v>
      </c>
      <c r="C413" t="s">
        <v>6</v>
      </c>
      <c r="D413">
        <v>100</v>
      </c>
      <c r="E413">
        <v>1097.287</v>
      </c>
      <c r="F413">
        <f t="shared" si="25"/>
        <v>1093</v>
      </c>
      <c r="G413">
        <f t="shared" si="27"/>
        <v>0.39222323879231791</v>
      </c>
      <c r="H413">
        <f t="shared" si="28"/>
        <v>0.39069085845362561</v>
      </c>
    </row>
    <row r="414" spans="1:8" x14ac:dyDescent="0.25">
      <c r="A414" t="str">
        <f t="shared" si="26"/>
        <v>Direct,NSFnet,100</v>
      </c>
      <c r="B414" t="s">
        <v>33</v>
      </c>
      <c r="C414" t="s">
        <v>6</v>
      </c>
      <c r="D414">
        <v>100</v>
      </c>
      <c r="E414">
        <v>1147.48</v>
      </c>
      <c r="F414">
        <f t="shared" si="25"/>
        <v>1093</v>
      </c>
      <c r="G414">
        <f t="shared" si="27"/>
        <v>4.9844464775846307</v>
      </c>
      <c r="H414">
        <f t="shared" si="28"/>
        <v>4.7477951685432442</v>
      </c>
    </row>
    <row r="415" spans="1:8" x14ac:dyDescent="0.25">
      <c r="A415" t="str">
        <f t="shared" si="26"/>
        <v>Direct,NSFnet,100</v>
      </c>
      <c r="B415" t="s">
        <v>33</v>
      </c>
      <c r="C415" t="s">
        <v>6</v>
      </c>
      <c r="D415">
        <v>100</v>
      </c>
      <c r="E415">
        <v>1086.125</v>
      </c>
      <c r="F415">
        <f t="shared" si="25"/>
        <v>1093</v>
      </c>
      <c r="G415">
        <f t="shared" si="27"/>
        <v>0.62900274473924978</v>
      </c>
      <c r="H415">
        <f t="shared" si="28"/>
        <v>0.63298423293819772</v>
      </c>
    </row>
    <row r="416" spans="1:8" x14ac:dyDescent="0.25">
      <c r="A416" t="str">
        <f t="shared" si="26"/>
        <v>Direct,NSFnet,100</v>
      </c>
      <c r="B416" t="s">
        <v>33</v>
      </c>
      <c r="C416" t="s">
        <v>6</v>
      </c>
      <c r="D416">
        <v>100</v>
      </c>
      <c r="E416">
        <v>1166.8420000000001</v>
      </c>
      <c r="F416">
        <f t="shared" si="25"/>
        <v>1093</v>
      </c>
      <c r="G416">
        <f t="shared" si="27"/>
        <v>6.7559011893870178</v>
      </c>
      <c r="H416">
        <f t="shared" si="28"/>
        <v>6.328363223127047</v>
      </c>
    </row>
    <row r="417" spans="1:8" x14ac:dyDescent="0.25">
      <c r="A417" t="str">
        <f t="shared" si="26"/>
        <v>Direct,NSFnet,100</v>
      </c>
      <c r="B417" t="s">
        <v>33</v>
      </c>
      <c r="C417" t="s">
        <v>6</v>
      </c>
      <c r="D417">
        <v>100</v>
      </c>
      <c r="E417">
        <v>1058.0360000000001</v>
      </c>
      <c r="F417">
        <f t="shared" si="25"/>
        <v>1093</v>
      </c>
      <c r="G417">
        <f t="shared" si="27"/>
        <v>3.1989021043000858</v>
      </c>
      <c r="H417">
        <f t="shared" si="28"/>
        <v>3.3046134536064877</v>
      </c>
    </row>
    <row r="418" spans="1:8" x14ac:dyDescent="0.25">
      <c r="A418" t="str">
        <f t="shared" si="26"/>
        <v>Direct,NSFnet,100</v>
      </c>
      <c r="B418" t="s">
        <v>33</v>
      </c>
      <c r="C418" t="s">
        <v>6</v>
      </c>
      <c r="D418">
        <v>100</v>
      </c>
      <c r="E418">
        <v>1104.3679999999999</v>
      </c>
      <c r="F418">
        <f t="shared" si="25"/>
        <v>1093</v>
      </c>
      <c r="G418">
        <f t="shared" si="27"/>
        <v>1.0400731930466549</v>
      </c>
      <c r="H418">
        <f t="shared" si="28"/>
        <v>1.0293670225866685</v>
      </c>
    </row>
    <row r="419" spans="1:8" x14ac:dyDescent="0.25">
      <c r="A419" t="str">
        <f t="shared" si="26"/>
        <v>Direct,NSFnet,100</v>
      </c>
      <c r="B419" t="s">
        <v>33</v>
      </c>
      <c r="C419" t="s">
        <v>6</v>
      </c>
      <c r="D419">
        <v>100</v>
      </c>
      <c r="E419">
        <v>1160.375</v>
      </c>
      <c r="F419">
        <f t="shared" si="25"/>
        <v>1093</v>
      </c>
      <c r="G419">
        <f t="shared" si="27"/>
        <v>6.1642268984446478</v>
      </c>
      <c r="H419">
        <f t="shared" si="28"/>
        <v>5.8063126144565329</v>
      </c>
    </row>
    <row r="420" spans="1:8" x14ac:dyDescent="0.25">
      <c r="A420" t="str">
        <f t="shared" si="26"/>
        <v>Direct,NSFnet,100</v>
      </c>
      <c r="B420" t="s">
        <v>33</v>
      </c>
      <c r="C420" t="s">
        <v>6</v>
      </c>
      <c r="D420">
        <v>100</v>
      </c>
      <c r="E420">
        <v>1062.143</v>
      </c>
      <c r="F420">
        <f t="shared" si="25"/>
        <v>1093</v>
      </c>
      <c r="G420">
        <f t="shared" si="27"/>
        <v>2.8231473010064017</v>
      </c>
      <c r="H420">
        <f t="shared" si="28"/>
        <v>2.9051643705226105</v>
      </c>
    </row>
    <row r="421" spans="1:8" x14ac:dyDescent="0.25">
      <c r="A421" t="str">
        <f t="shared" si="26"/>
        <v>Direct,NSFnet,100</v>
      </c>
      <c r="B421" t="s">
        <v>33</v>
      </c>
      <c r="C421" t="s">
        <v>6</v>
      </c>
      <c r="D421">
        <v>100</v>
      </c>
      <c r="E421">
        <v>1157.4280000000001</v>
      </c>
      <c r="F421">
        <f t="shared" si="25"/>
        <v>1093</v>
      </c>
      <c r="G421">
        <f t="shared" si="27"/>
        <v>5.894602012808793</v>
      </c>
      <c r="H421">
        <f t="shared" si="28"/>
        <v>5.5664801611849812</v>
      </c>
    </row>
    <row r="422" spans="1:8" x14ac:dyDescent="0.25">
      <c r="A422" t="str">
        <f t="shared" si="26"/>
        <v>Direct,NSFnet,100</v>
      </c>
      <c r="B422" t="s">
        <v>33</v>
      </c>
      <c r="C422" t="s">
        <v>6</v>
      </c>
      <c r="D422">
        <v>100</v>
      </c>
      <c r="E422">
        <v>1083.0309999999999</v>
      </c>
      <c r="F422">
        <f t="shared" si="25"/>
        <v>1093</v>
      </c>
      <c r="G422">
        <f t="shared" si="27"/>
        <v>0.9120768526989983</v>
      </c>
      <c r="H422">
        <f t="shared" si="28"/>
        <v>0.92047226718349262</v>
      </c>
    </row>
    <row r="423" spans="1:8" x14ac:dyDescent="0.25">
      <c r="A423" t="str">
        <f t="shared" si="26"/>
        <v>Direct,NSFnet,100</v>
      </c>
      <c r="B423" t="s">
        <v>33</v>
      </c>
      <c r="C423" t="s">
        <v>6</v>
      </c>
      <c r="D423">
        <v>100</v>
      </c>
      <c r="E423">
        <v>1102.2059999999999</v>
      </c>
      <c r="F423">
        <f t="shared" si="25"/>
        <v>1093</v>
      </c>
      <c r="G423">
        <f t="shared" si="27"/>
        <v>0.8422689844464688</v>
      </c>
      <c r="H423">
        <f t="shared" si="28"/>
        <v>0.83523406695299274</v>
      </c>
    </row>
    <row r="424" spans="1:8" x14ac:dyDescent="0.25">
      <c r="A424" t="str">
        <f t="shared" si="26"/>
        <v>Direct,NSFnet,100</v>
      </c>
      <c r="B424" t="s">
        <v>33</v>
      </c>
      <c r="C424" t="s">
        <v>6</v>
      </c>
      <c r="D424">
        <v>100</v>
      </c>
      <c r="E424">
        <v>1074.9549999999999</v>
      </c>
      <c r="F424">
        <f t="shared" si="25"/>
        <v>1093</v>
      </c>
      <c r="G424">
        <f t="shared" si="27"/>
        <v>1.6509606587374266</v>
      </c>
      <c r="H424">
        <f t="shared" si="28"/>
        <v>1.6786749212757812</v>
      </c>
    </row>
    <row r="425" spans="1:8" x14ac:dyDescent="0.25">
      <c r="A425" t="str">
        <f t="shared" si="26"/>
        <v>Direct,NSFnet,100</v>
      </c>
      <c r="B425" t="s">
        <v>33</v>
      </c>
      <c r="C425" t="s">
        <v>6</v>
      </c>
      <c r="D425">
        <v>100</v>
      </c>
      <c r="E425">
        <v>1216.8420000000001</v>
      </c>
      <c r="F425">
        <f t="shared" si="25"/>
        <v>1093</v>
      </c>
      <c r="G425">
        <f t="shared" si="27"/>
        <v>11.33046660567247</v>
      </c>
      <c r="H425">
        <f t="shared" si="28"/>
        <v>10.177327870011069</v>
      </c>
    </row>
    <row r="426" spans="1:8" x14ac:dyDescent="0.25">
      <c r="A426" t="str">
        <f t="shared" si="26"/>
        <v>Direct,NSFnet,100</v>
      </c>
      <c r="B426" t="s">
        <v>33</v>
      </c>
      <c r="C426" t="s">
        <v>6</v>
      </c>
      <c r="D426">
        <v>100</v>
      </c>
      <c r="E426">
        <v>1073.268</v>
      </c>
      <c r="F426">
        <f t="shared" si="25"/>
        <v>1093</v>
      </c>
      <c r="G426">
        <f t="shared" si="27"/>
        <v>1.8053064958828884</v>
      </c>
      <c r="H426">
        <f t="shared" si="28"/>
        <v>1.8384970016808448</v>
      </c>
    </row>
    <row r="427" spans="1:8" x14ac:dyDescent="0.25">
      <c r="A427" t="str">
        <f t="shared" si="26"/>
        <v>Direct,NSFnet,100</v>
      </c>
      <c r="B427" t="s">
        <v>33</v>
      </c>
      <c r="C427" t="s">
        <v>6</v>
      </c>
      <c r="D427">
        <v>100</v>
      </c>
      <c r="E427">
        <v>1155.068</v>
      </c>
      <c r="F427">
        <f t="shared" si="25"/>
        <v>1093</v>
      </c>
      <c r="G427">
        <f t="shared" si="27"/>
        <v>5.6786825251601085</v>
      </c>
      <c r="H427">
        <f t="shared" si="28"/>
        <v>5.3735364498020886</v>
      </c>
    </row>
    <row r="428" spans="1:8" x14ac:dyDescent="0.25">
      <c r="A428" t="str">
        <f t="shared" si="26"/>
        <v>Direct,NSFnet,100</v>
      </c>
      <c r="B428" t="s">
        <v>33</v>
      </c>
      <c r="C428" t="s">
        <v>6</v>
      </c>
      <c r="D428">
        <v>100</v>
      </c>
      <c r="E428">
        <v>1118.9780000000001</v>
      </c>
      <c r="F428">
        <f t="shared" si="25"/>
        <v>1093</v>
      </c>
      <c r="G428">
        <f t="shared" si="27"/>
        <v>2.3767612076852758</v>
      </c>
      <c r="H428">
        <f t="shared" si="28"/>
        <v>2.321582729955376</v>
      </c>
    </row>
    <row r="429" spans="1:8" x14ac:dyDescent="0.25">
      <c r="A429" t="str">
        <f t="shared" si="26"/>
        <v>Direct,NSFnet,100</v>
      </c>
      <c r="B429" t="s">
        <v>33</v>
      </c>
      <c r="C429" t="s">
        <v>6</v>
      </c>
      <c r="D429">
        <v>100</v>
      </c>
      <c r="E429">
        <v>1140.3119999999999</v>
      </c>
      <c r="F429">
        <f t="shared" si="25"/>
        <v>1093</v>
      </c>
      <c r="G429">
        <f t="shared" si="27"/>
        <v>4.3286367795059375</v>
      </c>
      <c r="H429">
        <f t="shared" si="28"/>
        <v>4.1490399118837571</v>
      </c>
    </row>
    <row r="430" spans="1:8" x14ac:dyDescent="0.25">
      <c r="A430" t="str">
        <f t="shared" si="26"/>
        <v>Direct,NSFnet,100</v>
      </c>
      <c r="B430" t="s">
        <v>33</v>
      </c>
      <c r="C430" t="s">
        <v>6</v>
      </c>
      <c r="D430">
        <v>100</v>
      </c>
      <c r="E430">
        <v>1103.845</v>
      </c>
      <c r="F430">
        <f t="shared" si="25"/>
        <v>1093</v>
      </c>
      <c r="G430">
        <f t="shared" si="27"/>
        <v>0.99222323879231722</v>
      </c>
      <c r="H430">
        <f t="shared" si="28"/>
        <v>0.98247489457306303</v>
      </c>
    </row>
    <row r="431" spans="1:8" x14ac:dyDescent="0.25">
      <c r="A431" t="str">
        <f t="shared" si="26"/>
        <v>Direct,NSFnet,100</v>
      </c>
      <c r="B431" t="s">
        <v>33</v>
      </c>
      <c r="C431" t="s">
        <v>6</v>
      </c>
      <c r="D431">
        <v>100</v>
      </c>
      <c r="E431">
        <v>1098.6600000000001</v>
      </c>
      <c r="F431">
        <f t="shared" si="25"/>
        <v>1093</v>
      </c>
      <c r="G431">
        <f t="shared" si="27"/>
        <v>0.51784080512352082</v>
      </c>
      <c r="H431">
        <f t="shared" si="28"/>
        <v>0.51517302896256179</v>
      </c>
    </row>
    <row r="432" spans="1:8" x14ac:dyDescent="0.25">
      <c r="A432" t="str">
        <f t="shared" si="26"/>
        <v>Direct,NSFnet,100</v>
      </c>
      <c r="B432" t="s">
        <v>33</v>
      </c>
      <c r="C432" t="s">
        <v>6</v>
      </c>
      <c r="D432">
        <v>100</v>
      </c>
      <c r="E432">
        <v>1090.1780000000001</v>
      </c>
      <c r="F432">
        <f t="shared" si="25"/>
        <v>1093</v>
      </c>
      <c r="G432">
        <f t="shared" si="27"/>
        <v>0.25818847209514079</v>
      </c>
      <c r="H432">
        <f t="shared" si="28"/>
        <v>0.25885681053918613</v>
      </c>
    </row>
    <row r="433" spans="1:8" x14ac:dyDescent="0.25">
      <c r="A433" t="str">
        <f t="shared" si="26"/>
        <v>Direct,NSFnet,100</v>
      </c>
      <c r="B433" t="s">
        <v>33</v>
      </c>
      <c r="C433" t="s">
        <v>6</v>
      </c>
      <c r="D433">
        <v>100</v>
      </c>
      <c r="E433">
        <v>1124.278</v>
      </c>
      <c r="F433">
        <f t="shared" si="25"/>
        <v>1093</v>
      </c>
      <c r="G433">
        <f t="shared" si="27"/>
        <v>2.8616651418115295</v>
      </c>
      <c r="H433">
        <f t="shared" si="28"/>
        <v>2.7820521258976889</v>
      </c>
    </row>
    <row r="434" spans="1:8" x14ac:dyDescent="0.25">
      <c r="A434" t="str">
        <f t="shared" si="26"/>
        <v>Direct,NSFnet,100</v>
      </c>
      <c r="B434" t="s">
        <v>33</v>
      </c>
      <c r="C434" t="s">
        <v>6</v>
      </c>
      <c r="D434">
        <v>100</v>
      </c>
      <c r="E434">
        <v>1161.1600000000001</v>
      </c>
      <c r="F434">
        <f t="shared" si="25"/>
        <v>1093</v>
      </c>
      <c r="G434">
        <f t="shared" si="27"/>
        <v>6.2360475754803373</v>
      </c>
      <c r="H434">
        <f t="shared" si="28"/>
        <v>5.8699920768886349</v>
      </c>
    </row>
    <row r="435" spans="1:8" x14ac:dyDescent="0.25">
      <c r="A435" t="str">
        <f t="shared" si="26"/>
        <v>Direct,NSFnet,100</v>
      </c>
      <c r="B435" t="s">
        <v>33</v>
      </c>
      <c r="C435" t="s">
        <v>6</v>
      </c>
      <c r="D435">
        <v>100</v>
      </c>
      <c r="E435">
        <v>1151.48</v>
      </c>
      <c r="F435">
        <f t="shared" si="25"/>
        <v>1093</v>
      </c>
      <c r="G435">
        <f t="shared" si="27"/>
        <v>5.3504117108874674</v>
      </c>
      <c r="H435">
        <f t="shared" si="28"/>
        <v>5.0786813492201359</v>
      </c>
    </row>
    <row r="436" spans="1:8" x14ac:dyDescent="0.25">
      <c r="A436" t="str">
        <f t="shared" si="26"/>
        <v>Direct,NSFnet,100</v>
      </c>
      <c r="B436" t="s">
        <v>33</v>
      </c>
      <c r="C436" t="s">
        <v>6</v>
      </c>
      <c r="D436">
        <v>100</v>
      </c>
      <c r="E436">
        <v>1093.662</v>
      </c>
      <c r="F436">
        <f t="shared" si="25"/>
        <v>1093</v>
      </c>
      <c r="G436">
        <f t="shared" si="27"/>
        <v>6.0567246111622564E-2</v>
      </c>
      <c r="H436">
        <f t="shared" si="28"/>
        <v>6.0530584403594032E-2</v>
      </c>
    </row>
    <row r="437" spans="1:8" x14ac:dyDescent="0.25">
      <c r="A437" t="str">
        <f t="shared" si="26"/>
        <v>Direct,NSFnet,100</v>
      </c>
      <c r="B437" t="s">
        <v>33</v>
      </c>
      <c r="C437" t="s">
        <v>6</v>
      </c>
      <c r="D437">
        <v>100</v>
      </c>
      <c r="E437">
        <v>1082.1400000000001</v>
      </c>
      <c r="F437">
        <f t="shared" si="25"/>
        <v>1093</v>
      </c>
      <c r="G437">
        <f t="shared" si="27"/>
        <v>0.99359560841719119</v>
      </c>
      <c r="H437">
        <f t="shared" si="28"/>
        <v>1.0035670061174986</v>
      </c>
    </row>
    <row r="438" spans="1:8" x14ac:dyDescent="0.25">
      <c r="A438" t="str">
        <f t="shared" si="26"/>
        <v>Direct,NSFnet,100</v>
      </c>
      <c r="B438" t="s">
        <v>33</v>
      </c>
      <c r="C438" t="s">
        <v>6</v>
      </c>
      <c r="D438">
        <v>100</v>
      </c>
      <c r="E438">
        <v>1076.722</v>
      </c>
      <c r="F438">
        <f t="shared" si="25"/>
        <v>1093</v>
      </c>
      <c r="G438">
        <f t="shared" si="27"/>
        <v>1.4892955169258937</v>
      </c>
      <c r="H438">
        <f t="shared" si="28"/>
        <v>1.5118108481112134</v>
      </c>
    </row>
    <row r="439" spans="1:8" x14ac:dyDescent="0.25">
      <c r="A439" t="str">
        <f t="shared" si="26"/>
        <v>Direct,NSFnet,100</v>
      </c>
      <c r="B439" t="s">
        <v>33</v>
      </c>
      <c r="C439" t="s">
        <v>6</v>
      </c>
      <c r="D439">
        <v>100</v>
      </c>
      <c r="E439">
        <v>1054.866</v>
      </c>
      <c r="F439">
        <f t="shared" si="25"/>
        <v>1093</v>
      </c>
      <c r="G439">
        <f t="shared" si="27"/>
        <v>3.4889295516925904</v>
      </c>
      <c r="H439">
        <f t="shared" si="28"/>
        <v>3.6150563199496446</v>
      </c>
    </row>
    <row r="440" spans="1:8" x14ac:dyDescent="0.25">
      <c r="A440" t="str">
        <f t="shared" si="26"/>
        <v>Direct,NSFnet,100</v>
      </c>
      <c r="B440" t="s">
        <v>33</v>
      </c>
      <c r="C440" t="s">
        <v>6</v>
      </c>
      <c r="D440">
        <v>100</v>
      </c>
      <c r="E440">
        <v>1152.425</v>
      </c>
      <c r="F440">
        <f t="shared" si="25"/>
        <v>1093</v>
      </c>
      <c r="G440">
        <f t="shared" si="27"/>
        <v>5.4368709972552569</v>
      </c>
      <c r="H440">
        <f t="shared" si="28"/>
        <v>5.1565177777295661</v>
      </c>
    </row>
    <row r="441" spans="1:8" x14ac:dyDescent="0.25">
      <c r="A441" t="str">
        <f t="shared" si="26"/>
        <v>Direct,NSFnet,100</v>
      </c>
      <c r="B441" t="s">
        <v>33</v>
      </c>
      <c r="C441" t="s">
        <v>6</v>
      </c>
      <c r="D441">
        <v>100</v>
      </c>
      <c r="E441">
        <v>1093.2650000000001</v>
      </c>
      <c r="F441">
        <f t="shared" si="25"/>
        <v>1093</v>
      </c>
      <c r="G441">
        <f t="shared" si="27"/>
        <v>2.4245196706322053E-2</v>
      </c>
      <c r="H441">
        <f t="shared" si="28"/>
        <v>2.4239319835547651E-2</v>
      </c>
    </row>
    <row r="442" spans="1:8" x14ac:dyDescent="0.25">
      <c r="A442" t="str">
        <f t="shared" si="26"/>
        <v>Direct,NSFnet,100</v>
      </c>
      <c r="B442" t="s">
        <v>33</v>
      </c>
      <c r="C442" t="s">
        <v>6</v>
      </c>
      <c r="D442">
        <v>100</v>
      </c>
      <c r="E442">
        <v>1087.403</v>
      </c>
      <c r="F442">
        <f t="shared" si="25"/>
        <v>1093</v>
      </c>
      <c r="G442">
        <f t="shared" si="27"/>
        <v>0.51207685269899172</v>
      </c>
      <c r="H442">
        <f t="shared" si="28"/>
        <v>0.51471257666200854</v>
      </c>
    </row>
    <row r="443" spans="1:8" x14ac:dyDescent="0.25">
      <c r="A443" t="str">
        <f t="shared" si="26"/>
        <v>Direct,NSFnet,100</v>
      </c>
      <c r="B443" t="s">
        <v>33</v>
      </c>
      <c r="C443" t="s">
        <v>6</v>
      </c>
      <c r="D443">
        <v>100</v>
      </c>
      <c r="E443">
        <v>1173.278</v>
      </c>
      <c r="F443">
        <f t="shared" si="25"/>
        <v>1093</v>
      </c>
      <c r="G443">
        <f t="shared" si="27"/>
        <v>7.3447392497712736</v>
      </c>
      <c r="H443">
        <f t="shared" si="28"/>
        <v>6.8421976718220261</v>
      </c>
    </row>
    <row r="444" spans="1:8" x14ac:dyDescent="0.25">
      <c r="A444" t="str">
        <f t="shared" si="26"/>
        <v>Direct,NSFnet,100</v>
      </c>
      <c r="B444" t="s">
        <v>33</v>
      </c>
      <c r="C444" t="s">
        <v>6</v>
      </c>
      <c r="D444">
        <v>100</v>
      </c>
      <c r="E444">
        <v>1142.606</v>
      </c>
      <c r="F444">
        <f t="shared" si="25"/>
        <v>1093</v>
      </c>
      <c r="G444">
        <f t="shared" si="27"/>
        <v>4.538517840805123</v>
      </c>
      <c r="H444">
        <f t="shared" si="28"/>
        <v>4.3414790400190437</v>
      </c>
    </row>
    <row r="445" spans="1:8" x14ac:dyDescent="0.25">
      <c r="A445" t="str">
        <f t="shared" si="26"/>
        <v>Direct,NSFnet,100</v>
      </c>
      <c r="B445" t="s">
        <v>33</v>
      </c>
      <c r="C445" t="s">
        <v>6</v>
      </c>
      <c r="D445">
        <v>100</v>
      </c>
      <c r="E445">
        <v>1073.5070000000001</v>
      </c>
      <c r="F445">
        <f t="shared" si="25"/>
        <v>1093</v>
      </c>
      <c r="G445">
        <f t="shared" si="27"/>
        <v>1.7834400731930409</v>
      </c>
      <c r="H445">
        <f t="shared" si="28"/>
        <v>1.815824209809525</v>
      </c>
    </row>
    <row r="446" spans="1:8" x14ac:dyDescent="0.25">
      <c r="A446" t="str">
        <f t="shared" si="26"/>
        <v>Direct,NSFnet,100</v>
      </c>
      <c r="B446" t="s">
        <v>33</v>
      </c>
      <c r="C446" t="s">
        <v>6</v>
      </c>
      <c r="D446">
        <v>100</v>
      </c>
      <c r="E446">
        <v>1127.575</v>
      </c>
      <c r="F446">
        <f t="shared" si="25"/>
        <v>1093</v>
      </c>
      <c r="G446">
        <f t="shared" si="27"/>
        <v>3.1633119853613954</v>
      </c>
      <c r="H446">
        <f t="shared" si="28"/>
        <v>3.0663148792763271</v>
      </c>
    </row>
    <row r="447" spans="1:8" x14ac:dyDescent="0.25">
      <c r="A447" t="str">
        <f t="shared" si="26"/>
        <v>Direct,NSFnet,100</v>
      </c>
      <c r="B447" t="s">
        <v>33</v>
      </c>
      <c r="C447" t="s">
        <v>6</v>
      </c>
      <c r="D447">
        <v>100</v>
      </c>
      <c r="E447">
        <v>1096.4760000000001</v>
      </c>
      <c r="F447">
        <f t="shared" si="25"/>
        <v>1093</v>
      </c>
      <c r="G447">
        <f t="shared" si="27"/>
        <v>0.31802378774017498</v>
      </c>
      <c r="H447">
        <f t="shared" si="28"/>
        <v>0.31701560271270074</v>
      </c>
    </row>
    <row r="448" spans="1:8" x14ac:dyDescent="0.25">
      <c r="A448" t="str">
        <f t="shared" si="26"/>
        <v>Direct,NSFnet,100</v>
      </c>
      <c r="B448" t="s">
        <v>33</v>
      </c>
      <c r="C448" t="s">
        <v>6</v>
      </c>
      <c r="D448">
        <v>100</v>
      </c>
      <c r="E448">
        <v>1147.8789999999999</v>
      </c>
      <c r="F448">
        <f t="shared" si="25"/>
        <v>1093</v>
      </c>
      <c r="G448">
        <f t="shared" si="27"/>
        <v>5.0209515096065793</v>
      </c>
      <c r="H448">
        <f t="shared" si="28"/>
        <v>4.7809046075413795</v>
      </c>
    </row>
    <row r="449" spans="1:8" x14ac:dyDescent="0.25">
      <c r="A449" t="str">
        <f t="shared" si="26"/>
        <v>Direct,NSFnet,100</v>
      </c>
      <c r="B449" t="s">
        <v>33</v>
      </c>
      <c r="C449" t="s">
        <v>6</v>
      </c>
      <c r="D449">
        <v>100</v>
      </c>
      <c r="E449">
        <v>1119.037</v>
      </c>
      <c r="F449">
        <f t="shared" si="25"/>
        <v>1093</v>
      </c>
      <c r="G449">
        <f t="shared" si="27"/>
        <v>2.3821591948764897</v>
      </c>
      <c r="H449">
        <f t="shared" si="28"/>
        <v>2.326732717506216</v>
      </c>
    </row>
    <row r="450" spans="1:8" x14ac:dyDescent="0.25">
      <c r="A450" t="str">
        <f t="shared" si="26"/>
        <v>Direct,NSFnet,100</v>
      </c>
      <c r="B450" t="s">
        <v>33</v>
      </c>
      <c r="C450" t="s">
        <v>6</v>
      </c>
      <c r="D450">
        <v>100</v>
      </c>
      <c r="E450">
        <v>1165.3800000000001</v>
      </c>
      <c r="F450">
        <f t="shared" si="25"/>
        <v>1093</v>
      </c>
      <c r="G450">
        <f t="shared" si="27"/>
        <v>6.6221408966148312</v>
      </c>
      <c r="H450">
        <f t="shared" si="28"/>
        <v>6.2108496799327346</v>
      </c>
    </row>
    <row r="451" spans="1:8" x14ac:dyDescent="0.25">
      <c r="A451" t="str">
        <f t="shared" si="26"/>
        <v>Direct,NSFnet,100</v>
      </c>
      <c r="B451" t="s">
        <v>33</v>
      </c>
      <c r="C451" t="s">
        <v>6</v>
      </c>
      <c r="D451">
        <v>100</v>
      </c>
      <c r="E451">
        <v>1159.94</v>
      </c>
      <c r="F451">
        <f t="shared" ref="F451:F514" si="29">_xlfn.XLOOKUP(A451,$J$3:$J$36,$N$3:$N$36)</f>
        <v>1093</v>
      </c>
      <c r="G451">
        <f t="shared" si="27"/>
        <v>6.1244281793229698</v>
      </c>
      <c r="H451">
        <f t="shared" si="28"/>
        <v>5.7709881545597232</v>
      </c>
    </row>
    <row r="452" spans="1:8" x14ac:dyDescent="0.25">
      <c r="A452" t="str">
        <f t="shared" ref="A452:A515" si="30">B452&amp;","&amp;C452&amp;","&amp;D452</f>
        <v>Direct,NSFnet,100</v>
      </c>
      <c r="B452" t="s">
        <v>33</v>
      </c>
      <c r="C452" t="s">
        <v>6</v>
      </c>
      <c r="D452">
        <v>100</v>
      </c>
      <c r="E452">
        <v>1160.1389999999999</v>
      </c>
      <c r="F452">
        <f t="shared" si="29"/>
        <v>1093</v>
      </c>
      <c r="G452">
        <f t="shared" ref="G452:G515" si="31">ABS((E452-F452)/F452)*100</f>
        <v>6.1426349496797714</v>
      </c>
      <c r="H452">
        <f t="shared" ref="H452:H515" si="32">ABS((F452-E452)/E452)*100</f>
        <v>5.7871513672068522</v>
      </c>
    </row>
    <row r="453" spans="1:8" x14ac:dyDescent="0.25">
      <c r="A453" t="str">
        <f t="shared" si="30"/>
        <v>Direct,NSFnet,100</v>
      </c>
      <c r="B453" t="s">
        <v>33</v>
      </c>
      <c r="C453" t="s">
        <v>6</v>
      </c>
      <c r="D453">
        <v>100</v>
      </c>
      <c r="E453">
        <v>1152.6600000000001</v>
      </c>
      <c r="F453">
        <f t="shared" si="29"/>
        <v>1093</v>
      </c>
      <c r="G453">
        <f t="shared" si="31"/>
        <v>5.4583714547118101</v>
      </c>
      <c r="H453">
        <f t="shared" si="32"/>
        <v>5.1758541113598175</v>
      </c>
    </row>
    <row r="454" spans="1:8" x14ac:dyDescent="0.25">
      <c r="A454" t="str">
        <f t="shared" si="30"/>
        <v>Direct,NSFnet,100</v>
      </c>
      <c r="B454" t="s">
        <v>33</v>
      </c>
      <c r="C454" t="s">
        <v>6</v>
      </c>
      <c r="D454">
        <v>100</v>
      </c>
      <c r="E454">
        <v>1142.9459999999999</v>
      </c>
      <c r="F454">
        <f t="shared" si="29"/>
        <v>1093</v>
      </c>
      <c r="G454">
        <f t="shared" si="31"/>
        <v>4.5696248856358572</v>
      </c>
      <c r="H454">
        <f t="shared" si="32"/>
        <v>4.3699352375352749</v>
      </c>
    </row>
    <row r="455" spans="1:8" x14ac:dyDescent="0.25">
      <c r="A455" t="str">
        <f t="shared" si="30"/>
        <v>Direct,NSFnet,100</v>
      </c>
      <c r="B455" t="s">
        <v>33</v>
      </c>
      <c r="C455" t="s">
        <v>6</v>
      </c>
      <c r="D455">
        <v>100</v>
      </c>
      <c r="E455">
        <v>1098.027</v>
      </c>
      <c r="F455">
        <f t="shared" si="29"/>
        <v>1093</v>
      </c>
      <c r="G455">
        <f t="shared" si="31"/>
        <v>0.45992680695334348</v>
      </c>
      <c r="H455">
        <f t="shared" si="32"/>
        <v>0.45782116468903256</v>
      </c>
    </row>
    <row r="456" spans="1:8" x14ac:dyDescent="0.25">
      <c r="A456" t="str">
        <f t="shared" si="30"/>
        <v>Direct,NSFnet,100</v>
      </c>
      <c r="B456" t="s">
        <v>33</v>
      </c>
      <c r="C456" t="s">
        <v>6</v>
      </c>
      <c r="D456">
        <v>100</v>
      </c>
      <c r="E456">
        <v>1112.723</v>
      </c>
      <c r="F456">
        <f t="shared" si="29"/>
        <v>1093</v>
      </c>
      <c r="G456">
        <f t="shared" si="31"/>
        <v>1.8044830741079556</v>
      </c>
      <c r="H456">
        <f t="shared" si="32"/>
        <v>1.7724986362284196</v>
      </c>
    </row>
    <row r="457" spans="1:8" x14ac:dyDescent="0.25">
      <c r="A457" t="str">
        <f t="shared" si="30"/>
        <v>Direct,NSFnet,100</v>
      </c>
      <c r="B457" t="s">
        <v>33</v>
      </c>
      <c r="C457" t="s">
        <v>6</v>
      </c>
      <c r="D457">
        <v>100</v>
      </c>
      <c r="E457">
        <v>1135.2149999999999</v>
      </c>
      <c r="F457">
        <f t="shared" si="29"/>
        <v>1093</v>
      </c>
      <c r="G457">
        <f t="shared" si="31"/>
        <v>3.8623055809698008</v>
      </c>
      <c r="H457">
        <f t="shared" si="32"/>
        <v>3.7186788405720437</v>
      </c>
    </row>
    <row r="458" spans="1:8" x14ac:dyDescent="0.25">
      <c r="A458" t="str">
        <f t="shared" si="30"/>
        <v>Direct,NSFnet,100</v>
      </c>
      <c r="B458" t="s">
        <v>33</v>
      </c>
      <c r="C458" t="s">
        <v>6</v>
      </c>
      <c r="D458">
        <v>100</v>
      </c>
      <c r="E458">
        <v>1120.5239999999999</v>
      </c>
      <c r="F458">
        <f t="shared" si="29"/>
        <v>1093</v>
      </c>
      <c r="G458">
        <f t="shared" si="31"/>
        <v>2.5182067703568056</v>
      </c>
      <c r="H458">
        <f t="shared" si="32"/>
        <v>2.4563507787427925</v>
      </c>
    </row>
    <row r="459" spans="1:8" x14ac:dyDescent="0.25">
      <c r="A459" t="str">
        <f t="shared" si="30"/>
        <v>Direct,NSFnet,100</v>
      </c>
      <c r="B459" t="s">
        <v>33</v>
      </c>
      <c r="C459" t="s">
        <v>6</v>
      </c>
      <c r="D459">
        <v>100</v>
      </c>
      <c r="E459">
        <v>1094.643</v>
      </c>
      <c r="F459">
        <f t="shared" si="29"/>
        <v>1093</v>
      </c>
      <c r="G459">
        <f t="shared" si="31"/>
        <v>0.15032021957914263</v>
      </c>
      <c r="H459">
        <f t="shared" si="32"/>
        <v>0.15009459705127873</v>
      </c>
    </row>
    <row r="460" spans="1:8" x14ac:dyDescent="0.25">
      <c r="A460" t="str">
        <f t="shared" si="30"/>
        <v>Direct,NSFnet,100</v>
      </c>
      <c r="B460" t="s">
        <v>33</v>
      </c>
      <c r="C460" t="s">
        <v>6</v>
      </c>
      <c r="D460">
        <v>100</v>
      </c>
      <c r="E460">
        <v>1043.914</v>
      </c>
      <c r="F460">
        <f t="shared" si="29"/>
        <v>1093</v>
      </c>
      <c r="G460">
        <f t="shared" si="31"/>
        <v>4.4909423604757563</v>
      </c>
      <c r="H460">
        <f t="shared" si="32"/>
        <v>4.7021114766158911</v>
      </c>
    </row>
    <row r="461" spans="1:8" x14ac:dyDescent="0.25">
      <c r="A461" t="str">
        <f t="shared" si="30"/>
        <v>Direct,NSFnet,100</v>
      </c>
      <c r="B461" t="s">
        <v>33</v>
      </c>
      <c r="C461" t="s">
        <v>6</v>
      </c>
      <c r="D461">
        <v>100</v>
      </c>
      <c r="E461">
        <v>1104.4949999999999</v>
      </c>
      <c r="F461">
        <f t="shared" si="29"/>
        <v>1093</v>
      </c>
      <c r="G461">
        <f t="shared" si="31"/>
        <v>1.0516925892040156</v>
      </c>
      <c r="H461">
        <f t="shared" si="32"/>
        <v>1.0407471287783008</v>
      </c>
    </row>
    <row r="462" spans="1:8" x14ac:dyDescent="0.25">
      <c r="A462" t="str">
        <f t="shared" si="30"/>
        <v>Direct,NSFnet,100</v>
      </c>
      <c r="B462" t="s">
        <v>33</v>
      </c>
      <c r="C462" t="s">
        <v>6</v>
      </c>
      <c r="D462">
        <v>100</v>
      </c>
      <c r="E462">
        <v>1081.3309999999999</v>
      </c>
      <c r="F462">
        <f t="shared" si="29"/>
        <v>1093</v>
      </c>
      <c r="G462">
        <f t="shared" si="31"/>
        <v>1.0676120768527078</v>
      </c>
      <c r="H462">
        <f t="shared" si="32"/>
        <v>1.0791330314214702</v>
      </c>
    </row>
    <row r="463" spans="1:8" x14ac:dyDescent="0.25">
      <c r="A463" t="str">
        <f t="shared" si="30"/>
        <v>Direct,NSFnet,100</v>
      </c>
      <c r="B463" t="s">
        <v>33</v>
      </c>
      <c r="C463" t="s">
        <v>6</v>
      </c>
      <c r="D463">
        <v>100</v>
      </c>
      <c r="E463">
        <v>1125.9639999999999</v>
      </c>
      <c r="F463">
        <f t="shared" si="29"/>
        <v>1093</v>
      </c>
      <c r="G463">
        <f t="shared" si="31"/>
        <v>3.0159194876486684</v>
      </c>
      <c r="H463">
        <f t="shared" si="32"/>
        <v>2.92762468427054</v>
      </c>
    </row>
    <row r="464" spans="1:8" x14ac:dyDescent="0.25">
      <c r="A464" t="str">
        <f t="shared" si="30"/>
        <v>Direct,NSFnet,100</v>
      </c>
      <c r="B464" t="s">
        <v>33</v>
      </c>
      <c r="C464" t="s">
        <v>6</v>
      </c>
      <c r="D464">
        <v>100</v>
      </c>
      <c r="E464">
        <v>1068.751</v>
      </c>
      <c r="F464">
        <f t="shared" si="29"/>
        <v>1093</v>
      </c>
      <c r="G464">
        <f t="shared" si="31"/>
        <v>2.2185727355901208</v>
      </c>
      <c r="H464">
        <f t="shared" si="32"/>
        <v>2.2689101577448838</v>
      </c>
    </row>
    <row r="465" spans="1:8" x14ac:dyDescent="0.25">
      <c r="A465" t="str">
        <f t="shared" si="30"/>
        <v>Direct,NSFnet,100</v>
      </c>
      <c r="B465" t="s">
        <v>33</v>
      </c>
      <c r="C465" t="s">
        <v>6</v>
      </c>
      <c r="D465">
        <v>100</v>
      </c>
      <c r="E465">
        <v>1099.5419999999999</v>
      </c>
      <c r="F465">
        <f t="shared" si="29"/>
        <v>1093</v>
      </c>
      <c r="G465">
        <f t="shared" si="31"/>
        <v>0.59853613906678105</v>
      </c>
      <c r="H465">
        <f t="shared" si="32"/>
        <v>0.59497499868126158</v>
      </c>
    </row>
    <row r="466" spans="1:8" x14ac:dyDescent="0.25">
      <c r="A466" t="str">
        <f t="shared" si="30"/>
        <v>Direct,NSFnet,100</v>
      </c>
      <c r="B466" t="s">
        <v>33</v>
      </c>
      <c r="C466" t="s">
        <v>6</v>
      </c>
      <c r="D466">
        <v>100</v>
      </c>
      <c r="E466">
        <v>1096.3679999999999</v>
      </c>
      <c r="F466">
        <f t="shared" si="29"/>
        <v>1093</v>
      </c>
      <c r="G466">
        <f t="shared" si="31"/>
        <v>0.30814272644098245</v>
      </c>
      <c r="H466">
        <f t="shared" si="32"/>
        <v>0.30719612392918605</v>
      </c>
    </row>
    <row r="467" spans="1:8" x14ac:dyDescent="0.25">
      <c r="A467" t="str">
        <f t="shared" si="30"/>
        <v>Direct,NSFnet,100</v>
      </c>
      <c r="B467" t="s">
        <v>33</v>
      </c>
      <c r="C467" t="s">
        <v>6</v>
      </c>
      <c r="D467">
        <v>100</v>
      </c>
      <c r="E467">
        <v>1087.547</v>
      </c>
      <c r="F467">
        <f t="shared" si="29"/>
        <v>1093</v>
      </c>
      <c r="G467">
        <f t="shared" si="31"/>
        <v>0.49890210430008919</v>
      </c>
      <c r="H467">
        <f t="shared" si="32"/>
        <v>0.50140361749882756</v>
      </c>
    </row>
    <row r="468" spans="1:8" x14ac:dyDescent="0.25">
      <c r="A468" t="str">
        <f t="shared" si="30"/>
        <v>Direct,NSFnet,100</v>
      </c>
      <c r="B468" t="s">
        <v>33</v>
      </c>
      <c r="C468" t="s">
        <v>6</v>
      </c>
      <c r="D468">
        <v>100</v>
      </c>
      <c r="E468">
        <v>1135.1020000000001</v>
      </c>
      <c r="F468">
        <f t="shared" si="29"/>
        <v>1093</v>
      </c>
      <c r="G468">
        <f t="shared" si="31"/>
        <v>3.851967063129011</v>
      </c>
      <c r="H468">
        <f t="shared" si="32"/>
        <v>3.709093984505365</v>
      </c>
    </row>
    <row r="469" spans="1:8" x14ac:dyDescent="0.25">
      <c r="A469" t="str">
        <f t="shared" si="30"/>
        <v>Direct,NSFnet,100</v>
      </c>
      <c r="B469" t="s">
        <v>33</v>
      </c>
      <c r="C469" t="s">
        <v>6</v>
      </c>
      <c r="D469">
        <v>100</v>
      </c>
      <c r="E469">
        <v>1147.5899999999999</v>
      </c>
      <c r="F469">
        <f t="shared" si="29"/>
        <v>1093</v>
      </c>
      <c r="G469">
        <f t="shared" si="31"/>
        <v>4.9945105215004499</v>
      </c>
      <c r="H469">
        <f t="shared" si="32"/>
        <v>4.7569253827586442</v>
      </c>
    </row>
    <row r="470" spans="1:8" x14ac:dyDescent="0.25">
      <c r="A470" t="str">
        <f t="shared" si="30"/>
        <v>Direct,NSFnet,100</v>
      </c>
      <c r="B470" t="s">
        <v>33</v>
      </c>
      <c r="C470" t="s">
        <v>6</v>
      </c>
      <c r="D470">
        <v>100</v>
      </c>
      <c r="E470">
        <v>1156.972</v>
      </c>
      <c r="F470">
        <f t="shared" si="29"/>
        <v>1093</v>
      </c>
      <c r="G470">
        <f t="shared" si="31"/>
        <v>5.8528819762122586</v>
      </c>
      <c r="H470">
        <f t="shared" si="32"/>
        <v>5.5292608637028371</v>
      </c>
    </row>
    <row r="471" spans="1:8" x14ac:dyDescent="0.25">
      <c r="A471" t="str">
        <f t="shared" si="30"/>
        <v>Direct,NSFnet,100</v>
      </c>
      <c r="B471" t="s">
        <v>33</v>
      </c>
      <c r="C471" t="s">
        <v>6</v>
      </c>
      <c r="D471">
        <v>100</v>
      </c>
      <c r="E471">
        <v>1118.569</v>
      </c>
      <c r="F471">
        <f t="shared" si="29"/>
        <v>1093</v>
      </c>
      <c r="G471">
        <f t="shared" si="31"/>
        <v>2.3393412625800512</v>
      </c>
      <c r="H471">
        <f t="shared" si="32"/>
        <v>2.2858670318952128</v>
      </c>
    </row>
    <row r="472" spans="1:8" x14ac:dyDescent="0.25">
      <c r="A472" t="str">
        <f t="shared" si="30"/>
        <v>Direct,NSFnet,100</v>
      </c>
      <c r="B472" t="s">
        <v>33</v>
      </c>
      <c r="C472" t="s">
        <v>6</v>
      </c>
      <c r="D472">
        <v>100</v>
      </c>
      <c r="E472">
        <v>1130.51</v>
      </c>
      <c r="F472">
        <f t="shared" si="29"/>
        <v>1093</v>
      </c>
      <c r="G472">
        <f t="shared" si="31"/>
        <v>3.4318389752973459</v>
      </c>
      <c r="H472">
        <f t="shared" si="32"/>
        <v>3.3179715349709413</v>
      </c>
    </row>
    <row r="473" spans="1:8" x14ac:dyDescent="0.25">
      <c r="A473" t="str">
        <f t="shared" si="30"/>
        <v>Direct,NSFnet,100</v>
      </c>
      <c r="B473" t="s">
        <v>33</v>
      </c>
      <c r="C473" t="s">
        <v>6</v>
      </c>
      <c r="D473">
        <v>100</v>
      </c>
      <c r="E473">
        <v>1203.356</v>
      </c>
      <c r="F473">
        <f t="shared" si="29"/>
        <v>1093</v>
      </c>
      <c r="G473">
        <f t="shared" si="31"/>
        <v>10.096614821591949</v>
      </c>
      <c r="H473">
        <f t="shared" si="32"/>
        <v>9.1706859815382966</v>
      </c>
    </row>
    <row r="474" spans="1:8" x14ac:dyDescent="0.25">
      <c r="A474" t="str">
        <f t="shared" si="30"/>
        <v>Direct,NSFnet,100</v>
      </c>
      <c r="B474" t="s">
        <v>33</v>
      </c>
      <c r="C474" t="s">
        <v>6</v>
      </c>
      <c r="D474">
        <v>100</v>
      </c>
      <c r="E474">
        <v>1116.826</v>
      </c>
      <c r="F474">
        <f t="shared" si="29"/>
        <v>1093</v>
      </c>
      <c r="G474">
        <f t="shared" si="31"/>
        <v>2.1798719121683461</v>
      </c>
      <c r="H474">
        <f t="shared" si="32"/>
        <v>2.1333672389432214</v>
      </c>
    </row>
    <row r="475" spans="1:8" x14ac:dyDescent="0.25">
      <c r="A475" t="str">
        <f t="shared" si="30"/>
        <v>Direct,NSFnet,100</v>
      </c>
      <c r="B475" t="s">
        <v>33</v>
      </c>
      <c r="C475" t="s">
        <v>6</v>
      </c>
      <c r="D475">
        <v>100</v>
      </c>
      <c r="E475">
        <v>1140.1890000000001</v>
      </c>
      <c r="F475">
        <f t="shared" si="29"/>
        <v>1093</v>
      </c>
      <c r="G475">
        <f t="shared" si="31"/>
        <v>4.3173833485818918</v>
      </c>
      <c r="H475">
        <f t="shared" si="32"/>
        <v>4.1386998120487108</v>
      </c>
    </row>
    <row r="476" spans="1:8" x14ac:dyDescent="0.25">
      <c r="A476" t="str">
        <f t="shared" si="30"/>
        <v>Direct,NSFnet,100</v>
      </c>
      <c r="B476" t="s">
        <v>33</v>
      </c>
      <c r="C476" t="s">
        <v>6</v>
      </c>
      <c r="D476">
        <v>100</v>
      </c>
      <c r="E476">
        <v>1114.127</v>
      </c>
      <c r="F476">
        <f t="shared" si="29"/>
        <v>1093</v>
      </c>
      <c r="G476">
        <f t="shared" si="31"/>
        <v>1.932936870997251</v>
      </c>
      <c r="H476">
        <f t="shared" si="32"/>
        <v>1.896282919272215</v>
      </c>
    </row>
    <row r="477" spans="1:8" x14ac:dyDescent="0.25">
      <c r="A477" t="str">
        <f t="shared" si="30"/>
        <v>Direct,NSFnet,100</v>
      </c>
      <c r="B477" t="s">
        <v>33</v>
      </c>
      <c r="C477" t="s">
        <v>6</v>
      </c>
      <c r="D477">
        <v>100</v>
      </c>
      <c r="E477">
        <v>1078.03</v>
      </c>
      <c r="F477">
        <f t="shared" si="29"/>
        <v>1093</v>
      </c>
      <c r="G477">
        <f t="shared" si="31"/>
        <v>1.369624885635867</v>
      </c>
      <c r="H477">
        <f t="shared" si="32"/>
        <v>1.3886441008135235</v>
      </c>
    </row>
    <row r="478" spans="1:8" x14ac:dyDescent="0.25">
      <c r="A478" t="str">
        <f t="shared" si="30"/>
        <v>Direct,NSFnet,100</v>
      </c>
      <c r="B478" t="s">
        <v>33</v>
      </c>
      <c r="C478" t="s">
        <v>6</v>
      </c>
      <c r="D478">
        <v>100</v>
      </c>
      <c r="E478">
        <v>1030.9480000000001</v>
      </c>
      <c r="F478">
        <f t="shared" si="29"/>
        <v>1093</v>
      </c>
      <c r="G478">
        <f t="shared" si="31"/>
        <v>5.6772186642268903</v>
      </c>
      <c r="H478">
        <f t="shared" si="32"/>
        <v>6.0189262698021526</v>
      </c>
    </row>
    <row r="479" spans="1:8" x14ac:dyDescent="0.25">
      <c r="A479" t="str">
        <f t="shared" si="30"/>
        <v>Direct,NSFnet,100</v>
      </c>
      <c r="B479" t="s">
        <v>33</v>
      </c>
      <c r="C479" t="s">
        <v>6</v>
      </c>
      <c r="D479">
        <v>100</v>
      </c>
      <c r="E479">
        <v>1120.624</v>
      </c>
      <c r="F479">
        <f t="shared" si="29"/>
        <v>1093</v>
      </c>
      <c r="G479">
        <f t="shared" si="31"/>
        <v>2.5273559011893894</v>
      </c>
      <c r="H479">
        <f t="shared" si="32"/>
        <v>2.4650551835406009</v>
      </c>
    </row>
    <row r="480" spans="1:8" x14ac:dyDescent="0.25">
      <c r="A480" t="str">
        <f t="shared" si="30"/>
        <v>Direct,NSFnet,100</v>
      </c>
      <c r="B480" t="s">
        <v>33</v>
      </c>
      <c r="C480" t="s">
        <v>6</v>
      </c>
      <c r="D480">
        <v>100</v>
      </c>
      <c r="E480">
        <v>1101.2760000000001</v>
      </c>
      <c r="F480">
        <f t="shared" si="29"/>
        <v>1093</v>
      </c>
      <c r="G480">
        <f t="shared" si="31"/>
        <v>0.75718206770357432</v>
      </c>
      <c r="H480">
        <f t="shared" si="32"/>
        <v>0.75149190575296898</v>
      </c>
    </row>
    <row r="481" spans="1:8" x14ac:dyDescent="0.25">
      <c r="A481" t="str">
        <f t="shared" si="30"/>
        <v>Direct,NSFnet,100</v>
      </c>
      <c r="B481" t="s">
        <v>33</v>
      </c>
      <c r="C481" t="s">
        <v>6</v>
      </c>
      <c r="D481">
        <v>100</v>
      </c>
      <c r="E481">
        <v>1044.498</v>
      </c>
      <c r="F481">
        <f t="shared" si="29"/>
        <v>1093</v>
      </c>
      <c r="G481">
        <f t="shared" si="31"/>
        <v>4.4375114364135362</v>
      </c>
      <c r="H481">
        <f t="shared" si="32"/>
        <v>4.6435704041558674</v>
      </c>
    </row>
    <row r="482" spans="1:8" x14ac:dyDescent="0.25">
      <c r="A482" t="str">
        <f t="shared" si="30"/>
        <v>Direct,NSFnet,100</v>
      </c>
      <c r="B482" t="s">
        <v>33</v>
      </c>
      <c r="C482" t="s">
        <v>6</v>
      </c>
      <c r="D482">
        <v>100</v>
      </c>
      <c r="E482">
        <v>1074.5070000000001</v>
      </c>
      <c r="F482">
        <f t="shared" si="29"/>
        <v>1093</v>
      </c>
      <c r="G482">
        <f t="shared" si="31"/>
        <v>1.6919487648673321</v>
      </c>
      <c r="H482">
        <f t="shared" si="32"/>
        <v>1.7210683597221739</v>
      </c>
    </row>
    <row r="483" spans="1:8" x14ac:dyDescent="0.25">
      <c r="A483" t="str">
        <f t="shared" si="30"/>
        <v>Direct,NSFnet,100</v>
      </c>
      <c r="B483" t="s">
        <v>33</v>
      </c>
      <c r="C483" t="s">
        <v>6</v>
      </c>
      <c r="D483">
        <v>100</v>
      </c>
      <c r="E483">
        <v>1134.616</v>
      </c>
      <c r="F483">
        <f t="shared" si="29"/>
        <v>1093</v>
      </c>
      <c r="G483">
        <f t="shared" si="31"/>
        <v>3.8075022872827069</v>
      </c>
      <c r="H483">
        <f t="shared" si="32"/>
        <v>3.6678488581158719</v>
      </c>
    </row>
    <row r="484" spans="1:8" x14ac:dyDescent="0.25">
      <c r="A484" t="str">
        <f t="shared" si="30"/>
        <v>Direct,NSFnet,100</v>
      </c>
      <c r="B484" t="s">
        <v>33</v>
      </c>
      <c r="C484" t="s">
        <v>6</v>
      </c>
      <c r="D484">
        <v>100</v>
      </c>
      <c r="E484">
        <v>1079.7809999999999</v>
      </c>
      <c r="F484">
        <f t="shared" si="29"/>
        <v>1093</v>
      </c>
      <c r="G484">
        <f t="shared" si="31"/>
        <v>1.2094236047575526</v>
      </c>
      <c r="H484">
        <f t="shared" si="32"/>
        <v>1.2242297280652328</v>
      </c>
    </row>
    <row r="485" spans="1:8" x14ac:dyDescent="0.25">
      <c r="A485" t="str">
        <f t="shared" si="30"/>
        <v>Direct,NSFnet,100</v>
      </c>
      <c r="B485" t="s">
        <v>33</v>
      </c>
      <c r="C485" t="s">
        <v>6</v>
      </c>
      <c r="D485">
        <v>100</v>
      </c>
      <c r="E485">
        <v>1079.7370000000001</v>
      </c>
      <c r="F485">
        <f t="shared" si="29"/>
        <v>1093</v>
      </c>
      <c r="G485">
        <f t="shared" si="31"/>
        <v>1.213449222323872</v>
      </c>
      <c r="H485">
        <f t="shared" si="32"/>
        <v>1.2283546826680867</v>
      </c>
    </row>
    <row r="486" spans="1:8" x14ac:dyDescent="0.25">
      <c r="A486" t="str">
        <f t="shared" si="30"/>
        <v>Direct,NSFnet,100</v>
      </c>
      <c r="B486" t="s">
        <v>33</v>
      </c>
      <c r="C486" t="s">
        <v>6</v>
      </c>
      <c r="D486">
        <v>100</v>
      </c>
      <c r="E486">
        <v>1101.421</v>
      </c>
      <c r="F486">
        <f t="shared" si="29"/>
        <v>1093</v>
      </c>
      <c r="G486">
        <f t="shared" si="31"/>
        <v>0.77044830741080039</v>
      </c>
      <c r="H486">
        <f t="shared" si="32"/>
        <v>0.76455778489787729</v>
      </c>
    </row>
    <row r="487" spans="1:8" x14ac:dyDescent="0.25">
      <c r="A487" t="str">
        <f t="shared" si="30"/>
        <v>Direct,NSFnet,100</v>
      </c>
      <c r="B487" t="s">
        <v>33</v>
      </c>
      <c r="C487" t="s">
        <v>6</v>
      </c>
      <c r="D487">
        <v>100</v>
      </c>
      <c r="E487">
        <v>1104.01</v>
      </c>
      <c r="F487">
        <f t="shared" si="29"/>
        <v>1093</v>
      </c>
      <c r="G487">
        <f t="shared" si="31"/>
        <v>1.0073193046660558</v>
      </c>
      <c r="H487">
        <f t="shared" si="32"/>
        <v>0.99727357542051165</v>
      </c>
    </row>
    <row r="488" spans="1:8" x14ac:dyDescent="0.25">
      <c r="A488" t="str">
        <f t="shared" si="30"/>
        <v>Direct,NSFnet,100</v>
      </c>
      <c r="B488" t="s">
        <v>33</v>
      </c>
      <c r="C488" t="s">
        <v>6</v>
      </c>
      <c r="D488">
        <v>100</v>
      </c>
      <c r="E488">
        <v>1091.615</v>
      </c>
      <c r="F488">
        <f t="shared" si="29"/>
        <v>1093</v>
      </c>
      <c r="G488">
        <f t="shared" si="31"/>
        <v>0.12671546203110623</v>
      </c>
      <c r="H488">
        <f t="shared" si="32"/>
        <v>0.12687623383702046</v>
      </c>
    </row>
    <row r="489" spans="1:8" x14ac:dyDescent="0.25">
      <c r="A489" t="str">
        <f t="shared" si="30"/>
        <v>Direct,NSFnet,100</v>
      </c>
      <c r="B489" t="s">
        <v>33</v>
      </c>
      <c r="C489" t="s">
        <v>6</v>
      </c>
      <c r="D489">
        <v>100</v>
      </c>
      <c r="E489">
        <v>1081.6199999999999</v>
      </c>
      <c r="F489">
        <f t="shared" si="29"/>
        <v>1093</v>
      </c>
      <c r="G489">
        <f t="shared" si="31"/>
        <v>1.041171088746579</v>
      </c>
      <c r="H489">
        <f t="shared" si="32"/>
        <v>1.0521255154305682</v>
      </c>
    </row>
    <row r="490" spans="1:8" x14ac:dyDescent="0.25">
      <c r="A490" t="str">
        <f t="shared" si="30"/>
        <v>Direct,NSFnet,100</v>
      </c>
      <c r="B490" t="s">
        <v>33</v>
      </c>
      <c r="C490" t="s">
        <v>6</v>
      </c>
      <c r="D490">
        <v>100</v>
      </c>
      <c r="E490">
        <v>1051.2950000000001</v>
      </c>
      <c r="F490">
        <f t="shared" si="29"/>
        <v>1093</v>
      </c>
      <c r="G490">
        <f t="shared" si="31"/>
        <v>3.8156450137236897</v>
      </c>
      <c r="H490">
        <f t="shared" si="32"/>
        <v>3.9670121136312764</v>
      </c>
    </row>
    <row r="491" spans="1:8" x14ac:dyDescent="0.25">
      <c r="A491" t="str">
        <f t="shared" si="30"/>
        <v>Direct,NSFnet,100</v>
      </c>
      <c r="B491" t="s">
        <v>33</v>
      </c>
      <c r="C491" t="s">
        <v>6</v>
      </c>
      <c r="D491">
        <v>100</v>
      </c>
      <c r="E491">
        <v>1105.9680000000001</v>
      </c>
      <c r="F491">
        <f t="shared" si="29"/>
        <v>1093</v>
      </c>
      <c r="G491">
        <f t="shared" si="31"/>
        <v>1.1864592863678018</v>
      </c>
      <c r="H491">
        <f t="shared" si="32"/>
        <v>1.1725474878115889</v>
      </c>
    </row>
    <row r="492" spans="1:8" x14ac:dyDescent="0.25">
      <c r="A492" t="str">
        <f t="shared" si="30"/>
        <v>Direct,NSFnet,100</v>
      </c>
      <c r="B492" t="s">
        <v>33</v>
      </c>
      <c r="C492" t="s">
        <v>6</v>
      </c>
      <c r="D492">
        <v>100</v>
      </c>
      <c r="E492">
        <v>1157.095</v>
      </c>
      <c r="F492">
        <f t="shared" si="29"/>
        <v>1093</v>
      </c>
      <c r="G492">
        <f t="shared" si="31"/>
        <v>5.8641354071363248</v>
      </c>
      <c r="H492">
        <f t="shared" si="32"/>
        <v>5.5393031687113004</v>
      </c>
    </row>
    <row r="493" spans="1:8" x14ac:dyDescent="0.25">
      <c r="A493" t="str">
        <f t="shared" si="30"/>
        <v>Direct,NSFnet,100</v>
      </c>
      <c r="B493" t="s">
        <v>33</v>
      </c>
      <c r="C493" t="s">
        <v>6</v>
      </c>
      <c r="D493">
        <v>100</v>
      </c>
      <c r="E493">
        <v>1058.752</v>
      </c>
      <c r="F493">
        <f t="shared" si="29"/>
        <v>1093</v>
      </c>
      <c r="G493">
        <f t="shared" si="31"/>
        <v>3.133394327538888</v>
      </c>
      <c r="H493">
        <f t="shared" si="32"/>
        <v>3.2347518587922433</v>
      </c>
    </row>
    <row r="494" spans="1:8" x14ac:dyDescent="0.25">
      <c r="A494" t="str">
        <f t="shared" si="30"/>
        <v>Direct,NSFnet,100</v>
      </c>
      <c r="B494" t="s">
        <v>33</v>
      </c>
      <c r="C494" t="s">
        <v>6</v>
      </c>
      <c r="D494">
        <v>100</v>
      </c>
      <c r="E494">
        <v>1136.2249999999999</v>
      </c>
      <c r="F494">
        <f t="shared" si="29"/>
        <v>1093</v>
      </c>
      <c r="G494">
        <f t="shared" si="31"/>
        <v>3.9547118023787657</v>
      </c>
      <c r="H494">
        <f t="shared" si="32"/>
        <v>3.8042641202226593</v>
      </c>
    </row>
    <row r="495" spans="1:8" x14ac:dyDescent="0.25">
      <c r="A495" t="str">
        <f t="shared" si="30"/>
        <v>Direct,NSFnet,100</v>
      </c>
      <c r="B495" t="s">
        <v>33</v>
      </c>
      <c r="C495" t="s">
        <v>6</v>
      </c>
      <c r="D495">
        <v>100</v>
      </c>
      <c r="E495">
        <v>1096.616</v>
      </c>
      <c r="F495">
        <f t="shared" si="29"/>
        <v>1093</v>
      </c>
      <c r="G495">
        <f t="shared" si="31"/>
        <v>0.33083257090576262</v>
      </c>
      <c r="H495">
        <f t="shared" si="32"/>
        <v>0.32974167803497173</v>
      </c>
    </row>
    <row r="496" spans="1:8" x14ac:dyDescent="0.25">
      <c r="A496" t="str">
        <f t="shared" si="30"/>
        <v>Direct,NSFnet,100</v>
      </c>
      <c r="B496" t="s">
        <v>33</v>
      </c>
      <c r="C496" t="s">
        <v>6</v>
      </c>
      <c r="D496">
        <v>100</v>
      </c>
      <c r="E496">
        <v>1122.8219999999999</v>
      </c>
      <c r="F496">
        <f t="shared" si="29"/>
        <v>1093</v>
      </c>
      <c r="G496">
        <f t="shared" si="31"/>
        <v>2.7284537968892852</v>
      </c>
      <c r="H496">
        <f t="shared" si="32"/>
        <v>2.6559864341810093</v>
      </c>
    </row>
    <row r="497" spans="1:8" x14ac:dyDescent="0.25">
      <c r="A497" t="str">
        <f t="shared" si="30"/>
        <v>Direct,NSFnet,100</v>
      </c>
      <c r="B497" t="s">
        <v>33</v>
      </c>
      <c r="C497" t="s">
        <v>6</v>
      </c>
      <c r="D497">
        <v>100</v>
      </c>
      <c r="E497">
        <v>1192.7280000000001</v>
      </c>
      <c r="F497">
        <f t="shared" si="29"/>
        <v>1093</v>
      </c>
      <c r="G497">
        <f t="shared" si="31"/>
        <v>9.1242451967063189</v>
      </c>
      <c r="H497">
        <f t="shared" si="32"/>
        <v>8.3613363650388077</v>
      </c>
    </row>
    <row r="498" spans="1:8" x14ac:dyDescent="0.25">
      <c r="A498" t="str">
        <f t="shared" si="30"/>
        <v>Direct,NSFnet,100</v>
      </c>
      <c r="B498" t="s">
        <v>33</v>
      </c>
      <c r="C498" t="s">
        <v>6</v>
      </c>
      <c r="D498">
        <v>100</v>
      </c>
      <c r="E498">
        <v>1055.58</v>
      </c>
      <c r="F498">
        <f t="shared" si="29"/>
        <v>1093</v>
      </c>
      <c r="G498">
        <f t="shared" si="31"/>
        <v>3.4236047575480399</v>
      </c>
      <c r="H498">
        <f t="shared" si="32"/>
        <v>3.5449705375244016</v>
      </c>
    </row>
    <row r="499" spans="1:8" x14ac:dyDescent="0.25">
      <c r="A499" t="str">
        <f t="shared" si="30"/>
        <v>Direct,NSFnet,100</v>
      </c>
      <c r="B499" t="s">
        <v>33</v>
      </c>
      <c r="C499" t="s">
        <v>6</v>
      </c>
      <c r="D499">
        <v>100</v>
      </c>
      <c r="E499">
        <v>1108.0319999999999</v>
      </c>
      <c r="F499">
        <f t="shared" si="29"/>
        <v>1093</v>
      </c>
      <c r="G499">
        <f t="shared" si="31"/>
        <v>1.3752973467520517</v>
      </c>
      <c r="H499">
        <f t="shared" si="32"/>
        <v>1.356639519436255</v>
      </c>
    </row>
    <row r="500" spans="1:8" x14ac:dyDescent="0.25">
      <c r="A500" t="str">
        <f t="shared" si="30"/>
        <v>Direct,NSFnet,100</v>
      </c>
      <c r="B500" t="s">
        <v>33</v>
      </c>
      <c r="C500" t="s">
        <v>6</v>
      </c>
      <c r="D500">
        <v>100</v>
      </c>
      <c r="E500">
        <v>1144.4469999999999</v>
      </c>
      <c r="F500">
        <f t="shared" si="29"/>
        <v>1093</v>
      </c>
      <c r="G500">
        <f t="shared" si="31"/>
        <v>4.7069533394327436</v>
      </c>
      <c r="H500">
        <f t="shared" si="32"/>
        <v>4.4953588938587714</v>
      </c>
    </row>
    <row r="501" spans="1:8" x14ac:dyDescent="0.25">
      <c r="A501" t="str">
        <f t="shared" si="30"/>
        <v>Direct,NSFnet,100</v>
      </c>
      <c r="B501" t="s">
        <v>33</v>
      </c>
      <c r="C501" t="s">
        <v>6</v>
      </c>
      <c r="D501">
        <v>100</v>
      </c>
      <c r="E501">
        <v>1108.57</v>
      </c>
      <c r="F501">
        <f t="shared" si="29"/>
        <v>1093</v>
      </c>
      <c r="G501">
        <f t="shared" si="31"/>
        <v>1.4245196706312842</v>
      </c>
      <c r="H501">
        <f t="shared" si="32"/>
        <v>1.4045121192166428</v>
      </c>
    </row>
    <row r="502" spans="1:8" x14ac:dyDescent="0.25">
      <c r="A502" t="str">
        <f t="shared" si="30"/>
        <v>Direct,NSFnet,100</v>
      </c>
      <c r="B502" t="s">
        <v>33</v>
      </c>
      <c r="C502" t="s">
        <v>6</v>
      </c>
      <c r="D502">
        <v>100</v>
      </c>
      <c r="E502">
        <v>1067.5039999999999</v>
      </c>
      <c r="F502">
        <f t="shared" si="29"/>
        <v>1093</v>
      </c>
      <c r="G502">
        <f t="shared" si="31"/>
        <v>2.3326623970722866</v>
      </c>
      <c r="H502">
        <f t="shared" si="32"/>
        <v>2.3883751255264709</v>
      </c>
    </row>
    <row r="503" spans="1:8" x14ac:dyDescent="0.25">
      <c r="A503" t="str">
        <f t="shared" si="30"/>
        <v>Direct,NSFnet,120</v>
      </c>
      <c r="B503" t="s">
        <v>33</v>
      </c>
      <c r="C503" t="s">
        <v>6</v>
      </c>
      <c r="D503">
        <v>120</v>
      </c>
      <c r="E503">
        <v>1310.3510000000001</v>
      </c>
      <c r="F503">
        <f t="shared" si="29"/>
        <v>1295</v>
      </c>
      <c r="G503">
        <f t="shared" si="31"/>
        <v>1.1854054054054142</v>
      </c>
      <c r="H503">
        <f t="shared" si="32"/>
        <v>1.1715181657433857</v>
      </c>
    </row>
    <row r="504" spans="1:8" x14ac:dyDescent="0.25">
      <c r="A504" t="str">
        <f t="shared" si="30"/>
        <v>Direct,NSFnet,120</v>
      </c>
      <c r="B504" t="s">
        <v>33</v>
      </c>
      <c r="C504" t="s">
        <v>6</v>
      </c>
      <c r="D504">
        <v>120</v>
      </c>
      <c r="E504">
        <v>1345.348</v>
      </c>
      <c r="F504">
        <f t="shared" si="29"/>
        <v>1295</v>
      </c>
      <c r="G504">
        <f t="shared" si="31"/>
        <v>3.8878764478764447</v>
      </c>
      <c r="H504">
        <f t="shared" si="32"/>
        <v>3.7423774369159473</v>
      </c>
    </row>
    <row r="505" spans="1:8" x14ac:dyDescent="0.25">
      <c r="A505" t="str">
        <f t="shared" si="30"/>
        <v>Direct,NSFnet,120</v>
      </c>
      <c r="B505" t="s">
        <v>33</v>
      </c>
      <c r="C505" t="s">
        <v>6</v>
      </c>
      <c r="D505">
        <v>120</v>
      </c>
      <c r="E505">
        <v>1347.6510000000001</v>
      </c>
      <c r="F505">
        <f t="shared" si="29"/>
        <v>1295</v>
      </c>
      <c r="G505">
        <f t="shared" si="31"/>
        <v>4.0657142857142912</v>
      </c>
      <c r="H505">
        <f t="shared" si="32"/>
        <v>3.9068720314087297</v>
      </c>
    </row>
    <row r="506" spans="1:8" x14ac:dyDescent="0.25">
      <c r="A506" t="str">
        <f t="shared" si="30"/>
        <v>Direct,NSFnet,120</v>
      </c>
      <c r="B506" t="s">
        <v>33</v>
      </c>
      <c r="C506" t="s">
        <v>6</v>
      </c>
      <c r="D506">
        <v>120</v>
      </c>
      <c r="E506">
        <v>1397.2339999999999</v>
      </c>
      <c r="F506">
        <f t="shared" si="29"/>
        <v>1295</v>
      </c>
      <c r="G506">
        <f t="shared" si="31"/>
        <v>7.8945173745173678</v>
      </c>
      <c r="H506">
        <f t="shared" si="32"/>
        <v>7.316884644948515</v>
      </c>
    </row>
    <row r="507" spans="1:8" x14ac:dyDescent="0.25">
      <c r="A507" t="str">
        <f t="shared" si="30"/>
        <v>Direct,NSFnet,120</v>
      </c>
      <c r="B507" t="s">
        <v>33</v>
      </c>
      <c r="C507" t="s">
        <v>6</v>
      </c>
      <c r="D507">
        <v>120</v>
      </c>
      <c r="E507">
        <v>1304.123</v>
      </c>
      <c r="F507">
        <f t="shared" si="29"/>
        <v>1295</v>
      </c>
      <c r="G507">
        <f t="shared" si="31"/>
        <v>0.70447876447876812</v>
      </c>
      <c r="H507">
        <f t="shared" si="32"/>
        <v>0.69955057920150532</v>
      </c>
    </row>
    <row r="508" spans="1:8" x14ac:dyDescent="0.25">
      <c r="A508" t="str">
        <f t="shared" si="30"/>
        <v>Direct,NSFnet,120</v>
      </c>
      <c r="B508" t="s">
        <v>33</v>
      </c>
      <c r="C508" t="s">
        <v>6</v>
      </c>
      <c r="D508">
        <v>120</v>
      </c>
      <c r="E508">
        <v>1418.8820000000001</v>
      </c>
      <c r="F508">
        <f t="shared" si="29"/>
        <v>1295</v>
      </c>
      <c r="G508">
        <f t="shared" si="31"/>
        <v>9.5661776061776109</v>
      </c>
      <c r="H508">
        <f t="shared" si="32"/>
        <v>8.7309585997990009</v>
      </c>
    </row>
    <row r="509" spans="1:8" x14ac:dyDescent="0.25">
      <c r="A509" t="str">
        <f t="shared" si="30"/>
        <v>Direct,NSFnet,120</v>
      </c>
      <c r="B509" t="s">
        <v>33</v>
      </c>
      <c r="C509" t="s">
        <v>6</v>
      </c>
      <c r="D509">
        <v>120</v>
      </c>
      <c r="E509">
        <v>1333.7380000000001</v>
      </c>
      <c r="F509">
        <f t="shared" si="29"/>
        <v>1295</v>
      </c>
      <c r="G509">
        <f t="shared" si="31"/>
        <v>2.9913513513513559</v>
      </c>
      <c r="H509">
        <f t="shared" si="32"/>
        <v>2.9044684938121321</v>
      </c>
    </row>
    <row r="510" spans="1:8" x14ac:dyDescent="0.25">
      <c r="A510" t="str">
        <f t="shared" si="30"/>
        <v>Direct,NSFnet,120</v>
      </c>
      <c r="B510" t="s">
        <v>33</v>
      </c>
      <c r="C510" t="s">
        <v>6</v>
      </c>
      <c r="D510">
        <v>120</v>
      </c>
      <c r="E510">
        <v>1164.193</v>
      </c>
      <c r="F510">
        <f t="shared" si="29"/>
        <v>1295</v>
      </c>
      <c r="G510">
        <f t="shared" si="31"/>
        <v>10.100926640926643</v>
      </c>
      <c r="H510">
        <f t="shared" si="32"/>
        <v>11.23585178746136</v>
      </c>
    </row>
    <row r="511" spans="1:8" x14ac:dyDescent="0.25">
      <c r="A511" t="str">
        <f t="shared" si="30"/>
        <v>Direct,NSFnet,120</v>
      </c>
      <c r="B511" t="s">
        <v>33</v>
      </c>
      <c r="C511" t="s">
        <v>6</v>
      </c>
      <c r="D511">
        <v>120</v>
      </c>
      <c r="E511">
        <v>1318.376</v>
      </c>
      <c r="F511">
        <f t="shared" si="29"/>
        <v>1295</v>
      </c>
      <c r="G511">
        <f t="shared" si="31"/>
        <v>1.8050965250965234</v>
      </c>
      <c r="H511">
        <f t="shared" si="32"/>
        <v>1.7730905295606094</v>
      </c>
    </row>
    <row r="512" spans="1:8" x14ac:dyDescent="0.25">
      <c r="A512" t="str">
        <f t="shared" si="30"/>
        <v>Direct,NSFnet,120</v>
      </c>
      <c r="B512" t="s">
        <v>33</v>
      </c>
      <c r="C512" t="s">
        <v>6</v>
      </c>
      <c r="D512">
        <v>120</v>
      </c>
      <c r="E512">
        <v>1382.7919999999999</v>
      </c>
      <c r="F512">
        <f t="shared" si="29"/>
        <v>1295</v>
      </c>
      <c r="G512">
        <f t="shared" si="31"/>
        <v>6.7793050193050126</v>
      </c>
      <c r="H512">
        <f t="shared" si="32"/>
        <v>6.3488941214586081</v>
      </c>
    </row>
    <row r="513" spans="1:8" x14ac:dyDescent="0.25">
      <c r="A513" t="str">
        <f t="shared" si="30"/>
        <v>Direct,NSFnet,120</v>
      </c>
      <c r="B513" t="s">
        <v>33</v>
      </c>
      <c r="C513" t="s">
        <v>6</v>
      </c>
      <c r="D513">
        <v>120</v>
      </c>
      <c r="E513">
        <v>1321.3579999999999</v>
      </c>
      <c r="F513">
        <f t="shared" si="29"/>
        <v>1295</v>
      </c>
      <c r="G513">
        <f t="shared" si="31"/>
        <v>2.0353667953667913</v>
      </c>
      <c r="H513">
        <f t="shared" si="32"/>
        <v>1.9947659907458801</v>
      </c>
    </row>
    <row r="514" spans="1:8" x14ac:dyDescent="0.25">
      <c r="A514" t="str">
        <f t="shared" si="30"/>
        <v>Direct,NSFnet,120</v>
      </c>
      <c r="B514" t="s">
        <v>33</v>
      </c>
      <c r="C514" t="s">
        <v>6</v>
      </c>
      <c r="D514">
        <v>120</v>
      </c>
      <c r="E514">
        <v>1322.2460000000001</v>
      </c>
      <c r="F514">
        <f t="shared" si="29"/>
        <v>1295</v>
      </c>
      <c r="G514">
        <f t="shared" si="31"/>
        <v>2.1039382239382309</v>
      </c>
      <c r="H514">
        <f t="shared" si="32"/>
        <v>2.0605847928449088</v>
      </c>
    </row>
    <row r="515" spans="1:8" x14ac:dyDescent="0.25">
      <c r="A515" t="str">
        <f t="shared" si="30"/>
        <v>Direct,NSFnet,120</v>
      </c>
      <c r="B515" t="s">
        <v>33</v>
      </c>
      <c r="C515" t="s">
        <v>6</v>
      </c>
      <c r="D515">
        <v>120</v>
      </c>
      <c r="E515">
        <v>1356.2829999999999</v>
      </c>
      <c r="F515">
        <f t="shared" ref="F515:F578" si="33">_xlfn.XLOOKUP(A515,$J$3:$J$36,$N$3:$N$36)</f>
        <v>1295</v>
      </c>
      <c r="G515">
        <f t="shared" si="31"/>
        <v>4.732277992277985</v>
      </c>
      <c r="H515">
        <f t="shared" si="32"/>
        <v>4.5184522699171126</v>
      </c>
    </row>
    <row r="516" spans="1:8" x14ac:dyDescent="0.25">
      <c r="A516" t="str">
        <f t="shared" ref="A516:A579" si="34">B516&amp;","&amp;C516&amp;","&amp;D516</f>
        <v>Direct,NSFnet,120</v>
      </c>
      <c r="B516" t="s">
        <v>33</v>
      </c>
      <c r="C516" t="s">
        <v>6</v>
      </c>
      <c r="D516">
        <v>120</v>
      </c>
      <c r="E516">
        <v>1361.059</v>
      </c>
      <c r="F516">
        <f t="shared" si="33"/>
        <v>1295</v>
      </c>
      <c r="G516">
        <f t="shared" ref="G516:G579" si="35">ABS((E516-F516)/F516)*100</f>
        <v>5.1010810810810794</v>
      </c>
      <c r="H516">
        <f t="shared" ref="H516:H579" si="36">ABS((F516-E516)/E516)*100</f>
        <v>4.8535001054326061</v>
      </c>
    </row>
    <row r="517" spans="1:8" x14ac:dyDescent="0.25">
      <c r="A517" t="str">
        <f t="shared" si="34"/>
        <v>Direct,NSFnet,120</v>
      </c>
      <c r="B517" t="s">
        <v>33</v>
      </c>
      <c r="C517" t="s">
        <v>6</v>
      </c>
      <c r="D517">
        <v>120</v>
      </c>
      <c r="E517">
        <v>1335.105</v>
      </c>
      <c r="F517">
        <f t="shared" si="33"/>
        <v>1295</v>
      </c>
      <c r="G517">
        <f t="shared" si="35"/>
        <v>3.0969111969111984</v>
      </c>
      <c r="H517">
        <f t="shared" si="36"/>
        <v>3.0038835896802136</v>
      </c>
    </row>
    <row r="518" spans="1:8" x14ac:dyDescent="0.25">
      <c r="A518" t="str">
        <f t="shared" si="34"/>
        <v>Direct,NSFnet,120</v>
      </c>
      <c r="B518" t="s">
        <v>33</v>
      </c>
      <c r="C518" t="s">
        <v>6</v>
      </c>
      <c r="D518">
        <v>120</v>
      </c>
      <c r="E518">
        <v>1290.078</v>
      </c>
      <c r="F518">
        <f t="shared" si="33"/>
        <v>1295</v>
      </c>
      <c r="G518">
        <f t="shared" si="35"/>
        <v>0.38007722007722206</v>
      </c>
      <c r="H518">
        <f t="shared" si="36"/>
        <v>0.38152731850322424</v>
      </c>
    </row>
    <row r="519" spans="1:8" x14ac:dyDescent="0.25">
      <c r="A519" t="str">
        <f t="shared" si="34"/>
        <v>Direct,NSFnet,120</v>
      </c>
      <c r="B519" t="s">
        <v>33</v>
      </c>
      <c r="C519" t="s">
        <v>6</v>
      </c>
      <c r="D519">
        <v>120</v>
      </c>
      <c r="E519">
        <v>1310.377</v>
      </c>
      <c r="F519">
        <f t="shared" si="33"/>
        <v>1295</v>
      </c>
      <c r="G519">
        <f t="shared" si="35"/>
        <v>1.1874131274131239</v>
      </c>
      <c r="H519">
        <f t="shared" si="36"/>
        <v>1.1734790827372545</v>
      </c>
    </row>
    <row r="520" spans="1:8" x14ac:dyDescent="0.25">
      <c r="A520" t="str">
        <f t="shared" si="34"/>
        <v>Direct,NSFnet,120</v>
      </c>
      <c r="B520" t="s">
        <v>33</v>
      </c>
      <c r="C520" t="s">
        <v>6</v>
      </c>
      <c r="D520">
        <v>120</v>
      </c>
      <c r="E520">
        <v>1325.232</v>
      </c>
      <c r="F520">
        <f t="shared" si="33"/>
        <v>1295</v>
      </c>
      <c r="G520">
        <f t="shared" si="35"/>
        <v>2.3345173745173722</v>
      </c>
      <c r="H520">
        <f t="shared" si="36"/>
        <v>2.2812609414804332</v>
      </c>
    </row>
    <row r="521" spans="1:8" x14ac:dyDescent="0.25">
      <c r="A521" t="str">
        <f t="shared" si="34"/>
        <v>Direct,NSFnet,120</v>
      </c>
      <c r="B521" t="s">
        <v>33</v>
      </c>
      <c r="C521" t="s">
        <v>6</v>
      </c>
      <c r="D521">
        <v>120</v>
      </c>
      <c r="E521">
        <v>1337.357</v>
      </c>
      <c r="F521">
        <f t="shared" si="33"/>
        <v>1295</v>
      </c>
      <c r="G521">
        <f t="shared" si="35"/>
        <v>3.2708108108108083</v>
      </c>
      <c r="H521">
        <f t="shared" si="36"/>
        <v>3.1672171305044183</v>
      </c>
    </row>
    <row r="522" spans="1:8" x14ac:dyDescent="0.25">
      <c r="A522" t="str">
        <f t="shared" si="34"/>
        <v>Direct,NSFnet,120</v>
      </c>
      <c r="B522" t="s">
        <v>33</v>
      </c>
      <c r="C522" t="s">
        <v>6</v>
      </c>
      <c r="D522">
        <v>120</v>
      </c>
      <c r="E522">
        <v>1418.0129999999999</v>
      </c>
      <c r="F522">
        <f t="shared" si="33"/>
        <v>1295</v>
      </c>
      <c r="G522">
        <f t="shared" si="35"/>
        <v>9.4990733590733534</v>
      </c>
      <c r="H522">
        <f t="shared" si="36"/>
        <v>8.6750262515223717</v>
      </c>
    </row>
    <row r="523" spans="1:8" x14ac:dyDescent="0.25">
      <c r="A523" t="str">
        <f t="shared" si="34"/>
        <v>Direct,NSFnet,120</v>
      </c>
      <c r="B523" t="s">
        <v>33</v>
      </c>
      <c r="C523" t="s">
        <v>6</v>
      </c>
      <c r="D523">
        <v>120</v>
      </c>
      <c r="E523">
        <v>1291.692</v>
      </c>
      <c r="F523">
        <f t="shared" si="33"/>
        <v>1295</v>
      </c>
      <c r="G523">
        <f t="shared" si="35"/>
        <v>0.2554440154440149</v>
      </c>
      <c r="H523">
        <f t="shared" si="36"/>
        <v>0.25609820297717978</v>
      </c>
    </row>
    <row r="524" spans="1:8" x14ac:dyDescent="0.25">
      <c r="A524" t="str">
        <f t="shared" si="34"/>
        <v>Direct,NSFnet,120</v>
      </c>
      <c r="B524" t="s">
        <v>33</v>
      </c>
      <c r="C524" t="s">
        <v>6</v>
      </c>
      <c r="D524">
        <v>120</v>
      </c>
      <c r="E524">
        <v>1316.847</v>
      </c>
      <c r="F524">
        <f t="shared" si="33"/>
        <v>1295</v>
      </c>
      <c r="G524">
        <f t="shared" si="35"/>
        <v>1.6870270270270253</v>
      </c>
      <c r="H524">
        <f t="shared" si="36"/>
        <v>1.6590385974984172</v>
      </c>
    </row>
    <row r="525" spans="1:8" x14ac:dyDescent="0.25">
      <c r="A525" t="str">
        <f t="shared" si="34"/>
        <v>Direct,NSFnet,120</v>
      </c>
      <c r="B525" t="s">
        <v>33</v>
      </c>
      <c r="C525" t="s">
        <v>6</v>
      </c>
      <c r="D525">
        <v>120</v>
      </c>
      <c r="E525">
        <v>1365.789</v>
      </c>
      <c r="F525">
        <f t="shared" si="33"/>
        <v>1295</v>
      </c>
      <c r="G525">
        <f t="shared" si="35"/>
        <v>5.4663320463320453</v>
      </c>
      <c r="H525">
        <f t="shared" si="36"/>
        <v>5.1830114314875857</v>
      </c>
    </row>
    <row r="526" spans="1:8" x14ac:dyDescent="0.25">
      <c r="A526" t="str">
        <f t="shared" si="34"/>
        <v>Direct,NSFnet,120</v>
      </c>
      <c r="B526" t="s">
        <v>33</v>
      </c>
      <c r="C526" t="s">
        <v>6</v>
      </c>
      <c r="D526">
        <v>120</v>
      </c>
      <c r="E526">
        <v>1341.6</v>
      </c>
      <c r="F526">
        <f t="shared" si="33"/>
        <v>1295</v>
      </c>
      <c r="G526">
        <f t="shared" si="35"/>
        <v>3.5984555984555917</v>
      </c>
      <c r="H526">
        <f t="shared" si="36"/>
        <v>3.4734645199761411</v>
      </c>
    </row>
    <row r="527" spans="1:8" x14ac:dyDescent="0.25">
      <c r="A527" t="str">
        <f t="shared" si="34"/>
        <v>Direct,NSFnet,120</v>
      </c>
      <c r="B527" t="s">
        <v>33</v>
      </c>
      <c r="C527" t="s">
        <v>6</v>
      </c>
      <c r="D527">
        <v>120</v>
      </c>
      <c r="E527">
        <v>1352.6410000000001</v>
      </c>
      <c r="F527">
        <f t="shared" si="33"/>
        <v>1295</v>
      </c>
      <c r="G527">
        <f t="shared" si="35"/>
        <v>4.4510424710424772</v>
      </c>
      <c r="H527">
        <f t="shared" si="36"/>
        <v>4.2613672068198483</v>
      </c>
    </row>
    <row r="528" spans="1:8" x14ac:dyDescent="0.25">
      <c r="A528" t="str">
        <f t="shared" si="34"/>
        <v>Direct,NSFnet,120</v>
      </c>
      <c r="B528" t="s">
        <v>33</v>
      </c>
      <c r="C528" t="s">
        <v>6</v>
      </c>
      <c r="D528">
        <v>120</v>
      </c>
      <c r="E528">
        <v>1327.5060000000001</v>
      </c>
      <c r="F528">
        <f t="shared" si="33"/>
        <v>1295</v>
      </c>
      <c r="G528">
        <f t="shared" si="35"/>
        <v>2.5101158301158368</v>
      </c>
      <c r="H528">
        <f t="shared" si="36"/>
        <v>2.4486518328354134</v>
      </c>
    </row>
    <row r="529" spans="1:8" x14ac:dyDescent="0.25">
      <c r="A529" t="str">
        <f t="shared" si="34"/>
        <v>Direct,NSFnet,120</v>
      </c>
      <c r="B529" t="s">
        <v>33</v>
      </c>
      <c r="C529" t="s">
        <v>6</v>
      </c>
      <c r="D529">
        <v>120</v>
      </c>
      <c r="E529">
        <v>1377.826</v>
      </c>
      <c r="F529">
        <f t="shared" si="33"/>
        <v>1295</v>
      </c>
      <c r="G529">
        <f t="shared" si="35"/>
        <v>6.3958301158301172</v>
      </c>
      <c r="H529">
        <f t="shared" si="36"/>
        <v>6.0113541187348778</v>
      </c>
    </row>
    <row r="530" spans="1:8" x14ac:dyDescent="0.25">
      <c r="A530" t="str">
        <f t="shared" si="34"/>
        <v>Direct,NSFnet,120</v>
      </c>
      <c r="B530" t="s">
        <v>33</v>
      </c>
      <c r="C530" t="s">
        <v>6</v>
      </c>
      <c r="D530">
        <v>120</v>
      </c>
      <c r="E530">
        <v>1311.3130000000001</v>
      </c>
      <c r="F530">
        <f t="shared" si="33"/>
        <v>1295</v>
      </c>
      <c r="G530">
        <f t="shared" si="35"/>
        <v>1.2596911196911276</v>
      </c>
      <c r="H530">
        <f t="shared" si="36"/>
        <v>1.2440203063646971</v>
      </c>
    </row>
    <row r="531" spans="1:8" x14ac:dyDescent="0.25">
      <c r="A531" t="str">
        <f t="shared" si="34"/>
        <v>Direct,NSFnet,120</v>
      </c>
      <c r="B531" t="s">
        <v>33</v>
      </c>
      <c r="C531" t="s">
        <v>6</v>
      </c>
      <c r="D531">
        <v>120</v>
      </c>
      <c r="E531">
        <v>1331.827</v>
      </c>
      <c r="F531">
        <f t="shared" si="33"/>
        <v>1295</v>
      </c>
      <c r="G531">
        <f t="shared" si="35"/>
        <v>2.8437837837837838</v>
      </c>
      <c r="H531">
        <f t="shared" si="36"/>
        <v>2.7651489270002787</v>
      </c>
    </row>
    <row r="532" spans="1:8" x14ac:dyDescent="0.25">
      <c r="A532" t="str">
        <f t="shared" si="34"/>
        <v>Direct,NSFnet,120</v>
      </c>
      <c r="B532" t="s">
        <v>33</v>
      </c>
      <c r="C532" t="s">
        <v>6</v>
      </c>
      <c r="D532">
        <v>120</v>
      </c>
      <c r="E532">
        <v>1372.7280000000001</v>
      </c>
      <c r="F532">
        <f t="shared" si="33"/>
        <v>1295</v>
      </c>
      <c r="G532">
        <f t="shared" si="35"/>
        <v>6.0021621621621675</v>
      </c>
      <c r="H532">
        <f t="shared" si="36"/>
        <v>5.6623016358666876</v>
      </c>
    </row>
    <row r="533" spans="1:8" x14ac:dyDescent="0.25">
      <c r="A533" t="str">
        <f t="shared" si="34"/>
        <v>Direct,NSFnet,120</v>
      </c>
      <c r="B533" t="s">
        <v>33</v>
      </c>
      <c r="C533" t="s">
        <v>6</v>
      </c>
      <c r="D533">
        <v>120</v>
      </c>
      <c r="E533">
        <v>1339.2049999999999</v>
      </c>
      <c r="F533">
        <f t="shared" si="33"/>
        <v>1295</v>
      </c>
      <c r="G533">
        <f t="shared" si="35"/>
        <v>3.4135135135135082</v>
      </c>
      <c r="H533">
        <f t="shared" si="36"/>
        <v>3.3008389305595429</v>
      </c>
    </row>
    <row r="534" spans="1:8" x14ac:dyDescent="0.25">
      <c r="A534" t="str">
        <f t="shared" si="34"/>
        <v>Direct,NSFnet,120</v>
      </c>
      <c r="B534" t="s">
        <v>33</v>
      </c>
      <c r="C534" t="s">
        <v>6</v>
      </c>
      <c r="D534">
        <v>120</v>
      </c>
      <c r="E534">
        <v>1261.877</v>
      </c>
      <c r="F534">
        <f t="shared" si="33"/>
        <v>1295</v>
      </c>
      <c r="G534">
        <f t="shared" si="35"/>
        <v>2.5577606177606214</v>
      </c>
      <c r="H534">
        <f t="shared" si="36"/>
        <v>2.6248992572176251</v>
      </c>
    </row>
    <row r="535" spans="1:8" x14ac:dyDescent="0.25">
      <c r="A535" t="str">
        <f t="shared" si="34"/>
        <v>Direct,NSFnet,120</v>
      </c>
      <c r="B535" t="s">
        <v>33</v>
      </c>
      <c r="C535" t="s">
        <v>6</v>
      </c>
      <c r="D535">
        <v>120</v>
      </c>
      <c r="E535">
        <v>1296.643</v>
      </c>
      <c r="F535">
        <f t="shared" si="33"/>
        <v>1295</v>
      </c>
      <c r="G535">
        <f t="shared" si="35"/>
        <v>0.12687258687258912</v>
      </c>
      <c r="H535">
        <f t="shared" si="36"/>
        <v>0.12671182430322217</v>
      </c>
    </row>
    <row r="536" spans="1:8" x14ac:dyDescent="0.25">
      <c r="A536" t="str">
        <f t="shared" si="34"/>
        <v>Direct,NSFnet,120</v>
      </c>
      <c r="B536" t="s">
        <v>33</v>
      </c>
      <c r="C536" t="s">
        <v>6</v>
      </c>
      <c r="D536">
        <v>120</v>
      </c>
      <c r="E536">
        <v>1247.663</v>
      </c>
      <c r="F536">
        <f t="shared" si="33"/>
        <v>1295</v>
      </c>
      <c r="G536">
        <f t="shared" si="35"/>
        <v>3.655366795366795</v>
      </c>
      <c r="H536">
        <f t="shared" si="36"/>
        <v>3.7940533621659043</v>
      </c>
    </row>
    <row r="537" spans="1:8" x14ac:dyDescent="0.25">
      <c r="A537" t="str">
        <f t="shared" si="34"/>
        <v>Direct,NSFnet,120</v>
      </c>
      <c r="B537" t="s">
        <v>33</v>
      </c>
      <c r="C537" t="s">
        <v>6</v>
      </c>
      <c r="D537">
        <v>120</v>
      </c>
      <c r="E537">
        <v>1195.2909999999999</v>
      </c>
      <c r="F537">
        <f t="shared" si="33"/>
        <v>1295</v>
      </c>
      <c r="G537">
        <f t="shared" si="35"/>
        <v>7.699536679536684</v>
      </c>
      <c r="H537">
        <f t="shared" si="36"/>
        <v>8.3418180175371575</v>
      </c>
    </row>
    <row r="538" spans="1:8" x14ac:dyDescent="0.25">
      <c r="A538" t="str">
        <f t="shared" si="34"/>
        <v>Direct,NSFnet,120</v>
      </c>
      <c r="B538" t="s">
        <v>33</v>
      </c>
      <c r="C538" t="s">
        <v>6</v>
      </c>
      <c r="D538">
        <v>120</v>
      </c>
      <c r="E538">
        <v>1277.961</v>
      </c>
      <c r="F538">
        <f t="shared" si="33"/>
        <v>1295</v>
      </c>
      <c r="G538">
        <f t="shared" si="35"/>
        <v>1.3157528957528948</v>
      </c>
      <c r="H538">
        <f t="shared" si="36"/>
        <v>1.3332957735016944</v>
      </c>
    </row>
    <row r="539" spans="1:8" x14ac:dyDescent="0.25">
      <c r="A539" t="str">
        <f t="shared" si="34"/>
        <v>Direct,NSFnet,120</v>
      </c>
      <c r="B539" t="s">
        <v>33</v>
      </c>
      <c r="C539" t="s">
        <v>6</v>
      </c>
      <c r="D539">
        <v>120</v>
      </c>
      <c r="E539">
        <v>1340.6869999999999</v>
      </c>
      <c r="F539">
        <f t="shared" si="33"/>
        <v>1295</v>
      </c>
      <c r="G539">
        <f t="shared" si="35"/>
        <v>3.5279536679536601</v>
      </c>
      <c r="H539">
        <f t="shared" si="36"/>
        <v>3.4077305142811034</v>
      </c>
    </row>
    <row r="540" spans="1:8" x14ac:dyDescent="0.25">
      <c r="A540" t="str">
        <f t="shared" si="34"/>
        <v>Direct,NSFnet,120</v>
      </c>
      <c r="B540" t="s">
        <v>33</v>
      </c>
      <c r="C540" t="s">
        <v>6</v>
      </c>
      <c r="D540">
        <v>120</v>
      </c>
      <c r="E540">
        <v>1299.77</v>
      </c>
      <c r="F540">
        <f t="shared" si="33"/>
        <v>1295</v>
      </c>
      <c r="G540">
        <f t="shared" si="35"/>
        <v>0.36833976833976695</v>
      </c>
      <c r="H540">
        <f t="shared" si="36"/>
        <v>0.36698800557021488</v>
      </c>
    </row>
    <row r="541" spans="1:8" x14ac:dyDescent="0.25">
      <c r="A541" t="str">
        <f t="shared" si="34"/>
        <v>Direct,NSFnet,120</v>
      </c>
      <c r="B541" t="s">
        <v>33</v>
      </c>
      <c r="C541" t="s">
        <v>6</v>
      </c>
      <c r="D541">
        <v>120</v>
      </c>
      <c r="E541">
        <v>1359.596</v>
      </c>
      <c r="F541">
        <f t="shared" si="33"/>
        <v>1295</v>
      </c>
      <c r="G541">
        <f t="shared" si="35"/>
        <v>4.9881081081081087</v>
      </c>
      <c r="H541">
        <f t="shared" si="36"/>
        <v>4.751117243651791</v>
      </c>
    </row>
    <row r="542" spans="1:8" x14ac:dyDescent="0.25">
      <c r="A542" t="str">
        <f t="shared" si="34"/>
        <v>Direct,NSFnet,120</v>
      </c>
      <c r="B542" t="s">
        <v>33</v>
      </c>
      <c r="C542" t="s">
        <v>6</v>
      </c>
      <c r="D542">
        <v>120</v>
      </c>
      <c r="E542">
        <v>1289.24</v>
      </c>
      <c r="F542">
        <f t="shared" si="33"/>
        <v>1295</v>
      </c>
      <c r="G542">
        <f t="shared" si="35"/>
        <v>0.4447876447876441</v>
      </c>
      <c r="H542">
        <f t="shared" si="36"/>
        <v>0.44677484409419432</v>
      </c>
    </row>
    <row r="543" spans="1:8" x14ac:dyDescent="0.25">
      <c r="A543" t="str">
        <f t="shared" si="34"/>
        <v>Direct,NSFnet,120</v>
      </c>
      <c r="B543" t="s">
        <v>33</v>
      </c>
      <c r="C543" t="s">
        <v>6</v>
      </c>
      <c r="D543">
        <v>120</v>
      </c>
      <c r="E543">
        <v>1287.3</v>
      </c>
      <c r="F543">
        <f t="shared" si="33"/>
        <v>1295</v>
      </c>
      <c r="G543">
        <f t="shared" si="35"/>
        <v>0.59459459459459818</v>
      </c>
      <c r="H543">
        <f t="shared" si="36"/>
        <v>0.59815116911365229</v>
      </c>
    </row>
    <row r="544" spans="1:8" x14ac:dyDescent="0.25">
      <c r="A544" t="str">
        <f t="shared" si="34"/>
        <v>Direct,NSFnet,120</v>
      </c>
      <c r="B544" t="s">
        <v>33</v>
      </c>
      <c r="C544" t="s">
        <v>6</v>
      </c>
      <c r="D544">
        <v>120</v>
      </c>
      <c r="E544">
        <v>1327.0650000000001</v>
      </c>
      <c r="F544">
        <f t="shared" si="33"/>
        <v>1295</v>
      </c>
      <c r="G544">
        <f t="shared" si="35"/>
        <v>2.4760617760617802</v>
      </c>
      <c r="H544">
        <f t="shared" si="36"/>
        <v>2.4162343216044468</v>
      </c>
    </row>
    <row r="545" spans="1:8" x14ac:dyDescent="0.25">
      <c r="A545" t="str">
        <f t="shared" si="34"/>
        <v>Direct,NSFnet,120</v>
      </c>
      <c r="B545" t="s">
        <v>33</v>
      </c>
      <c r="C545" t="s">
        <v>6</v>
      </c>
      <c r="D545">
        <v>120</v>
      </c>
      <c r="E545">
        <v>1313.229</v>
      </c>
      <c r="F545">
        <f t="shared" si="33"/>
        <v>1295</v>
      </c>
      <c r="G545">
        <f t="shared" si="35"/>
        <v>1.4076447876447908</v>
      </c>
      <c r="H545">
        <f t="shared" si="36"/>
        <v>1.388105197189526</v>
      </c>
    </row>
    <row r="546" spans="1:8" x14ac:dyDescent="0.25">
      <c r="A546" t="str">
        <f t="shared" si="34"/>
        <v>Direct,NSFnet,120</v>
      </c>
      <c r="B546" t="s">
        <v>33</v>
      </c>
      <c r="C546" t="s">
        <v>6</v>
      </c>
      <c r="D546">
        <v>120</v>
      </c>
      <c r="E546">
        <v>1353.2270000000001</v>
      </c>
      <c r="F546">
        <f t="shared" si="33"/>
        <v>1295</v>
      </c>
      <c r="G546">
        <f t="shared" si="35"/>
        <v>4.4962934362934428</v>
      </c>
      <c r="H546">
        <f t="shared" si="36"/>
        <v>4.3028257638962337</v>
      </c>
    </row>
    <row r="547" spans="1:8" x14ac:dyDescent="0.25">
      <c r="A547" t="str">
        <f t="shared" si="34"/>
        <v>Direct,NSFnet,120</v>
      </c>
      <c r="B547" t="s">
        <v>33</v>
      </c>
      <c r="C547" t="s">
        <v>6</v>
      </c>
      <c r="D547">
        <v>120</v>
      </c>
      <c r="E547">
        <v>1341.877</v>
      </c>
      <c r="F547">
        <f t="shared" si="33"/>
        <v>1295</v>
      </c>
      <c r="G547">
        <f t="shared" si="35"/>
        <v>3.6198455598455559</v>
      </c>
      <c r="H547">
        <f t="shared" si="36"/>
        <v>3.493390228761649</v>
      </c>
    </row>
    <row r="548" spans="1:8" x14ac:dyDescent="0.25">
      <c r="A548" t="str">
        <f t="shared" si="34"/>
        <v>Direct,NSFnet,120</v>
      </c>
      <c r="B548" t="s">
        <v>33</v>
      </c>
      <c r="C548" t="s">
        <v>6</v>
      </c>
      <c r="D548">
        <v>120</v>
      </c>
      <c r="E548">
        <v>1281.749</v>
      </c>
      <c r="F548">
        <f t="shared" si="33"/>
        <v>1295</v>
      </c>
      <c r="G548">
        <f t="shared" si="35"/>
        <v>1.0232432432432415</v>
      </c>
      <c r="H548">
        <f t="shared" si="36"/>
        <v>1.0338217544932726</v>
      </c>
    </row>
    <row r="549" spans="1:8" x14ac:dyDescent="0.25">
      <c r="A549" t="str">
        <f t="shared" si="34"/>
        <v>Direct,NSFnet,120</v>
      </c>
      <c r="B549" t="s">
        <v>33</v>
      </c>
      <c r="C549" t="s">
        <v>6</v>
      </c>
      <c r="D549">
        <v>120</v>
      </c>
      <c r="E549">
        <v>1329.598</v>
      </c>
      <c r="F549">
        <f t="shared" si="33"/>
        <v>1295</v>
      </c>
      <c r="G549">
        <f t="shared" si="35"/>
        <v>2.671660231660228</v>
      </c>
      <c r="H549">
        <f t="shared" si="36"/>
        <v>2.6021398949156027</v>
      </c>
    </row>
    <row r="550" spans="1:8" x14ac:dyDescent="0.25">
      <c r="A550" t="str">
        <f t="shared" si="34"/>
        <v>Direct,NSFnet,120</v>
      </c>
      <c r="B550" t="s">
        <v>33</v>
      </c>
      <c r="C550" t="s">
        <v>6</v>
      </c>
      <c r="D550">
        <v>120</v>
      </c>
      <c r="E550">
        <v>1275.229</v>
      </c>
      <c r="F550">
        <f t="shared" si="33"/>
        <v>1295</v>
      </c>
      <c r="G550">
        <f t="shared" si="35"/>
        <v>1.5267181467181434</v>
      </c>
      <c r="H550">
        <f t="shared" si="36"/>
        <v>1.5503882047851765</v>
      </c>
    </row>
    <row r="551" spans="1:8" x14ac:dyDescent="0.25">
      <c r="A551" t="str">
        <f t="shared" si="34"/>
        <v>Direct,NSFnet,120</v>
      </c>
      <c r="B551" t="s">
        <v>33</v>
      </c>
      <c r="C551" t="s">
        <v>6</v>
      </c>
      <c r="D551">
        <v>120</v>
      </c>
      <c r="E551">
        <v>1303.902</v>
      </c>
      <c r="F551">
        <f t="shared" si="33"/>
        <v>1295</v>
      </c>
      <c r="G551">
        <f t="shared" si="35"/>
        <v>0.68741312741313088</v>
      </c>
      <c r="H551">
        <f t="shared" si="36"/>
        <v>0.68272002036963231</v>
      </c>
    </row>
    <row r="552" spans="1:8" x14ac:dyDescent="0.25">
      <c r="A552" t="str">
        <f t="shared" si="34"/>
        <v>Direct,NSFnet,120</v>
      </c>
      <c r="B552" t="s">
        <v>33</v>
      </c>
      <c r="C552" t="s">
        <v>6</v>
      </c>
      <c r="D552">
        <v>120</v>
      </c>
      <c r="E552">
        <v>1345.414</v>
      </c>
      <c r="F552">
        <f t="shared" si="33"/>
        <v>1295</v>
      </c>
      <c r="G552">
        <f t="shared" si="35"/>
        <v>3.8929729729729718</v>
      </c>
      <c r="H552">
        <f t="shared" si="36"/>
        <v>3.747099405833445</v>
      </c>
    </row>
    <row r="553" spans="1:8" x14ac:dyDescent="0.25">
      <c r="A553" t="str">
        <f t="shared" si="34"/>
        <v>Direct,NSFnet,120</v>
      </c>
      <c r="B553" t="s">
        <v>33</v>
      </c>
      <c r="C553" t="s">
        <v>6</v>
      </c>
      <c r="D553">
        <v>120</v>
      </c>
      <c r="E553">
        <v>1394.93</v>
      </c>
      <c r="F553">
        <f t="shared" si="33"/>
        <v>1295</v>
      </c>
      <c r="G553">
        <f t="shared" si="35"/>
        <v>7.7166023166023212</v>
      </c>
      <c r="H553">
        <f t="shared" si="36"/>
        <v>7.1638003340669467</v>
      </c>
    </row>
    <row r="554" spans="1:8" x14ac:dyDescent="0.25">
      <c r="A554" t="str">
        <f t="shared" si="34"/>
        <v>Direct,NSFnet,120</v>
      </c>
      <c r="B554" t="s">
        <v>33</v>
      </c>
      <c r="C554" t="s">
        <v>6</v>
      </c>
      <c r="D554">
        <v>120</v>
      </c>
      <c r="E554">
        <v>1307.0429999999999</v>
      </c>
      <c r="F554">
        <f t="shared" si="33"/>
        <v>1295</v>
      </c>
      <c r="G554">
        <f t="shared" si="35"/>
        <v>0.92996138996138178</v>
      </c>
      <c r="H554">
        <f t="shared" si="36"/>
        <v>0.92139279273902186</v>
      </c>
    </row>
    <row r="555" spans="1:8" x14ac:dyDescent="0.25">
      <c r="A555" t="str">
        <f t="shared" si="34"/>
        <v>Direct,NSFnet,120</v>
      </c>
      <c r="B555" t="s">
        <v>33</v>
      </c>
      <c r="C555" t="s">
        <v>6</v>
      </c>
      <c r="D555">
        <v>120</v>
      </c>
      <c r="E555">
        <v>1409.386</v>
      </c>
      <c r="F555">
        <f t="shared" si="33"/>
        <v>1295</v>
      </c>
      <c r="G555">
        <f t="shared" si="35"/>
        <v>8.8328957528957499</v>
      </c>
      <c r="H555">
        <f t="shared" si="36"/>
        <v>8.1160164780975528</v>
      </c>
    </row>
    <row r="556" spans="1:8" x14ac:dyDescent="0.25">
      <c r="A556" t="str">
        <f t="shared" si="34"/>
        <v>Direct,NSFnet,120</v>
      </c>
      <c r="B556" t="s">
        <v>33</v>
      </c>
      <c r="C556" t="s">
        <v>6</v>
      </c>
      <c r="D556">
        <v>120</v>
      </c>
      <c r="E556">
        <v>1426.2260000000001</v>
      </c>
      <c r="F556">
        <f t="shared" si="33"/>
        <v>1295</v>
      </c>
      <c r="G556">
        <f t="shared" si="35"/>
        <v>10.133281853281861</v>
      </c>
      <c r="H556">
        <f t="shared" si="36"/>
        <v>9.2009260804388724</v>
      </c>
    </row>
    <row r="557" spans="1:8" x14ac:dyDescent="0.25">
      <c r="A557" t="str">
        <f t="shared" si="34"/>
        <v>Direct,NSFnet,120</v>
      </c>
      <c r="B557" t="s">
        <v>33</v>
      </c>
      <c r="C557" t="s">
        <v>6</v>
      </c>
      <c r="D557">
        <v>120</v>
      </c>
      <c r="E557">
        <v>1288.692</v>
      </c>
      <c r="F557">
        <f t="shared" si="33"/>
        <v>1295</v>
      </c>
      <c r="G557">
        <f t="shared" si="35"/>
        <v>0.48710424710424655</v>
      </c>
      <c r="H557">
        <f t="shared" si="36"/>
        <v>0.4894885667017404</v>
      </c>
    </row>
    <row r="558" spans="1:8" x14ac:dyDescent="0.25">
      <c r="A558" t="str">
        <f t="shared" si="34"/>
        <v>Direct,NSFnet,120</v>
      </c>
      <c r="B558" t="s">
        <v>33</v>
      </c>
      <c r="C558" t="s">
        <v>6</v>
      </c>
      <c r="D558">
        <v>120</v>
      </c>
      <c r="E558">
        <v>1370.502</v>
      </c>
      <c r="F558">
        <f t="shared" si="33"/>
        <v>1295</v>
      </c>
      <c r="G558">
        <f t="shared" si="35"/>
        <v>5.8302702702702662</v>
      </c>
      <c r="H558">
        <f t="shared" si="36"/>
        <v>5.5090762362988128</v>
      </c>
    </row>
    <row r="559" spans="1:8" x14ac:dyDescent="0.25">
      <c r="A559" t="str">
        <f t="shared" si="34"/>
        <v>Direct,NSFnet,120</v>
      </c>
      <c r="B559" t="s">
        <v>33</v>
      </c>
      <c r="C559" t="s">
        <v>6</v>
      </c>
      <c r="D559">
        <v>120</v>
      </c>
      <c r="E559">
        <v>1353.7629999999999</v>
      </c>
      <c r="F559">
        <f t="shared" si="33"/>
        <v>1295</v>
      </c>
      <c r="G559">
        <f t="shared" si="35"/>
        <v>4.5376833976833915</v>
      </c>
      <c r="H559">
        <f t="shared" si="36"/>
        <v>4.3407154723537227</v>
      </c>
    </row>
    <row r="560" spans="1:8" x14ac:dyDescent="0.25">
      <c r="A560" t="str">
        <f t="shared" si="34"/>
        <v>Direct,NSFnet,120</v>
      </c>
      <c r="B560" t="s">
        <v>33</v>
      </c>
      <c r="C560" t="s">
        <v>6</v>
      </c>
      <c r="D560">
        <v>120</v>
      </c>
      <c r="E560">
        <v>1262.729</v>
      </c>
      <c r="F560">
        <f t="shared" si="33"/>
        <v>1295</v>
      </c>
      <c r="G560">
        <f t="shared" si="35"/>
        <v>2.4919691119691088</v>
      </c>
      <c r="H560">
        <f t="shared" si="36"/>
        <v>2.5556552514434969</v>
      </c>
    </row>
    <row r="561" spans="1:8" x14ac:dyDescent="0.25">
      <c r="A561" t="str">
        <f t="shared" si="34"/>
        <v>Direct,NSFnet,120</v>
      </c>
      <c r="B561" t="s">
        <v>33</v>
      </c>
      <c r="C561" t="s">
        <v>6</v>
      </c>
      <c r="D561">
        <v>120</v>
      </c>
      <c r="E561">
        <v>1261.6600000000001</v>
      </c>
      <c r="F561">
        <f t="shared" si="33"/>
        <v>1295</v>
      </c>
      <c r="G561">
        <f t="shared" si="35"/>
        <v>2.5745173745173684</v>
      </c>
      <c r="H561">
        <f t="shared" si="36"/>
        <v>2.6425502908866032</v>
      </c>
    </row>
    <row r="562" spans="1:8" x14ac:dyDescent="0.25">
      <c r="A562" t="str">
        <f t="shared" si="34"/>
        <v>Direct,NSFnet,120</v>
      </c>
      <c r="B562" t="s">
        <v>33</v>
      </c>
      <c r="C562" t="s">
        <v>6</v>
      </c>
      <c r="D562">
        <v>120</v>
      </c>
      <c r="E562">
        <v>1303.769</v>
      </c>
      <c r="F562">
        <f t="shared" si="33"/>
        <v>1295</v>
      </c>
      <c r="G562">
        <f t="shared" si="35"/>
        <v>0.6771428571428576</v>
      </c>
      <c r="H562">
        <f t="shared" si="36"/>
        <v>0.6725884723444111</v>
      </c>
    </row>
    <row r="563" spans="1:8" x14ac:dyDescent="0.25">
      <c r="A563" t="str">
        <f t="shared" si="34"/>
        <v>Direct,NSFnet,120</v>
      </c>
      <c r="B563" t="s">
        <v>33</v>
      </c>
      <c r="C563" t="s">
        <v>6</v>
      </c>
      <c r="D563">
        <v>120</v>
      </c>
      <c r="E563">
        <v>1334.279</v>
      </c>
      <c r="F563">
        <f t="shared" si="33"/>
        <v>1295</v>
      </c>
      <c r="G563">
        <f t="shared" si="35"/>
        <v>3.0331274131274131</v>
      </c>
      <c r="H563">
        <f t="shared" si="36"/>
        <v>2.9438370835484928</v>
      </c>
    </row>
    <row r="564" spans="1:8" x14ac:dyDescent="0.25">
      <c r="A564" t="str">
        <f t="shared" si="34"/>
        <v>Direct,NSFnet,120</v>
      </c>
      <c r="B564" t="s">
        <v>33</v>
      </c>
      <c r="C564" t="s">
        <v>6</v>
      </c>
      <c r="D564">
        <v>120</v>
      </c>
      <c r="E564">
        <v>1342.107</v>
      </c>
      <c r="F564">
        <f t="shared" si="33"/>
        <v>1295</v>
      </c>
      <c r="G564">
        <f t="shared" si="35"/>
        <v>3.637606177606175</v>
      </c>
      <c r="H564">
        <f t="shared" si="36"/>
        <v>3.5099287910725425</v>
      </c>
    </row>
    <row r="565" spans="1:8" x14ac:dyDescent="0.25">
      <c r="A565" t="str">
        <f t="shared" si="34"/>
        <v>Direct,NSFnet,120</v>
      </c>
      <c r="B565" t="s">
        <v>33</v>
      </c>
      <c r="C565" t="s">
        <v>6</v>
      </c>
      <c r="D565">
        <v>120</v>
      </c>
      <c r="E565">
        <v>1266.893</v>
      </c>
      <c r="F565">
        <f t="shared" si="33"/>
        <v>1295</v>
      </c>
      <c r="G565">
        <f t="shared" si="35"/>
        <v>2.1704247104247081</v>
      </c>
      <c r="H565">
        <f t="shared" si="36"/>
        <v>2.2185772594844213</v>
      </c>
    </row>
    <row r="566" spans="1:8" x14ac:dyDescent="0.25">
      <c r="A566" t="str">
        <f t="shared" si="34"/>
        <v>Direct,NSFnet,120</v>
      </c>
      <c r="B566" t="s">
        <v>33</v>
      </c>
      <c r="C566" t="s">
        <v>6</v>
      </c>
      <c r="D566">
        <v>120</v>
      </c>
      <c r="E566">
        <v>1316.202</v>
      </c>
      <c r="F566">
        <f t="shared" si="33"/>
        <v>1295</v>
      </c>
      <c r="G566">
        <f t="shared" si="35"/>
        <v>1.6372200772200771</v>
      </c>
      <c r="H566">
        <f t="shared" si="36"/>
        <v>1.610846967258825</v>
      </c>
    </row>
    <row r="567" spans="1:8" x14ac:dyDescent="0.25">
      <c r="A567" t="str">
        <f t="shared" si="34"/>
        <v>Direct,NSFnet,120</v>
      </c>
      <c r="B567" t="s">
        <v>33</v>
      </c>
      <c r="C567" t="s">
        <v>6</v>
      </c>
      <c r="D567">
        <v>120</v>
      </c>
      <c r="E567">
        <v>1323.3889999999999</v>
      </c>
      <c r="F567">
        <f t="shared" si="33"/>
        <v>1295</v>
      </c>
      <c r="G567">
        <f t="shared" si="35"/>
        <v>2.1922007722007644</v>
      </c>
      <c r="H567">
        <f t="shared" si="36"/>
        <v>2.145174245818871</v>
      </c>
    </row>
    <row r="568" spans="1:8" x14ac:dyDescent="0.25">
      <c r="A568" t="str">
        <f t="shared" si="34"/>
        <v>Direct,NSFnet,120</v>
      </c>
      <c r="B568" t="s">
        <v>33</v>
      </c>
      <c r="C568" t="s">
        <v>6</v>
      </c>
      <c r="D568">
        <v>120</v>
      </c>
      <c r="E568">
        <v>1272.7270000000001</v>
      </c>
      <c r="F568">
        <f t="shared" si="33"/>
        <v>1295</v>
      </c>
      <c r="G568">
        <f t="shared" si="35"/>
        <v>1.719922779922773</v>
      </c>
      <c r="H568">
        <f t="shared" si="36"/>
        <v>1.7500218035760937</v>
      </c>
    </row>
    <row r="569" spans="1:8" x14ac:dyDescent="0.25">
      <c r="A569" t="str">
        <f t="shared" si="34"/>
        <v>Direct,NSFnet,120</v>
      </c>
      <c r="B569" t="s">
        <v>33</v>
      </c>
      <c r="C569" t="s">
        <v>6</v>
      </c>
      <c r="D569">
        <v>120</v>
      </c>
      <c r="E569">
        <v>1312.2909999999999</v>
      </c>
      <c r="F569">
        <f t="shared" si="33"/>
        <v>1295</v>
      </c>
      <c r="G569">
        <f t="shared" si="35"/>
        <v>1.3352123552123505</v>
      </c>
      <c r="H569">
        <f t="shared" si="36"/>
        <v>1.3176193390033111</v>
      </c>
    </row>
    <row r="570" spans="1:8" x14ac:dyDescent="0.25">
      <c r="A570" t="str">
        <f t="shared" si="34"/>
        <v>Direct,NSFnet,120</v>
      </c>
      <c r="B570" t="s">
        <v>33</v>
      </c>
      <c r="C570" t="s">
        <v>6</v>
      </c>
      <c r="D570">
        <v>120</v>
      </c>
      <c r="E570">
        <v>1257.377</v>
      </c>
      <c r="F570">
        <f t="shared" si="33"/>
        <v>1295</v>
      </c>
      <c r="G570">
        <f t="shared" si="35"/>
        <v>2.905250965250969</v>
      </c>
      <c r="H570">
        <f t="shared" si="36"/>
        <v>2.9921813425885833</v>
      </c>
    </row>
    <row r="571" spans="1:8" x14ac:dyDescent="0.25">
      <c r="A571" t="str">
        <f t="shared" si="34"/>
        <v>Direct,NSFnet,120</v>
      </c>
      <c r="B571" t="s">
        <v>33</v>
      </c>
      <c r="C571" t="s">
        <v>6</v>
      </c>
      <c r="D571">
        <v>120</v>
      </c>
      <c r="E571">
        <v>1267.9649999999999</v>
      </c>
      <c r="F571">
        <f t="shared" si="33"/>
        <v>1295</v>
      </c>
      <c r="G571">
        <f t="shared" si="35"/>
        <v>2.0876447876447943</v>
      </c>
      <c r="H571">
        <f t="shared" si="36"/>
        <v>2.1321566447023446</v>
      </c>
    </row>
    <row r="572" spans="1:8" x14ac:dyDescent="0.25">
      <c r="A572" t="str">
        <f t="shared" si="34"/>
        <v>Direct,NSFnet,120</v>
      </c>
      <c r="B572" t="s">
        <v>33</v>
      </c>
      <c r="C572" t="s">
        <v>6</v>
      </c>
      <c r="D572">
        <v>120</v>
      </c>
      <c r="E572">
        <v>1321.616</v>
      </c>
      <c r="F572">
        <f t="shared" si="33"/>
        <v>1295</v>
      </c>
      <c r="G572">
        <f t="shared" si="35"/>
        <v>2.0552895752895739</v>
      </c>
      <c r="H572">
        <f t="shared" si="36"/>
        <v>2.0138981368264295</v>
      </c>
    </row>
    <row r="573" spans="1:8" x14ac:dyDescent="0.25">
      <c r="A573" t="str">
        <f t="shared" si="34"/>
        <v>Direct,NSFnet,120</v>
      </c>
      <c r="B573" t="s">
        <v>33</v>
      </c>
      <c r="C573" t="s">
        <v>6</v>
      </c>
      <c r="D573">
        <v>120</v>
      </c>
      <c r="E573">
        <v>1283.6389999999999</v>
      </c>
      <c r="F573">
        <f t="shared" si="33"/>
        <v>1295</v>
      </c>
      <c r="G573">
        <f t="shared" si="35"/>
        <v>0.87729729729730532</v>
      </c>
      <c r="H573">
        <f t="shared" si="36"/>
        <v>0.8850619216150416</v>
      </c>
    </row>
    <row r="574" spans="1:8" x14ac:dyDescent="0.25">
      <c r="A574" t="str">
        <f t="shared" si="34"/>
        <v>Direct,NSFnet,120</v>
      </c>
      <c r="B574" t="s">
        <v>33</v>
      </c>
      <c r="C574" t="s">
        <v>6</v>
      </c>
      <c r="D574">
        <v>120</v>
      </c>
      <c r="E574">
        <v>1296.9590000000001</v>
      </c>
      <c r="F574">
        <f t="shared" si="33"/>
        <v>1295</v>
      </c>
      <c r="G574">
        <f t="shared" si="35"/>
        <v>0.15127413127413591</v>
      </c>
      <c r="H574">
        <f t="shared" si="36"/>
        <v>0.1510456382969747</v>
      </c>
    </row>
    <row r="575" spans="1:8" x14ac:dyDescent="0.25">
      <c r="A575" t="str">
        <f t="shared" si="34"/>
        <v>Direct,NSFnet,120</v>
      </c>
      <c r="B575" t="s">
        <v>33</v>
      </c>
      <c r="C575" t="s">
        <v>6</v>
      </c>
      <c r="D575">
        <v>120</v>
      </c>
      <c r="E575">
        <v>1306.5889999999999</v>
      </c>
      <c r="F575">
        <f t="shared" si="33"/>
        <v>1295</v>
      </c>
      <c r="G575">
        <f t="shared" si="35"/>
        <v>0.89490347490347033</v>
      </c>
      <c r="H575">
        <f t="shared" si="36"/>
        <v>0.88696598547821415</v>
      </c>
    </row>
    <row r="576" spans="1:8" x14ac:dyDescent="0.25">
      <c r="A576" t="str">
        <f t="shared" si="34"/>
        <v>Direct,NSFnet,120</v>
      </c>
      <c r="B576" t="s">
        <v>33</v>
      </c>
      <c r="C576" t="s">
        <v>6</v>
      </c>
      <c r="D576">
        <v>120</v>
      </c>
      <c r="E576">
        <v>1380.2760000000001</v>
      </c>
      <c r="F576">
        <f t="shared" si="33"/>
        <v>1295</v>
      </c>
      <c r="G576">
        <f t="shared" si="35"/>
        <v>6.5850193050193102</v>
      </c>
      <c r="H576">
        <f t="shared" si="36"/>
        <v>6.1781846529244921</v>
      </c>
    </row>
    <row r="577" spans="1:8" x14ac:dyDescent="0.25">
      <c r="A577" t="str">
        <f t="shared" si="34"/>
        <v>Direct,NSFnet,120</v>
      </c>
      <c r="B577" t="s">
        <v>33</v>
      </c>
      <c r="C577" t="s">
        <v>6</v>
      </c>
      <c r="D577">
        <v>120</v>
      </c>
      <c r="E577">
        <v>1391.682</v>
      </c>
      <c r="F577">
        <f t="shared" si="33"/>
        <v>1295</v>
      </c>
      <c r="G577">
        <f t="shared" si="35"/>
        <v>7.4657915057915067</v>
      </c>
      <c r="H577">
        <f t="shared" si="36"/>
        <v>6.9471330375761138</v>
      </c>
    </row>
    <row r="578" spans="1:8" x14ac:dyDescent="0.25">
      <c r="A578" t="str">
        <f t="shared" si="34"/>
        <v>Direct,NSFnet,120</v>
      </c>
      <c r="B578" t="s">
        <v>33</v>
      </c>
      <c r="C578" t="s">
        <v>6</v>
      </c>
      <c r="D578">
        <v>120</v>
      </c>
      <c r="E578">
        <v>1340.2929999999999</v>
      </c>
      <c r="F578">
        <f t="shared" si="33"/>
        <v>1295</v>
      </c>
      <c r="G578">
        <f t="shared" si="35"/>
        <v>3.497528957528949</v>
      </c>
      <c r="H578">
        <f t="shared" si="36"/>
        <v>3.3793357124151138</v>
      </c>
    </row>
    <row r="579" spans="1:8" x14ac:dyDescent="0.25">
      <c r="A579" t="str">
        <f t="shared" si="34"/>
        <v>Direct,NSFnet,120</v>
      </c>
      <c r="B579" t="s">
        <v>33</v>
      </c>
      <c r="C579" t="s">
        <v>6</v>
      </c>
      <c r="D579">
        <v>120</v>
      </c>
      <c r="E579">
        <v>1284.0409999999999</v>
      </c>
      <c r="F579">
        <f t="shared" ref="F579:F642" si="37">_xlfn.XLOOKUP(A579,$J$3:$J$36,$N$3:$N$36)</f>
        <v>1295</v>
      </c>
      <c r="G579">
        <f t="shared" si="35"/>
        <v>0.84625482625483084</v>
      </c>
      <c r="H579">
        <f t="shared" si="36"/>
        <v>0.85347742011353689</v>
      </c>
    </row>
    <row r="580" spans="1:8" x14ac:dyDescent="0.25">
      <c r="A580" t="str">
        <f t="shared" ref="A580:A643" si="38">B580&amp;","&amp;C580&amp;","&amp;D580</f>
        <v>Direct,NSFnet,120</v>
      </c>
      <c r="B580" t="s">
        <v>33</v>
      </c>
      <c r="C580" t="s">
        <v>6</v>
      </c>
      <c r="D580">
        <v>120</v>
      </c>
      <c r="E580">
        <v>1267.93</v>
      </c>
      <c r="F580">
        <f t="shared" si="37"/>
        <v>1295</v>
      </c>
      <c r="G580">
        <f t="shared" ref="G580:G643" si="39">ABS((E580-F580)/F580)*100</f>
        <v>2.0903474903474857</v>
      </c>
      <c r="H580">
        <f t="shared" ref="H580:H643" si="40">ABS((F580-E580)/E580)*100</f>
        <v>2.134975905609926</v>
      </c>
    </row>
    <row r="581" spans="1:8" x14ac:dyDescent="0.25">
      <c r="A581" t="str">
        <f t="shared" si="38"/>
        <v>Direct,NSFnet,120</v>
      </c>
      <c r="B581" t="s">
        <v>33</v>
      </c>
      <c r="C581" t="s">
        <v>6</v>
      </c>
      <c r="D581">
        <v>120</v>
      </c>
      <c r="E581">
        <v>1368.6010000000001</v>
      </c>
      <c r="F581">
        <f t="shared" si="37"/>
        <v>1295</v>
      </c>
      <c r="G581">
        <f t="shared" si="39"/>
        <v>5.6834749034749121</v>
      </c>
      <c r="H581">
        <f t="shared" si="40"/>
        <v>5.3778274310774368</v>
      </c>
    </row>
    <row r="582" spans="1:8" x14ac:dyDescent="0.25">
      <c r="A582" t="str">
        <f t="shared" si="38"/>
        <v>Direct,NSFnet,120</v>
      </c>
      <c r="B582" t="s">
        <v>33</v>
      </c>
      <c r="C582" t="s">
        <v>6</v>
      </c>
      <c r="D582">
        <v>120</v>
      </c>
      <c r="E582">
        <v>1337.0060000000001</v>
      </c>
      <c r="F582">
        <f t="shared" si="37"/>
        <v>1295</v>
      </c>
      <c r="G582">
        <f t="shared" si="39"/>
        <v>3.2437065637065698</v>
      </c>
      <c r="H582">
        <f t="shared" si="40"/>
        <v>3.1417959231297456</v>
      </c>
    </row>
    <row r="583" spans="1:8" x14ac:dyDescent="0.25">
      <c r="A583" t="str">
        <f t="shared" si="38"/>
        <v>Direct,NSFnet,120</v>
      </c>
      <c r="B583" t="s">
        <v>33</v>
      </c>
      <c r="C583" t="s">
        <v>6</v>
      </c>
      <c r="D583">
        <v>120</v>
      </c>
      <c r="E583">
        <v>1238.3699999999999</v>
      </c>
      <c r="F583">
        <f t="shared" si="37"/>
        <v>1295</v>
      </c>
      <c r="G583">
        <f t="shared" si="39"/>
        <v>4.3729729729729812</v>
      </c>
      <c r="H583">
        <f t="shared" si="40"/>
        <v>4.5729466960601526</v>
      </c>
    </row>
    <row r="584" spans="1:8" x14ac:dyDescent="0.25">
      <c r="A584" t="str">
        <f t="shared" si="38"/>
        <v>Direct,NSFnet,120</v>
      </c>
      <c r="B584" t="s">
        <v>33</v>
      </c>
      <c r="C584" t="s">
        <v>6</v>
      </c>
      <c r="D584">
        <v>120</v>
      </c>
      <c r="E584">
        <v>1274.2819999999999</v>
      </c>
      <c r="F584">
        <f t="shared" si="37"/>
        <v>1295</v>
      </c>
      <c r="G584">
        <f t="shared" si="39"/>
        <v>1.5998455598455654</v>
      </c>
      <c r="H584">
        <f t="shared" si="40"/>
        <v>1.6258567569815845</v>
      </c>
    </row>
    <row r="585" spans="1:8" x14ac:dyDescent="0.25">
      <c r="A585" t="str">
        <f t="shared" si="38"/>
        <v>Direct,NSFnet,120</v>
      </c>
      <c r="B585" t="s">
        <v>33</v>
      </c>
      <c r="C585" t="s">
        <v>6</v>
      </c>
      <c r="D585">
        <v>120</v>
      </c>
      <c r="E585">
        <v>1305.79</v>
      </c>
      <c r="F585">
        <f t="shared" si="37"/>
        <v>1295</v>
      </c>
      <c r="G585">
        <f t="shared" si="39"/>
        <v>0.83320463320463045</v>
      </c>
      <c r="H585">
        <f t="shared" si="40"/>
        <v>0.82631969918593073</v>
      </c>
    </row>
    <row r="586" spans="1:8" x14ac:dyDescent="0.25">
      <c r="A586" t="str">
        <f t="shared" si="38"/>
        <v>Direct,NSFnet,120</v>
      </c>
      <c r="B586" t="s">
        <v>33</v>
      </c>
      <c r="C586" t="s">
        <v>6</v>
      </c>
      <c r="D586">
        <v>120</v>
      </c>
      <c r="E586">
        <v>1324.4010000000001</v>
      </c>
      <c r="F586">
        <f t="shared" si="37"/>
        <v>1295</v>
      </c>
      <c r="G586">
        <f t="shared" si="39"/>
        <v>2.2703474903474956</v>
      </c>
      <c r="H586">
        <f t="shared" si="40"/>
        <v>2.21994697980446</v>
      </c>
    </row>
    <row r="587" spans="1:8" x14ac:dyDescent="0.25">
      <c r="A587" t="str">
        <f t="shared" si="38"/>
        <v>Direct,NSFnet,120</v>
      </c>
      <c r="B587" t="s">
        <v>33</v>
      </c>
      <c r="C587" t="s">
        <v>6</v>
      </c>
      <c r="D587">
        <v>120</v>
      </c>
      <c r="E587">
        <v>1348.258</v>
      </c>
      <c r="F587">
        <f t="shared" si="37"/>
        <v>1295</v>
      </c>
      <c r="G587">
        <f t="shared" si="39"/>
        <v>4.1125868725868759</v>
      </c>
      <c r="H587">
        <f t="shared" si="40"/>
        <v>3.9501341731330379</v>
      </c>
    </row>
    <row r="588" spans="1:8" x14ac:dyDescent="0.25">
      <c r="A588" t="str">
        <f t="shared" si="38"/>
        <v>Direct,NSFnet,120</v>
      </c>
      <c r="B588" t="s">
        <v>33</v>
      </c>
      <c r="C588" t="s">
        <v>6</v>
      </c>
      <c r="D588">
        <v>120</v>
      </c>
      <c r="E588">
        <v>1375.173</v>
      </c>
      <c r="F588">
        <f t="shared" si="37"/>
        <v>1295</v>
      </c>
      <c r="G588">
        <f t="shared" si="39"/>
        <v>6.1909652509652506</v>
      </c>
      <c r="H588">
        <f t="shared" si="40"/>
        <v>5.830030112574927</v>
      </c>
    </row>
    <row r="589" spans="1:8" x14ac:dyDescent="0.25">
      <c r="A589" t="str">
        <f t="shared" si="38"/>
        <v>Direct,NSFnet,120</v>
      </c>
      <c r="B589" t="s">
        <v>33</v>
      </c>
      <c r="C589" t="s">
        <v>6</v>
      </c>
      <c r="D589">
        <v>120</v>
      </c>
      <c r="E589">
        <v>1331.8889999999999</v>
      </c>
      <c r="F589">
        <f t="shared" si="37"/>
        <v>1295</v>
      </c>
      <c r="G589">
        <f t="shared" si="39"/>
        <v>2.8485714285714203</v>
      </c>
      <c r="H589">
        <f t="shared" si="40"/>
        <v>2.7696752507153297</v>
      </c>
    </row>
    <row r="590" spans="1:8" x14ac:dyDescent="0.25">
      <c r="A590" t="str">
        <f t="shared" si="38"/>
        <v>Direct,NSFnet,120</v>
      </c>
      <c r="B590" t="s">
        <v>33</v>
      </c>
      <c r="C590" t="s">
        <v>6</v>
      </c>
      <c r="D590">
        <v>120</v>
      </c>
      <c r="E590">
        <v>1310.078</v>
      </c>
      <c r="F590">
        <f t="shared" si="37"/>
        <v>1295</v>
      </c>
      <c r="G590">
        <f t="shared" si="39"/>
        <v>1.1643243243243224</v>
      </c>
      <c r="H590">
        <f t="shared" si="40"/>
        <v>1.1509238381226137</v>
      </c>
    </row>
    <row r="591" spans="1:8" x14ac:dyDescent="0.25">
      <c r="A591" t="str">
        <f t="shared" si="38"/>
        <v>Direct,NSFnet,120</v>
      </c>
      <c r="B591" t="s">
        <v>33</v>
      </c>
      <c r="C591" t="s">
        <v>6</v>
      </c>
      <c r="D591">
        <v>120</v>
      </c>
      <c r="E591">
        <v>1319.98</v>
      </c>
      <c r="F591">
        <f t="shared" si="37"/>
        <v>1295</v>
      </c>
      <c r="G591">
        <f t="shared" si="39"/>
        <v>1.9289575289575305</v>
      </c>
      <c r="H591">
        <f t="shared" si="40"/>
        <v>1.8924529159532733</v>
      </c>
    </row>
    <row r="592" spans="1:8" x14ac:dyDescent="0.25">
      <c r="A592" t="str">
        <f t="shared" si="38"/>
        <v>Direct,NSFnet,120</v>
      </c>
      <c r="B592" t="s">
        <v>33</v>
      </c>
      <c r="C592" t="s">
        <v>6</v>
      </c>
      <c r="D592">
        <v>120</v>
      </c>
      <c r="E592">
        <v>1320.595</v>
      </c>
      <c r="F592">
        <f t="shared" si="37"/>
        <v>1295</v>
      </c>
      <c r="G592">
        <f t="shared" si="39"/>
        <v>1.9764478764478783</v>
      </c>
      <c r="H592">
        <f t="shared" si="40"/>
        <v>1.9381415195423295</v>
      </c>
    </row>
    <row r="593" spans="1:8" x14ac:dyDescent="0.25">
      <c r="A593" t="str">
        <f t="shared" si="38"/>
        <v>Direct,NSFnet,120</v>
      </c>
      <c r="B593" t="s">
        <v>33</v>
      </c>
      <c r="C593" t="s">
        <v>6</v>
      </c>
      <c r="D593">
        <v>120</v>
      </c>
      <c r="E593">
        <v>1399.9469999999999</v>
      </c>
      <c r="F593">
        <f t="shared" si="37"/>
        <v>1295</v>
      </c>
      <c r="G593">
        <f t="shared" si="39"/>
        <v>8.1040154440154364</v>
      </c>
      <c r="H593">
        <f t="shared" si="40"/>
        <v>7.496498081713086</v>
      </c>
    </row>
    <row r="594" spans="1:8" x14ac:dyDescent="0.25">
      <c r="A594" t="str">
        <f t="shared" si="38"/>
        <v>Direct,NSFnet,120</v>
      </c>
      <c r="B594" t="s">
        <v>33</v>
      </c>
      <c r="C594" t="s">
        <v>6</v>
      </c>
      <c r="D594">
        <v>120</v>
      </c>
      <c r="E594">
        <v>1362.5550000000001</v>
      </c>
      <c r="F594">
        <f t="shared" si="37"/>
        <v>1295</v>
      </c>
      <c r="G594">
        <f t="shared" si="39"/>
        <v>5.2166023166023212</v>
      </c>
      <c r="H594">
        <f t="shared" si="40"/>
        <v>4.9579649995780031</v>
      </c>
    </row>
    <row r="595" spans="1:8" x14ac:dyDescent="0.25">
      <c r="A595" t="str">
        <f t="shared" si="38"/>
        <v>Direct,NSFnet,120</v>
      </c>
      <c r="B595" t="s">
        <v>33</v>
      </c>
      <c r="C595" t="s">
        <v>6</v>
      </c>
      <c r="D595">
        <v>120</v>
      </c>
      <c r="E595">
        <v>1384.972</v>
      </c>
      <c r="F595">
        <f t="shared" si="37"/>
        <v>1295</v>
      </c>
      <c r="G595">
        <f t="shared" si="39"/>
        <v>6.9476447876447853</v>
      </c>
      <c r="H595">
        <f t="shared" si="40"/>
        <v>6.4963046184327178</v>
      </c>
    </row>
    <row r="596" spans="1:8" x14ac:dyDescent="0.25">
      <c r="A596" t="str">
        <f t="shared" si="38"/>
        <v>Direct,NSFnet,120</v>
      </c>
      <c r="B596" t="s">
        <v>33</v>
      </c>
      <c r="C596" t="s">
        <v>6</v>
      </c>
      <c r="D596">
        <v>120</v>
      </c>
      <c r="E596">
        <v>1315.307</v>
      </c>
      <c r="F596">
        <f t="shared" si="37"/>
        <v>1295</v>
      </c>
      <c r="G596">
        <f t="shared" si="39"/>
        <v>1.5681081081081092</v>
      </c>
      <c r="H596">
        <f t="shared" si="40"/>
        <v>1.5438981165613819</v>
      </c>
    </row>
    <row r="597" spans="1:8" x14ac:dyDescent="0.25">
      <c r="A597" t="str">
        <f t="shared" si="38"/>
        <v>Direct,NSFnet,120</v>
      </c>
      <c r="B597" t="s">
        <v>33</v>
      </c>
      <c r="C597" t="s">
        <v>6</v>
      </c>
      <c r="D597">
        <v>120</v>
      </c>
      <c r="E597">
        <v>1355.231</v>
      </c>
      <c r="F597">
        <f t="shared" si="37"/>
        <v>1295</v>
      </c>
      <c r="G597">
        <f t="shared" si="39"/>
        <v>4.6510424710424703</v>
      </c>
      <c r="H597">
        <f t="shared" si="40"/>
        <v>4.4443345820749371</v>
      </c>
    </row>
    <row r="598" spans="1:8" x14ac:dyDescent="0.25">
      <c r="A598" t="str">
        <f t="shared" si="38"/>
        <v>Direct,NSFnet,120</v>
      </c>
      <c r="B598" t="s">
        <v>33</v>
      </c>
      <c r="C598" t="s">
        <v>6</v>
      </c>
      <c r="D598">
        <v>120</v>
      </c>
      <c r="E598">
        <v>1267.7560000000001</v>
      </c>
      <c r="F598">
        <f t="shared" si="37"/>
        <v>1295</v>
      </c>
      <c r="G598">
        <f t="shared" si="39"/>
        <v>2.103783783783777</v>
      </c>
      <c r="H598">
        <f t="shared" si="40"/>
        <v>2.1489939704485654</v>
      </c>
    </row>
    <row r="599" spans="1:8" x14ac:dyDescent="0.25">
      <c r="A599" t="str">
        <f t="shared" si="38"/>
        <v>Direct,NSFnet,120</v>
      </c>
      <c r="B599" t="s">
        <v>33</v>
      </c>
      <c r="C599" t="s">
        <v>6</v>
      </c>
      <c r="D599">
        <v>120</v>
      </c>
      <c r="E599">
        <v>1255.9380000000001</v>
      </c>
      <c r="F599">
        <f t="shared" si="37"/>
        <v>1295</v>
      </c>
      <c r="G599">
        <f t="shared" si="39"/>
        <v>3.0163706563706487</v>
      </c>
      <c r="H599">
        <f t="shared" si="40"/>
        <v>3.1101853753927258</v>
      </c>
    </row>
    <row r="600" spans="1:8" x14ac:dyDescent="0.25">
      <c r="A600" t="str">
        <f t="shared" si="38"/>
        <v>Direct,NSFnet,120</v>
      </c>
      <c r="B600" t="s">
        <v>33</v>
      </c>
      <c r="C600" t="s">
        <v>6</v>
      </c>
      <c r="D600">
        <v>120</v>
      </c>
      <c r="E600">
        <v>1346.4449999999999</v>
      </c>
      <c r="F600">
        <f t="shared" si="37"/>
        <v>1295</v>
      </c>
      <c r="G600">
        <f t="shared" si="39"/>
        <v>3.9725868725868674</v>
      </c>
      <c r="H600">
        <f t="shared" si="40"/>
        <v>3.8208021864985153</v>
      </c>
    </row>
    <row r="601" spans="1:8" x14ac:dyDescent="0.25">
      <c r="A601" t="str">
        <f t="shared" si="38"/>
        <v>Direct,NSFnet,120</v>
      </c>
      <c r="B601" t="s">
        <v>33</v>
      </c>
      <c r="C601" t="s">
        <v>6</v>
      </c>
      <c r="D601">
        <v>120</v>
      </c>
      <c r="E601">
        <v>1359.3979999999999</v>
      </c>
      <c r="F601">
        <f t="shared" si="37"/>
        <v>1295</v>
      </c>
      <c r="G601">
        <f t="shared" si="39"/>
        <v>4.9728185328185255</v>
      </c>
      <c r="H601">
        <f t="shared" si="40"/>
        <v>4.7372439859408288</v>
      </c>
    </row>
    <row r="602" spans="1:8" x14ac:dyDescent="0.25">
      <c r="A602" t="str">
        <f t="shared" si="38"/>
        <v>Direct,NSFnet,120</v>
      </c>
      <c r="B602" t="s">
        <v>33</v>
      </c>
      <c r="C602" t="s">
        <v>6</v>
      </c>
      <c r="D602">
        <v>120</v>
      </c>
      <c r="E602">
        <v>1291.771</v>
      </c>
      <c r="F602">
        <f t="shared" si="37"/>
        <v>1295</v>
      </c>
      <c r="G602">
        <f t="shared" si="39"/>
        <v>0.24934362934363261</v>
      </c>
      <c r="H602">
        <f t="shared" si="40"/>
        <v>0.24996690589895901</v>
      </c>
    </row>
    <row r="603" spans="1:8" x14ac:dyDescent="0.25">
      <c r="A603" t="str">
        <f t="shared" si="38"/>
        <v>Direct,STnet,20</v>
      </c>
      <c r="B603" t="s">
        <v>33</v>
      </c>
      <c r="C603" t="s">
        <v>5</v>
      </c>
      <c r="D603">
        <v>20</v>
      </c>
      <c r="E603">
        <v>50.805999999999997</v>
      </c>
      <c r="F603">
        <f t="shared" si="37"/>
        <v>52.2</v>
      </c>
      <c r="G603">
        <f t="shared" si="39"/>
        <v>2.6704980842911978</v>
      </c>
      <c r="H603">
        <f t="shared" si="40"/>
        <v>2.7437704208164502</v>
      </c>
    </row>
    <row r="604" spans="1:8" x14ac:dyDescent="0.25">
      <c r="A604" t="str">
        <f t="shared" si="38"/>
        <v>Direct,STnet,20</v>
      </c>
      <c r="B604" t="s">
        <v>33</v>
      </c>
      <c r="C604" t="s">
        <v>5</v>
      </c>
      <c r="D604">
        <v>20</v>
      </c>
      <c r="E604">
        <v>51.805999999999997</v>
      </c>
      <c r="F604">
        <f t="shared" si="37"/>
        <v>52.2</v>
      </c>
      <c r="G604">
        <f t="shared" si="39"/>
        <v>0.75478927203066182</v>
      </c>
      <c r="H604">
        <f t="shared" si="40"/>
        <v>0.76052966837819069</v>
      </c>
    </row>
    <row r="605" spans="1:8" x14ac:dyDescent="0.25">
      <c r="A605" t="str">
        <f t="shared" si="38"/>
        <v>Direct,STnet,20</v>
      </c>
      <c r="B605" t="s">
        <v>33</v>
      </c>
      <c r="C605" t="s">
        <v>5</v>
      </c>
      <c r="D605">
        <v>20</v>
      </c>
      <c r="E605">
        <v>50.805999999999997</v>
      </c>
      <c r="F605">
        <f t="shared" si="37"/>
        <v>52.2</v>
      </c>
      <c r="G605">
        <f t="shared" si="39"/>
        <v>2.6704980842911978</v>
      </c>
      <c r="H605">
        <f t="shared" si="40"/>
        <v>2.7437704208164502</v>
      </c>
    </row>
    <row r="606" spans="1:8" x14ac:dyDescent="0.25">
      <c r="A606" t="str">
        <f t="shared" si="38"/>
        <v>Direct,STnet,20</v>
      </c>
      <c r="B606" t="s">
        <v>33</v>
      </c>
      <c r="C606" t="s">
        <v>5</v>
      </c>
      <c r="D606">
        <v>20</v>
      </c>
      <c r="E606">
        <v>51.805999999999997</v>
      </c>
      <c r="F606">
        <f t="shared" si="37"/>
        <v>52.2</v>
      </c>
      <c r="G606">
        <f t="shared" si="39"/>
        <v>0.75478927203066182</v>
      </c>
      <c r="H606">
        <f t="shared" si="40"/>
        <v>0.76052966837819069</v>
      </c>
    </row>
    <row r="607" spans="1:8" x14ac:dyDescent="0.25">
      <c r="A607" t="str">
        <f t="shared" si="38"/>
        <v>Direct,STnet,20</v>
      </c>
      <c r="B607" t="s">
        <v>33</v>
      </c>
      <c r="C607" t="s">
        <v>5</v>
      </c>
      <c r="D607">
        <v>20</v>
      </c>
      <c r="E607">
        <v>49.805999999999997</v>
      </c>
      <c r="F607">
        <f t="shared" si="37"/>
        <v>52.2</v>
      </c>
      <c r="G607">
        <f t="shared" si="39"/>
        <v>4.5862068965517349</v>
      </c>
      <c r="H607">
        <f t="shared" si="40"/>
        <v>4.8066498012287786</v>
      </c>
    </row>
    <row r="608" spans="1:8" x14ac:dyDescent="0.25">
      <c r="A608" t="str">
        <f t="shared" si="38"/>
        <v>Direct,STnet,20</v>
      </c>
      <c r="B608" t="s">
        <v>33</v>
      </c>
      <c r="C608" t="s">
        <v>5</v>
      </c>
      <c r="D608">
        <v>20</v>
      </c>
      <c r="E608">
        <v>52.805999999999997</v>
      </c>
      <c r="F608">
        <f t="shared" si="37"/>
        <v>52.2</v>
      </c>
      <c r="G608">
        <f t="shared" si="39"/>
        <v>1.1609195402298746</v>
      </c>
      <c r="H608">
        <f t="shared" si="40"/>
        <v>1.1475968639927179</v>
      </c>
    </row>
    <row r="609" spans="1:8" x14ac:dyDescent="0.25">
      <c r="A609" t="str">
        <f t="shared" si="38"/>
        <v>Direct,STnet,20</v>
      </c>
      <c r="B609" t="s">
        <v>33</v>
      </c>
      <c r="C609" t="s">
        <v>5</v>
      </c>
      <c r="D609">
        <v>20</v>
      </c>
      <c r="E609">
        <v>51.805999999999997</v>
      </c>
      <c r="F609">
        <f t="shared" si="37"/>
        <v>52.2</v>
      </c>
      <c r="G609">
        <f t="shared" si="39"/>
        <v>0.75478927203066182</v>
      </c>
      <c r="H609">
        <f t="shared" si="40"/>
        <v>0.76052966837819069</v>
      </c>
    </row>
    <row r="610" spans="1:8" x14ac:dyDescent="0.25">
      <c r="A610" t="str">
        <f t="shared" si="38"/>
        <v>Direct,STnet,20</v>
      </c>
      <c r="B610" t="s">
        <v>33</v>
      </c>
      <c r="C610" t="s">
        <v>5</v>
      </c>
      <c r="D610">
        <v>20</v>
      </c>
      <c r="E610">
        <v>51.805999999999997</v>
      </c>
      <c r="F610">
        <f t="shared" si="37"/>
        <v>52.2</v>
      </c>
      <c r="G610">
        <f t="shared" si="39"/>
        <v>0.75478927203066182</v>
      </c>
      <c r="H610">
        <f t="shared" si="40"/>
        <v>0.76052966837819069</v>
      </c>
    </row>
    <row r="611" spans="1:8" x14ac:dyDescent="0.25">
      <c r="A611" t="str">
        <f t="shared" si="38"/>
        <v>Direct,STnet,20</v>
      </c>
      <c r="B611" t="s">
        <v>33</v>
      </c>
      <c r="C611" t="s">
        <v>5</v>
      </c>
      <c r="D611">
        <v>20</v>
      </c>
      <c r="E611">
        <v>51.805999999999997</v>
      </c>
      <c r="F611">
        <f t="shared" si="37"/>
        <v>52.2</v>
      </c>
      <c r="G611">
        <f t="shared" si="39"/>
        <v>0.75478927203066182</v>
      </c>
      <c r="H611">
        <f t="shared" si="40"/>
        <v>0.76052966837819069</v>
      </c>
    </row>
    <row r="612" spans="1:8" x14ac:dyDescent="0.25">
      <c r="A612" t="str">
        <f t="shared" si="38"/>
        <v>Direct,STnet,20</v>
      </c>
      <c r="B612" t="s">
        <v>33</v>
      </c>
      <c r="C612" t="s">
        <v>5</v>
      </c>
      <c r="D612">
        <v>20</v>
      </c>
      <c r="E612">
        <v>51.805999999999997</v>
      </c>
      <c r="F612">
        <f t="shared" si="37"/>
        <v>52.2</v>
      </c>
      <c r="G612">
        <f t="shared" si="39"/>
        <v>0.75478927203066182</v>
      </c>
      <c r="H612">
        <f t="shared" si="40"/>
        <v>0.76052966837819069</v>
      </c>
    </row>
    <row r="613" spans="1:8" x14ac:dyDescent="0.25">
      <c r="A613" t="str">
        <f t="shared" si="38"/>
        <v>Direct,STnet,20</v>
      </c>
      <c r="B613" t="s">
        <v>33</v>
      </c>
      <c r="C613" t="s">
        <v>5</v>
      </c>
      <c r="D613">
        <v>20</v>
      </c>
      <c r="E613">
        <v>50.805999999999997</v>
      </c>
      <c r="F613">
        <f t="shared" si="37"/>
        <v>52.2</v>
      </c>
      <c r="G613">
        <f t="shared" si="39"/>
        <v>2.6704980842911978</v>
      </c>
      <c r="H613">
        <f t="shared" si="40"/>
        <v>2.7437704208164502</v>
      </c>
    </row>
    <row r="614" spans="1:8" x14ac:dyDescent="0.25">
      <c r="A614" t="str">
        <f t="shared" si="38"/>
        <v>Direct,STnet,20</v>
      </c>
      <c r="B614" t="s">
        <v>33</v>
      </c>
      <c r="C614" t="s">
        <v>5</v>
      </c>
      <c r="D614">
        <v>20</v>
      </c>
      <c r="E614">
        <v>52.805999999999997</v>
      </c>
      <c r="F614">
        <f t="shared" si="37"/>
        <v>52.2</v>
      </c>
      <c r="G614">
        <f t="shared" si="39"/>
        <v>1.1609195402298746</v>
      </c>
      <c r="H614">
        <f t="shared" si="40"/>
        <v>1.1475968639927179</v>
      </c>
    </row>
    <row r="615" spans="1:8" x14ac:dyDescent="0.25">
      <c r="A615" t="str">
        <f t="shared" si="38"/>
        <v>Direct,STnet,20</v>
      </c>
      <c r="B615" t="s">
        <v>33</v>
      </c>
      <c r="C615" t="s">
        <v>5</v>
      </c>
      <c r="D615">
        <v>20</v>
      </c>
      <c r="E615">
        <v>51.805999999999997</v>
      </c>
      <c r="F615">
        <f t="shared" si="37"/>
        <v>52.2</v>
      </c>
      <c r="G615">
        <f t="shared" si="39"/>
        <v>0.75478927203066182</v>
      </c>
      <c r="H615">
        <f t="shared" si="40"/>
        <v>0.76052966837819069</v>
      </c>
    </row>
    <row r="616" spans="1:8" x14ac:dyDescent="0.25">
      <c r="A616" t="str">
        <f t="shared" si="38"/>
        <v>Direct,STnet,20</v>
      </c>
      <c r="B616" t="s">
        <v>33</v>
      </c>
      <c r="C616" t="s">
        <v>5</v>
      </c>
      <c r="D616">
        <v>20</v>
      </c>
      <c r="E616">
        <v>52.805999999999997</v>
      </c>
      <c r="F616">
        <f t="shared" si="37"/>
        <v>52.2</v>
      </c>
      <c r="G616">
        <f t="shared" si="39"/>
        <v>1.1609195402298746</v>
      </c>
      <c r="H616">
        <f t="shared" si="40"/>
        <v>1.1475968639927179</v>
      </c>
    </row>
    <row r="617" spans="1:8" x14ac:dyDescent="0.25">
      <c r="A617" t="str">
        <f t="shared" si="38"/>
        <v>Direct,STnet,20</v>
      </c>
      <c r="B617" t="s">
        <v>33</v>
      </c>
      <c r="C617" t="s">
        <v>5</v>
      </c>
      <c r="D617">
        <v>20</v>
      </c>
      <c r="E617">
        <v>50.805999999999997</v>
      </c>
      <c r="F617">
        <f t="shared" si="37"/>
        <v>52.2</v>
      </c>
      <c r="G617">
        <f t="shared" si="39"/>
        <v>2.6704980842911978</v>
      </c>
      <c r="H617">
        <f t="shared" si="40"/>
        <v>2.7437704208164502</v>
      </c>
    </row>
    <row r="618" spans="1:8" x14ac:dyDescent="0.25">
      <c r="A618" t="str">
        <f t="shared" si="38"/>
        <v>Direct,STnet,20</v>
      </c>
      <c r="B618" t="s">
        <v>33</v>
      </c>
      <c r="C618" t="s">
        <v>5</v>
      </c>
      <c r="D618">
        <v>20</v>
      </c>
      <c r="E618">
        <v>52.805999999999997</v>
      </c>
      <c r="F618">
        <f t="shared" si="37"/>
        <v>52.2</v>
      </c>
      <c r="G618">
        <f t="shared" si="39"/>
        <v>1.1609195402298746</v>
      </c>
      <c r="H618">
        <f t="shared" si="40"/>
        <v>1.1475968639927179</v>
      </c>
    </row>
    <row r="619" spans="1:8" x14ac:dyDescent="0.25">
      <c r="A619" t="str">
        <f t="shared" si="38"/>
        <v>Direct,STnet,20</v>
      </c>
      <c r="B619" t="s">
        <v>33</v>
      </c>
      <c r="C619" t="s">
        <v>5</v>
      </c>
      <c r="D619">
        <v>20</v>
      </c>
      <c r="E619">
        <v>49.805999999999997</v>
      </c>
      <c r="F619">
        <f t="shared" si="37"/>
        <v>52.2</v>
      </c>
      <c r="G619">
        <f t="shared" si="39"/>
        <v>4.5862068965517349</v>
      </c>
      <c r="H619">
        <f t="shared" si="40"/>
        <v>4.8066498012287786</v>
      </c>
    </row>
    <row r="620" spans="1:8" x14ac:dyDescent="0.25">
      <c r="A620" t="str">
        <f t="shared" si="38"/>
        <v>Direct,STnet,20</v>
      </c>
      <c r="B620" t="s">
        <v>33</v>
      </c>
      <c r="C620" t="s">
        <v>5</v>
      </c>
      <c r="D620">
        <v>20</v>
      </c>
      <c r="E620">
        <v>51.805999999999997</v>
      </c>
      <c r="F620">
        <f t="shared" si="37"/>
        <v>52.2</v>
      </c>
      <c r="G620">
        <f t="shared" si="39"/>
        <v>0.75478927203066182</v>
      </c>
      <c r="H620">
        <f t="shared" si="40"/>
        <v>0.76052966837819069</v>
      </c>
    </row>
    <row r="621" spans="1:8" x14ac:dyDescent="0.25">
      <c r="A621" t="str">
        <f t="shared" si="38"/>
        <v>Direct,STnet,20</v>
      </c>
      <c r="B621" t="s">
        <v>33</v>
      </c>
      <c r="C621" t="s">
        <v>5</v>
      </c>
      <c r="D621">
        <v>20</v>
      </c>
      <c r="E621">
        <v>50.805999999999997</v>
      </c>
      <c r="F621">
        <f t="shared" si="37"/>
        <v>52.2</v>
      </c>
      <c r="G621">
        <f t="shared" si="39"/>
        <v>2.6704980842911978</v>
      </c>
      <c r="H621">
        <f t="shared" si="40"/>
        <v>2.7437704208164502</v>
      </c>
    </row>
    <row r="622" spans="1:8" x14ac:dyDescent="0.25">
      <c r="A622" t="str">
        <f t="shared" si="38"/>
        <v>Direct,STnet,20</v>
      </c>
      <c r="B622" t="s">
        <v>33</v>
      </c>
      <c r="C622" t="s">
        <v>5</v>
      </c>
      <c r="D622">
        <v>20</v>
      </c>
      <c r="E622">
        <v>51.805999999999997</v>
      </c>
      <c r="F622">
        <f t="shared" si="37"/>
        <v>52.2</v>
      </c>
      <c r="G622">
        <f t="shared" si="39"/>
        <v>0.75478927203066182</v>
      </c>
      <c r="H622">
        <f t="shared" si="40"/>
        <v>0.76052966837819069</v>
      </c>
    </row>
    <row r="623" spans="1:8" x14ac:dyDescent="0.25">
      <c r="A623" t="str">
        <f t="shared" si="38"/>
        <v>Direct,STnet,20</v>
      </c>
      <c r="B623" t="s">
        <v>33</v>
      </c>
      <c r="C623" t="s">
        <v>5</v>
      </c>
      <c r="D623">
        <v>20</v>
      </c>
      <c r="E623">
        <v>51.805999999999997</v>
      </c>
      <c r="F623">
        <f t="shared" si="37"/>
        <v>52.2</v>
      </c>
      <c r="G623">
        <f t="shared" si="39"/>
        <v>0.75478927203066182</v>
      </c>
      <c r="H623">
        <f t="shared" si="40"/>
        <v>0.76052966837819069</v>
      </c>
    </row>
    <row r="624" spans="1:8" x14ac:dyDescent="0.25">
      <c r="A624" t="str">
        <f t="shared" si="38"/>
        <v>Direct,STnet,20</v>
      </c>
      <c r="B624" t="s">
        <v>33</v>
      </c>
      <c r="C624" t="s">
        <v>5</v>
      </c>
      <c r="D624">
        <v>20</v>
      </c>
      <c r="E624">
        <v>51.805999999999997</v>
      </c>
      <c r="F624">
        <f t="shared" si="37"/>
        <v>52.2</v>
      </c>
      <c r="G624">
        <f t="shared" si="39"/>
        <v>0.75478927203066182</v>
      </c>
      <c r="H624">
        <f t="shared" si="40"/>
        <v>0.76052966837819069</v>
      </c>
    </row>
    <row r="625" spans="1:8" x14ac:dyDescent="0.25">
      <c r="A625" t="str">
        <f t="shared" si="38"/>
        <v>Direct,STnet,20</v>
      </c>
      <c r="B625" t="s">
        <v>33</v>
      </c>
      <c r="C625" t="s">
        <v>5</v>
      </c>
      <c r="D625">
        <v>20</v>
      </c>
      <c r="E625">
        <v>52.805999999999997</v>
      </c>
      <c r="F625">
        <f t="shared" si="37"/>
        <v>52.2</v>
      </c>
      <c r="G625">
        <f t="shared" si="39"/>
        <v>1.1609195402298746</v>
      </c>
      <c r="H625">
        <f t="shared" si="40"/>
        <v>1.1475968639927179</v>
      </c>
    </row>
    <row r="626" spans="1:8" x14ac:dyDescent="0.25">
      <c r="A626" t="str">
        <f t="shared" si="38"/>
        <v>Direct,STnet,20</v>
      </c>
      <c r="B626" t="s">
        <v>33</v>
      </c>
      <c r="C626" t="s">
        <v>5</v>
      </c>
      <c r="D626">
        <v>20</v>
      </c>
      <c r="E626">
        <v>52.805999999999997</v>
      </c>
      <c r="F626">
        <f t="shared" si="37"/>
        <v>52.2</v>
      </c>
      <c r="G626">
        <f t="shared" si="39"/>
        <v>1.1609195402298746</v>
      </c>
      <c r="H626">
        <f t="shared" si="40"/>
        <v>1.1475968639927179</v>
      </c>
    </row>
    <row r="627" spans="1:8" x14ac:dyDescent="0.25">
      <c r="A627" t="str">
        <f t="shared" si="38"/>
        <v>Direct,STnet,20</v>
      </c>
      <c r="B627" t="s">
        <v>33</v>
      </c>
      <c r="C627" t="s">
        <v>5</v>
      </c>
      <c r="D627">
        <v>20</v>
      </c>
      <c r="E627">
        <v>51.805999999999997</v>
      </c>
      <c r="F627">
        <f t="shared" si="37"/>
        <v>52.2</v>
      </c>
      <c r="G627">
        <f t="shared" si="39"/>
        <v>0.75478927203066182</v>
      </c>
      <c r="H627">
        <f t="shared" si="40"/>
        <v>0.76052966837819069</v>
      </c>
    </row>
    <row r="628" spans="1:8" x14ac:dyDescent="0.25">
      <c r="A628" t="str">
        <f t="shared" si="38"/>
        <v>Direct,STnet,20</v>
      </c>
      <c r="B628" t="s">
        <v>33</v>
      </c>
      <c r="C628" t="s">
        <v>5</v>
      </c>
      <c r="D628">
        <v>20</v>
      </c>
      <c r="E628">
        <v>52.805999999999997</v>
      </c>
      <c r="F628">
        <f t="shared" si="37"/>
        <v>52.2</v>
      </c>
      <c r="G628">
        <f t="shared" si="39"/>
        <v>1.1609195402298746</v>
      </c>
      <c r="H628">
        <f t="shared" si="40"/>
        <v>1.1475968639927179</v>
      </c>
    </row>
    <row r="629" spans="1:8" x14ac:dyDescent="0.25">
      <c r="A629" t="str">
        <f t="shared" si="38"/>
        <v>Direct,STnet,20</v>
      </c>
      <c r="B629" t="s">
        <v>33</v>
      </c>
      <c r="C629" t="s">
        <v>5</v>
      </c>
      <c r="D629">
        <v>20</v>
      </c>
      <c r="E629">
        <v>52.805999999999997</v>
      </c>
      <c r="F629">
        <f t="shared" si="37"/>
        <v>52.2</v>
      </c>
      <c r="G629">
        <f t="shared" si="39"/>
        <v>1.1609195402298746</v>
      </c>
      <c r="H629">
        <f t="shared" si="40"/>
        <v>1.1475968639927179</v>
      </c>
    </row>
    <row r="630" spans="1:8" x14ac:dyDescent="0.25">
      <c r="A630" t="str">
        <f t="shared" si="38"/>
        <v>Direct,STnet,20</v>
      </c>
      <c r="B630" t="s">
        <v>33</v>
      </c>
      <c r="C630" t="s">
        <v>5</v>
      </c>
      <c r="D630">
        <v>20</v>
      </c>
      <c r="E630">
        <v>50.805999999999997</v>
      </c>
      <c r="F630">
        <f t="shared" si="37"/>
        <v>52.2</v>
      </c>
      <c r="G630">
        <f t="shared" si="39"/>
        <v>2.6704980842911978</v>
      </c>
      <c r="H630">
        <f t="shared" si="40"/>
        <v>2.7437704208164502</v>
      </c>
    </row>
    <row r="631" spans="1:8" x14ac:dyDescent="0.25">
      <c r="A631" t="str">
        <f t="shared" si="38"/>
        <v>Direct,STnet,20</v>
      </c>
      <c r="B631" t="s">
        <v>33</v>
      </c>
      <c r="C631" t="s">
        <v>5</v>
      </c>
      <c r="D631">
        <v>20</v>
      </c>
      <c r="E631">
        <v>50.805999999999997</v>
      </c>
      <c r="F631">
        <f t="shared" si="37"/>
        <v>52.2</v>
      </c>
      <c r="G631">
        <f t="shared" si="39"/>
        <v>2.6704980842911978</v>
      </c>
      <c r="H631">
        <f t="shared" si="40"/>
        <v>2.7437704208164502</v>
      </c>
    </row>
    <row r="632" spans="1:8" x14ac:dyDescent="0.25">
      <c r="A632" t="str">
        <f t="shared" si="38"/>
        <v>Direct,STnet,20</v>
      </c>
      <c r="B632" t="s">
        <v>33</v>
      </c>
      <c r="C632" t="s">
        <v>5</v>
      </c>
      <c r="D632">
        <v>20</v>
      </c>
      <c r="E632">
        <v>51.805999999999997</v>
      </c>
      <c r="F632">
        <f t="shared" si="37"/>
        <v>52.2</v>
      </c>
      <c r="G632">
        <f t="shared" si="39"/>
        <v>0.75478927203066182</v>
      </c>
      <c r="H632">
        <f t="shared" si="40"/>
        <v>0.76052966837819069</v>
      </c>
    </row>
    <row r="633" spans="1:8" x14ac:dyDescent="0.25">
      <c r="A633" t="str">
        <f t="shared" si="38"/>
        <v>Direct,STnet,20</v>
      </c>
      <c r="B633" t="s">
        <v>33</v>
      </c>
      <c r="C633" t="s">
        <v>5</v>
      </c>
      <c r="D633">
        <v>20</v>
      </c>
      <c r="E633">
        <v>51.805999999999997</v>
      </c>
      <c r="F633">
        <f t="shared" si="37"/>
        <v>52.2</v>
      </c>
      <c r="G633">
        <f t="shared" si="39"/>
        <v>0.75478927203066182</v>
      </c>
      <c r="H633">
        <f t="shared" si="40"/>
        <v>0.76052966837819069</v>
      </c>
    </row>
    <row r="634" spans="1:8" x14ac:dyDescent="0.25">
      <c r="A634" t="str">
        <f t="shared" si="38"/>
        <v>Direct,STnet,20</v>
      </c>
      <c r="B634" t="s">
        <v>33</v>
      </c>
      <c r="C634" t="s">
        <v>5</v>
      </c>
      <c r="D634">
        <v>20</v>
      </c>
      <c r="E634">
        <v>51.805999999999997</v>
      </c>
      <c r="F634">
        <f t="shared" si="37"/>
        <v>52.2</v>
      </c>
      <c r="G634">
        <f t="shared" si="39"/>
        <v>0.75478927203066182</v>
      </c>
      <c r="H634">
        <f t="shared" si="40"/>
        <v>0.76052966837819069</v>
      </c>
    </row>
    <row r="635" spans="1:8" x14ac:dyDescent="0.25">
      <c r="A635" t="str">
        <f t="shared" si="38"/>
        <v>Direct,STnet,20</v>
      </c>
      <c r="B635" t="s">
        <v>33</v>
      </c>
      <c r="C635" t="s">
        <v>5</v>
      </c>
      <c r="D635">
        <v>20</v>
      </c>
      <c r="E635">
        <v>51.805999999999997</v>
      </c>
      <c r="F635">
        <f t="shared" si="37"/>
        <v>52.2</v>
      </c>
      <c r="G635">
        <f t="shared" si="39"/>
        <v>0.75478927203066182</v>
      </c>
      <c r="H635">
        <f t="shared" si="40"/>
        <v>0.76052966837819069</v>
      </c>
    </row>
    <row r="636" spans="1:8" x14ac:dyDescent="0.25">
      <c r="A636" t="str">
        <f t="shared" si="38"/>
        <v>Direct,STnet,20</v>
      </c>
      <c r="B636" t="s">
        <v>33</v>
      </c>
      <c r="C636" t="s">
        <v>5</v>
      </c>
      <c r="D636">
        <v>20</v>
      </c>
      <c r="E636">
        <v>51.805999999999997</v>
      </c>
      <c r="F636">
        <f t="shared" si="37"/>
        <v>52.2</v>
      </c>
      <c r="G636">
        <f t="shared" si="39"/>
        <v>0.75478927203066182</v>
      </c>
      <c r="H636">
        <f t="shared" si="40"/>
        <v>0.76052966837819069</v>
      </c>
    </row>
    <row r="637" spans="1:8" x14ac:dyDescent="0.25">
      <c r="A637" t="str">
        <f t="shared" si="38"/>
        <v>Direct,STnet,20</v>
      </c>
      <c r="B637" t="s">
        <v>33</v>
      </c>
      <c r="C637" t="s">
        <v>5</v>
      </c>
      <c r="D637">
        <v>20</v>
      </c>
      <c r="E637">
        <v>49.805999999999997</v>
      </c>
      <c r="F637">
        <f t="shared" si="37"/>
        <v>52.2</v>
      </c>
      <c r="G637">
        <f t="shared" si="39"/>
        <v>4.5862068965517349</v>
      </c>
      <c r="H637">
        <f t="shared" si="40"/>
        <v>4.8066498012287786</v>
      </c>
    </row>
    <row r="638" spans="1:8" x14ac:dyDescent="0.25">
      <c r="A638" t="str">
        <f t="shared" si="38"/>
        <v>Direct,STnet,20</v>
      </c>
      <c r="B638" t="s">
        <v>33</v>
      </c>
      <c r="C638" t="s">
        <v>5</v>
      </c>
      <c r="D638">
        <v>20</v>
      </c>
      <c r="E638">
        <v>50.805999999999997</v>
      </c>
      <c r="F638">
        <f t="shared" si="37"/>
        <v>52.2</v>
      </c>
      <c r="G638">
        <f t="shared" si="39"/>
        <v>2.6704980842911978</v>
      </c>
      <c r="H638">
        <f t="shared" si="40"/>
        <v>2.7437704208164502</v>
      </c>
    </row>
    <row r="639" spans="1:8" x14ac:dyDescent="0.25">
      <c r="A639" t="str">
        <f t="shared" si="38"/>
        <v>Direct,STnet,20</v>
      </c>
      <c r="B639" t="s">
        <v>33</v>
      </c>
      <c r="C639" t="s">
        <v>5</v>
      </c>
      <c r="D639">
        <v>20</v>
      </c>
      <c r="E639">
        <v>51.805999999999997</v>
      </c>
      <c r="F639">
        <f t="shared" si="37"/>
        <v>52.2</v>
      </c>
      <c r="G639">
        <f t="shared" si="39"/>
        <v>0.75478927203066182</v>
      </c>
      <c r="H639">
        <f t="shared" si="40"/>
        <v>0.76052966837819069</v>
      </c>
    </row>
    <row r="640" spans="1:8" x14ac:dyDescent="0.25">
      <c r="A640" t="str">
        <f t="shared" si="38"/>
        <v>Direct,STnet,20</v>
      </c>
      <c r="B640" t="s">
        <v>33</v>
      </c>
      <c r="C640" t="s">
        <v>5</v>
      </c>
      <c r="D640">
        <v>20</v>
      </c>
      <c r="E640">
        <v>49.805999999999997</v>
      </c>
      <c r="F640">
        <f t="shared" si="37"/>
        <v>52.2</v>
      </c>
      <c r="G640">
        <f t="shared" si="39"/>
        <v>4.5862068965517349</v>
      </c>
      <c r="H640">
        <f t="shared" si="40"/>
        <v>4.8066498012287786</v>
      </c>
    </row>
    <row r="641" spans="1:8" x14ac:dyDescent="0.25">
      <c r="A641" t="str">
        <f t="shared" si="38"/>
        <v>Direct,STnet,20</v>
      </c>
      <c r="B641" t="s">
        <v>33</v>
      </c>
      <c r="C641" t="s">
        <v>5</v>
      </c>
      <c r="D641">
        <v>20</v>
      </c>
      <c r="E641">
        <v>51.805999999999997</v>
      </c>
      <c r="F641">
        <f t="shared" si="37"/>
        <v>52.2</v>
      </c>
      <c r="G641">
        <f t="shared" si="39"/>
        <v>0.75478927203066182</v>
      </c>
      <c r="H641">
        <f t="shared" si="40"/>
        <v>0.76052966837819069</v>
      </c>
    </row>
    <row r="642" spans="1:8" x14ac:dyDescent="0.25">
      <c r="A642" t="str">
        <f t="shared" si="38"/>
        <v>Direct,STnet,20</v>
      </c>
      <c r="B642" t="s">
        <v>33</v>
      </c>
      <c r="C642" t="s">
        <v>5</v>
      </c>
      <c r="D642">
        <v>20</v>
      </c>
      <c r="E642">
        <v>51.805999999999997</v>
      </c>
      <c r="F642">
        <f t="shared" si="37"/>
        <v>52.2</v>
      </c>
      <c r="G642">
        <f t="shared" si="39"/>
        <v>0.75478927203066182</v>
      </c>
      <c r="H642">
        <f t="shared" si="40"/>
        <v>0.76052966837819069</v>
      </c>
    </row>
    <row r="643" spans="1:8" x14ac:dyDescent="0.25">
      <c r="A643" t="str">
        <f t="shared" si="38"/>
        <v>Direct,STnet,20</v>
      </c>
      <c r="B643" t="s">
        <v>33</v>
      </c>
      <c r="C643" t="s">
        <v>5</v>
      </c>
      <c r="D643">
        <v>20</v>
      </c>
      <c r="E643">
        <v>51.805999999999997</v>
      </c>
      <c r="F643">
        <f t="shared" ref="F643:F706" si="41">_xlfn.XLOOKUP(A643,$J$3:$J$36,$N$3:$N$36)</f>
        <v>52.2</v>
      </c>
      <c r="G643">
        <f t="shared" si="39"/>
        <v>0.75478927203066182</v>
      </c>
      <c r="H643">
        <f t="shared" si="40"/>
        <v>0.76052966837819069</v>
      </c>
    </row>
    <row r="644" spans="1:8" x14ac:dyDescent="0.25">
      <c r="A644" t="str">
        <f t="shared" ref="A644:A707" si="42">B644&amp;","&amp;C644&amp;","&amp;D644</f>
        <v>Direct,STnet,20</v>
      </c>
      <c r="B644" t="s">
        <v>33</v>
      </c>
      <c r="C644" t="s">
        <v>5</v>
      </c>
      <c r="D644">
        <v>20</v>
      </c>
      <c r="E644">
        <v>51.805999999999997</v>
      </c>
      <c r="F644">
        <f t="shared" si="41"/>
        <v>52.2</v>
      </c>
      <c r="G644">
        <f t="shared" ref="G644:G707" si="43">ABS((E644-F644)/F644)*100</f>
        <v>0.75478927203066182</v>
      </c>
      <c r="H644">
        <f t="shared" ref="H644:H707" si="44">ABS((F644-E644)/E644)*100</f>
        <v>0.76052966837819069</v>
      </c>
    </row>
    <row r="645" spans="1:8" x14ac:dyDescent="0.25">
      <c r="A645" t="str">
        <f t="shared" si="42"/>
        <v>Direct,STnet,20</v>
      </c>
      <c r="B645" t="s">
        <v>33</v>
      </c>
      <c r="C645" t="s">
        <v>5</v>
      </c>
      <c r="D645">
        <v>20</v>
      </c>
      <c r="E645">
        <v>52.805999999999997</v>
      </c>
      <c r="F645">
        <f t="shared" si="41"/>
        <v>52.2</v>
      </c>
      <c r="G645">
        <f t="shared" si="43"/>
        <v>1.1609195402298746</v>
      </c>
      <c r="H645">
        <f t="shared" si="44"/>
        <v>1.1475968639927179</v>
      </c>
    </row>
    <row r="646" spans="1:8" x14ac:dyDescent="0.25">
      <c r="A646" t="str">
        <f t="shared" si="42"/>
        <v>Direct,STnet,20</v>
      </c>
      <c r="B646" t="s">
        <v>33</v>
      </c>
      <c r="C646" t="s">
        <v>5</v>
      </c>
      <c r="D646">
        <v>20</v>
      </c>
      <c r="E646">
        <v>51.805999999999997</v>
      </c>
      <c r="F646">
        <f t="shared" si="41"/>
        <v>52.2</v>
      </c>
      <c r="G646">
        <f t="shared" si="43"/>
        <v>0.75478927203066182</v>
      </c>
      <c r="H646">
        <f t="shared" si="44"/>
        <v>0.76052966837819069</v>
      </c>
    </row>
    <row r="647" spans="1:8" x14ac:dyDescent="0.25">
      <c r="A647" t="str">
        <f t="shared" si="42"/>
        <v>Direct,STnet,20</v>
      </c>
      <c r="B647" t="s">
        <v>33</v>
      </c>
      <c r="C647" t="s">
        <v>5</v>
      </c>
      <c r="D647">
        <v>20</v>
      </c>
      <c r="E647">
        <v>51.805999999999997</v>
      </c>
      <c r="F647">
        <f t="shared" si="41"/>
        <v>52.2</v>
      </c>
      <c r="G647">
        <f t="shared" si="43"/>
        <v>0.75478927203066182</v>
      </c>
      <c r="H647">
        <f t="shared" si="44"/>
        <v>0.76052966837819069</v>
      </c>
    </row>
    <row r="648" spans="1:8" x14ac:dyDescent="0.25">
      <c r="A648" t="str">
        <f t="shared" si="42"/>
        <v>Direct,STnet,20</v>
      </c>
      <c r="B648" t="s">
        <v>33</v>
      </c>
      <c r="C648" t="s">
        <v>5</v>
      </c>
      <c r="D648">
        <v>20</v>
      </c>
      <c r="E648">
        <v>51.805999999999997</v>
      </c>
      <c r="F648">
        <f t="shared" si="41"/>
        <v>52.2</v>
      </c>
      <c r="G648">
        <f t="shared" si="43"/>
        <v>0.75478927203066182</v>
      </c>
      <c r="H648">
        <f t="shared" si="44"/>
        <v>0.76052966837819069</v>
      </c>
    </row>
    <row r="649" spans="1:8" x14ac:dyDescent="0.25">
      <c r="A649" t="str">
        <f t="shared" si="42"/>
        <v>Direct,STnet,20</v>
      </c>
      <c r="B649" t="s">
        <v>33</v>
      </c>
      <c r="C649" t="s">
        <v>5</v>
      </c>
      <c r="D649">
        <v>20</v>
      </c>
      <c r="E649">
        <v>52.805999999999997</v>
      </c>
      <c r="F649">
        <f t="shared" si="41"/>
        <v>52.2</v>
      </c>
      <c r="G649">
        <f t="shared" si="43"/>
        <v>1.1609195402298746</v>
      </c>
      <c r="H649">
        <f t="shared" si="44"/>
        <v>1.1475968639927179</v>
      </c>
    </row>
    <row r="650" spans="1:8" x14ac:dyDescent="0.25">
      <c r="A650" t="str">
        <f t="shared" si="42"/>
        <v>Direct,STnet,20</v>
      </c>
      <c r="B650" t="s">
        <v>33</v>
      </c>
      <c r="C650" t="s">
        <v>5</v>
      </c>
      <c r="D650">
        <v>20</v>
      </c>
      <c r="E650">
        <v>51.805999999999997</v>
      </c>
      <c r="F650">
        <f t="shared" si="41"/>
        <v>52.2</v>
      </c>
      <c r="G650">
        <f t="shared" si="43"/>
        <v>0.75478927203066182</v>
      </c>
      <c r="H650">
        <f t="shared" si="44"/>
        <v>0.76052966837819069</v>
      </c>
    </row>
    <row r="651" spans="1:8" x14ac:dyDescent="0.25">
      <c r="A651" t="str">
        <f t="shared" si="42"/>
        <v>Direct,STnet,20</v>
      </c>
      <c r="B651" t="s">
        <v>33</v>
      </c>
      <c r="C651" t="s">
        <v>5</v>
      </c>
      <c r="D651">
        <v>20</v>
      </c>
      <c r="E651">
        <v>51.805999999999997</v>
      </c>
      <c r="F651">
        <f t="shared" si="41"/>
        <v>52.2</v>
      </c>
      <c r="G651">
        <f t="shared" si="43"/>
        <v>0.75478927203066182</v>
      </c>
      <c r="H651">
        <f t="shared" si="44"/>
        <v>0.76052966837819069</v>
      </c>
    </row>
    <row r="652" spans="1:8" x14ac:dyDescent="0.25">
      <c r="A652" t="str">
        <f t="shared" si="42"/>
        <v>Direct,STnet,20</v>
      </c>
      <c r="B652" t="s">
        <v>33</v>
      </c>
      <c r="C652" t="s">
        <v>5</v>
      </c>
      <c r="D652">
        <v>20</v>
      </c>
      <c r="E652">
        <v>51.805999999999997</v>
      </c>
      <c r="F652">
        <f t="shared" si="41"/>
        <v>52.2</v>
      </c>
      <c r="G652">
        <f t="shared" si="43"/>
        <v>0.75478927203066182</v>
      </c>
      <c r="H652">
        <f t="shared" si="44"/>
        <v>0.76052966837819069</v>
      </c>
    </row>
    <row r="653" spans="1:8" x14ac:dyDescent="0.25">
      <c r="A653" t="str">
        <f t="shared" si="42"/>
        <v>Direct,STnet,20</v>
      </c>
      <c r="B653" t="s">
        <v>33</v>
      </c>
      <c r="C653" t="s">
        <v>5</v>
      </c>
      <c r="D653">
        <v>20</v>
      </c>
      <c r="E653">
        <v>51.805999999999997</v>
      </c>
      <c r="F653">
        <f t="shared" si="41"/>
        <v>52.2</v>
      </c>
      <c r="G653">
        <f t="shared" si="43"/>
        <v>0.75478927203066182</v>
      </c>
      <c r="H653">
        <f t="shared" si="44"/>
        <v>0.76052966837819069</v>
      </c>
    </row>
    <row r="654" spans="1:8" x14ac:dyDescent="0.25">
      <c r="A654" t="str">
        <f t="shared" si="42"/>
        <v>Direct,STnet,20</v>
      </c>
      <c r="B654" t="s">
        <v>33</v>
      </c>
      <c r="C654" t="s">
        <v>5</v>
      </c>
      <c r="D654">
        <v>20</v>
      </c>
      <c r="E654">
        <v>51.805999999999997</v>
      </c>
      <c r="F654">
        <f t="shared" si="41"/>
        <v>52.2</v>
      </c>
      <c r="G654">
        <f t="shared" si="43"/>
        <v>0.75478927203066182</v>
      </c>
      <c r="H654">
        <f t="shared" si="44"/>
        <v>0.76052966837819069</v>
      </c>
    </row>
    <row r="655" spans="1:8" x14ac:dyDescent="0.25">
      <c r="A655" t="str">
        <f t="shared" si="42"/>
        <v>Direct,STnet,20</v>
      </c>
      <c r="B655" t="s">
        <v>33</v>
      </c>
      <c r="C655" t="s">
        <v>5</v>
      </c>
      <c r="D655">
        <v>20</v>
      </c>
      <c r="E655">
        <v>52.805999999999997</v>
      </c>
      <c r="F655">
        <f t="shared" si="41"/>
        <v>52.2</v>
      </c>
      <c r="G655">
        <f t="shared" si="43"/>
        <v>1.1609195402298746</v>
      </c>
      <c r="H655">
        <f t="shared" si="44"/>
        <v>1.1475968639927179</v>
      </c>
    </row>
    <row r="656" spans="1:8" x14ac:dyDescent="0.25">
      <c r="A656" t="str">
        <f t="shared" si="42"/>
        <v>Direct,STnet,20</v>
      </c>
      <c r="B656" t="s">
        <v>33</v>
      </c>
      <c r="C656" t="s">
        <v>5</v>
      </c>
      <c r="D656">
        <v>20</v>
      </c>
      <c r="E656">
        <v>50.805999999999997</v>
      </c>
      <c r="F656">
        <f t="shared" si="41"/>
        <v>52.2</v>
      </c>
      <c r="G656">
        <f t="shared" si="43"/>
        <v>2.6704980842911978</v>
      </c>
      <c r="H656">
        <f t="shared" si="44"/>
        <v>2.7437704208164502</v>
      </c>
    </row>
    <row r="657" spans="1:8" x14ac:dyDescent="0.25">
      <c r="A657" t="str">
        <f t="shared" si="42"/>
        <v>Direct,STnet,20</v>
      </c>
      <c r="B657" t="s">
        <v>33</v>
      </c>
      <c r="C657" t="s">
        <v>5</v>
      </c>
      <c r="D657">
        <v>20</v>
      </c>
      <c r="E657">
        <v>50.805999999999997</v>
      </c>
      <c r="F657">
        <f t="shared" si="41"/>
        <v>52.2</v>
      </c>
      <c r="G657">
        <f t="shared" si="43"/>
        <v>2.6704980842911978</v>
      </c>
      <c r="H657">
        <f t="shared" si="44"/>
        <v>2.7437704208164502</v>
      </c>
    </row>
    <row r="658" spans="1:8" x14ac:dyDescent="0.25">
      <c r="A658" t="str">
        <f t="shared" si="42"/>
        <v>Direct,STnet,20</v>
      </c>
      <c r="B658" t="s">
        <v>33</v>
      </c>
      <c r="C658" t="s">
        <v>5</v>
      </c>
      <c r="D658">
        <v>20</v>
      </c>
      <c r="E658">
        <v>51.805999999999997</v>
      </c>
      <c r="F658">
        <f t="shared" si="41"/>
        <v>52.2</v>
      </c>
      <c r="G658">
        <f t="shared" si="43"/>
        <v>0.75478927203066182</v>
      </c>
      <c r="H658">
        <f t="shared" si="44"/>
        <v>0.76052966837819069</v>
      </c>
    </row>
    <row r="659" spans="1:8" x14ac:dyDescent="0.25">
      <c r="A659" t="str">
        <f t="shared" si="42"/>
        <v>Direct,STnet,20</v>
      </c>
      <c r="B659" t="s">
        <v>33</v>
      </c>
      <c r="C659" t="s">
        <v>5</v>
      </c>
      <c r="D659">
        <v>20</v>
      </c>
      <c r="E659">
        <v>51.805999999999997</v>
      </c>
      <c r="F659">
        <f t="shared" si="41"/>
        <v>52.2</v>
      </c>
      <c r="G659">
        <f t="shared" si="43"/>
        <v>0.75478927203066182</v>
      </c>
      <c r="H659">
        <f t="shared" si="44"/>
        <v>0.76052966837819069</v>
      </c>
    </row>
    <row r="660" spans="1:8" x14ac:dyDescent="0.25">
      <c r="A660" t="str">
        <f t="shared" si="42"/>
        <v>Direct,STnet,20</v>
      </c>
      <c r="B660" t="s">
        <v>33</v>
      </c>
      <c r="C660" t="s">
        <v>5</v>
      </c>
      <c r="D660">
        <v>20</v>
      </c>
      <c r="E660">
        <v>51.805999999999997</v>
      </c>
      <c r="F660">
        <f t="shared" si="41"/>
        <v>52.2</v>
      </c>
      <c r="G660">
        <f t="shared" si="43"/>
        <v>0.75478927203066182</v>
      </c>
      <c r="H660">
        <f t="shared" si="44"/>
        <v>0.76052966837819069</v>
      </c>
    </row>
    <row r="661" spans="1:8" x14ac:dyDescent="0.25">
      <c r="A661" t="str">
        <f t="shared" si="42"/>
        <v>Direct,STnet,20</v>
      </c>
      <c r="B661" t="s">
        <v>33</v>
      </c>
      <c r="C661" t="s">
        <v>5</v>
      </c>
      <c r="D661">
        <v>20</v>
      </c>
      <c r="E661">
        <v>51.805999999999997</v>
      </c>
      <c r="F661">
        <f t="shared" si="41"/>
        <v>52.2</v>
      </c>
      <c r="G661">
        <f t="shared" si="43"/>
        <v>0.75478927203066182</v>
      </c>
      <c r="H661">
        <f t="shared" si="44"/>
        <v>0.76052966837819069</v>
      </c>
    </row>
    <row r="662" spans="1:8" x14ac:dyDescent="0.25">
      <c r="A662" t="str">
        <f t="shared" si="42"/>
        <v>Direct,STnet,20</v>
      </c>
      <c r="B662" t="s">
        <v>33</v>
      </c>
      <c r="C662" t="s">
        <v>5</v>
      </c>
      <c r="D662">
        <v>20</v>
      </c>
      <c r="E662">
        <v>50.805999999999997</v>
      </c>
      <c r="F662">
        <f t="shared" si="41"/>
        <v>52.2</v>
      </c>
      <c r="G662">
        <f t="shared" si="43"/>
        <v>2.6704980842911978</v>
      </c>
      <c r="H662">
        <f t="shared" si="44"/>
        <v>2.7437704208164502</v>
      </c>
    </row>
    <row r="663" spans="1:8" x14ac:dyDescent="0.25">
      <c r="A663" t="str">
        <f t="shared" si="42"/>
        <v>Direct,STnet,20</v>
      </c>
      <c r="B663" t="s">
        <v>33</v>
      </c>
      <c r="C663" t="s">
        <v>5</v>
      </c>
      <c r="D663">
        <v>20</v>
      </c>
      <c r="E663">
        <v>51.805999999999997</v>
      </c>
      <c r="F663">
        <f t="shared" si="41"/>
        <v>52.2</v>
      </c>
      <c r="G663">
        <f t="shared" si="43"/>
        <v>0.75478927203066182</v>
      </c>
      <c r="H663">
        <f t="shared" si="44"/>
        <v>0.76052966837819069</v>
      </c>
    </row>
    <row r="664" spans="1:8" x14ac:dyDescent="0.25">
      <c r="A664" t="str">
        <f t="shared" si="42"/>
        <v>Direct,STnet,20</v>
      </c>
      <c r="B664" t="s">
        <v>33</v>
      </c>
      <c r="C664" t="s">
        <v>5</v>
      </c>
      <c r="D664">
        <v>20</v>
      </c>
      <c r="E664">
        <v>51.805999999999997</v>
      </c>
      <c r="F664">
        <f t="shared" si="41"/>
        <v>52.2</v>
      </c>
      <c r="G664">
        <f t="shared" si="43"/>
        <v>0.75478927203066182</v>
      </c>
      <c r="H664">
        <f t="shared" si="44"/>
        <v>0.76052966837819069</v>
      </c>
    </row>
    <row r="665" spans="1:8" x14ac:dyDescent="0.25">
      <c r="A665" t="str">
        <f t="shared" si="42"/>
        <v>Direct,STnet,20</v>
      </c>
      <c r="B665" t="s">
        <v>33</v>
      </c>
      <c r="C665" t="s">
        <v>5</v>
      </c>
      <c r="D665">
        <v>20</v>
      </c>
      <c r="E665">
        <v>50.805999999999997</v>
      </c>
      <c r="F665">
        <f t="shared" si="41"/>
        <v>52.2</v>
      </c>
      <c r="G665">
        <f t="shared" si="43"/>
        <v>2.6704980842911978</v>
      </c>
      <c r="H665">
        <f t="shared" si="44"/>
        <v>2.7437704208164502</v>
      </c>
    </row>
    <row r="666" spans="1:8" x14ac:dyDescent="0.25">
      <c r="A666" t="str">
        <f t="shared" si="42"/>
        <v>Direct,STnet,20</v>
      </c>
      <c r="B666" t="s">
        <v>33</v>
      </c>
      <c r="C666" t="s">
        <v>5</v>
      </c>
      <c r="D666">
        <v>20</v>
      </c>
      <c r="E666">
        <v>50.805999999999997</v>
      </c>
      <c r="F666">
        <f t="shared" si="41"/>
        <v>52.2</v>
      </c>
      <c r="G666">
        <f t="shared" si="43"/>
        <v>2.6704980842911978</v>
      </c>
      <c r="H666">
        <f t="shared" si="44"/>
        <v>2.7437704208164502</v>
      </c>
    </row>
    <row r="667" spans="1:8" x14ac:dyDescent="0.25">
      <c r="A667" t="str">
        <f t="shared" si="42"/>
        <v>Direct,STnet,20</v>
      </c>
      <c r="B667" t="s">
        <v>33</v>
      </c>
      <c r="C667" t="s">
        <v>5</v>
      </c>
      <c r="D667">
        <v>20</v>
      </c>
      <c r="E667">
        <v>50.805999999999997</v>
      </c>
      <c r="F667">
        <f t="shared" si="41"/>
        <v>52.2</v>
      </c>
      <c r="G667">
        <f t="shared" si="43"/>
        <v>2.6704980842911978</v>
      </c>
      <c r="H667">
        <f t="shared" si="44"/>
        <v>2.7437704208164502</v>
      </c>
    </row>
    <row r="668" spans="1:8" x14ac:dyDescent="0.25">
      <c r="A668" t="str">
        <f t="shared" si="42"/>
        <v>Direct,STnet,20</v>
      </c>
      <c r="B668" t="s">
        <v>33</v>
      </c>
      <c r="C668" t="s">
        <v>5</v>
      </c>
      <c r="D668">
        <v>20</v>
      </c>
      <c r="E668">
        <v>51.805999999999997</v>
      </c>
      <c r="F668">
        <f t="shared" si="41"/>
        <v>52.2</v>
      </c>
      <c r="G668">
        <f t="shared" si="43"/>
        <v>0.75478927203066182</v>
      </c>
      <c r="H668">
        <f t="shared" si="44"/>
        <v>0.76052966837819069</v>
      </c>
    </row>
    <row r="669" spans="1:8" x14ac:dyDescent="0.25">
      <c r="A669" t="str">
        <f t="shared" si="42"/>
        <v>Direct,STnet,20</v>
      </c>
      <c r="B669" t="s">
        <v>33</v>
      </c>
      <c r="C669" t="s">
        <v>5</v>
      </c>
      <c r="D669">
        <v>20</v>
      </c>
      <c r="E669">
        <v>52.805999999999997</v>
      </c>
      <c r="F669">
        <f t="shared" si="41"/>
        <v>52.2</v>
      </c>
      <c r="G669">
        <f t="shared" si="43"/>
        <v>1.1609195402298746</v>
      </c>
      <c r="H669">
        <f t="shared" si="44"/>
        <v>1.1475968639927179</v>
      </c>
    </row>
    <row r="670" spans="1:8" x14ac:dyDescent="0.25">
      <c r="A670" t="str">
        <f t="shared" si="42"/>
        <v>Direct,STnet,20</v>
      </c>
      <c r="B670" t="s">
        <v>33</v>
      </c>
      <c r="C670" t="s">
        <v>5</v>
      </c>
      <c r="D670">
        <v>20</v>
      </c>
      <c r="E670">
        <v>51.805999999999997</v>
      </c>
      <c r="F670">
        <f t="shared" si="41"/>
        <v>52.2</v>
      </c>
      <c r="G670">
        <f t="shared" si="43"/>
        <v>0.75478927203066182</v>
      </c>
      <c r="H670">
        <f t="shared" si="44"/>
        <v>0.76052966837819069</v>
      </c>
    </row>
    <row r="671" spans="1:8" x14ac:dyDescent="0.25">
      <c r="A671" t="str">
        <f t="shared" si="42"/>
        <v>Direct,STnet,20</v>
      </c>
      <c r="B671" t="s">
        <v>33</v>
      </c>
      <c r="C671" t="s">
        <v>5</v>
      </c>
      <c r="D671">
        <v>20</v>
      </c>
      <c r="E671">
        <v>50.805999999999997</v>
      </c>
      <c r="F671">
        <f t="shared" si="41"/>
        <v>52.2</v>
      </c>
      <c r="G671">
        <f t="shared" si="43"/>
        <v>2.6704980842911978</v>
      </c>
      <c r="H671">
        <f t="shared" si="44"/>
        <v>2.7437704208164502</v>
      </c>
    </row>
    <row r="672" spans="1:8" x14ac:dyDescent="0.25">
      <c r="A672" t="str">
        <f t="shared" si="42"/>
        <v>Direct,STnet,20</v>
      </c>
      <c r="B672" t="s">
        <v>33</v>
      </c>
      <c r="C672" t="s">
        <v>5</v>
      </c>
      <c r="D672">
        <v>20</v>
      </c>
      <c r="E672">
        <v>53.805999999999997</v>
      </c>
      <c r="F672">
        <f t="shared" si="41"/>
        <v>52.2</v>
      </c>
      <c r="G672">
        <f t="shared" si="43"/>
        <v>3.076628352490411</v>
      </c>
      <c r="H672">
        <f t="shared" si="44"/>
        <v>2.9847972345091525</v>
      </c>
    </row>
    <row r="673" spans="1:8" x14ac:dyDescent="0.25">
      <c r="A673" t="str">
        <f t="shared" si="42"/>
        <v>Direct,STnet,20</v>
      </c>
      <c r="B673" t="s">
        <v>33</v>
      </c>
      <c r="C673" t="s">
        <v>5</v>
      </c>
      <c r="D673">
        <v>20</v>
      </c>
      <c r="E673">
        <v>51.805999999999997</v>
      </c>
      <c r="F673">
        <f t="shared" si="41"/>
        <v>52.2</v>
      </c>
      <c r="G673">
        <f t="shared" si="43"/>
        <v>0.75478927203066182</v>
      </c>
      <c r="H673">
        <f t="shared" si="44"/>
        <v>0.76052966837819069</v>
      </c>
    </row>
    <row r="674" spans="1:8" x14ac:dyDescent="0.25">
      <c r="A674" t="str">
        <f t="shared" si="42"/>
        <v>Direct,STnet,20</v>
      </c>
      <c r="B674" t="s">
        <v>33</v>
      </c>
      <c r="C674" t="s">
        <v>5</v>
      </c>
      <c r="D674">
        <v>20</v>
      </c>
      <c r="E674">
        <v>51.805999999999997</v>
      </c>
      <c r="F674">
        <f t="shared" si="41"/>
        <v>52.2</v>
      </c>
      <c r="G674">
        <f t="shared" si="43"/>
        <v>0.75478927203066182</v>
      </c>
      <c r="H674">
        <f t="shared" si="44"/>
        <v>0.76052966837819069</v>
      </c>
    </row>
    <row r="675" spans="1:8" x14ac:dyDescent="0.25">
      <c r="A675" t="str">
        <f t="shared" si="42"/>
        <v>Direct,STnet,20</v>
      </c>
      <c r="B675" t="s">
        <v>33</v>
      </c>
      <c r="C675" t="s">
        <v>5</v>
      </c>
      <c r="D675">
        <v>20</v>
      </c>
      <c r="E675">
        <v>51.805999999999997</v>
      </c>
      <c r="F675">
        <f t="shared" si="41"/>
        <v>52.2</v>
      </c>
      <c r="G675">
        <f t="shared" si="43"/>
        <v>0.75478927203066182</v>
      </c>
      <c r="H675">
        <f t="shared" si="44"/>
        <v>0.76052966837819069</v>
      </c>
    </row>
    <row r="676" spans="1:8" x14ac:dyDescent="0.25">
      <c r="A676" t="str">
        <f t="shared" si="42"/>
        <v>Direct,STnet,20</v>
      </c>
      <c r="B676" t="s">
        <v>33</v>
      </c>
      <c r="C676" t="s">
        <v>5</v>
      </c>
      <c r="D676">
        <v>20</v>
      </c>
      <c r="E676">
        <v>50.805999999999997</v>
      </c>
      <c r="F676">
        <f t="shared" si="41"/>
        <v>52.2</v>
      </c>
      <c r="G676">
        <f t="shared" si="43"/>
        <v>2.6704980842911978</v>
      </c>
      <c r="H676">
        <f t="shared" si="44"/>
        <v>2.7437704208164502</v>
      </c>
    </row>
    <row r="677" spans="1:8" x14ac:dyDescent="0.25">
      <c r="A677" t="str">
        <f t="shared" si="42"/>
        <v>Direct,STnet,20</v>
      </c>
      <c r="B677" t="s">
        <v>33</v>
      </c>
      <c r="C677" t="s">
        <v>5</v>
      </c>
      <c r="D677">
        <v>20</v>
      </c>
      <c r="E677">
        <v>51.805999999999997</v>
      </c>
      <c r="F677">
        <f t="shared" si="41"/>
        <v>52.2</v>
      </c>
      <c r="G677">
        <f t="shared" si="43"/>
        <v>0.75478927203066182</v>
      </c>
      <c r="H677">
        <f t="shared" si="44"/>
        <v>0.76052966837819069</v>
      </c>
    </row>
    <row r="678" spans="1:8" x14ac:dyDescent="0.25">
      <c r="A678" t="str">
        <f t="shared" si="42"/>
        <v>Direct,STnet,20</v>
      </c>
      <c r="B678" t="s">
        <v>33</v>
      </c>
      <c r="C678" t="s">
        <v>5</v>
      </c>
      <c r="D678">
        <v>20</v>
      </c>
      <c r="E678">
        <v>50.805999999999997</v>
      </c>
      <c r="F678">
        <f t="shared" si="41"/>
        <v>52.2</v>
      </c>
      <c r="G678">
        <f t="shared" si="43"/>
        <v>2.6704980842911978</v>
      </c>
      <c r="H678">
        <f t="shared" si="44"/>
        <v>2.7437704208164502</v>
      </c>
    </row>
    <row r="679" spans="1:8" x14ac:dyDescent="0.25">
      <c r="A679" t="str">
        <f t="shared" si="42"/>
        <v>Direct,STnet,20</v>
      </c>
      <c r="B679" t="s">
        <v>33</v>
      </c>
      <c r="C679" t="s">
        <v>5</v>
      </c>
      <c r="D679">
        <v>20</v>
      </c>
      <c r="E679">
        <v>52.805999999999997</v>
      </c>
      <c r="F679">
        <f t="shared" si="41"/>
        <v>52.2</v>
      </c>
      <c r="G679">
        <f t="shared" si="43"/>
        <v>1.1609195402298746</v>
      </c>
      <c r="H679">
        <f t="shared" si="44"/>
        <v>1.1475968639927179</v>
      </c>
    </row>
    <row r="680" spans="1:8" x14ac:dyDescent="0.25">
      <c r="A680" t="str">
        <f t="shared" si="42"/>
        <v>Direct,STnet,20</v>
      </c>
      <c r="B680" t="s">
        <v>33</v>
      </c>
      <c r="C680" t="s">
        <v>5</v>
      </c>
      <c r="D680">
        <v>20</v>
      </c>
      <c r="E680">
        <v>51.805999999999997</v>
      </c>
      <c r="F680">
        <f t="shared" si="41"/>
        <v>52.2</v>
      </c>
      <c r="G680">
        <f t="shared" si="43"/>
        <v>0.75478927203066182</v>
      </c>
      <c r="H680">
        <f t="shared" si="44"/>
        <v>0.76052966837819069</v>
      </c>
    </row>
    <row r="681" spans="1:8" x14ac:dyDescent="0.25">
      <c r="A681" t="str">
        <f t="shared" si="42"/>
        <v>Direct,STnet,20</v>
      </c>
      <c r="B681" t="s">
        <v>33</v>
      </c>
      <c r="C681" t="s">
        <v>5</v>
      </c>
      <c r="D681">
        <v>20</v>
      </c>
      <c r="E681">
        <v>51.805999999999997</v>
      </c>
      <c r="F681">
        <f t="shared" si="41"/>
        <v>52.2</v>
      </c>
      <c r="G681">
        <f t="shared" si="43"/>
        <v>0.75478927203066182</v>
      </c>
      <c r="H681">
        <f t="shared" si="44"/>
        <v>0.76052966837819069</v>
      </c>
    </row>
    <row r="682" spans="1:8" x14ac:dyDescent="0.25">
      <c r="A682" t="str">
        <f t="shared" si="42"/>
        <v>Direct,STnet,20</v>
      </c>
      <c r="B682" t="s">
        <v>33</v>
      </c>
      <c r="C682" t="s">
        <v>5</v>
      </c>
      <c r="D682">
        <v>20</v>
      </c>
      <c r="E682">
        <v>51.805999999999997</v>
      </c>
      <c r="F682">
        <f t="shared" si="41"/>
        <v>52.2</v>
      </c>
      <c r="G682">
        <f t="shared" si="43"/>
        <v>0.75478927203066182</v>
      </c>
      <c r="H682">
        <f t="shared" si="44"/>
        <v>0.76052966837819069</v>
      </c>
    </row>
    <row r="683" spans="1:8" x14ac:dyDescent="0.25">
      <c r="A683" t="str">
        <f t="shared" si="42"/>
        <v>Direct,STnet,20</v>
      </c>
      <c r="B683" t="s">
        <v>33</v>
      </c>
      <c r="C683" t="s">
        <v>5</v>
      </c>
      <c r="D683">
        <v>20</v>
      </c>
      <c r="E683">
        <v>52.805999999999997</v>
      </c>
      <c r="F683">
        <f t="shared" si="41"/>
        <v>52.2</v>
      </c>
      <c r="G683">
        <f t="shared" si="43"/>
        <v>1.1609195402298746</v>
      </c>
      <c r="H683">
        <f t="shared" si="44"/>
        <v>1.1475968639927179</v>
      </c>
    </row>
    <row r="684" spans="1:8" x14ac:dyDescent="0.25">
      <c r="A684" t="str">
        <f t="shared" si="42"/>
        <v>Direct,STnet,20</v>
      </c>
      <c r="B684" t="s">
        <v>33</v>
      </c>
      <c r="C684" t="s">
        <v>5</v>
      </c>
      <c r="D684">
        <v>20</v>
      </c>
      <c r="E684">
        <v>51.805999999999997</v>
      </c>
      <c r="F684">
        <f t="shared" si="41"/>
        <v>52.2</v>
      </c>
      <c r="G684">
        <f t="shared" si="43"/>
        <v>0.75478927203066182</v>
      </c>
      <c r="H684">
        <f t="shared" si="44"/>
        <v>0.76052966837819069</v>
      </c>
    </row>
    <row r="685" spans="1:8" x14ac:dyDescent="0.25">
      <c r="A685" t="str">
        <f t="shared" si="42"/>
        <v>Direct,STnet,20</v>
      </c>
      <c r="B685" t="s">
        <v>33</v>
      </c>
      <c r="C685" t="s">
        <v>5</v>
      </c>
      <c r="D685">
        <v>20</v>
      </c>
      <c r="E685">
        <v>50.805999999999997</v>
      </c>
      <c r="F685">
        <f t="shared" si="41"/>
        <v>52.2</v>
      </c>
      <c r="G685">
        <f t="shared" si="43"/>
        <v>2.6704980842911978</v>
      </c>
      <c r="H685">
        <f t="shared" si="44"/>
        <v>2.7437704208164502</v>
      </c>
    </row>
    <row r="686" spans="1:8" x14ac:dyDescent="0.25">
      <c r="A686" t="str">
        <f t="shared" si="42"/>
        <v>Direct,STnet,20</v>
      </c>
      <c r="B686" t="s">
        <v>33</v>
      </c>
      <c r="C686" t="s">
        <v>5</v>
      </c>
      <c r="D686">
        <v>20</v>
      </c>
      <c r="E686">
        <v>51.805999999999997</v>
      </c>
      <c r="F686">
        <f t="shared" si="41"/>
        <v>52.2</v>
      </c>
      <c r="G686">
        <f t="shared" si="43"/>
        <v>0.75478927203066182</v>
      </c>
      <c r="H686">
        <f t="shared" si="44"/>
        <v>0.76052966837819069</v>
      </c>
    </row>
    <row r="687" spans="1:8" x14ac:dyDescent="0.25">
      <c r="A687" t="str">
        <f t="shared" si="42"/>
        <v>Direct,STnet,20</v>
      </c>
      <c r="B687" t="s">
        <v>33</v>
      </c>
      <c r="C687" t="s">
        <v>5</v>
      </c>
      <c r="D687">
        <v>20</v>
      </c>
      <c r="E687">
        <v>50.805999999999997</v>
      </c>
      <c r="F687">
        <f t="shared" si="41"/>
        <v>52.2</v>
      </c>
      <c r="G687">
        <f t="shared" si="43"/>
        <v>2.6704980842911978</v>
      </c>
      <c r="H687">
        <f t="shared" si="44"/>
        <v>2.7437704208164502</v>
      </c>
    </row>
    <row r="688" spans="1:8" x14ac:dyDescent="0.25">
      <c r="A688" t="str">
        <f t="shared" si="42"/>
        <v>Direct,STnet,20</v>
      </c>
      <c r="B688" t="s">
        <v>33</v>
      </c>
      <c r="C688" t="s">
        <v>5</v>
      </c>
      <c r="D688">
        <v>20</v>
      </c>
      <c r="E688">
        <v>51.805999999999997</v>
      </c>
      <c r="F688">
        <f t="shared" si="41"/>
        <v>52.2</v>
      </c>
      <c r="G688">
        <f t="shared" si="43"/>
        <v>0.75478927203066182</v>
      </c>
      <c r="H688">
        <f t="shared" si="44"/>
        <v>0.76052966837819069</v>
      </c>
    </row>
    <row r="689" spans="1:8" x14ac:dyDescent="0.25">
      <c r="A689" t="str">
        <f t="shared" si="42"/>
        <v>Direct,STnet,20</v>
      </c>
      <c r="B689" t="s">
        <v>33</v>
      </c>
      <c r="C689" t="s">
        <v>5</v>
      </c>
      <c r="D689">
        <v>20</v>
      </c>
      <c r="E689">
        <v>53.805999999999997</v>
      </c>
      <c r="F689">
        <f t="shared" si="41"/>
        <v>52.2</v>
      </c>
      <c r="G689">
        <f t="shared" si="43"/>
        <v>3.076628352490411</v>
      </c>
      <c r="H689">
        <f t="shared" si="44"/>
        <v>2.9847972345091525</v>
      </c>
    </row>
    <row r="690" spans="1:8" x14ac:dyDescent="0.25">
      <c r="A690" t="str">
        <f t="shared" si="42"/>
        <v>Direct,STnet,20</v>
      </c>
      <c r="B690" t="s">
        <v>33</v>
      </c>
      <c r="C690" t="s">
        <v>5</v>
      </c>
      <c r="D690">
        <v>20</v>
      </c>
      <c r="E690">
        <v>50.805999999999997</v>
      </c>
      <c r="F690">
        <f t="shared" si="41"/>
        <v>52.2</v>
      </c>
      <c r="G690">
        <f t="shared" si="43"/>
        <v>2.6704980842911978</v>
      </c>
      <c r="H690">
        <f t="shared" si="44"/>
        <v>2.7437704208164502</v>
      </c>
    </row>
    <row r="691" spans="1:8" x14ac:dyDescent="0.25">
      <c r="A691" t="str">
        <f t="shared" si="42"/>
        <v>Direct,STnet,20</v>
      </c>
      <c r="B691" t="s">
        <v>33</v>
      </c>
      <c r="C691" t="s">
        <v>5</v>
      </c>
      <c r="D691">
        <v>20</v>
      </c>
      <c r="E691">
        <v>53.805999999999997</v>
      </c>
      <c r="F691">
        <f t="shared" si="41"/>
        <v>52.2</v>
      </c>
      <c r="G691">
        <f t="shared" si="43"/>
        <v>3.076628352490411</v>
      </c>
      <c r="H691">
        <f t="shared" si="44"/>
        <v>2.9847972345091525</v>
      </c>
    </row>
    <row r="692" spans="1:8" x14ac:dyDescent="0.25">
      <c r="A692" t="str">
        <f t="shared" si="42"/>
        <v>Direct,STnet,20</v>
      </c>
      <c r="B692" t="s">
        <v>33</v>
      </c>
      <c r="C692" t="s">
        <v>5</v>
      </c>
      <c r="D692">
        <v>20</v>
      </c>
      <c r="E692">
        <v>51.805999999999997</v>
      </c>
      <c r="F692">
        <f t="shared" si="41"/>
        <v>52.2</v>
      </c>
      <c r="G692">
        <f t="shared" si="43"/>
        <v>0.75478927203066182</v>
      </c>
      <c r="H692">
        <f t="shared" si="44"/>
        <v>0.76052966837819069</v>
      </c>
    </row>
    <row r="693" spans="1:8" x14ac:dyDescent="0.25">
      <c r="A693" t="str">
        <f t="shared" si="42"/>
        <v>Direct,STnet,20</v>
      </c>
      <c r="B693" t="s">
        <v>33</v>
      </c>
      <c r="C693" t="s">
        <v>5</v>
      </c>
      <c r="D693">
        <v>20</v>
      </c>
      <c r="E693">
        <v>50.805999999999997</v>
      </c>
      <c r="F693">
        <f t="shared" si="41"/>
        <v>52.2</v>
      </c>
      <c r="G693">
        <f t="shared" si="43"/>
        <v>2.6704980842911978</v>
      </c>
      <c r="H693">
        <f t="shared" si="44"/>
        <v>2.7437704208164502</v>
      </c>
    </row>
    <row r="694" spans="1:8" x14ac:dyDescent="0.25">
      <c r="A694" t="str">
        <f t="shared" si="42"/>
        <v>Direct,STnet,20</v>
      </c>
      <c r="B694" t="s">
        <v>33</v>
      </c>
      <c r="C694" t="s">
        <v>5</v>
      </c>
      <c r="D694">
        <v>20</v>
      </c>
      <c r="E694">
        <v>52.805999999999997</v>
      </c>
      <c r="F694">
        <f t="shared" si="41"/>
        <v>52.2</v>
      </c>
      <c r="G694">
        <f t="shared" si="43"/>
        <v>1.1609195402298746</v>
      </c>
      <c r="H694">
        <f t="shared" si="44"/>
        <v>1.1475968639927179</v>
      </c>
    </row>
    <row r="695" spans="1:8" x14ac:dyDescent="0.25">
      <c r="A695" t="str">
        <f t="shared" si="42"/>
        <v>Direct,STnet,20</v>
      </c>
      <c r="B695" t="s">
        <v>33</v>
      </c>
      <c r="C695" t="s">
        <v>5</v>
      </c>
      <c r="D695">
        <v>20</v>
      </c>
      <c r="E695">
        <v>51.805999999999997</v>
      </c>
      <c r="F695">
        <f t="shared" si="41"/>
        <v>52.2</v>
      </c>
      <c r="G695">
        <f t="shared" si="43"/>
        <v>0.75478927203066182</v>
      </c>
      <c r="H695">
        <f t="shared" si="44"/>
        <v>0.76052966837819069</v>
      </c>
    </row>
    <row r="696" spans="1:8" x14ac:dyDescent="0.25">
      <c r="A696" t="str">
        <f t="shared" si="42"/>
        <v>Direct,STnet,20</v>
      </c>
      <c r="B696" t="s">
        <v>33</v>
      </c>
      <c r="C696" t="s">
        <v>5</v>
      </c>
      <c r="D696">
        <v>20</v>
      </c>
      <c r="E696">
        <v>52.805999999999997</v>
      </c>
      <c r="F696">
        <f t="shared" si="41"/>
        <v>52.2</v>
      </c>
      <c r="G696">
        <f t="shared" si="43"/>
        <v>1.1609195402298746</v>
      </c>
      <c r="H696">
        <f t="shared" si="44"/>
        <v>1.1475968639927179</v>
      </c>
    </row>
    <row r="697" spans="1:8" x14ac:dyDescent="0.25">
      <c r="A697" t="str">
        <f t="shared" si="42"/>
        <v>Direct,STnet,20</v>
      </c>
      <c r="B697" t="s">
        <v>33</v>
      </c>
      <c r="C697" t="s">
        <v>5</v>
      </c>
      <c r="D697">
        <v>20</v>
      </c>
      <c r="E697">
        <v>50.805999999999997</v>
      </c>
      <c r="F697">
        <f t="shared" si="41"/>
        <v>52.2</v>
      </c>
      <c r="G697">
        <f t="shared" si="43"/>
        <v>2.6704980842911978</v>
      </c>
      <c r="H697">
        <f t="shared" si="44"/>
        <v>2.7437704208164502</v>
      </c>
    </row>
    <row r="698" spans="1:8" x14ac:dyDescent="0.25">
      <c r="A698" t="str">
        <f t="shared" si="42"/>
        <v>Direct,STnet,20</v>
      </c>
      <c r="B698" t="s">
        <v>33</v>
      </c>
      <c r="C698" t="s">
        <v>5</v>
      </c>
      <c r="D698">
        <v>20</v>
      </c>
      <c r="E698">
        <v>51.805999999999997</v>
      </c>
      <c r="F698">
        <f t="shared" si="41"/>
        <v>52.2</v>
      </c>
      <c r="G698">
        <f t="shared" si="43"/>
        <v>0.75478927203066182</v>
      </c>
      <c r="H698">
        <f t="shared" si="44"/>
        <v>0.76052966837819069</v>
      </c>
    </row>
    <row r="699" spans="1:8" x14ac:dyDescent="0.25">
      <c r="A699" t="str">
        <f t="shared" si="42"/>
        <v>Direct,STnet,20</v>
      </c>
      <c r="B699" t="s">
        <v>33</v>
      </c>
      <c r="C699" t="s">
        <v>5</v>
      </c>
      <c r="D699">
        <v>20</v>
      </c>
      <c r="E699">
        <v>52.805999999999997</v>
      </c>
      <c r="F699">
        <f t="shared" si="41"/>
        <v>52.2</v>
      </c>
      <c r="G699">
        <f t="shared" si="43"/>
        <v>1.1609195402298746</v>
      </c>
      <c r="H699">
        <f t="shared" si="44"/>
        <v>1.1475968639927179</v>
      </c>
    </row>
    <row r="700" spans="1:8" x14ac:dyDescent="0.25">
      <c r="A700" t="str">
        <f t="shared" si="42"/>
        <v>Direct,STnet,20</v>
      </c>
      <c r="B700" t="s">
        <v>33</v>
      </c>
      <c r="C700" t="s">
        <v>5</v>
      </c>
      <c r="D700">
        <v>20</v>
      </c>
      <c r="E700">
        <v>50.805999999999997</v>
      </c>
      <c r="F700">
        <f t="shared" si="41"/>
        <v>52.2</v>
      </c>
      <c r="G700">
        <f t="shared" si="43"/>
        <v>2.6704980842911978</v>
      </c>
      <c r="H700">
        <f t="shared" si="44"/>
        <v>2.7437704208164502</v>
      </c>
    </row>
    <row r="701" spans="1:8" x14ac:dyDescent="0.25">
      <c r="A701" t="str">
        <f t="shared" si="42"/>
        <v>Direct,STnet,20</v>
      </c>
      <c r="B701" t="s">
        <v>33</v>
      </c>
      <c r="C701" t="s">
        <v>5</v>
      </c>
      <c r="D701">
        <v>20</v>
      </c>
      <c r="E701">
        <v>50.805999999999997</v>
      </c>
      <c r="F701">
        <f t="shared" si="41"/>
        <v>52.2</v>
      </c>
      <c r="G701">
        <f t="shared" si="43"/>
        <v>2.6704980842911978</v>
      </c>
      <c r="H701">
        <f t="shared" si="44"/>
        <v>2.7437704208164502</v>
      </c>
    </row>
    <row r="702" spans="1:8" x14ac:dyDescent="0.25">
      <c r="A702" t="str">
        <f t="shared" si="42"/>
        <v>Direct,STnet,20</v>
      </c>
      <c r="B702" t="s">
        <v>33</v>
      </c>
      <c r="C702" t="s">
        <v>5</v>
      </c>
      <c r="D702">
        <v>20</v>
      </c>
      <c r="E702">
        <v>50.805999999999997</v>
      </c>
      <c r="F702">
        <f t="shared" si="41"/>
        <v>52.2</v>
      </c>
      <c r="G702">
        <f t="shared" si="43"/>
        <v>2.6704980842911978</v>
      </c>
      <c r="H702">
        <f t="shared" si="44"/>
        <v>2.7437704208164502</v>
      </c>
    </row>
    <row r="703" spans="1:8" x14ac:dyDescent="0.25">
      <c r="A703" t="str">
        <f t="shared" si="42"/>
        <v>Direct,STnet,40</v>
      </c>
      <c r="B703" t="s">
        <v>33</v>
      </c>
      <c r="C703" t="s">
        <v>5</v>
      </c>
      <c r="D703">
        <v>40</v>
      </c>
      <c r="E703">
        <v>74.828000000000003</v>
      </c>
      <c r="F703">
        <f t="shared" si="41"/>
        <v>85.4</v>
      </c>
      <c r="G703">
        <f t="shared" si="43"/>
        <v>12.379391100702579</v>
      </c>
      <c r="H703">
        <f t="shared" si="44"/>
        <v>14.128401133265625</v>
      </c>
    </row>
    <row r="704" spans="1:8" x14ac:dyDescent="0.25">
      <c r="A704" t="str">
        <f t="shared" si="42"/>
        <v>Direct,STnet,40</v>
      </c>
      <c r="B704" t="s">
        <v>33</v>
      </c>
      <c r="C704" t="s">
        <v>5</v>
      </c>
      <c r="D704">
        <v>40</v>
      </c>
      <c r="E704">
        <v>79.265000000000001</v>
      </c>
      <c r="F704">
        <f t="shared" si="41"/>
        <v>85.4</v>
      </c>
      <c r="G704">
        <f t="shared" si="43"/>
        <v>7.183840749414526</v>
      </c>
      <c r="H704">
        <f t="shared" si="44"/>
        <v>7.7398599634138714</v>
      </c>
    </row>
    <row r="705" spans="1:8" x14ac:dyDescent="0.25">
      <c r="A705" t="str">
        <f t="shared" si="42"/>
        <v>Direct,STnet,40</v>
      </c>
      <c r="B705" t="s">
        <v>33</v>
      </c>
      <c r="C705" t="s">
        <v>5</v>
      </c>
      <c r="D705">
        <v>40</v>
      </c>
      <c r="E705">
        <v>85.775999999999996</v>
      </c>
      <c r="F705">
        <f t="shared" si="41"/>
        <v>85.4</v>
      </c>
      <c r="G705">
        <f t="shared" si="43"/>
        <v>0.44028103044495376</v>
      </c>
      <c r="H705">
        <f t="shared" si="44"/>
        <v>0.43835105390784201</v>
      </c>
    </row>
    <row r="706" spans="1:8" x14ac:dyDescent="0.25">
      <c r="A706" t="str">
        <f t="shared" si="42"/>
        <v>Direct,STnet,40</v>
      </c>
      <c r="B706" t="s">
        <v>33</v>
      </c>
      <c r="C706" t="s">
        <v>5</v>
      </c>
      <c r="D706">
        <v>40</v>
      </c>
      <c r="E706">
        <v>92.141000000000005</v>
      </c>
      <c r="F706">
        <f t="shared" si="41"/>
        <v>85.4</v>
      </c>
      <c r="G706">
        <f t="shared" si="43"/>
        <v>7.8934426229508192</v>
      </c>
      <c r="H706">
        <f t="shared" si="44"/>
        <v>7.3159614069740933</v>
      </c>
    </row>
    <row r="707" spans="1:8" x14ac:dyDescent="0.25">
      <c r="A707" t="str">
        <f t="shared" si="42"/>
        <v>Direct,STnet,40</v>
      </c>
      <c r="B707" t="s">
        <v>33</v>
      </c>
      <c r="C707" t="s">
        <v>5</v>
      </c>
      <c r="D707">
        <v>40</v>
      </c>
      <c r="E707">
        <v>77.337999999999994</v>
      </c>
      <c r="F707">
        <f t="shared" ref="F707:F770" si="45">_xlfn.XLOOKUP(A707,$J$3:$J$36,$N$3:$N$36)</f>
        <v>85.4</v>
      </c>
      <c r="G707">
        <f t="shared" si="43"/>
        <v>9.4402810304449769</v>
      </c>
      <c r="H707">
        <f t="shared" si="44"/>
        <v>10.424370943132757</v>
      </c>
    </row>
    <row r="708" spans="1:8" x14ac:dyDescent="0.25">
      <c r="A708" t="str">
        <f t="shared" ref="A708:A771" si="46">B708&amp;","&amp;C708&amp;","&amp;D708</f>
        <v>Direct,STnet,40</v>
      </c>
      <c r="B708" t="s">
        <v>33</v>
      </c>
      <c r="C708" t="s">
        <v>5</v>
      </c>
      <c r="D708">
        <v>40</v>
      </c>
      <c r="E708">
        <v>88.921999999999997</v>
      </c>
      <c r="F708">
        <f t="shared" si="45"/>
        <v>85.4</v>
      </c>
      <c r="G708">
        <f t="shared" ref="G708:G771" si="47">ABS((E708-F708)/F708)*100</f>
        <v>4.1241217798594745</v>
      </c>
      <c r="H708">
        <f t="shared" ref="H708:H771" si="48">ABS((F708-E708)/E708)*100</f>
        <v>3.9607746114572224</v>
      </c>
    </row>
    <row r="709" spans="1:8" x14ac:dyDescent="0.25">
      <c r="A709" t="str">
        <f t="shared" si="46"/>
        <v>Direct,STnet,40</v>
      </c>
      <c r="B709" t="s">
        <v>33</v>
      </c>
      <c r="C709" t="s">
        <v>5</v>
      </c>
      <c r="D709">
        <v>40</v>
      </c>
      <c r="E709">
        <v>90.141000000000005</v>
      </c>
      <c r="F709">
        <f t="shared" si="45"/>
        <v>85.4</v>
      </c>
      <c r="G709">
        <f t="shared" si="47"/>
        <v>5.5515222482435584</v>
      </c>
      <c r="H709">
        <f t="shared" si="48"/>
        <v>5.2595378351693451</v>
      </c>
    </row>
    <row r="710" spans="1:8" x14ac:dyDescent="0.25">
      <c r="A710" t="str">
        <f t="shared" si="46"/>
        <v>Direct,STnet,40</v>
      </c>
      <c r="B710" t="s">
        <v>33</v>
      </c>
      <c r="C710" t="s">
        <v>5</v>
      </c>
      <c r="D710">
        <v>40</v>
      </c>
      <c r="E710">
        <v>85.558000000000007</v>
      </c>
      <c r="F710">
        <f t="shared" si="45"/>
        <v>85.4</v>
      </c>
      <c r="G710">
        <f t="shared" si="47"/>
        <v>0.18501170960187499</v>
      </c>
      <c r="H710">
        <f t="shared" si="48"/>
        <v>0.18467004838822931</v>
      </c>
    </row>
    <row r="711" spans="1:8" x14ac:dyDescent="0.25">
      <c r="A711" t="str">
        <f t="shared" si="46"/>
        <v>Direct,STnet,40</v>
      </c>
      <c r="B711" t="s">
        <v>33</v>
      </c>
      <c r="C711" t="s">
        <v>5</v>
      </c>
      <c r="D711">
        <v>40</v>
      </c>
      <c r="E711">
        <v>76.046999999999997</v>
      </c>
      <c r="F711">
        <f t="shared" si="45"/>
        <v>85.4</v>
      </c>
      <c r="G711">
        <f t="shared" si="47"/>
        <v>10.951990632318511</v>
      </c>
      <c r="H711">
        <f t="shared" si="48"/>
        <v>12.298973003537297</v>
      </c>
    </row>
    <row r="712" spans="1:8" x14ac:dyDescent="0.25">
      <c r="A712" t="str">
        <f t="shared" si="46"/>
        <v>Direct,STnet,40</v>
      </c>
      <c r="B712" t="s">
        <v>33</v>
      </c>
      <c r="C712" t="s">
        <v>5</v>
      </c>
      <c r="D712">
        <v>40</v>
      </c>
      <c r="E712">
        <v>84.775999999999996</v>
      </c>
      <c r="F712">
        <f t="shared" si="45"/>
        <v>85.4</v>
      </c>
      <c r="G712">
        <f t="shared" si="47"/>
        <v>0.73067915690867613</v>
      </c>
      <c r="H712">
        <f t="shared" si="48"/>
        <v>0.73605737472870802</v>
      </c>
    </row>
    <row r="713" spans="1:8" x14ac:dyDescent="0.25">
      <c r="A713" t="str">
        <f t="shared" si="46"/>
        <v>Direct,STnet,40</v>
      </c>
      <c r="B713" t="s">
        <v>33</v>
      </c>
      <c r="C713" t="s">
        <v>5</v>
      </c>
      <c r="D713">
        <v>40</v>
      </c>
      <c r="E713">
        <v>82.483999999999995</v>
      </c>
      <c r="F713">
        <f t="shared" si="45"/>
        <v>85.4</v>
      </c>
      <c r="G713">
        <f t="shared" si="47"/>
        <v>3.4145199063231977</v>
      </c>
      <c r="H713">
        <f t="shared" si="48"/>
        <v>3.5352310751176121</v>
      </c>
    </row>
    <row r="714" spans="1:8" x14ac:dyDescent="0.25">
      <c r="A714" t="str">
        <f t="shared" si="46"/>
        <v>Direct,STnet,40</v>
      </c>
      <c r="B714" t="s">
        <v>33</v>
      </c>
      <c r="C714" t="s">
        <v>5</v>
      </c>
      <c r="D714">
        <v>40</v>
      </c>
      <c r="E714">
        <v>84.557000000000002</v>
      </c>
      <c r="F714">
        <f t="shared" si="45"/>
        <v>85.4</v>
      </c>
      <c r="G714">
        <f t="shared" si="47"/>
        <v>0.98711943793911416</v>
      </c>
      <c r="H714">
        <f t="shared" si="48"/>
        <v>0.99696063010750557</v>
      </c>
    </row>
    <row r="715" spans="1:8" x14ac:dyDescent="0.25">
      <c r="A715" t="str">
        <f t="shared" si="46"/>
        <v>Direct,STnet,40</v>
      </c>
      <c r="B715" t="s">
        <v>33</v>
      </c>
      <c r="C715" t="s">
        <v>5</v>
      </c>
      <c r="D715">
        <v>40</v>
      </c>
      <c r="E715">
        <v>82.63</v>
      </c>
      <c r="F715">
        <f t="shared" si="45"/>
        <v>85.4</v>
      </c>
      <c r="G715">
        <f t="shared" si="47"/>
        <v>3.2435597189695664</v>
      </c>
      <c r="H715">
        <f t="shared" si="48"/>
        <v>3.3522933559240111</v>
      </c>
    </row>
    <row r="716" spans="1:8" x14ac:dyDescent="0.25">
      <c r="A716" t="str">
        <f t="shared" si="46"/>
        <v>Direct,STnet,40</v>
      </c>
      <c r="B716" t="s">
        <v>33</v>
      </c>
      <c r="C716" t="s">
        <v>5</v>
      </c>
      <c r="D716">
        <v>40</v>
      </c>
      <c r="E716">
        <v>91.141000000000005</v>
      </c>
      <c r="F716">
        <f t="shared" si="45"/>
        <v>85.4</v>
      </c>
      <c r="G716">
        <f t="shared" si="47"/>
        <v>6.7224824355971897</v>
      </c>
      <c r="H716">
        <f t="shared" si="48"/>
        <v>6.2990311714815492</v>
      </c>
    </row>
    <row r="717" spans="1:8" x14ac:dyDescent="0.25">
      <c r="A717" t="str">
        <f t="shared" si="46"/>
        <v>Direct,STnet,40</v>
      </c>
      <c r="B717" t="s">
        <v>33</v>
      </c>
      <c r="C717" t="s">
        <v>5</v>
      </c>
      <c r="D717">
        <v>40</v>
      </c>
      <c r="E717">
        <v>82.411000000000001</v>
      </c>
      <c r="F717">
        <f t="shared" si="45"/>
        <v>85.4</v>
      </c>
      <c r="G717">
        <f t="shared" si="47"/>
        <v>3.5000000000000044</v>
      </c>
      <c r="H717">
        <f t="shared" si="48"/>
        <v>3.6269430051813525</v>
      </c>
    </row>
    <row r="718" spans="1:8" x14ac:dyDescent="0.25">
      <c r="A718" t="str">
        <f t="shared" si="46"/>
        <v>Direct,STnet,40</v>
      </c>
      <c r="B718" t="s">
        <v>33</v>
      </c>
      <c r="C718" t="s">
        <v>5</v>
      </c>
      <c r="D718">
        <v>40</v>
      </c>
      <c r="E718">
        <v>84.703000000000003</v>
      </c>
      <c r="F718">
        <f t="shared" si="45"/>
        <v>85.4</v>
      </c>
      <c r="G718">
        <f t="shared" si="47"/>
        <v>0.81615925058548322</v>
      </c>
      <c r="H718">
        <f t="shared" si="48"/>
        <v>0.82287522283744696</v>
      </c>
    </row>
    <row r="719" spans="1:8" x14ac:dyDescent="0.25">
      <c r="A719" t="str">
        <f t="shared" si="46"/>
        <v>Direct,STnet,40</v>
      </c>
      <c r="B719" t="s">
        <v>33</v>
      </c>
      <c r="C719" t="s">
        <v>5</v>
      </c>
      <c r="D719">
        <v>40</v>
      </c>
      <c r="E719">
        <v>81.63</v>
      </c>
      <c r="F719">
        <f t="shared" si="45"/>
        <v>85.4</v>
      </c>
      <c r="G719">
        <f t="shared" si="47"/>
        <v>4.4145199063231964</v>
      </c>
      <c r="H719">
        <f t="shared" si="48"/>
        <v>4.6184000980031978</v>
      </c>
    </row>
    <row r="720" spans="1:8" x14ac:dyDescent="0.25">
      <c r="A720" t="str">
        <f t="shared" si="46"/>
        <v>Direct,STnet,40</v>
      </c>
      <c r="B720" t="s">
        <v>33</v>
      </c>
      <c r="C720" t="s">
        <v>5</v>
      </c>
      <c r="D720">
        <v>40</v>
      </c>
      <c r="E720">
        <v>91.921999999999997</v>
      </c>
      <c r="F720">
        <f t="shared" si="45"/>
        <v>85.4</v>
      </c>
      <c r="G720">
        <f t="shared" si="47"/>
        <v>7.6370023419203639</v>
      </c>
      <c r="H720">
        <f t="shared" si="48"/>
        <v>7.0951458845542863</v>
      </c>
    </row>
    <row r="721" spans="1:8" x14ac:dyDescent="0.25">
      <c r="A721" t="str">
        <f t="shared" si="46"/>
        <v>Direct,STnet,40</v>
      </c>
      <c r="B721" t="s">
        <v>33</v>
      </c>
      <c r="C721" t="s">
        <v>5</v>
      </c>
      <c r="D721">
        <v>40</v>
      </c>
      <c r="E721">
        <v>89.775999999999996</v>
      </c>
      <c r="F721">
        <f t="shared" si="45"/>
        <v>85.4</v>
      </c>
      <c r="G721">
        <f t="shared" si="47"/>
        <v>5.1241217798594727</v>
      </c>
      <c r="H721">
        <f t="shared" si="48"/>
        <v>4.8743539476029127</v>
      </c>
    </row>
    <row r="722" spans="1:8" x14ac:dyDescent="0.25">
      <c r="A722" t="str">
        <f t="shared" si="46"/>
        <v>Direct,STnet,40</v>
      </c>
      <c r="B722" t="s">
        <v>33</v>
      </c>
      <c r="C722" t="s">
        <v>5</v>
      </c>
      <c r="D722">
        <v>40</v>
      </c>
      <c r="E722">
        <v>85.849000000000004</v>
      </c>
      <c r="F722">
        <f t="shared" si="45"/>
        <v>85.4</v>
      </c>
      <c r="G722">
        <f t="shared" si="47"/>
        <v>0.52576112412177756</v>
      </c>
      <c r="H722">
        <f t="shared" si="48"/>
        <v>0.52301133385362453</v>
      </c>
    </row>
    <row r="723" spans="1:8" x14ac:dyDescent="0.25">
      <c r="A723" t="str">
        <f t="shared" si="46"/>
        <v>Direct,STnet,40</v>
      </c>
      <c r="B723" t="s">
        <v>33</v>
      </c>
      <c r="C723" t="s">
        <v>5</v>
      </c>
      <c r="D723">
        <v>40</v>
      </c>
      <c r="E723">
        <v>85.483999999999995</v>
      </c>
      <c r="F723">
        <f t="shared" si="45"/>
        <v>85.4</v>
      </c>
      <c r="G723">
        <f t="shared" si="47"/>
        <v>9.8360655737691996E-2</v>
      </c>
      <c r="H723">
        <f t="shared" si="48"/>
        <v>9.8264002620360516E-2</v>
      </c>
    </row>
    <row r="724" spans="1:8" x14ac:dyDescent="0.25">
      <c r="A724" t="str">
        <f t="shared" si="46"/>
        <v>Direct,STnet,40</v>
      </c>
      <c r="B724" t="s">
        <v>33</v>
      </c>
      <c r="C724" t="s">
        <v>5</v>
      </c>
      <c r="D724">
        <v>40</v>
      </c>
      <c r="E724">
        <v>83.557000000000002</v>
      </c>
      <c r="F724">
        <f t="shared" si="45"/>
        <v>85.4</v>
      </c>
      <c r="G724">
        <f t="shared" si="47"/>
        <v>2.1580796252927437</v>
      </c>
      <c r="H724">
        <f t="shared" si="48"/>
        <v>2.205679955000782</v>
      </c>
    </row>
    <row r="725" spans="1:8" x14ac:dyDescent="0.25">
      <c r="A725" t="str">
        <f t="shared" si="46"/>
        <v>Direct,STnet,40</v>
      </c>
      <c r="B725" t="s">
        <v>33</v>
      </c>
      <c r="C725" t="s">
        <v>5</v>
      </c>
      <c r="D725">
        <v>40</v>
      </c>
      <c r="E725">
        <v>85.557000000000002</v>
      </c>
      <c r="F725">
        <f t="shared" si="45"/>
        <v>85.4</v>
      </c>
      <c r="G725">
        <f t="shared" si="47"/>
        <v>0.18384074941451578</v>
      </c>
      <c r="H725">
        <f t="shared" si="48"/>
        <v>0.18350339539721644</v>
      </c>
    </row>
    <row r="726" spans="1:8" x14ac:dyDescent="0.25">
      <c r="A726" t="str">
        <f t="shared" si="46"/>
        <v>Direct,STnet,40</v>
      </c>
      <c r="B726" t="s">
        <v>33</v>
      </c>
      <c r="C726" t="s">
        <v>5</v>
      </c>
      <c r="D726">
        <v>40</v>
      </c>
      <c r="E726">
        <v>85.995000000000005</v>
      </c>
      <c r="F726">
        <f t="shared" si="45"/>
        <v>85.4</v>
      </c>
      <c r="G726">
        <f t="shared" si="47"/>
        <v>0.6967213114754085</v>
      </c>
      <c r="H726">
        <f t="shared" si="48"/>
        <v>0.69190069190069059</v>
      </c>
    </row>
    <row r="727" spans="1:8" x14ac:dyDescent="0.25">
      <c r="A727" t="str">
        <f t="shared" si="46"/>
        <v>Direct,STnet,40</v>
      </c>
      <c r="B727" t="s">
        <v>33</v>
      </c>
      <c r="C727" t="s">
        <v>5</v>
      </c>
      <c r="D727">
        <v>40</v>
      </c>
      <c r="E727">
        <v>87.995000000000005</v>
      </c>
      <c r="F727">
        <f t="shared" si="45"/>
        <v>85.4</v>
      </c>
      <c r="G727">
        <f t="shared" si="47"/>
        <v>3.0386416861826682</v>
      </c>
      <c r="H727">
        <f t="shared" si="48"/>
        <v>2.9490311949542574</v>
      </c>
    </row>
    <row r="728" spans="1:8" x14ac:dyDescent="0.25">
      <c r="A728" t="str">
        <f t="shared" si="46"/>
        <v>Direct,STnet,40</v>
      </c>
      <c r="B728" t="s">
        <v>33</v>
      </c>
      <c r="C728" t="s">
        <v>5</v>
      </c>
      <c r="D728">
        <v>40</v>
      </c>
      <c r="E728">
        <v>80.337999999999994</v>
      </c>
      <c r="F728">
        <f t="shared" si="45"/>
        <v>85.4</v>
      </c>
      <c r="G728">
        <f t="shared" si="47"/>
        <v>5.9274004683840884</v>
      </c>
      <c r="H728">
        <f t="shared" si="48"/>
        <v>6.3008787871244145</v>
      </c>
    </row>
    <row r="729" spans="1:8" x14ac:dyDescent="0.25">
      <c r="A729" t="str">
        <f t="shared" si="46"/>
        <v>Direct,STnet,40</v>
      </c>
      <c r="B729" t="s">
        <v>33</v>
      </c>
      <c r="C729" t="s">
        <v>5</v>
      </c>
      <c r="D729">
        <v>40</v>
      </c>
      <c r="E729">
        <v>78.974000000000004</v>
      </c>
      <c r="F729">
        <f t="shared" si="45"/>
        <v>85.4</v>
      </c>
      <c r="G729">
        <f t="shared" si="47"/>
        <v>7.5245901639344277</v>
      </c>
      <c r="H729">
        <f t="shared" si="48"/>
        <v>8.1368551675234908</v>
      </c>
    </row>
    <row r="730" spans="1:8" x14ac:dyDescent="0.25">
      <c r="A730" t="str">
        <f t="shared" si="46"/>
        <v>Direct,STnet,40</v>
      </c>
      <c r="B730" t="s">
        <v>33</v>
      </c>
      <c r="C730" t="s">
        <v>5</v>
      </c>
      <c r="D730">
        <v>40</v>
      </c>
      <c r="E730">
        <v>80.265000000000001</v>
      </c>
      <c r="F730">
        <f t="shared" si="45"/>
        <v>85.4</v>
      </c>
      <c r="G730">
        <f t="shared" si="47"/>
        <v>6.0128805620608956</v>
      </c>
      <c r="H730">
        <f t="shared" si="48"/>
        <v>6.3975580888307544</v>
      </c>
    </row>
    <row r="731" spans="1:8" x14ac:dyDescent="0.25">
      <c r="A731" t="str">
        <f t="shared" si="46"/>
        <v>Direct,STnet,40</v>
      </c>
      <c r="B731" t="s">
        <v>33</v>
      </c>
      <c r="C731" t="s">
        <v>5</v>
      </c>
      <c r="D731">
        <v>40</v>
      </c>
      <c r="E731">
        <v>77.411000000000001</v>
      </c>
      <c r="F731">
        <f t="shared" si="45"/>
        <v>85.4</v>
      </c>
      <c r="G731">
        <f t="shared" si="47"/>
        <v>9.3548009367681537</v>
      </c>
      <c r="H731">
        <f t="shared" si="48"/>
        <v>10.320238725762493</v>
      </c>
    </row>
    <row r="732" spans="1:8" x14ac:dyDescent="0.25">
      <c r="A732" t="str">
        <f t="shared" si="46"/>
        <v>Direct,STnet,40</v>
      </c>
      <c r="B732" t="s">
        <v>33</v>
      </c>
      <c r="C732" t="s">
        <v>5</v>
      </c>
      <c r="D732">
        <v>40</v>
      </c>
      <c r="E732">
        <v>90.213999999999999</v>
      </c>
      <c r="F732">
        <f t="shared" si="45"/>
        <v>85.4</v>
      </c>
      <c r="G732">
        <f t="shared" si="47"/>
        <v>5.6370023419203665</v>
      </c>
      <c r="H732">
        <f t="shared" si="48"/>
        <v>5.3362005897089064</v>
      </c>
    </row>
    <row r="733" spans="1:8" x14ac:dyDescent="0.25">
      <c r="A733" t="str">
        <f t="shared" si="46"/>
        <v>Direct,STnet,40</v>
      </c>
      <c r="B733" t="s">
        <v>33</v>
      </c>
      <c r="C733" t="s">
        <v>5</v>
      </c>
      <c r="D733">
        <v>40</v>
      </c>
      <c r="E733">
        <v>86.63</v>
      </c>
      <c r="F733">
        <f t="shared" si="45"/>
        <v>85.4</v>
      </c>
      <c r="G733">
        <f t="shared" si="47"/>
        <v>1.4402810304449529</v>
      </c>
      <c r="H733">
        <f t="shared" si="48"/>
        <v>1.419831467159171</v>
      </c>
    </row>
    <row r="734" spans="1:8" x14ac:dyDescent="0.25">
      <c r="A734" t="str">
        <f t="shared" si="46"/>
        <v>Direct,STnet,40</v>
      </c>
      <c r="B734" t="s">
        <v>33</v>
      </c>
      <c r="C734" t="s">
        <v>5</v>
      </c>
      <c r="D734">
        <v>40</v>
      </c>
      <c r="E734">
        <v>84.995000000000005</v>
      </c>
      <c r="F734">
        <f t="shared" si="45"/>
        <v>85.4</v>
      </c>
      <c r="G734">
        <f t="shared" si="47"/>
        <v>0.47423887587822144</v>
      </c>
      <c r="H734">
        <f t="shared" si="48"/>
        <v>0.47649861756574052</v>
      </c>
    </row>
    <row r="735" spans="1:8" x14ac:dyDescent="0.25">
      <c r="A735" t="str">
        <f t="shared" si="46"/>
        <v>Direct,STnet,40</v>
      </c>
      <c r="B735" t="s">
        <v>33</v>
      </c>
      <c r="C735" t="s">
        <v>5</v>
      </c>
      <c r="D735">
        <v>40</v>
      </c>
      <c r="E735">
        <v>82.484999999999999</v>
      </c>
      <c r="F735">
        <f t="shared" si="45"/>
        <v>85.4</v>
      </c>
      <c r="G735">
        <f t="shared" si="47"/>
        <v>3.4133489461358386</v>
      </c>
      <c r="H735">
        <f t="shared" si="48"/>
        <v>3.5339758744014143</v>
      </c>
    </row>
    <row r="736" spans="1:8" x14ac:dyDescent="0.25">
      <c r="A736" t="str">
        <f t="shared" si="46"/>
        <v>Direct,STnet,40</v>
      </c>
      <c r="B736" t="s">
        <v>33</v>
      </c>
      <c r="C736" t="s">
        <v>5</v>
      </c>
      <c r="D736">
        <v>40</v>
      </c>
      <c r="E736">
        <v>88.849000000000004</v>
      </c>
      <c r="F736">
        <f t="shared" si="45"/>
        <v>85.4</v>
      </c>
      <c r="G736">
        <f t="shared" si="47"/>
        <v>4.0386416861826673</v>
      </c>
      <c r="H736">
        <f t="shared" si="48"/>
        <v>3.8818669878107772</v>
      </c>
    </row>
    <row r="737" spans="1:8" x14ac:dyDescent="0.25">
      <c r="A737" t="str">
        <f t="shared" si="46"/>
        <v>Direct,STnet,40</v>
      </c>
      <c r="B737" t="s">
        <v>33</v>
      </c>
      <c r="C737" t="s">
        <v>5</v>
      </c>
      <c r="D737">
        <v>40</v>
      </c>
      <c r="E737">
        <v>77.046999999999997</v>
      </c>
      <c r="F737">
        <f t="shared" si="45"/>
        <v>85.4</v>
      </c>
      <c r="G737">
        <f t="shared" si="47"/>
        <v>9.7810304449648804</v>
      </c>
      <c r="H737">
        <f t="shared" si="48"/>
        <v>10.841434449102508</v>
      </c>
    </row>
    <row r="738" spans="1:8" x14ac:dyDescent="0.25">
      <c r="A738" t="str">
        <f t="shared" si="46"/>
        <v>Direct,STnet,40</v>
      </c>
      <c r="B738" t="s">
        <v>33</v>
      </c>
      <c r="C738" t="s">
        <v>5</v>
      </c>
      <c r="D738">
        <v>40</v>
      </c>
      <c r="E738">
        <v>78.265000000000001</v>
      </c>
      <c r="F738">
        <f t="shared" si="45"/>
        <v>85.4</v>
      </c>
      <c r="G738">
        <f t="shared" si="47"/>
        <v>8.3548009367681555</v>
      </c>
      <c r="H738">
        <f t="shared" si="48"/>
        <v>9.1164632977704017</v>
      </c>
    </row>
    <row r="739" spans="1:8" x14ac:dyDescent="0.25">
      <c r="A739" t="str">
        <f t="shared" si="46"/>
        <v>Direct,STnet,40</v>
      </c>
      <c r="B739" t="s">
        <v>33</v>
      </c>
      <c r="C739" t="s">
        <v>5</v>
      </c>
      <c r="D739">
        <v>40</v>
      </c>
      <c r="E739">
        <v>75.974000000000004</v>
      </c>
      <c r="F739">
        <f t="shared" si="45"/>
        <v>85.4</v>
      </c>
      <c r="G739">
        <f t="shared" si="47"/>
        <v>11.037470725995318</v>
      </c>
      <c r="H739">
        <f t="shared" si="48"/>
        <v>12.406876036538819</v>
      </c>
    </row>
    <row r="740" spans="1:8" x14ac:dyDescent="0.25">
      <c r="A740" t="str">
        <f t="shared" si="46"/>
        <v>Direct,STnet,40</v>
      </c>
      <c r="B740" t="s">
        <v>33</v>
      </c>
      <c r="C740" t="s">
        <v>5</v>
      </c>
      <c r="D740">
        <v>40</v>
      </c>
      <c r="E740">
        <v>90.995000000000005</v>
      </c>
      <c r="F740">
        <f t="shared" si="45"/>
        <v>85.4</v>
      </c>
      <c r="G740">
        <f t="shared" si="47"/>
        <v>6.5515222482435576</v>
      </c>
      <c r="H740">
        <f t="shared" si="48"/>
        <v>6.1486894884334289</v>
      </c>
    </row>
    <row r="741" spans="1:8" x14ac:dyDescent="0.25">
      <c r="A741" t="str">
        <f t="shared" si="46"/>
        <v>Direct,STnet,40</v>
      </c>
      <c r="B741" t="s">
        <v>33</v>
      </c>
      <c r="C741" t="s">
        <v>5</v>
      </c>
      <c r="D741">
        <v>40</v>
      </c>
      <c r="E741">
        <v>86.849000000000004</v>
      </c>
      <c r="F741">
        <f t="shared" si="45"/>
        <v>85.4</v>
      </c>
      <c r="G741">
        <f t="shared" si="47"/>
        <v>1.6967213114754076</v>
      </c>
      <c r="H741">
        <f t="shared" si="48"/>
        <v>1.6684129926654283</v>
      </c>
    </row>
    <row r="742" spans="1:8" x14ac:dyDescent="0.25">
      <c r="A742" t="str">
        <f t="shared" si="46"/>
        <v>Direct,STnet,40</v>
      </c>
      <c r="B742" t="s">
        <v>33</v>
      </c>
      <c r="C742" t="s">
        <v>5</v>
      </c>
      <c r="D742">
        <v>40</v>
      </c>
      <c r="E742">
        <v>93.213999999999999</v>
      </c>
      <c r="F742">
        <f t="shared" si="45"/>
        <v>85.4</v>
      </c>
      <c r="G742">
        <f t="shared" si="47"/>
        <v>9.1498829039812559</v>
      </c>
      <c r="H742">
        <f t="shared" si="48"/>
        <v>8.3828609436350696</v>
      </c>
    </row>
    <row r="743" spans="1:8" x14ac:dyDescent="0.25">
      <c r="A743" t="str">
        <f t="shared" si="46"/>
        <v>Direct,STnet,40</v>
      </c>
      <c r="B743" t="s">
        <v>33</v>
      </c>
      <c r="C743" t="s">
        <v>5</v>
      </c>
      <c r="D743">
        <v>40</v>
      </c>
      <c r="E743">
        <v>87.63</v>
      </c>
      <c r="F743">
        <f t="shared" si="45"/>
        <v>85.4</v>
      </c>
      <c r="G743">
        <f t="shared" si="47"/>
        <v>2.6112412177985824</v>
      </c>
      <c r="H743">
        <f t="shared" si="48"/>
        <v>2.5447905968275588</v>
      </c>
    </row>
    <row r="744" spans="1:8" x14ac:dyDescent="0.25">
      <c r="A744" t="str">
        <f t="shared" si="46"/>
        <v>Direct,STnet,40</v>
      </c>
      <c r="B744" t="s">
        <v>33</v>
      </c>
      <c r="C744" t="s">
        <v>5</v>
      </c>
      <c r="D744">
        <v>40</v>
      </c>
      <c r="E744">
        <v>79.63</v>
      </c>
      <c r="F744">
        <f t="shared" si="45"/>
        <v>85.4</v>
      </c>
      <c r="G744">
        <f t="shared" si="47"/>
        <v>6.7564402810304571</v>
      </c>
      <c r="H744">
        <f t="shared" si="48"/>
        <v>7.2460128092427603</v>
      </c>
    </row>
    <row r="745" spans="1:8" x14ac:dyDescent="0.25">
      <c r="A745" t="str">
        <f t="shared" si="46"/>
        <v>Direct,STnet,40</v>
      </c>
      <c r="B745" t="s">
        <v>33</v>
      </c>
      <c r="C745" t="s">
        <v>5</v>
      </c>
      <c r="D745">
        <v>40</v>
      </c>
      <c r="E745">
        <v>83.483999999999995</v>
      </c>
      <c r="F745">
        <f t="shared" si="45"/>
        <v>85.4</v>
      </c>
      <c r="G745">
        <f t="shared" si="47"/>
        <v>2.2435597189695677</v>
      </c>
      <c r="H745">
        <f t="shared" si="48"/>
        <v>2.2950505486081298</v>
      </c>
    </row>
    <row r="746" spans="1:8" x14ac:dyDescent="0.25">
      <c r="A746" t="str">
        <f t="shared" si="46"/>
        <v>Direct,STnet,40</v>
      </c>
      <c r="B746" t="s">
        <v>33</v>
      </c>
      <c r="C746" t="s">
        <v>5</v>
      </c>
      <c r="D746">
        <v>40</v>
      </c>
      <c r="E746">
        <v>80.557000000000002</v>
      </c>
      <c r="F746">
        <f t="shared" si="45"/>
        <v>85.4</v>
      </c>
      <c r="G746">
        <f t="shared" si="47"/>
        <v>5.6709601873536339</v>
      </c>
      <c r="H746">
        <f t="shared" si="48"/>
        <v>6.0118922005536497</v>
      </c>
    </row>
    <row r="747" spans="1:8" x14ac:dyDescent="0.25">
      <c r="A747" t="str">
        <f t="shared" si="46"/>
        <v>Direct,STnet,40</v>
      </c>
      <c r="B747" t="s">
        <v>33</v>
      </c>
      <c r="C747" t="s">
        <v>5</v>
      </c>
      <c r="D747">
        <v>40</v>
      </c>
      <c r="E747">
        <v>83.483999999999995</v>
      </c>
      <c r="F747">
        <f t="shared" si="45"/>
        <v>85.4</v>
      </c>
      <c r="G747">
        <f t="shared" si="47"/>
        <v>2.2435597189695677</v>
      </c>
      <c r="H747">
        <f t="shared" si="48"/>
        <v>2.2950505486081298</v>
      </c>
    </row>
    <row r="748" spans="1:8" x14ac:dyDescent="0.25">
      <c r="A748" t="str">
        <f t="shared" si="46"/>
        <v>Direct,STnet,40</v>
      </c>
      <c r="B748" t="s">
        <v>33</v>
      </c>
      <c r="C748" t="s">
        <v>5</v>
      </c>
      <c r="D748">
        <v>40</v>
      </c>
      <c r="E748">
        <v>82.337999999999994</v>
      </c>
      <c r="F748">
        <f t="shared" si="45"/>
        <v>85.4</v>
      </c>
      <c r="G748">
        <f t="shared" si="47"/>
        <v>3.5854800936768285</v>
      </c>
      <c r="H748">
        <f t="shared" si="48"/>
        <v>3.7188175568996238</v>
      </c>
    </row>
    <row r="749" spans="1:8" x14ac:dyDescent="0.25">
      <c r="A749" t="str">
        <f t="shared" si="46"/>
        <v>Direct,STnet,40</v>
      </c>
      <c r="B749" t="s">
        <v>33</v>
      </c>
      <c r="C749" t="s">
        <v>5</v>
      </c>
      <c r="D749">
        <v>40</v>
      </c>
      <c r="E749">
        <v>80.411000000000001</v>
      </c>
      <c r="F749">
        <f t="shared" si="45"/>
        <v>85.4</v>
      </c>
      <c r="G749">
        <f t="shared" si="47"/>
        <v>5.8419203747072652</v>
      </c>
      <c r="H749">
        <f t="shared" si="48"/>
        <v>6.2043750233177102</v>
      </c>
    </row>
    <row r="750" spans="1:8" x14ac:dyDescent="0.25">
      <c r="A750" t="str">
        <f t="shared" si="46"/>
        <v>Direct,STnet,40</v>
      </c>
      <c r="B750" t="s">
        <v>33</v>
      </c>
      <c r="C750" t="s">
        <v>5</v>
      </c>
      <c r="D750">
        <v>40</v>
      </c>
      <c r="E750">
        <v>75.046000000000006</v>
      </c>
      <c r="F750">
        <f t="shared" si="45"/>
        <v>85.4</v>
      </c>
      <c r="G750">
        <f t="shared" si="47"/>
        <v>12.124121779859482</v>
      </c>
      <c r="H750">
        <f t="shared" si="48"/>
        <v>13.796871252298587</v>
      </c>
    </row>
    <row r="751" spans="1:8" x14ac:dyDescent="0.25">
      <c r="A751" t="str">
        <f t="shared" si="46"/>
        <v>Direct,STnet,40</v>
      </c>
      <c r="B751" t="s">
        <v>33</v>
      </c>
      <c r="C751" t="s">
        <v>5</v>
      </c>
      <c r="D751">
        <v>40</v>
      </c>
      <c r="E751">
        <v>78.337999999999994</v>
      </c>
      <c r="F751">
        <f t="shared" si="45"/>
        <v>85.4</v>
      </c>
      <c r="G751">
        <f t="shared" si="47"/>
        <v>8.2693208430913483</v>
      </c>
      <c r="H751">
        <f t="shared" si="48"/>
        <v>9.0147820980877889</v>
      </c>
    </row>
    <row r="752" spans="1:8" x14ac:dyDescent="0.25">
      <c r="A752" t="str">
        <f t="shared" si="46"/>
        <v>Direct,STnet,40</v>
      </c>
      <c r="B752" t="s">
        <v>33</v>
      </c>
      <c r="C752" t="s">
        <v>5</v>
      </c>
      <c r="D752">
        <v>40</v>
      </c>
      <c r="E752">
        <v>79.337999999999994</v>
      </c>
      <c r="F752">
        <f t="shared" si="45"/>
        <v>85.4</v>
      </c>
      <c r="G752">
        <f t="shared" si="47"/>
        <v>7.0983606557377179</v>
      </c>
      <c r="H752">
        <f t="shared" si="48"/>
        <v>7.6407270160578937</v>
      </c>
    </row>
    <row r="753" spans="1:8" x14ac:dyDescent="0.25">
      <c r="A753" t="str">
        <f t="shared" si="46"/>
        <v>Direct,STnet,40</v>
      </c>
      <c r="B753" t="s">
        <v>33</v>
      </c>
      <c r="C753" t="s">
        <v>5</v>
      </c>
      <c r="D753">
        <v>40</v>
      </c>
      <c r="E753">
        <v>81.411000000000001</v>
      </c>
      <c r="F753">
        <f t="shared" si="45"/>
        <v>85.4</v>
      </c>
      <c r="G753">
        <f t="shared" si="47"/>
        <v>4.6709601873536339</v>
      </c>
      <c r="H753">
        <f t="shared" si="48"/>
        <v>4.8998292614020267</v>
      </c>
    </row>
    <row r="754" spans="1:8" x14ac:dyDescent="0.25">
      <c r="A754" t="str">
        <f t="shared" si="46"/>
        <v>Direct,STnet,40</v>
      </c>
      <c r="B754" t="s">
        <v>33</v>
      </c>
      <c r="C754" t="s">
        <v>5</v>
      </c>
      <c r="D754">
        <v>40</v>
      </c>
      <c r="E754">
        <v>76.974000000000004</v>
      </c>
      <c r="F754">
        <f t="shared" si="45"/>
        <v>85.4</v>
      </c>
      <c r="G754">
        <f t="shared" si="47"/>
        <v>9.8665105386416876</v>
      </c>
      <c r="H754">
        <f t="shared" si="48"/>
        <v>10.946553381661342</v>
      </c>
    </row>
    <row r="755" spans="1:8" x14ac:dyDescent="0.25">
      <c r="A755" t="str">
        <f t="shared" si="46"/>
        <v>Direct,STnet,40</v>
      </c>
      <c r="B755" t="s">
        <v>33</v>
      </c>
      <c r="C755" t="s">
        <v>5</v>
      </c>
      <c r="D755">
        <v>40</v>
      </c>
      <c r="E755">
        <v>80.191999999999993</v>
      </c>
      <c r="F755">
        <f t="shared" si="45"/>
        <v>85.4</v>
      </c>
      <c r="G755">
        <f t="shared" si="47"/>
        <v>6.0983606557377197</v>
      </c>
      <c r="H755">
        <f t="shared" si="48"/>
        <v>6.494413407821245</v>
      </c>
    </row>
    <row r="756" spans="1:8" x14ac:dyDescent="0.25">
      <c r="A756" t="str">
        <f t="shared" si="46"/>
        <v>Direct,STnet,40</v>
      </c>
      <c r="B756" t="s">
        <v>33</v>
      </c>
      <c r="C756" t="s">
        <v>5</v>
      </c>
      <c r="D756">
        <v>40</v>
      </c>
      <c r="E756">
        <v>83.849000000000004</v>
      </c>
      <c r="F756">
        <f t="shared" si="45"/>
        <v>85.4</v>
      </c>
      <c r="G756">
        <f t="shared" si="47"/>
        <v>1.8161592505854824</v>
      </c>
      <c r="H756">
        <f t="shared" si="48"/>
        <v>1.8497537239561614</v>
      </c>
    </row>
    <row r="757" spans="1:8" x14ac:dyDescent="0.25">
      <c r="A757" t="str">
        <f t="shared" si="46"/>
        <v>Direct,STnet,40</v>
      </c>
      <c r="B757" t="s">
        <v>33</v>
      </c>
      <c r="C757" t="s">
        <v>5</v>
      </c>
      <c r="D757">
        <v>40</v>
      </c>
      <c r="E757">
        <v>95.36</v>
      </c>
      <c r="F757">
        <f t="shared" si="45"/>
        <v>85.4</v>
      </c>
      <c r="G757">
        <f t="shared" si="47"/>
        <v>11.662763466042145</v>
      </c>
      <c r="H757">
        <f t="shared" si="48"/>
        <v>10.444630872483215</v>
      </c>
    </row>
    <row r="758" spans="1:8" x14ac:dyDescent="0.25">
      <c r="A758" t="str">
        <f t="shared" si="46"/>
        <v>Direct,STnet,40</v>
      </c>
      <c r="B758" t="s">
        <v>33</v>
      </c>
      <c r="C758" t="s">
        <v>5</v>
      </c>
      <c r="D758">
        <v>40</v>
      </c>
      <c r="E758">
        <v>81.265000000000001</v>
      </c>
      <c r="F758">
        <f t="shared" si="45"/>
        <v>85.4</v>
      </c>
      <c r="G758">
        <f t="shared" si="47"/>
        <v>4.8419203747072652</v>
      </c>
      <c r="H758">
        <f t="shared" si="48"/>
        <v>5.0882913923583395</v>
      </c>
    </row>
    <row r="759" spans="1:8" x14ac:dyDescent="0.25">
      <c r="A759" t="str">
        <f t="shared" si="46"/>
        <v>Direct,STnet,40</v>
      </c>
      <c r="B759" t="s">
        <v>33</v>
      </c>
      <c r="C759" t="s">
        <v>5</v>
      </c>
      <c r="D759">
        <v>40</v>
      </c>
      <c r="E759">
        <v>81.411000000000001</v>
      </c>
      <c r="F759">
        <f t="shared" si="45"/>
        <v>85.4</v>
      </c>
      <c r="G759">
        <f t="shared" si="47"/>
        <v>4.6709601873536339</v>
      </c>
      <c r="H759">
        <f t="shared" si="48"/>
        <v>4.8998292614020267</v>
      </c>
    </row>
    <row r="760" spans="1:8" x14ac:dyDescent="0.25">
      <c r="A760" t="str">
        <f t="shared" si="46"/>
        <v>Direct,STnet,40</v>
      </c>
      <c r="B760" t="s">
        <v>33</v>
      </c>
      <c r="C760" t="s">
        <v>5</v>
      </c>
      <c r="D760">
        <v>40</v>
      </c>
      <c r="E760">
        <v>85.703000000000003</v>
      </c>
      <c r="F760">
        <f t="shared" si="45"/>
        <v>85.4</v>
      </c>
      <c r="G760">
        <f t="shared" si="47"/>
        <v>0.35480093676814667</v>
      </c>
      <c r="H760">
        <f t="shared" si="48"/>
        <v>0.35354655029578574</v>
      </c>
    </row>
    <row r="761" spans="1:8" x14ac:dyDescent="0.25">
      <c r="A761" t="str">
        <f t="shared" si="46"/>
        <v>Direct,STnet,40</v>
      </c>
      <c r="B761" t="s">
        <v>33</v>
      </c>
      <c r="C761" t="s">
        <v>5</v>
      </c>
      <c r="D761">
        <v>40</v>
      </c>
      <c r="E761">
        <v>83.849000000000004</v>
      </c>
      <c r="F761">
        <f t="shared" si="45"/>
        <v>85.4</v>
      </c>
      <c r="G761">
        <f t="shared" si="47"/>
        <v>1.8161592505854824</v>
      </c>
      <c r="H761">
        <f t="shared" si="48"/>
        <v>1.8497537239561614</v>
      </c>
    </row>
    <row r="762" spans="1:8" x14ac:dyDescent="0.25">
      <c r="A762" t="str">
        <f t="shared" si="46"/>
        <v>Direct,STnet,40</v>
      </c>
      <c r="B762" t="s">
        <v>33</v>
      </c>
      <c r="C762" t="s">
        <v>5</v>
      </c>
      <c r="D762">
        <v>40</v>
      </c>
      <c r="E762">
        <v>90.921999999999997</v>
      </c>
      <c r="F762">
        <f t="shared" si="45"/>
        <v>85.4</v>
      </c>
      <c r="G762">
        <f t="shared" si="47"/>
        <v>6.4660421545667344</v>
      </c>
      <c r="H762">
        <f t="shared" si="48"/>
        <v>6.0733375860627703</v>
      </c>
    </row>
    <row r="763" spans="1:8" x14ac:dyDescent="0.25">
      <c r="A763" t="str">
        <f t="shared" si="46"/>
        <v>Direct,STnet,40</v>
      </c>
      <c r="B763" t="s">
        <v>33</v>
      </c>
      <c r="C763" t="s">
        <v>5</v>
      </c>
      <c r="D763">
        <v>40</v>
      </c>
      <c r="E763">
        <v>82.483999999999995</v>
      </c>
      <c r="F763">
        <f t="shared" si="45"/>
        <v>85.4</v>
      </c>
      <c r="G763">
        <f t="shared" si="47"/>
        <v>3.4145199063231977</v>
      </c>
      <c r="H763">
        <f t="shared" si="48"/>
        <v>3.5352310751176121</v>
      </c>
    </row>
    <row r="764" spans="1:8" x14ac:dyDescent="0.25">
      <c r="A764" t="str">
        <f t="shared" si="46"/>
        <v>Direct,STnet,40</v>
      </c>
      <c r="B764" t="s">
        <v>33</v>
      </c>
      <c r="C764" t="s">
        <v>5</v>
      </c>
      <c r="D764">
        <v>40</v>
      </c>
      <c r="E764">
        <v>80.703000000000003</v>
      </c>
      <c r="F764">
        <f t="shared" si="45"/>
        <v>85.4</v>
      </c>
      <c r="G764">
        <f t="shared" si="47"/>
        <v>5.5000000000000027</v>
      </c>
      <c r="H764">
        <f t="shared" si="48"/>
        <v>5.8201058201058231</v>
      </c>
    </row>
    <row r="765" spans="1:8" x14ac:dyDescent="0.25">
      <c r="A765" t="str">
        <f t="shared" si="46"/>
        <v>Direct,STnet,40</v>
      </c>
      <c r="B765" t="s">
        <v>33</v>
      </c>
      <c r="C765" t="s">
        <v>5</v>
      </c>
      <c r="D765">
        <v>40</v>
      </c>
      <c r="E765">
        <v>86.775999999999996</v>
      </c>
      <c r="F765">
        <f t="shared" si="45"/>
        <v>85.4</v>
      </c>
      <c r="G765">
        <f t="shared" si="47"/>
        <v>1.6112412177985838</v>
      </c>
      <c r="H765">
        <f t="shared" si="48"/>
        <v>1.5856918963768678</v>
      </c>
    </row>
    <row r="766" spans="1:8" x14ac:dyDescent="0.25">
      <c r="A766" t="str">
        <f t="shared" si="46"/>
        <v>Direct,STnet,40</v>
      </c>
      <c r="B766" t="s">
        <v>33</v>
      </c>
      <c r="C766" t="s">
        <v>5</v>
      </c>
      <c r="D766">
        <v>40</v>
      </c>
      <c r="E766">
        <v>89.849000000000004</v>
      </c>
      <c r="F766">
        <f t="shared" si="45"/>
        <v>85.4</v>
      </c>
      <c r="G766">
        <f t="shared" si="47"/>
        <v>5.2096018735362977</v>
      </c>
      <c r="H766">
        <f t="shared" si="48"/>
        <v>4.9516410867121481</v>
      </c>
    </row>
    <row r="767" spans="1:8" x14ac:dyDescent="0.25">
      <c r="A767" t="str">
        <f t="shared" si="46"/>
        <v>Direct,STnet,40</v>
      </c>
      <c r="B767" t="s">
        <v>33</v>
      </c>
      <c r="C767" t="s">
        <v>5</v>
      </c>
      <c r="D767">
        <v>40</v>
      </c>
      <c r="E767">
        <v>83.63</v>
      </c>
      <c r="F767">
        <f t="shared" si="45"/>
        <v>85.4</v>
      </c>
      <c r="G767">
        <f t="shared" si="47"/>
        <v>2.0725995316159369</v>
      </c>
      <c r="H767">
        <f t="shared" si="48"/>
        <v>2.1164653832356932</v>
      </c>
    </row>
    <row r="768" spans="1:8" x14ac:dyDescent="0.25">
      <c r="A768" t="str">
        <f t="shared" si="46"/>
        <v>Direct,STnet,40</v>
      </c>
      <c r="B768" t="s">
        <v>33</v>
      </c>
      <c r="C768" t="s">
        <v>5</v>
      </c>
      <c r="D768">
        <v>40</v>
      </c>
      <c r="E768">
        <v>86.703000000000003</v>
      </c>
      <c r="F768">
        <f t="shared" si="45"/>
        <v>85.4</v>
      </c>
      <c r="G768">
        <f t="shared" si="47"/>
        <v>1.5257611241217766</v>
      </c>
      <c r="H768">
        <f t="shared" si="48"/>
        <v>1.5028315052535637</v>
      </c>
    </row>
    <row r="769" spans="1:8" x14ac:dyDescent="0.25">
      <c r="A769" t="str">
        <f t="shared" si="46"/>
        <v>Direct,STnet,40</v>
      </c>
      <c r="B769" t="s">
        <v>33</v>
      </c>
      <c r="C769" t="s">
        <v>5</v>
      </c>
      <c r="D769">
        <v>40</v>
      </c>
      <c r="E769">
        <v>79.192999999999998</v>
      </c>
      <c r="F769">
        <f t="shared" si="45"/>
        <v>85.4</v>
      </c>
      <c r="G769">
        <f t="shared" si="47"/>
        <v>7.2681498829039901</v>
      </c>
      <c r="H769">
        <f t="shared" si="48"/>
        <v>7.8378139482025029</v>
      </c>
    </row>
    <row r="770" spans="1:8" x14ac:dyDescent="0.25">
      <c r="A770" t="str">
        <f t="shared" si="46"/>
        <v>Direct,STnet,40</v>
      </c>
      <c r="B770" t="s">
        <v>33</v>
      </c>
      <c r="C770" t="s">
        <v>5</v>
      </c>
      <c r="D770">
        <v>40</v>
      </c>
      <c r="E770">
        <v>76.411000000000001</v>
      </c>
      <c r="F770">
        <f t="shared" si="45"/>
        <v>85.4</v>
      </c>
      <c r="G770">
        <f t="shared" si="47"/>
        <v>10.525761124121784</v>
      </c>
      <c r="H770">
        <f t="shared" si="48"/>
        <v>11.764013034772486</v>
      </c>
    </row>
    <row r="771" spans="1:8" x14ac:dyDescent="0.25">
      <c r="A771" t="str">
        <f t="shared" si="46"/>
        <v>Direct,STnet,40</v>
      </c>
      <c r="B771" t="s">
        <v>33</v>
      </c>
      <c r="C771" t="s">
        <v>5</v>
      </c>
      <c r="D771">
        <v>40</v>
      </c>
      <c r="E771">
        <v>91.141000000000005</v>
      </c>
      <c r="F771">
        <f t="shared" ref="F771:F834" si="49">_xlfn.XLOOKUP(A771,$J$3:$J$36,$N$3:$N$36)</f>
        <v>85.4</v>
      </c>
      <c r="G771">
        <f t="shared" si="47"/>
        <v>6.7224824355971897</v>
      </c>
      <c r="H771">
        <f t="shared" si="48"/>
        <v>6.2990311714815492</v>
      </c>
    </row>
    <row r="772" spans="1:8" x14ac:dyDescent="0.25">
      <c r="A772" t="str">
        <f t="shared" ref="A772:A835" si="50">B772&amp;","&amp;C772&amp;","&amp;D772</f>
        <v>Direct,STnet,40</v>
      </c>
      <c r="B772" t="s">
        <v>33</v>
      </c>
      <c r="C772" t="s">
        <v>5</v>
      </c>
      <c r="D772">
        <v>40</v>
      </c>
      <c r="E772">
        <v>76.191999999999993</v>
      </c>
      <c r="F772">
        <f t="shared" si="49"/>
        <v>85.4</v>
      </c>
      <c r="G772">
        <f t="shared" ref="G772:G835" si="51">ABS((E772-F772)/F772)*100</f>
        <v>10.782201405152239</v>
      </c>
      <c r="H772">
        <f t="shared" ref="H772:H835" si="52">ABS((F772-E772)/E772)*100</f>
        <v>12.085258294834121</v>
      </c>
    </row>
    <row r="773" spans="1:8" x14ac:dyDescent="0.25">
      <c r="A773" t="str">
        <f t="shared" si="50"/>
        <v>Direct,STnet,40</v>
      </c>
      <c r="B773" t="s">
        <v>33</v>
      </c>
      <c r="C773" t="s">
        <v>5</v>
      </c>
      <c r="D773">
        <v>40</v>
      </c>
      <c r="E773">
        <v>78.557000000000002</v>
      </c>
      <c r="F773">
        <f t="shared" si="49"/>
        <v>85.4</v>
      </c>
      <c r="G773">
        <f t="shared" si="51"/>
        <v>8.0128805620608929</v>
      </c>
      <c r="H773">
        <f t="shared" si="52"/>
        <v>8.7108723601970581</v>
      </c>
    </row>
    <row r="774" spans="1:8" x14ac:dyDescent="0.25">
      <c r="A774" t="str">
        <f t="shared" si="50"/>
        <v>Direct,STnet,40</v>
      </c>
      <c r="B774" t="s">
        <v>33</v>
      </c>
      <c r="C774" t="s">
        <v>5</v>
      </c>
      <c r="D774">
        <v>40</v>
      </c>
      <c r="E774">
        <v>88.995000000000005</v>
      </c>
      <c r="F774">
        <f t="shared" si="49"/>
        <v>85.4</v>
      </c>
      <c r="G774">
        <f t="shared" si="51"/>
        <v>4.2096018735362986</v>
      </c>
      <c r="H774">
        <f t="shared" si="52"/>
        <v>4.0395527838642611</v>
      </c>
    </row>
    <row r="775" spans="1:8" x14ac:dyDescent="0.25">
      <c r="A775" t="str">
        <f t="shared" si="50"/>
        <v>Direct,STnet,40</v>
      </c>
      <c r="B775" t="s">
        <v>33</v>
      </c>
      <c r="C775" t="s">
        <v>5</v>
      </c>
      <c r="D775">
        <v>40</v>
      </c>
      <c r="E775">
        <v>80.337999999999994</v>
      </c>
      <c r="F775">
        <f t="shared" si="49"/>
        <v>85.4</v>
      </c>
      <c r="G775">
        <f t="shared" si="51"/>
        <v>5.9274004683840884</v>
      </c>
      <c r="H775">
        <f t="shared" si="52"/>
        <v>6.3008787871244145</v>
      </c>
    </row>
    <row r="776" spans="1:8" x14ac:dyDescent="0.25">
      <c r="A776" t="str">
        <f t="shared" si="50"/>
        <v>Direct,STnet,40</v>
      </c>
      <c r="B776" t="s">
        <v>33</v>
      </c>
      <c r="C776" t="s">
        <v>5</v>
      </c>
      <c r="D776">
        <v>40</v>
      </c>
      <c r="E776">
        <v>81.557000000000002</v>
      </c>
      <c r="F776">
        <f t="shared" si="49"/>
        <v>85.4</v>
      </c>
      <c r="G776">
        <f t="shared" si="51"/>
        <v>4.5000000000000036</v>
      </c>
      <c r="H776">
        <f t="shared" si="52"/>
        <v>4.7120418848167578</v>
      </c>
    </row>
    <row r="777" spans="1:8" x14ac:dyDescent="0.25">
      <c r="A777" t="str">
        <f t="shared" si="50"/>
        <v>Direct,STnet,40</v>
      </c>
      <c r="B777" t="s">
        <v>33</v>
      </c>
      <c r="C777" t="s">
        <v>5</v>
      </c>
      <c r="D777">
        <v>40</v>
      </c>
      <c r="E777">
        <v>90.921999999999997</v>
      </c>
      <c r="F777">
        <f t="shared" si="49"/>
        <v>85.4</v>
      </c>
      <c r="G777">
        <f t="shared" si="51"/>
        <v>6.4660421545667344</v>
      </c>
      <c r="H777">
        <f t="shared" si="52"/>
        <v>6.0733375860627703</v>
      </c>
    </row>
    <row r="778" spans="1:8" x14ac:dyDescent="0.25">
      <c r="A778" t="str">
        <f t="shared" si="50"/>
        <v>Direct,STnet,40</v>
      </c>
      <c r="B778" t="s">
        <v>33</v>
      </c>
      <c r="C778" t="s">
        <v>5</v>
      </c>
      <c r="D778">
        <v>40</v>
      </c>
      <c r="E778">
        <v>96.287000000000006</v>
      </c>
      <c r="F778">
        <f t="shared" si="49"/>
        <v>85.4</v>
      </c>
      <c r="G778">
        <f t="shared" si="51"/>
        <v>12.748243559718968</v>
      </c>
      <c r="H778">
        <f t="shared" si="52"/>
        <v>11.306822312461703</v>
      </c>
    </row>
    <row r="779" spans="1:8" x14ac:dyDescent="0.25">
      <c r="A779" t="str">
        <f t="shared" si="50"/>
        <v>Direct,STnet,40</v>
      </c>
      <c r="B779" t="s">
        <v>33</v>
      </c>
      <c r="C779" t="s">
        <v>5</v>
      </c>
      <c r="D779">
        <v>40</v>
      </c>
      <c r="E779">
        <v>77.411000000000001</v>
      </c>
      <c r="F779">
        <f t="shared" si="49"/>
        <v>85.4</v>
      </c>
      <c r="G779">
        <f t="shared" si="51"/>
        <v>9.3548009367681537</v>
      </c>
      <c r="H779">
        <f t="shared" si="52"/>
        <v>10.320238725762493</v>
      </c>
    </row>
    <row r="780" spans="1:8" x14ac:dyDescent="0.25">
      <c r="A780" t="str">
        <f t="shared" si="50"/>
        <v>Direct,STnet,40</v>
      </c>
      <c r="B780" t="s">
        <v>33</v>
      </c>
      <c r="C780" t="s">
        <v>5</v>
      </c>
      <c r="D780">
        <v>40</v>
      </c>
      <c r="E780">
        <v>81.483999999999995</v>
      </c>
      <c r="F780">
        <f t="shared" si="49"/>
        <v>85.4</v>
      </c>
      <c r="G780">
        <f t="shared" si="51"/>
        <v>4.5854800936768276</v>
      </c>
      <c r="H780">
        <f t="shared" si="52"/>
        <v>4.8058514555004805</v>
      </c>
    </row>
    <row r="781" spans="1:8" x14ac:dyDescent="0.25">
      <c r="A781" t="str">
        <f t="shared" si="50"/>
        <v>Direct,STnet,40</v>
      </c>
      <c r="B781" t="s">
        <v>33</v>
      </c>
      <c r="C781" t="s">
        <v>5</v>
      </c>
      <c r="D781">
        <v>40</v>
      </c>
      <c r="E781">
        <v>82.775999999999996</v>
      </c>
      <c r="F781">
        <f t="shared" si="49"/>
        <v>85.4</v>
      </c>
      <c r="G781">
        <f t="shared" si="51"/>
        <v>3.072599531615936</v>
      </c>
      <c r="H781">
        <f t="shared" si="52"/>
        <v>3.1700009664637205</v>
      </c>
    </row>
    <row r="782" spans="1:8" x14ac:dyDescent="0.25">
      <c r="A782" t="str">
        <f t="shared" si="50"/>
        <v>Direct,STnet,40</v>
      </c>
      <c r="B782" t="s">
        <v>33</v>
      </c>
      <c r="C782" t="s">
        <v>5</v>
      </c>
      <c r="D782">
        <v>40</v>
      </c>
      <c r="E782">
        <v>80.411000000000001</v>
      </c>
      <c r="F782">
        <f t="shared" si="49"/>
        <v>85.4</v>
      </c>
      <c r="G782">
        <f t="shared" si="51"/>
        <v>5.8419203747072652</v>
      </c>
      <c r="H782">
        <f t="shared" si="52"/>
        <v>6.2043750233177102</v>
      </c>
    </row>
    <row r="783" spans="1:8" x14ac:dyDescent="0.25">
      <c r="A783" t="str">
        <f t="shared" si="50"/>
        <v>Direct,STnet,40</v>
      </c>
      <c r="B783" t="s">
        <v>33</v>
      </c>
      <c r="C783" t="s">
        <v>5</v>
      </c>
      <c r="D783">
        <v>40</v>
      </c>
      <c r="E783">
        <v>84.849000000000004</v>
      </c>
      <c r="F783">
        <f t="shared" si="49"/>
        <v>85.4</v>
      </c>
      <c r="G783">
        <f t="shared" si="51"/>
        <v>0.64519906323185239</v>
      </c>
      <c r="H783">
        <f t="shared" si="52"/>
        <v>0.64938891442445035</v>
      </c>
    </row>
    <row r="784" spans="1:8" x14ac:dyDescent="0.25">
      <c r="A784" t="str">
        <f t="shared" si="50"/>
        <v>Direct,STnet,40</v>
      </c>
      <c r="B784" t="s">
        <v>33</v>
      </c>
      <c r="C784" t="s">
        <v>5</v>
      </c>
      <c r="D784">
        <v>40</v>
      </c>
      <c r="E784">
        <v>80.483999999999995</v>
      </c>
      <c r="F784">
        <f t="shared" si="49"/>
        <v>85.4</v>
      </c>
      <c r="G784">
        <f t="shared" si="51"/>
        <v>5.7564402810304571</v>
      </c>
      <c r="H784">
        <f t="shared" si="52"/>
        <v>6.1080463197654336</v>
      </c>
    </row>
    <row r="785" spans="1:8" x14ac:dyDescent="0.25">
      <c r="A785" t="str">
        <f t="shared" si="50"/>
        <v>Direct,STnet,40</v>
      </c>
      <c r="B785" t="s">
        <v>33</v>
      </c>
      <c r="C785" t="s">
        <v>5</v>
      </c>
      <c r="D785">
        <v>40</v>
      </c>
      <c r="E785">
        <v>89.995000000000005</v>
      </c>
      <c r="F785">
        <f t="shared" si="49"/>
        <v>85.4</v>
      </c>
      <c r="G785">
        <f t="shared" si="51"/>
        <v>5.3805620608899281</v>
      </c>
      <c r="H785">
        <f t="shared" si="52"/>
        <v>5.1058392132896255</v>
      </c>
    </row>
    <row r="786" spans="1:8" x14ac:dyDescent="0.25">
      <c r="A786" t="str">
        <f t="shared" si="50"/>
        <v>Direct,STnet,40</v>
      </c>
      <c r="B786" t="s">
        <v>33</v>
      </c>
      <c r="C786" t="s">
        <v>5</v>
      </c>
      <c r="D786">
        <v>40</v>
      </c>
      <c r="E786">
        <v>90.849000000000004</v>
      </c>
      <c r="F786">
        <f t="shared" si="49"/>
        <v>85.4</v>
      </c>
      <c r="G786">
        <f t="shared" si="51"/>
        <v>6.3805620608899272</v>
      </c>
      <c r="H786">
        <f t="shared" si="52"/>
        <v>5.997864588492992</v>
      </c>
    </row>
    <row r="787" spans="1:8" x14ac:dyDescent="0.25">
      <c r="A787" t="str">
        <f t="shared" si="50"/>
        <v>Direct,STnet,40</v>
      </c>
      <c r="B787" t="s">
        <v>33</v>
      </c>
      <c r="C787" t="s">
        <v>5</v>
      </c>
      <c r="D787">
        <v>40</v>
      </c>
      <c r="E787">
        <v>91.921999999999997</v>
      </c>
      <c r="F787">
        <f t="shared" si="49"/>
        <v>85.4</v>
      </c>
      <c r="G787">
        <f t="shared" si="51"/>
        <v>7.6370023419203639</v>
      </c>
      <c r="H787">
        <f t="shared" si="52"/>
        <v>7.0951458845542863</v>
      </c>
    </row>
    <row r="788" spans="1:8" x14ac:dyDescent="0.25">
      <c r="A788" t="str">
        <f t="shared" si="50"/>
        <v>Direct,STnet,40</v>
      </c>
      <c r="B788" t="s">
        <v>33</v>
      </c>
      <c r="C788" t="s">
        <v>5</v>
      </c>
      <c r="D788">
        <v>40</v>
      </c>
      <c r="E788">
        <v>87.995000000000005</v>
      </c>
      <c r="F788">
        <f t="shared" si="49"/>
        <v>85.4</v>
      </c>
      <c r="G788">
        <f t="shared" si="51"/>
        <v>3.0386416861826682</v>
      </c>
      <c r="H788">
        <f t="shared" si="52"/>
        <v>2.9490311949542574</v>
      </c>
    </row>
    <row r="789" spans="1:8" x14ac:dyDescent="0.25">
      <c r="A789" t="str">
        <f t="shared" si="50"/>
        <v>Direct,STnet,40</v>
      </c>
      <c r="B789" t="s">
        <v>33</v>
      </c>
      <c r="C789" t="s">
        <v>5</v>
      </c>
      <c r="D789">
        <v>40</v>
      </c>
      <c r="E789">
        <v>84.849000000000004</v>
      </c>
      <c r="F789">
        <f t="shared" si="49"/>
        <v>85.4</v>
      </c>
      <c r="G789">
        <f t="shared" si="51"/>
        <v>0.64519906323185239</v>
      </c>
      <c r="H789">
        <f t="shared" si="52"/>
        <v>0.64938891442445035</v>
      </c>
    </row>
    <row r="790" spans="1:8" x14ac:dyDescent="0.25">
      <c r="A790" t="str">
        <f t="shared" si="50"/>
        <v>Direct,STnet,40</v>
      </c>
      <c r="B790" t="s">
        <v>33</v>
      </c>
      <c r="C790" t="s">
        <v>5</v>
      </c>
      <c r="D790">
        <v>40</v>
      </c>
      <c r="E790">
        <v>67.39</v>
      </c>
      <c r="F790">
        <f t="shared" si="49"/>
        <v>85.4</v>
      </c>
      <c r="G790">
        <f t="shared" si="51"/>
        <v>21.088992974238881</v>
      </c>
      <c r="H790">
        <f t="shared" si="52"/>
        <v>26.725033387742997</v>
      </c>
    </row>
    <row r="791" spans="1:8" x14ac:dyDescent="0.25">
      <c r="A791" t="str">
        <f t="shared" si="50"/>
        <v>Direct,STnet,40</v>
      </c>
      <c r="B791" t="s">
        <v>33</v>
      </c>
      <c r="C791" t="s">
        <v>5</v>
      </c>
      <c r="D791">
        <v>40</v>
      </c>
      <c r="E791">
        <v>90.995000000000005</v>
      </c>
      <c r="F791">
        <f t="shared" si="49"/>
        <v>85.4</v>
      </c>
      <c r="G791">
        <f t="shared" si="51"/>
        <v>6.5515222482435576</v>
      </c>
      <c r="H791">
        <f t="shared" si="52"/>
        <v>6.1486894884334289</v>
      </c>
    </row>
    <row r="792" spans="1:8" x14ac:dyDescent="0.25">
      <c r="A792" t="str">
        <f t="shared" si="50"/>
        <v>Direct,STnet,40</v>
      </c>
      <c r="B792" t="s">
        <v>33</v>
      </c>
      <c r="C792" t="s">
        <v>5</v>
      </c>
      <c r="D792">
        <v>40</v>
      </c>
      <c r="E792">
        <v>84.411000000000001</v>
      </c>
      <c r="F792">
        <f t="shared" si="49"/>
        <v>85.4</v>
      </c>
      <c r="G792">
        <f t="shared" si="51"/>
        <v>1.158079625292745</v>
      </c>
      <c r="H792">
        <f t="shared" si="52"/>
        <v>1.1716482448969971</v>
      </c>
    </row>
    <row r="793" spans="1:8" x14ac:dyDescent="0.25">
      <c r="A793" t="str">
        <f t="shared" si="50"/>
        <v>Direct,STnet,40</v>
      </c>
      <c r="B793" t="s">
        <v>33</v>
      </c>
      <c r="C793" t="s">
        <v>5</v>
      </c>
      <c r="D793">
        <v>40</v>
      </c>
      <c r="E793">
        <v>84.557000000000002</v>
      </c>
      <c r="F793">
        <f t="shared" si="49"/>
        <v>85.4</v>
      </c>
      <c r="G793">
        <f t="shared" si="51"/>
        <v>0.98711943793911416</v>
      </c>
      <c r="H793">
        <f t="shared" si="52"/>
        <v>0.99696063010750557</v>
      </c>
    </row>
    <row r="794" spans="1:8" x14ac:dyDescent="0.25">
      <c r="A794" t="str">
        <f t="shared" si="50"/>
        <v>Direct,STnet,40</v>
      </c>
      <c r="B794" t="s">
        <v>33</v>
      </c>
      <c r="C794" t="s">
        <v>5</v>
      </c>
      <c r="D794">
        <v>40</v>
      </c>
      <c r="E794">
        <v>92.287000000000006</v>
      </c>
      <c r="F794">
        <f t="shared" si="49"/>
        <v>85.4</v>
      </c>
      <c r="G794">
        <f t="shared" si="51"/>
        <v>8.0644028103044505</v>
      </c>
      <c r="H794">
        <f t="shared" si="52"/>
        <v>7.4625895304864169</v>
      </c>
    </row>
    <row r="795" spans="1:8" x14ac:dyDescent="0.25">
      <c r="A795" t="str">
        <f t="shared" si="50"/>
        <v>Direct,STnet,40</v>
      </c>
      <c r="B795" t="s">
        <v>33</v>
      </c>
      <c r="C795" t="s">
        <v>5</v>
      </c>
      <c r="D795">
        <v>40</v>
      </c>
      <c r="E795">
        <v>78.12</v>
      </c>
      <c r="F795">
        <f t="shared" si="49"/>
        <v>85.4</v>
      </c>
      <c r="G795">
        <f t="shared" si="51"/>
        <v>8.5245901639344268</v>
      </c>
      <c r="H795">
        <f t="shared" si="52"/>
        <v>9.3189964157706093</v>
      </c>
    </row>
    <row r="796" spans="1:8" x14ac:dyDescent="0.25">
      <c r="A796" t="str">
        <f t="shared" si="50"/>
        <v>Direct,STnet,40</v>
      </c>
      <c r="B796" t="s">
        <v>33</v>
      </c>
      <c r="C796" t="s">
        <v>5</v>
      </c>
      <c r="D796">
        <v>40</v>
      </c>
      <c r="E796">
        <v>82.703000000000003</v>
      </c>
      <c r="F796">
        <f t="shared" si="49"/>
        <v>85.4</v>
      </c>
      <c r="G796">
        <f t="shared" si="51"/>
        <v>3.1580796252927432</v>
      </c>
      <c r="H796">
        <f t="shared" si="52"/>
        <v>3.2610667085837304</v>
      </c>
    </row>
    <row r="797" spans="1:8" x14ac:dyDescent="0.25">
      <c r="A797" t="str">
        <f t="shared" si="50"/>
        <v>Direct,STnet,40</v>
      </c>
      <c r="B797" t="s">
        <v>33</v>
      </c>
      <c r="C797" t="s">
        <v>5</v>
      </c>
      <c r="D797">
        <v>40</v>
      </c>
      <c r="E797">
        <v>85.483999999999995</v>
      </c>
      <c r="F797">
        <f t="shared" si="49"/>
        <v>85.4</v>
      </c>
      <c r="G797">
        <f t="shared" si="51"/>
        <v>9.8360655737691996E-2</v>
      </c>
      <c r="H797">
        <f t="shared" si="52"/>
        <v>9.8264002620360516E-2</v>
      </c>
    </row>
    <row r="798" spans="1:8" x14ac:dyDescent="0.25">
      <c r="A798" t="str">
        <f t="shared" si="50"/>
        <v>Direct,STnet,40</v>
      </c>
      <c r="B798" t="s">
        <v>33</v>
      </c>
      <c r="C798" t="s">
        <v>5</v>
      </c>
      <c r="D798">
        <v>40</v>
      </c>
      <c r="E798">
        <v>80.63</v>
      </c>
      <c r="F798">
        <f t="shared" si="49"/>
        <v>85.4</v>
      </c>
      <c r="G798">
        <f t="shared" si="51"/>
        <v>5.5854800936768267</v>
      </c>
      <c r="H798">
        <f t="shared" si="52"/>
        <v>5.9159121914920139</v>
      </c>
    </row>
    <row r="799" spans="1:8" x14ac:dyDescent="0.25">
      <c r="A799" t="str">
        <f t="shared" si="50"/>
        <v>Direct,STnet,40</v>
      </c>
      <c r="B799" t="s">
        <v>33</v>
      </c>
      <c r="C799" t="s">
        <v>5</v>
      </c>
      <c r="D799">
        <v>40</v>
      </c>
      <c r="E799">
        <v>79.046999999999997</v>
      </c>
      <c r="F799">
        <f t="shared" si="49"/>
        <v>85.4</v>
      </c>
      <c r="G799">
        <f t="shared" si="51"/>
        <v>7.4391100702576205</v>
      </c>
      <c r="H799">
        <f t="shared" si="52"/>
        <v>8.0369906511316156</v>
      </c>
    </row>
    <row r="800" spans="1:8" x14ac:dyDescent="0.25">
      <c r="A800" t="str">
        <f t="shared" si="50"/>
        <v>Direct,STnet,40</v>
      </c>
      <c r="B800" t="s">
        <v>33</v>
      </c>
      <c r="C800" t="s">
        <v>5</v>
      </c>
      <c r="D800">
        <v>40</v>
      </c>
      <c r="E800">
        <v>70.900999999999996</v>
      </c>
      <c r="F800">
        <f t="shared" si="49"/>
        <v>85.4</v>
      </c>
      <c r="G800">
        <f t="shared" si="51"/>
        <v>16.977751756440291</v>
      </c>
      <c r="H800">
        <f t="shared" si="52"/>
        <v>20.449641048786347</v>
      </c>
    </row>
    <row r="801" spans="1:8" x14ac:dyDescent="0.25">
      <c r="A801" t="str">
        <f t="shared" si="50"/>
        <v>Direct,STnet,40</v>
      </c>
      <c r="B801" t="s">
        <v>33</v>
      </c>
      <c r="C801" t="s">
        <v>5</v>
      </c>
      <c r="D801">
        <v>40</v>
      </c>
      <c r="E801">
        <v>89.775999999999996</v>
      </c>
      <c r="F801">
        <f t="shared" si="49"/>
        <v>85.4</v>
      </c>
      <c r="G801">
        <f t="shared" si="51"/>
        <v>5.1241217798594727</v>
      </c>
      <c r="H801">
        <f t="shared" si="52"/>
        <v>4.8743539476029127</v>
      </c>
    </row>
    <row r="802" spans="1:8" x14ac:dyDescent="0.25">
      <c r="A802" t="str">
        <f t="shared" si="50"/>
        <v>Direct,STnet,40</v>
      </c>
      <c r="B802" t="s">
        <v>33</v>
      </c>
      <c r="C802" t="s">
        <v>5</v>
      </c>
      <c r="D802">
        <v>40</v>
      </c>
      <c r="E802">
        <v>93.067999999999998</v>
      </c>
      <c r="F802">
        <f t="shared" si="49"/>
        <v>85.4</v>
      </c>
      <c r="G802">
        <f t="shared" si="51"/>
        <v>8.9789227166276238</v>
      </c>
      <c r="H802">
        <f t="shared" si="52"/>
        <v>8.2391369751149615</v>
      </c>
    </row>
    <row r="803" spans="1:8" x14ac:dyDescent="0.25">
      <c r="A803" t="str">
        <f t="shared" si="50"/>
        <v>Direct,STnet,60</v>
      </c>
      <c r="B803" t="s">
        <v>33</v>
      </c>
      <c r="C803" t="s">
        <v>5</v>
      </c>
      <c r="D803">
        <v>60</v>
      </c>
      <c r="E803">
        <v>110.57899999999999</v>
      </c>
      <c r="F803">
        <f t="shared" si="49"/>
        <v>113.5</v>
      </c>
      <c r="G803">
        <f t="shared" si="51"/>
        <v>2.5735682819383316</v>
      </c>
      <c r="H803">
        <f t="shared" si="52"/>
        <v>2.6415503847927786</v>
      </c>
    </row>
    <row r="804" spans="1:8" x14ac:dyDescent="0.25">
      <c r="A804" t="str">
        <f t="shared" si="50"/>
        <v>Direct,STnet,60</v>
      </c>
      <c r="B804" t="s">
        <v>33</v>
      </c>
      <c r="C804" t="s">
        <v>5</v>
      </c>
      <c r="D804">
        <v>60</v>
      </c>
      <c r="E804">
        <v>122.747</v>
      </c>
      <c r="F804">
        <f t="shared" si="49"/>
        <v>113.5</v>
      </c>
      <c r="G804">
        <f t="shared" si="51"/>
        <v>8.1471365638766517</v>
      </c>
      <c r="H804">
        <f t="shared" si="52"/>
        <v>7.5333816712424744</v>
      </c>
    </row>
    <row r="805" spans="1:8" x14ac:dyDescent="0.25">
      <c r="A805" t="str">
        <f t="shared" si="50"/>
        <v>Direct,STnet,60</v>
      </c>
      <c r="B805" t="s">
        <v>33</v>
      </c>
      <c r="C805" t="s">
        <v>5</v>
      </c>
      <c r="D805">
        <v>60</v>
      </c>
      <c r="E805">
        <v>113.309</v>
      </c>
      <c r="F805">
        <f t="shared" si="49"/>
        <v>113.5</v>
      </c>
      <c r="G805">
        <f t="shared" si="51"/>
        <v>0.16828193832599339</v>
      </c>
      <c r="H805">
        <f t="shared" si="52"/>
        <v>0.16856560379140448</v>
      </c>
    </row>
    <row r="806" spans="1:8" x14ac:dyDescent="0.25">
      <c r="A806" t="str">
        <f t="shared" si="50"/>
        <v>Direct,STnet,60</v>
      </c>
      <c r="B806" t="s">
        <v>33</v>
      </c>
      <c r="C806" t="s">
        <v>5</v>
      </c>
      <c r="D806">
        <v>60</v>
      </c>
      <c r="E806">
        <v>113.309</v>
      </c>
      <c r="F806">
        <f t="shared" si="49"/>
        <v>113.5</v>
      </c>
      <c r="G806">
        <f t="shared" si="51"/>
        <v>0.16828193832599339</v>
      </c>
      <c r="H806">
        <f t="shared" si="52"/>
        <v>0.16856560379140448</v>
      </c>
    </row>
    <row r="807" spans="1:8" x14ac:dyDescent="0.25">
      <c r="A807" t="str">
        <f t="shared" si="50"/>
        <v>Direct,STnet,60</v>
      </c>
      <c r="B807" t="s">
        <v>33</v>
      </c>
      <c r="C807" t="s">
        <v>5</v>
      </c>
      <c r="D807">
        <v>60</v>
      </c>
      <c r="E807">
        <v>114.017</v>
      </c>
      <c r="F807">
        <f t="shared" si="49"/>
        <v>113.5</v>
      </c>
      <c r="G807">
        <f t="shared" si="51"/>
        <v>0.45550660792951181</v>
      </c>
      <c r="H807">
        <f t="shared" si="52"/>
        <v>0.45344115351219194</v>
      </c>
    </row>
    <row r="808" spans="1:8" x14ac:dyDescent="0.25">
      <c r="A808" t="str">
        <f t="shared" si="50"/>
        <v>Direct,STnet,60</v>
      </c>
      <c r="B808" t="s">
        <v>33</v>
      </c>
      <c r="C808" t="s">
        <v>5</v>
      </c>
      <c r="D808">
        <v>60</v>
      </c>
      <c r="E808">
        <v>104.72499999999999</v>
      </c>
      <c r="F808">
        <f t="shared" si="49"/>
        <v>113.5</v>
      </c>
      <c r="G808">
        <f t="shared" si="51"/>
        <v>7.7312775330396528</v>
      </c>
      <c r="H808">
        <f t="shared" si="52"/>
        <v>8.3790880878491354</v>
      </c>
    </row>
    <row r="809" spans="1:8" x14ac:dyDescent="0.25">
      <c r="A809" t="str">
        <f t="shared" si="50"/>
        <v>Direct,STnet,60</v>
      </c>
      <c r="B809" t="s">
        <v>33</v>
      </c>
      <c r="C809" t="s">
        <v>5</v>
      </c>
      <c r="D809">
        <v>60</v>
      </c>
      <c r="E809">
        <v>115.309</v>
      </c>
      <c r="F809">
        <f t="shared" si="49"/>
        <v>113.5</v>
      </c>
      <c r="G809">
        <f t="shared" si="51"/>
        <v>1.5938325991189404</v>
      </c>
      <c r="H809">
        <f t="shared" si="52"/>
        <v>1.568828105351705</v>
      </c>
    </row>
    <row r="810" spans="1:8" x14ac:dyDescent="0.25">
      <c r="A810" t="str">
        <f t="shared" si="50"/>
        <v>Direct,STnet,60</v>
      </c>
      <c r="B810" t="s">
        <v>33</v>
      </c>
      <c r="C810" t="s">
        <v>5</v>
      </c>
      <c r="D810">
        <v>60</v>
      </c>
      <c r="E810">
        <v>126.331</v>
      </c>
      <c r="F810">
        <f t="shared" si="49"/>
        <v>113.5</v>
      </c>
      <c r="G810">
        <f t="shared" si="51"/>
        <v>11.304845814977977</v>
      </c>
      <c r="H810">
        <f t="shared" si="52"/>
        <v>10.156651969825301</v>
      </c>
    </row>
    <row r="811" spans="1:8" x14ac:dyDescent="0.25">
      <c r="A811" t="str">
        <f t="shared" si="50"/>
        <v>Direct,STnet,60</v>
      </c>
      <c r="B811" t="s">
        <v>33</v>
      </c>
      <c r="C811" t="s">
        <v>5</v>
      </c>
      <c r="D811">
        <v>60</v>
      </c>
      <c r="E811">
        <v>111.309</v>
      </c>
      <c r="F811">
        <f t="shared" si="49"/>
        <v>113.5</v>
      </c>
      <c r="G811">
        <f t="shared" si="51"/>
        <v>1.9303964757709273</v>
      </c>
      <c r="H811">
        <f t="shared" si="52"/>
        <v>1.968394289769922</v>
      </c>
    </row>
    <row r="812" spans="1:8" x14ac:dyDescent="0.25">
      <c r="A812" t="str">
        <f t="shared" si="50"/>
        <v>Direct,STnet,60</v>
      </c>
      <c r="B812" t="s">
        <v>33</v>
      </c>
      <c r="C812" t="s">
        <v>5</v>
      </c>
      <c r="D812">
        <v>60</v>
      </c>
      <c r="E812">
        <v>118.38200000000001</v>
      </c>
      <c r="F812">
        <f t="shared" si="49"/>
        <v>113.5</v>
      </c>
      <c r="G812">
        <f t="shared" si="51"/>
        <v>4.3013215859030884</v>
      </c>
      <c r="H812">
        <f t="shared" si="52"/>
        <v>4.1239377608082348</v>
      </c>
    </row>
    <row r="813" spans="1:8" x14ac:dyDescent="0.25">
      <c r="A813" t="str">
        <f t="shared" si="50"/>
        <v>Direct,STnet,60</v>
      </c>
      <c r="B813" t="s">
        <v>33</v>
      </c>
      <c r="C813" t="s">
        <v>5</v>
      </c>
      <c r="D813">
        <v>60</v>
      </c>
      <c r="E813">
        <v>100.43300000000001</v>
      </c>
      <c r="F813">
        <f t="shared" si="49"/>
        <v>113.5</v>
      </c>
      <c r="G813">
        <f t="shared" si="51"/>
        <v>11.512775330396471</v>
      </c>
      <c r="H813">
        <f t="shared" si="52"/>
        <v>13.010663825634994</v>
      </c>
    </row>
    <row r="814" spans="1:8" x14ac:dyDescent="0.25">
      <c r="A814" t="str">
        <f t="shared" si="50"/>
        <v>Direct,STnet,60</v>
      </c>
      <c r="B814" t="s">
        <v>33</v>
      </c>
      <c r="C814" t="s">
        <v>5</v>
      </c>
      <c r="D814">
        <v>60</v>
      </c>
      <c r="E814">
        <v>118.38200000000001</v>
      </c>
      <c r="F814">
        <f t="shared" si="49"/>
        <v>113.5</v>
      </c>
      <c r="G814">
        <f t="shared" si="51"/>
        <v>4.3013215859030884</v>
      </c>
      <c r="H814">
        <f t="shared" si="52"/>
        <v>4.1239377608082348</v>
      </c>
    </row>
    <row r="815" spans="1:8" x14ac:dyDescent="0.25">
      <c r="A815" t="str">
        <f t="shared" si="50"/>
        <v>Direct,STnet,60</v>
      </c>
      <c r="B815" t="s">
        <v>33</v>
      </c>
      <c r="C815" t="s">
        <v>5</v>
      </c>
      <c r="D815">
        <v>60</v>
      </c>
      <c r="E815">
        <v>124.747</v>
      </c>
      <c r="F815">
        <f t="shared" si="49"/>
        <v>113.5</v>
      </c>
      <c r="G815">
        <f t="shared" si="51"/>
        <v>9.9092511013215852</v>
      </c>
      <c r="H815">
        <f t="shared" si="52"/>
        <v>9.0158480765068489</v>
      </c>
    </row>
    <row r="816" spans="1:8" x14ac:dyDescent="0.25">
      <c r="A816" t="str">
        <f t="shared" si="50"/>
        <v>Direct,STnet,60</v>
      </c>
      <c r="B816" t="s">
        <v>33</v>
      </c>
      <c r="C816" t="s">
        <v>5</v>
      </c>
      <c r="D816">
        <v>60</v>
      </c>
      <c r="E816">
        <v>114.38200000000001</v>
      </c>
      <c r="F816">
        <f t="shared" si="49"/>
        <v>113.5</v>
      </c>
      <c r="G816">
        <f t="shared" si="51"/>
        <v>0.7770925110132203</v>
      </c>
      <c r="H816">
        <f t="shared" si="52"/>
        <v>0.77110034795685067</v>
      </c>
    </row>
    <row r="817" spans="1:8" x14ac:dyDescent="0.25">
      <c r="A817" t="str">
        <f t="shared" si="50"/>
        <v>Direct,STnet,60</v>
      </c>
      <c r="B817" t="s">
        <v>33</v>
      </c>
      <c r="C817" t="s">
        <v>5</v>
      </c>
      <c r="D817">
        <v>60</v>
      </c>
      <c r="E817">
        <v>120.309</v>
      </c>
      <c r="F817">
        <f t="shared" si="49"/>
        <v>113.5</v>
      </c>
      <c r="G817">
        <f t="shared" si="51"/>
        <v>5.9991189427312754</v>
      </c>
      <c r="H817">
        <f t="shared" si="52"/>
        <v>5.6595932141402541</v>
      </c>
    </row>
    <row r="818" spans="1:8" x14ac:dyDescent="0.25">
      <c r="A818" t="str">
        <f t="shared" si="50"/>
        <v>Direct,STnet,60</v>
      </c>
      <c r="B818" t="s">
        <v>33</v>
      </c>
      <c r="C818" t="s">
        <v>5</v>
      </c>
      <c r="D818">
        <v>60</v>
      </c>
      <c r="E818">
        <v>106.017</v>
      </c>
      <c r="F818">
        <f t="shared" si="49"/>
        <v>113.5</v>
      </c>
      <c r="G818">
        <f t="shared" si="51"/>
        <v>6.5929515418502245</v>
      </c>
      <c r="H818">
        <f t="shared" si="52"/>
        <v>7.0583019704387073</v>
      </c>
    </row>
    <row r="819" spans="1:8" x14ac:dyDescent="0.25">
      <c r="A819" t="str">
        <f t="shared" si="50"/>
        <v>Direct,STnet,60</v>
      </c>
      <c r="B819" t="s">
        <v>33</v>
      </c>
      <c r="C819" t="s">
        <v>5</v>
      </c>
      <c r="D819">
        <v>60</v>
      </c>
      <c r="E819">
        <v>112.236</v>
      </c>
      <c r="F819">
        <f t="shared" si="49"/>
        <v>113.5</v>
      </c>
      <c r="G819">
        <f t="shared" si="51"/>
        <v>1.1136563876651946</v>
      </c>
      <c r="H819">
        <f t="shared" si="52"/>
        <v>1.1261983677251468</v>
      </c>
    </row>
    <row r="820" spans="1:8" x14ac:dyDescent="0.25">
      <c r="A820" t="str">
        <f t="shared" si="50"/>
        <v>Direct,STnet,60</v>
      </c>
      <c r="B820" t="s">
        <v>33</v>
      </c>
      <c r="C820" t="s">
        <v>5</v>
      </c>
      <c r="D820">
        <v>60</v>
      </c>
      <c r="E820">
        <v>109.652</v>
      </c>
      <c r="F820">
        <f t="shared" si="49"/>
        <v>113.5</v>
      </c>
      <c r="G820">
        <f t="shared" si="51"/>
        <v>3.3903083700440519</v>
      </c>
      <c r="H820">
        <f t="shared" si="52"/>
        <v>3.5092839163900331</v>
      </c>
    </row>
    <row r="821" spans="1:8" x14ac:dyDescent="0.25">
      <c r="A821" t="str">
        <f t="shared" si="50"/>
        <v>Direct,STnet,60</v>
      </c>
      <c r="B821" t="s">
        <v>33</v>
      </c>
      <c r="C821" t="s">
        <v>5</v>
      </c>
      <c r="D821">
        <v>60</v>
      </c>
      <c r="E821">
        <v>111.09</v>
      </c>
      <c r="F821">
        <f t="shared" si="49"/>
        <v>113.5</v>
      </c>
      <c r="G821">
        <f t="shared" si="51"/>
        <v>2.1233480176211423</v>
      </c>
      <c r="H821">
        <f t="shared" si="52"/>
        <v>2.1694121883157771</v>
      </c>
    </row>
    <row r="822" spans="1:8" x14ac:dyDescent="0.25">
      <c r="A822" t="str">
        <f t="shared" si="50"/>
        <v>Direct,STnet,60</v>
      </c>
      <c r="B822" t="s">
        <v>33</v>
      </c>
      <c r="C822" t="s">
        <v>5</v>
      </c>
      <c r="D822">
        <v>60</v>
      </c>
      <c r="E822">
        <v>117.309</v>
      </c>
      <c r="F822">
        <f t="shared" si="49"/>
        <v>113.5</v>
      </c>
      <c r="G822">
        <f t="shared" si="51"/>
        <v>3.355947136563874</v>
      </c>
      <c r="H822">
        <f t="shared" si="52"/>
        <v>3.2469801975977952</v>
      </c>
    </row>
    <row r="823" spans="1:8" x14ac:dyDescent="0.25">
      <c r="A823" t="str">
        <f t="shared" si="50"/>
        <v>Direct,STnet,60</v>
      </c>
      <c r="B823" t="s">
        <v>33</v>
      </c>
      <c r="C823" t="s">
        <v>5</v>
      </c>
      <c r="D823">
        <v>60</v>
      </c>
      <c r="E823">
        <v>107.652</v>
      </c>
      <c r="F823">
        <f t="shared" si="49"/>
        <v>113.5</v>
      </c>
      <c r="G823">
        <f t="shared" si="51"/>
        <v>5.1524229074889858</v>
      </c>
      <c r="H823">
        <f t="shared" si="52"/>
        <v>5.4323189536655141</v>
      </c>
    </row>
    <row r="824" spans="1:8" x14ac:dyDescent="0.25">
      <c r="A824" t="str">
        <f t="shared" si="50"/>
        <v>Direct,STnet,60</v>
      </c>
      <c r="B824" t="s">
        <v>33</v>
      </c>
      <c r="C824" t="s">
        <v>5</v>
      </c>
      <c r="D824">
        <v>60</v>
      </c>
      <c r="E824">
        <v>114.163</v>
      </c>
      <c r="F824">
        <f t="shared" si="49"/>
        <v>113.5</v>
      </c>
      <c r="G824">
        <f t="shared" si="51"/>
        <v>0.58414096916299263</v>
      </c>
      <c r="H824">
        <f t="shared" si="52"/>
        <v>0.58074857878646913</v>
      </c>
    </row>
    <row r="825" spans="1:8" x14ac:dyDescent="0.25">
      <c r="A825" t="str">
        <f t="shared" si="50"/>
        <v>Direct,STnet,60</v>
      </c>
      <c r="B825" t="s">
        <v>33</v>
      </c>
      <c r="C825" t="s">
        <v>5</v>
      </c>
      <c r="D825">
        <v>60</v>
      </c>
      <c r="E825">
        <v>123.601</v>
      </c>
      <c r="F825">
        <f t="shared" si="49"/>
        <v>113.5</v>
      </c>
      <c r="G825">
        <f t="shared" si="51"/>
        <v>8.8995594713656381</v>
      </c>
      <c r="H825">
        <f t="shared" si="52"/>
        <v>8.1722639784467752</v>
      </c>
    </row>
    <row r="826" spans="1:8" x14ac:dyDescent="0.25">
      <c r="A826" t="str">
        <f t="shared" si="50"/>
        <v>Direct,STnet,60</v>
      </c>
      <c r="B826" t="s">
        <v>33</v>
      </c>
      <c r="C826" t="s">
        <v>5</v>
      </c>
      <c r="D826">
        <v>60</v>
      </c>
      <c r="E826">
        <v>135.33099999999999</v>
      </c>
      <c r="F826">
        <f t="shared" si="49"/>
        <v>113.5</v>
      </c>
      <c r="G826">
        <f t="shared" si="51"/>
        <v>19.234361233480165</v>
      </c>
      <c r="H826">
        <f t="shared" si="52"/>
        <v>16.131558918503515</v>
      </c>
    </row>
    <row r="827" spans="1:8" x14ac:dyDescent="0.25">
      <c r="A827" t="str">
        <f t="shared" si="50"/>
        <v>Direct,STnet,60</v>
      </c>
      <c r="B827" t="s">
        <v>33</v>
      </c>
      <c r="C827" t="s">
        <v>5</v>
      </c>
      <c r="D827">
        <v>60</v>
      </c>
      <c r="E827">
        <v>106.28700000000001</v>
      </c>
      <c r="F827">
        <f t="shared" si="49"/>
        <v>113.5</v>
      </c>
      <c r="G827">
        <f t="shared" si="51"/>
        <v>6.355066079295149</v>
      </c>
      <c r="H827">
        <f t="shared" si="52"/>
        <v>6.7863426383282937</v>
      </c>
    </row>
    <row r="828" spans="1:8" x14ac:dyDescent="0.25">
      <c r="A828" t="str">
        <f t="shared" si="50"/>
        <v>Direct,STnet,60</v>
      </c>
      <c r="B828" t="s">
        <v>33</v>
      </c>
      <c r="C828" t="s">
        <v>5</v>
      </c>
      <c r="D828">
        <v>60</v>
      </c>
      <c r="E828">
        <v>123.82</v>
      </c>
      <c r="F828">
        <f t="shared" si="49"/>
        <v>113.5</v>
      </c>
      <c r="G828">
        <f t="shared" si="51"/>
        <v>9.0925110132158515</v>
      </c>
      <c r="H828">
        <f t="shared" si="52"/>
        <v>8.3346793732837945</v>
      </c>
    </row>
    <row r="829" spans="1:8" x14ac:dyDescent="0.25">
      <c r="A829" t="str">
        <f t="shared" si="50"/>
        <v>Direct,STnet,60</v>
      </c>
      <c r="B829" t="s">
        <v>33</v>
      </c>
      <c r="C829" t="s">
        <v>5</v>
      </c>
      <c r="D829">
        <v>60</v>
      </c>
      <c r="E829">
        <v>122.67400000000001</v>
      </c>
      <c r="F829">
        <f t="shared" si="49"/>
        <v>113.5</v>
      </c>
      <c r="G829">
        <f t="shared" si="51"/>
        <v>8.0828193832599169</v>
      </c>
      <c r="H829">
        <f t="shared" si="52"/>
        <v>7.4783572721196068</v>
      </c>
    </row>
    <row r="830" spans="1:8" x14ac:dyDescent="0.25">
      <c r="A830" t="str">
        <f t="shared" si="50"/>
        <v>Direct,STnet,60</v>
      </c>
      <c r="B830" t="s">
        <v>33</v>
      </c>
      <c r="C830" t="s">
        <v>5</v>
      </c>
      <c r="D830">
        <v>60</v>
      </c>
      <c r="E830">
        <v>111.871</v>
      </c>
      <c r="F830">
        <f t="shared" si="49"/>
        <v>113.5</v>
      </c>
      <c r="G830">
        <f t="shared" si="51"/>
        <v>1.4352422907489031</v>
      </c>
      <c r="H830">
        <f t="shared" si="52"/>
        <v>1.4561414486328048</v>
      </c>
    </row>
    <row r="831" spans="1:8" x14ac:dyDescent="0.25">
      <c r="A831" t="str">
        <f t="shared" si="50"/>
        <v>Direct,STnet,60</v>
      </c>
      <c r="B831" t="s">
        <v>33</v>
      </c>
      <c r="C831" t="s">
        <v>5</v>
      </c>
      <c r="D831">
        <v>60</v>
      </c>
      <c r="E831">
        <v>116.67400000000001</v>
      </c>
      <c r="F831">
        <f t="shared" si="49"/>
        <v>113.5</v>
      </c>
      <c r="G831">
        <f t="shared" si="51"/>
        <v>2.7964757709251162</v>
      </c>
      <c r="H831">
        <f t="shared" si="52"/>
        <v>2.7204004319728528</v>
      </c>
    </row>
    <row r="832" spans="1:8" x14ac:dyDescent="0.25">
      <c r="A832" t="str">
        <f t="shared" si="50"/>
        <v>Direct,STnet,60</v>
      </c>
      <c r="B832" t="s">
        <v>33</v>
      </c>
      <c r="C832" t="s">
        <v>5</v>
      </c>
      <c r="D832">
        <v>60</v>
      </c>
      <c r="E832">
        <v>108.652</v>
      </c>
      <c r="F832">
        <f t="shared" si="49"/>
        <v>113.5</v>
      </c>
      <c r="G832">
        <f t="shared" si="51"/>
        <v>4.2713656387665191</v>
      </c>
      <c r="H832">
        <f t="shared" si="52"/>
        <v>4.4619519198910274</v>
      </c>
    </row>
    <row r="833" spans="1:8" x14ac:dyDescent="0.25">
      <c r="A833" t="str">
        <f t="shared" si="50"/>
        <v>Direct,STnet,60</v>
      </c>
      <c r="B833" t="s">
        <v>33</v>
      </c>
      <c r="C833" t="s">
        <v>5</v>
      </c>
      <c r="D833">
        <v>60</v>
      </c>
      <c r="E833">
        <v>116.944</v>
      </c>
      <c r="F833">
        <f t="shared" si="49"/>
        <v>113.5</v>
      </c>
      <c r="G833">
        <f t="shared" si="51"/>
        <v>3.0343612334801784</v>
      </c>
      <c r="H833">
        <f t="shared" si="52"/>
        <v>2.9449993159118915</v>
      </c>
    </row>
    <row r="834" spans="1:8" x14ac:dyDescent="0.25">
      <c r="A834" t="str">
        <f t="shared" si="50"/>
        <v>Direct,STnet,60</v>
      </c>
      <c r="B834" t="s">
        <v>33</v>
      </c>
      <c r="C834" t="s">
        <v>5</v>
      </c>
      <c r="D834">
        <v>60</v>
      </c>
      <c r="E834">
        <v>112.017</v>
      </c>
      <c r="F834">
        <f t="shared" si="49"/>
        <v>113.5</v>
      </c>
      <c r="G834">
        <f t="shared" si="51"/>
        <v>1.3066079295154223</v>
      </c>
      <c r="H834">
        <f t="shared" si="52"/>
        <v>1.3239061928100235</v>
      </c>
    </row>
    <row r="835" spans="1:8" x14ac:dyDescent="0.25">
      <c r="A835" t="str">
        <f t="shared" si="50"/>
        <v>Direct,STnet,60</v>
      </c>
      <c r="B835" t="s">
        <v>33</v>
      </c>
      <c r="C835" t="s">
        <v>5</v>
      </c>
      <c r="D835">
        <v>60</v>
      </c>
      <c r="E835">
        <v>130.96600000000001</v>
      </c>
      <c r="F835">
        <f t="shared" ref="F835:F898" si="53">_xlfn.XLOOKUP(A835,$J$3:$J$36,$N$3:$N$36)</f>
        <v>113.5</v>
      </c>
      <c r="G835">
        <f t="shared" si="51"/>
        <v>15.388546255506617</v>
      </c>
      <c r="H835">
        <f t="shared" si="52"/>
        <v>13.336285753554364</v>
      </c>
    </row>
    <row r="836" spans="1:8" x14ac:dyDescent="0.25">
      <c r="A836" t="str">
        <f t="shared" ref="A836:A899" si="54">B836&amp;","&amp;C836&amp;","&amp;D836</f>
        <v>Direct,STnet,60</v>
      </c>
      <c r="B836" t="s">
        <v>33</v>
      </c>
      <c r="C836" t="s">
        <v>5</v>
      </c>
      <c r="D836">
        <v>60</v>
      </c>
      <c r="E836">
        <v>128.03899999999999</v>
      </c>
      <c r="F836">
        <f t="shared" si="53"/>
        <v>113.5</v>
      </c>
      <c r="G836">
        <f t="shared" ref="G836:G899" si="55">ABS((E836-F836)/F836)*100</f>
        <v>12.809691629955935</v>
      </c>
      <c r="H836">
        <f t="shared" ref="H836:H899" si="56">ABS((F836-E836)/E836)*100</f>
        <v>11.355133982614664</v>
      </c>
    </row>
    <row r="837" spans="1:8" x14ac:dyDescent="0.25">
      <c r="A837" t="str">
        <f t="shared" si="54"/>
        <v>Direct,STnet,60</v>
      </c>
      <c r="B837" t="s">
        <v>33</v>
      </c>
      <c r="C837" t="s">
        <v>5</v>
      </c>
      <c r="D837">
        <v>60</v>
      </c>
      <c r="E837">
        <v>123.82</v>
      </c>
      <c r="F837">
        <f t="shared" si="53"/>
        <v>113.5</v>
      </c>
      <c r="G837">
        <f t="shared" si="55"/>
        <v>9.0925110132158515</v>
      </c>
      <c r="H837">
        <f t="shared" si="56"/>
        <v>8.3346793732837945</v>
      </c>
    </row>
    <row r="838" spans="1:8" x14ac:dyDescent="0.25">
      <c r="A838" t="str">
        <f t="shared" si="54"/>
        <v>Direct,STnet,60</v>
      </c>
      <c r="B838" t="s">
        <v>33</v>
      </c>
      <c r="C838" t="s">
        <v>5</v>
      </c>
      <c r="D838">
        <v>60</v>
      </c>
      <c r="E838">
        <v>133.55000000000001</v>
      </c>
      <c r="F838">
        <f t="shared" si="53"/>
        <v>113.5</v>
      </c>
      <c r="G838">
        <f t="shared" si="55"/>
        <v>17.665198237885473</v>
      </c>
      <c r="H838">
        <f t="shared" si="56"/>
        <v>15.013103706476983</v>
      </c>
    </row>
    <row r="839" spans="1:8" x14ac:dyDescent="0.25">
      <c r="A839" t="str">
        <f t="shared" si="54"/>
        <v>Direct,STnet,60</v>
      </c>
      <c r="B839" t="s">
        <v>33</v>
      </c>
      <c r="C839" t="s">
        <v>5</v>
      </c>
      <c r="D839">
        <v>60</v>
      </c>
      <c r="E839">
        <v>124.82</v>
      </c>
      <c r="F839">
        <f t="shared" si="53"/>
        <v>113.5</v>
      </c>
      <c r="G839">
        <f t="shared" si="55"/>
        <v>9.97356828193832</v>
      </c>
      <c r="H839">
        <f t="shared" si="56"/>
        <v>9.0690594456016616</v>
      </c>
    </row>
    <row r="840" spans="1:8" x14ac:dyDescent="0.25">
      <c r="A840" t="str">
        <f t="shared" si="54"/>
        <v>Direct,STnet,60</v>
      </c>
      <c r="B840" t="s">
        <v>33</v>
      </c>
      <c r="C840" t="s">
        <v>5</v>
      </c>
      <c r="D840">
        <v>60</v>
      </c>
      <c r="E840">
        <v>130.11199999999999</v>
      </c>
      <c r="F840">
        <f t="shared" si="53"/>
        <v>113.5</v>
      </c>
      <c r="G840">
        <f t="shared" si="55"/>
        <v>14.636123348017616</v>
      </c>
      <c r="H840">
        <f t="shared" si="56"/>
        <v>12.767461878996553</v>
      </c>
    </row>
    <row r="841" spans="1:8" x14ac:dyDescent="0.25">
      <c r="A841" t="str">
        <f t="shared" si="54"/>
        <v>Direct,STnet,60</v>
      </c>
      <c r="B841" t="s">
        <v>33</v>
      </c>
      <c r="C841" t="s">
        <v>5</v>
      </c>
      <c r="D841">
        <v>60</v>
      </c>
      <c r="E841">
        <v>108.57899999999999</v>
      </c>
      <c r="F841">
        <f t="shared" si="53"/>
        <v>113.5</v>
      </c>
      <c r="G841">
        <f t="shared" si="55"/>
        <v>4.3356828193832655</v>
      </c>
      <c r="H841">
        <f t="shared" si="56"/>
        <v>4.5321839398042041</v>
      </c>
    </row>
    <row r="842" spans="1:8" x14ac:dyDescent="0.25">
      <c r="A842" t="str">
        <f t="shared" si="54"/>
        <v>Direct,STnet,60</v>
      </c>
      <c r="B842" t="s">
        <v>33</v>
      </c>
      <c r="C842" t="s">
        <v>5</v>
      </c>
      <c r="D842">
        <v>60</v>
      </c>
      <c r="E842">
        <v>111.09</v>
      </c>
      <c r="F842">
        <f t="shared" si="53"/>
        <v>113.5</v>
      </c>
      <c r="G842">
        <f t="shared" si="55"/>
        <v>2.1233480176211423</v>
      </c>
      <c r="H842">
        <f t="shared" si="56"/>
        <v>2.1694121883157771</v>
      </c>
    </row>
    <row r="843" spans="1:8" x14ac:dyDescent="0.25">
      <c r="A843" t="str">
        <f t="shared" si="54"/>
        <v>Direct,STnet,60</v>
      </c>
      <c r="B843" t="s">
        <v>33</v>
      </c>
      <c r="C843" t="s">
        <v>5</v>
      </c>
      <c r="D843">
        <v>60</v>
      </c>
      <c r="E843">
        <v>115.38200000000001</v>
      </c>
      <c r="F843">
        <f t="shared" si="53"/>
        <v>113.5</v>
      </c>
      <c r="G843">
        <f t="shared" si="55"/>
        <v>1.6581497797356872</v>
      </c>
      <c r="H843">
        <f t="shared" si="56"/>
        <v>1.6311036383491402</v>
      </c>
    </row>
    <row r="844" spans="1:8" x14ac:dyDescent="0.25">
      <c r="A844" t="str">
        <f t="shared" si="54"/>
        <v>Direct,STnet,60</v>
      </c>
      <c r="B844" t="s">
        <v>33</v>
      </c>
      <c r="C844" t="s">
        <v>5</v>
      </c>
      <c r="D844">
        <v>60</v>
      </c>
      <c r="E844">
        <v>112.163</v>
      </c>
      <c r="F844">
        <f t="shared" si="53"/>
        <v>113.5</v>
      </c>
      <c r="G844">
        <f t="shared" si="55"/>
        <v>1.1779735682819412</v>
      </c>
      <c r="H844">
        <f t="shared" si="56"/>
        <v>1.1920151921756759</v>
      </c>
    </row>
    <row r="845" spans="1:8" x14ac:dyDescent="0.25">
      <c r="A845" t="str">
        <f t="shared" si="54"/>
        <v>Direct,STnet,60</v>
      </c>
      <c r="B845" t="s">
        <v>33</v>
      </c>
      <c r="C845" t="s">
        <v>5</v>
      </c>
      <c r="D845">
        <v>60</v>
      </c>
      <c r="E845">
        <v>117.601</v>
      </c>
      <c r="F845">
        <f t="shared" si="53"/>
        <v>113.5</v>
      </c>
      <c r="G845">
        <f t="shared" si="55"/>
        <v>3.6132158590308361</v>
      </c>
      <c r="H845">
        <f t="shared" si="56"/>
        <v>3.487215244768326</v>
      </c>
    </row>
    <row r="846" spans="1:8" x14ac:dyDescent="0.25">
      <c r="A846" t="str">
        <f t="shared" si="54"/>
        <v>Direct,STnet,60</v>
      </c>
      <c r="B846" t="s">
        <v>33</v>
      </c>
      <c r="C846" t="s">
        <v>5</v>
      </c>
      <c r="D846">
        <v>60</v>
      </c>
      <c r="E846">
        <v>122.52800000000001</v>
      </c>
      <c r="F846">
        <f t="shared" si="53"/>
        <v>113.5</v>
      </c>
      <c r="G846">
        <f t="shared" si="55"/>
        <v>7.9541850220264374</v>
      </c>
      <c r="H846">
        <f t="shared" si="56"/>
        <v>7.368111778532259</v>
      </c>
    </row>
    <row r="847" spans="1:8" x14ac:dyDescent="0.25">
      <c r="A847" t="str">
        <f t="shared" si="54"/>
        <v>Direct,STnet,60</v>
      </c>
      <c r="B847" t="s">
        <v>33</v>
      </c>
      <c r="C847" t="s">
        <v>5</v>
      </c>
      <c r="D847">
        <v>60</v>
      </c>
      <c r="E847">
        <v>111.017</v>
      </c>
      <c r="F847">
        <f t="shared" si="53"/>
        <v>113.5</v>
      </c>
      <c r="G847">
        <f t="shared" si="55"/>
        <v>2.1876651982378892</v>
      </c>
      <c r="H847">
        <f t="shared" si="56"/>
        <v>2.2365943954529524</v>
      </c>
    </row>
    <row r="848" spans="1:8" x14ac:dyDescent="0.25">
      <c r="A848" t="str">
        <f t="shared" si="54"/>
        <v>Direct,STnet,60</v>
      </c>
      <c r="B848" t="s">
        <v>33</v>
      </c>
      <c r="C848" t="s">
        <v>5</v>
      </c>
      <c r="D848">
        <v>60</v>
      </c>
      <c r="E848">
        <v>120.309</v>
      </c>
      <c r="F848">
        <f t="shared" si="53"/>
        <v>113.5</v>
      </c>
      <c r="G848">
        <f t="shared" si="55"/>
        <v>5.9991189427312754</v>
      </c>
      <c r="H848">
        <f t="shared" si="56"/>
        <v>5.6595932141402541</v>
      </c>
    </row>
    <row r="849" spans="1:8" x14ac:dyDescent="0.25">
      <c r="A849" t="str">
        <f t="shared" si="54"/>
        <v>Direct,STnet,60</v>
      </c>
      <c r="B849" t="s">
        <v>33</v>
      </c>
      <c r="C849" t="s">
        <v>5</v>
      </c>
      <c r="D849">
        <v>60</v>
      </c>
      <c r="E849">
        <v>118.163</v>
      </c>
      <c r="F849">
        <f t="shared" si="53"/>
        <v>113.5</v>
      </c>
      <c r="G849">
        <f t="shared" si="55"/>
        <v>4.1083700440528608</v>
      </c>
      <c r="H849">
        <f t="shared" si="56"/>
        <v>3.9462437480429546</v>
      </c>
    </row>
    <row r="850" spans="1:8" x14ac:dyDescent="0.25">
      <c r="A850" t="str">
        <f t="shared" si="54"/>
        <v>Direct,STnet,60</v>
      </c>
      <c r="B850" t="s">
        <v>33</v>
      </c>
      <c r="C850" t="s">
        <v>5</v>
      </c>
      <c r="D850">
        <v>60</v>
      </c>
      <c r="E850">
        <v>119.67400000000001</v>
      </c>
      <c r="F850">
        <f t="shared" si="53"/>
        <v>113.5</v>
      </c>
      <c r="G850">
        <f t="shared" si="55"/>
        <v>5.4396475770925168</v>
      </c>
      <c r="H850">
        <f t="shared" si="56"/>
        <v>5.1590153249661634</v>
      </c>
    </row>
    <row r="851" spans="1:8" x14ac:dyDescent="0.25">
      <c r="A851" t="str">
        <f t="shared" si="54"/>
        <v>Direct,STnet,60</v>
      </c>
      <c r="B851" t="s">
        <v>33</v>
      </c>
      <c r="C851" t="s">
        <v>5</v>
      </c>
      <c r="D851">
        <v>60</v>
      </c>
      <c r="E851">
        <v>118.309</v>
      </c>
      <c r="F851">
        <f t="shared" si="53"/>
        <v>113.5</v>
      </c>
      <c r="G851">
        <f t="shared" si="55"/>
        <v>4.2370044052863411</v>
      </c>
      <c r="H851">
        <f t="shared" si="56"/>
        <v>4.0647795180417363</v>
      </c>
    </row>
    <row r="852" spans="1:8" x14ac:dyDescent="0.25">
      <c r="A852" t="str">
        <f t="shared" si="54"/>
        <v>Direct,STnet,60</v>
      </c>
      <c r="B852" t="s">
        <v>33</v>
      </c>
      <c r="C852" t="s">
        <v>5</v>
      </c>
      <c r="D852">
        <v>60</v>
      </c>
      <c r="E852">
        <v>114.09</v>
      </c>
      <c r="F852">
        <f t="shared" si="53"/>
        <v>113.5</v>
      </c>
      <c r="G852">
        <f t="shared" si="55"/>
        <v>0.51982378854625844</v>
      </c>
      <c r="H852">
        <f t="shared" si="56"/>
        <v>0.51713559470593695</v>
      </c>
    </row>
    <row r="853" spans="1:8" x14ac:dyDescent="0.25">
      <c r="A853" t="str">
        <f t="shared" si="54"/>
        <v>Direct,STnet,60</v>
      </c>
      <c r="B853" t="s">
        <v>33</v>
      </c>
      <c r="C853" t="s">
        <v>5</v>
      </c>
      <c r="D853">
        <v>60</v>
      </c>
      <c r="E853">
        <v>122.09</v>
      </c>
      <c r="F853">
        <f t="shared" si="53"/>
        <v>113.5</v>
      </c>
      <c r="G853">
        <f t="shared" si="55"/>
        <v>7.5682819383259936</v>
      </c>
      <c r="H853">
        <f t="shared" si="56"/>
        <v>7.0357932672618588</v>
      </c>
    </row>
    <row r="854" spans="1:8" x14ac:dyDescent="0.25">
      <c r="A854" t="str">
        <f t="shared" si="54"/>
        <v>Direct,STnet,60</v>
      </c>
      <c r="B854" t="s">
        <v>33</v>
      </c>
      <c r="C854" t="s">
        <v>5</v>
      </c>
      <c r="D854">
        <v>60</v>
      </c>
      <c r="E854">
        <v>115.52800000000001</v>
      </c>
      <c r="F854">
        <f t="shared" si="53"/>
        <v>113.5</v>
      </c>
      <c r="G854">
        <f t="shared" si="55"/>
        <v>1.7867841409691683</v>
      </c>
      <c r="H854">
        <f t="shared" si="56"/>
        <v>1.7554185998199621</v>
      </c>
    </row>
    <row r="855" spans="1:8" x14ac:dyDescent="0.25">
      <c r="A855" t="str">
        <f t="shared" si="54"/>
        <v>Direct,STnet,60</v>
      </c>
      <c r="B855" t="s">
        <v>33</v>
      </c>
      <c r="C855" t="s">
        <v>5</v>
      </c>
      <c r="D855">
        <v>60</v>
      </c>
      <c r="E855">
        <v>119.601</v>
      </c>
      <c r="F855">
        <f t="shared" si="53"/>
        <v>113.5</v>
      </c>
      <c r="G855">
        <f t="shared" si="55"/>
        <v>5.3753303964757704</v>
      </c>
      <c r="H855">
        <f t="shared" si="56"/>
        <v>5.1011279169906603</v>
      </c>
    </row>
    <row r="856" spans="1:8" x14ac:dyDescent="0.25">
      <c r="A856" t="str">
        <f t="shared" si="54"/>
        <v>Direct,STnet,60</v>
      </c>
      <c r="B856" t="s">
        <v>33</v>
      </c>
      <c r="C856" t="s">
        <v>5</v>
      </c>
      <c r="D856">
        <v>60</v>
      </c>
      <c r="E856">
        <v>110.163</v>
      </c>
      <c r="F856">
        <f t="shared" si="53"/>
        <v>113.5</v>
      </c>
      <c r="G856">
        <f t="shared" si="55"/>
        <v>2.9400881057268751</v>
      </c>
      <c r="H856">
        <f t="shared" si="56"/>
        <v>3.0291477174732018</v>
      </c>
    </row>
    <row r="857" spans="1:8" x14ac:dyDescent="0.25">
      <c r="A857" t="str">
        <f t="shared" si="54"/>
        <v>Direct,STnet,60</v>
      </c>
      <c r="B857" t="s">
        <v>33</v>
      </c>
      <c r="C857" t="s">
        <v>5</v>
      </c>
      <c r="D857">
        <v>60</v>
      </c>
      <c r="E857">
        <v>117.52800000000001</v>
      </c>
      <c r="F857">
        <f t="shared" si="53"/>
        <v>113.5</v>
      </c>
      <c r="G857">
        <f t="shared" si="55"/>
        <v>3.5488986784141021</v>
      </c>
      <c r="H857">
        <f t="shared" si="56"/>
        <v>3.4272683956163688</v>
      </c>
    </row>
    <row r="858" spans="1:8" x14ac:dyDescent="0.25">
      <c r="A858" t="str">
        <f t="shared" si="54"/>
        <v>Direct,STnet,60</v>
      </c>
      <c r="B858" t="s">
        <v>33</v>
      </c>
      <c r="C858" t="s">
        <v>5</v>
      </c>
      <c r="D858">
        <v>60</v>
      </c>
      <c r="E858">
        <v>116.236</v>
      </c>
      <c r="F858">
        <f t="shared" si="53"/>
        <v>113.5</v>
      </c>
      <c r="G858">
        <f t="shared" si="55"/>
        <v>2.4105726872246733</v>
      </c>
      <c r="H858">
        <f t="shared" si="56"/>
        <v>2.3538318593206959</v>
      </c>
    </row>
    <row r="859" spans="1:8" x14ac:dyDescent="0.25">
      <c r="A859" t="str">
        <f t="shared" si="54"/>
        <v>Direct,STnet,60</v>
      </c>
      <c r="B859" t="s">
        <v>33</v>
      </c>
      <c r="C859" t="s">
        <v>5</v>
      </c>
      <c r="D859">
        <v>60</v>
      </c>
      <c r="E859">
        <v>136.185</v>
      </c>
      <c r="F859">
        <f t="shared" si="53"/>
        <v>113.5</v>
      </c>
      <c r="G859">
        <f t="shared" si="55"/>
        <v>19.986784140969167</v>
      </c>
      <c r="H859">
        <f t="shared" si="56"/>
        <v>16.657487975915117</v>
      </c>
    </row>
    <row r="860" spans="1:8" x14ac:dyDescent="0.25">
      <c r="A860" t="str">
        <f t="shared" si="54"/>
        <v>Direct,STnet,60</v>
      </c>
      <c r="B860" t="s">
        <v>33</v>
      </c>
      <c r="C860" t="s">
        <v>5</v>
      </c>
      <c r="D860">
        <v>60</v>
      </c>
      <c r="E860">
        <v>124.893</v>
      </c>
      <c r="F860">
        <f t="shared" si="53"/>
        <v>113.5</v>
      </c>
      <c r="G860">
        <f t="shared" si="55"/>
        <v>10.037885462555067</v>
      </c>
      <c r="H860">
        <f t="shared" si="56"/>
        <v>9.1222086105706488</v>
      </c>
    </row>
    <row r="861" spans="1:8" x14ac:dyDescent="0.25">
      <c r="A861" t="str">
        <f t="shared" si="54"/>
        <v>Direct,STnet,60</v>
      </c>
      <c r="B861" t="s">
        <v>33</v>
      </c>
      <c r="C861" t="s">
        <v>5</v>
      </c>
      <c r="D861">
        <v>60</v>
      </c>
      <c r="E861">
        <v>103.36</v>
      </c>
      <c r="F861">
        <f t="shared" si="53"/>
        <v>113.5</v>
      </c>
      <c r="G861">
        <f t="shared" si="55"/>
        <v>8.933920704845816</v>
      </c>
      <c r="H861">
        <f t="shared" si="56"/>
        <v>9.810371517027864</v>
      </c>
    </row>
    <row r="862" spans="1:8" x14ac:dyDescent="0.25">
      <c r="A862" t="str">
        <f t="shared" si="54"/>
        <v>Direct,STnet,60</v>
      </c>
      <c r="B862" t="s">
        <v>33</v>
      </c>
      <c r="C862" t="s">
        <v>5</v>
      </c>
      <c r="D862">
        <v>60</v>
      </c>
      <c r="E862">
        <v>129.03899999999999</v>
      </c>
      <c r="F862">
        <f t="shared" si="53"/>
        <v>113.5</v>
      </c>
      <c r="G862">
        <f t="shared" si="55"/>
        <v>13.690748898678404</v>
      </c>
      <c r="H862">
        <f t="shared" si="56"/>
        <v>12.042095800494415</v>
      </c>
    </row>
    <row r="863" spans="1:8" x14ac:dyDescent="0.25">
      <c r="A863" t="str">
        <f t="shared" si="54"/>
        <v>Direct,STnet,60</v>
      </c>
      <c r="B863" t="s">
        <v>33</v>
      </c>
      <c r="C863" t="s">
        <v>5</v>
      </c>
      <c r="D863">
        <v>60</v>
      </c>
      <c r="E863">
        <v>104.57899999999999</v>
      </c>
      <c r="F863">
        <f t="shared" si="53"/>
        <v>113.5</v>
      </c>
      <c r="G863">
        <f t="shared" si="55"/>
        <v>7.8599118942731332</v>
      </c>
      <c r="H863">
        <f t="shared" si="56"/>
        <v>8.5303932911961375</v>
      </c>
    </row>
    <row r="864" spans="1:8" x14ac:dyDescent="0.25">
      <c r="A864" t="str">
        <f t="shared" si="54"/>
        <v>Direct,STnet,60</v>
      </c>
      <c r="B864" t="s">
        <v>33</v>
      </c>
      <c r="C864" t="s">
        <v>5</v>
      </c>
      <c r="D864">
        <v>60</v>
      </c>
      <c r="E864">
        <v>121.455</v>
      </c>
      <c r="F864">
        <f t="shared" si="53"/>
        <v>113.5</v>
      </c>
      <c r="G864">
        <f t="shared" si="55"/>
        <v>7.0088105726872225</v>
      </c>
      <c r="H864">
        <f t="shared" si="56"/>
        <v>6.5497509365608648</v>
      </c>
    </row>
    <row r="865" spans="1:8" x14ac:dyDescent="0.25">
      <c r="A865" t="str">
        <f t="shared" si="54"/>
        <v>Direct,STnet,60</v>
      </c>
      <c r="B865" t="s">
        <v>33</v>
      </c>
      <c r="C865" t="s">
        <v>5</v>
      </c>
      <c r="D865">
        <v>60</v>
      </c>
      <c r="E865">
        <v>125.11199999999999</v>
      </c>
      <c r="F865">
        <f t="shared" si="53"/>
        <v>113.5</v>
      </c>
      <c r="G865">
        <f t="shared" si="55"/>
        <v>10.230837004405281</v>
      </c>
      <c r="H865">
        <f t="shared" si="56"/>
        <v>9.2812839695632672</v>
      </c>
    </row>
    <row r="866" spans="1:8" x14ac:dyDescent="0.25">
      <c r="A866" t="str">
        <f t="shared" si="54"/>
        <v>Direct,STnet,60</v>
      </c>
      <c r="B866" t="s">
        <v>33</v>
      </c>
      <c r="C866" t="s">
        <v>5</v>
      </c>
      <c r="D866">
        <v>60</v>
      </c>
      <c r="E866">
        <v>109.09</v>
      </c>
      <c r="F866">
        <f t="shared" si="53"/>
        <v>113.5</v>
      </c>
      <c r="G866">
        <f t="shared" si="55"/>
        <v>3.8854625550660762</v>
      </c>
      <c r="H866">
        <f t="shared" si="56"/>
        <v>4.0425336877807281</v>
      </c>
    </row>
    <row r="867" spans="1:8" x14ac:dyDescent="0.25">
      <c r="A867" t="str">
        <f t="shared" si="54"/>
        <v>Direct,STnet,60</v>
      </c>
      <c r="B867" t="s">
        <v>33</v>
      </c>
      <c r="C867" t="s">
        <v>5</v>
      </c>
      <c r="D867">
        <v>60</v>
      </c>
      <c r="E867">
        <v>131.452</v>
      </c>
      <c r="F867">
        <f t="shared" si="53"/>
        <v>113.5</v>
      </c>
      <c r="G867">
        <f t="shared" si="55"/>
        <v>15.816740088105725</v>
      </c>
      <c r="H867">
        <f t="shared" si="56"/>
        <v>13.656695980281775</v>
      </c>
    </row>
    <row r="868" spans="1:8" x14ac:dyDescent="0.25">
      <c r="A868" t="str">
        <f t="shared" si="54"/>
        <v>Direct,STnet,60</v>
      </c>
      <c r="B868" t="s">
        <v>33</v>
      </c>
      <c r="C868" t="s">
        <v>5</v>
      </c>
      <c r="D868">
        <v>60</v>
      </c>
      <c r="E868">
        <v>123.601</v>
      </c>
      <c r="F868">
        <f t="shared" si="53"/>
        <v>113.5</v>
      </c>
      <c r="G868">
        <f t="shared" si="55"/>
        <v>8.8995594713656381</v>
      </c>
      <c r="H868">
        <f t="shared" si="56"/>
        <v>8.1722639784467752</v>
      </c>
    </row>
    <row r="869" spans="1:8" x14ac:dyDescent="0.25">
      <c r="A869" t="str">
        <f t="shared" si="54"/>
        <v>Direct,STnet,60</v>
      </c>
      <c r="B869" t="s">
        <v>33</v>
      </c>
      <c r="C869" t="s">
        <v>5</v>
      </c>
      <c r="D869">
        <v>60</v>
      </c>
      <c r="E869">
        <v>112.017</v>
      </c>
      <c r="F869">
        <f t="shared" si="53"/>
        <v>113.5</v>
      </c>
      <c r="G869">
        <f t="shared" si="55"/>
        <v>1.3066079295154223</v>
      </c>
      <c r="H869">
        <f t="shared" si="56"/>
        <v>1.3239061928100235</v>
      </c>
    </row>
    <row r="870" spans="1:8" x14ac:dyDescent="0.25">
      <c r="A870" t="str">
        <f t="shared" si="54"/>
        <v>Direct,STnet,60</v>
      </c>
      <c r="B870" t="s">
        <v>33</v>
      </c>
      <c r="C870" t="s">
        <v>5</v>
      </c>
      <c r="D870">
        <v>60</v>
      </c>
      <c r="E870">
        <v>123.67400000000001</v>
      </c>
      <c r="F870">
        <f t="shared" si="53"/>
        <v>113.5</v>
      </c>
      <c r="G870">
        <f t="shared" si="55"/>
        <v>8.9638766519823854</v>
      </c>
      <c r="H870">
        <f t="shared" si="56"/>
        <v>8.2264663550948516</v>
      </c>
    </row>
    <row r="871" spans="1:8" x14ac:dyDescent="0.25">
      <c r="A871" t="str">
        <f t="shared" si="54"/>
        <v>Direct,STnet,60</v>
      </c>
      <c r="B871" t="s">
        <v>33</v>
      </c>
      <c r="C871" t="s">
        <v>5</v>
      </c>
      <c r="D871">
        <v>60</v>
      </c>
      <c r="E871">
        <v>124.039</v>
      </c>
      <c r="F871">
        <f t="shared" si="53"/>
        <v>113.5</v>
      </c>
      <c r="G871">
        <f t="shared" si="55"/>
        <v>9.285462555066081</v>
      </c>
      <c r="H871">
        <f t="shared" si="56"/>
        <v>8.4965212554116061</v>
      </c>
    </row>
    <row r="872" spans="1:8" x14ac:dyDescent="0.25">
      <c r="A872" t="str">
        <f t="shared" si="54"/>
        <v>Direct,STnet,60</v>
      </c>
      <c r="B872" t="s">
        <v>33</v>
      </c>
      <c r="C872" t="s">
        <v>5</v>
      </c>
      <c r="D872">
        <v>60</v>
      </c>
      <c r="E872">
        <v>119.38200000000001</v>
      </c>
      <c r="F872">
        <f t="shared" si="53"/>
        <v>113.5</v>
      </c>
      <c r="G872">
        <f t="shared" si="55"/>
        <v>5.1823788546255551</v>
      </c>
      <c r="H872">
        <f t="shared" si="56"/>
        <v>4.9270409274430023</v>
      </c>
    </row>
    <row r="873" spans="1:8" x14ac:dyDescent="0.25">
      <c r="A873" t="str">
        <f t="shared" si="54"/>
        <v>Direct,STnet,60</v>
      </c>
      <c r="B873" t="s">
        <v>33</v>
      </c>
      <c r="C873" t="s">
        <v>5</v>
      </c>
      <c r="D873">
        <v>60</v>
      </c>
      <c r="E873">
        <v>115.09</v>
      </c>
      <c r="F873">
        <f t="shared" si="53"/>
        <v>113.5</v>
      </c>
      <c r="G873">
        <f t="shared" si="55"/>
        <v>1.4008810572687256</v>
      </c>
      <c r="H873">
        <f t="shared" si="56"/>
        <v>1.3815275002172243</v>
      </c>
    </row>
    <row r="874" spans="1:8" x14ac:dyDescent="0.25">
      <c r="A874" t="str">
        <f t="shared" si="54"/>
        <v>Direct,STnet,60</v>
      </c>
      <c r="B874" t="s">
        <v>33</v>
      </c>
      <c r="C874" t="s">
        <v>5</v>
      </c>
      <c r="D874">
        <v>60</v>
      </c>
      <c r="E874">
        <v>110.017</v>
      </c>
      <c r="F874">
        <f t="shared" si="53"/>
        <v>113.5</v>
      </c>
      <c r="G874">
        <f t="shared" si="55"/>
        <v>3.0687224669603559</v>
      </c>
      <c r="H874">
        <f t="shared" si="56"/>
        <v>3.1658743648708874</v>
      </c>
    </row>
    <row r="875" spans="1:8" x14ac:dyDescent="0.25">
      <c r="A875" t="str">
        <f t="shared" si="54"/>
        <v>Direct,STnet,60</v>
      </c>
      <c r="B875" t="s">
        <v>33</v>
      </c>
      <c r="C875" t="s">
        <v>5</v>
      </c>
      <c r="D875">
        <v>60</v>
      </c>
      <c r="E875">
        <v>115.455</v>
      </c>
      <c r="F875">
        <f t="shared" si="53"/>
        <v>113.5</v>
      </c>
      <c r="G875">
        <f t="shared" si="55"/>
        <v>1.7224669603524214</v>
      </c>
      <c r="H875">
        <f t="shared" si="56"/>
        <v>1.6933004200770849</v>
      </c>
    </row>
    <row r="876" spans="1:8" x14ac:dyDescent="0.25">
      <c r="A876" t="str">
        <f t="shared" si="54"/>
        <v>Direct,STnet,60</v>
      </c>
      <c r="B876" t="s">
        <v>33</v>
      </c>
      <c r="C876" t="s">
        <v>5</v>
      </c>
      <c r="D876">
        <v>60</v>
      </c>
      <c r="E876">
        <v>115.017</v>
      </c>
      <c r="F876">
        <f t="shared" si="53"/>
        <v>113.5</v>
      </c>
      <c r="G876">
        <f t="shared" si="55"/>
        <v>1.3365638766519787</v>
      </c>
      <c r="H876">
        <f t="shared" si="56"/>
        <v>1.3189354617143518</v>
      </c>
    </row>
    <row r="877" spans="1:8" x14ac:dyDescent="0.25">
      <c r="A877" t="str">
        <f t="shared" si="54"/>
        <v>Direct,STnet,60</v>
      </c>
      <c r="B877" t="s">
        <v>33</v>
      </c>
      <c r="C877" t="s">
        <v>5</v>
      </c>
      <c r="D877">
        <v>60</v>
      </c>
      <c r="E877">
        <v>120.747</v>
      </c>
      <c r="F877">
        <f t="shared" si="53"/>
        <v>113.5</v>
      </c>
      <c r="G877">
        <f t="shared" si="55"/>
        <v>6.3850220264317175</v>
      </c>
      <c r="H877">
        <f t="shared" si="56"/>
        <v>6.001805427878125</v>
      </c>
    </row>
    <row r="878" spans="1:8" x14ac:dyDescent="0.25">
      <c r="A878" t="str">
        <f t="shared" si="54"/>
        <v>Direct,STnet,60</v>
      </c>
      <c r="B878" t="s">
        <v>33</v>
      </c>
      <c r="C878" t="s">
        <v>5</v>
      </c>
      <c r="D878">
        <v>60</v>
      </c>
      <c r="E878">
        <v>145.20699999999999</v>
      </c>
      <c r="F878">
        <f t="shared" si="53"/>
        <v>113.5</v>
      </c>
      <c r="G878">
        <f t="shared" si="55"/>
        <v>27.935682819383256</v>
      </c>
      <c r="H878">
        <f t="shared" si="56"/>
        <v>21.83572417307705</v>
      </c>
    </row>
    <row r="879" spans="1:8" x14ac:dyDescent="0.25">
      <c r="A879" t="str">
        <f t="shared" si="54"/>
        <v>Direct,STnet,60</v>
      </c>
      <c r="B879" t="s">
        <v>33</v>
      </c>
      <c r="C879" t="s">
        <v>5</v>
      </c>
      <c r="D879">
        <v>60</v>
      </c>
      <c r="E879">
        <v>106.28700000000001</v>
      </c>
      <c r="F879">
        <f t="shared" si="53"/>
        <v>113.5</v>
      </c>
      <c r="G879">
        <f t="shared" si="55"/>
        <v>6.355066079295149</v>
      </c>
      <c r="H879">
        <f t="shared" si="56"/>
        <v>6.7863426383282937</v>
      </c>
    </row>
    <row r="880" spans="1:8" x14ac:dyDescent="0.25">
      <c r="A880" t="str">
        <f t="shared" si="54"/>
        <v>Direct,STnet,60</v>
      </c>
      <c r="B880" t="s">
        <v>33</v>
      </c>
      <c r="C880" t="s">
        <v>5</v>
      </c>
      <c r="D880">
        <v>60</v>
      </c>
      <c r="E880">
        <v>113.236</v>
      </c>
      <c r="F880">
        <f t="shared" si="53"/>
        <v>113.5</v>
      </c>
      <c r="G880">
        <f t="shared" si="55"/>
        <v>0.23259911894272758</v>
      </c>
      <c r="H880">
        <f t="shared" si="56"/>
        <v>0.23314140379384277</v>
      </c>
    </row>
    <row r="881" spans="1:8" x14ac:dyDescent="0.25">
      <c r="A881" t="str">
        <f t="shared" si="54"/>
        <v>Direct,STnet,60</v>
      </c>
      <c r="B881" t="s">
        <v>33</v>
      </c>
      <c r="C881" t="s">
        <v>5</v>
      </c>
      <c r="D881">
        <v>60</v>
      </c>
      <c r="E881">
        <v>116.309</v>
      </c>
      <c r="F881">
        <f t="shared" si="53"/>
        <v>113.5</v>
      </c>
      <c r="G881">
        <f t="shared" si="55"/>
        <v>2.4748898678414073</v>
      </c>
      <c r="H881">
        <f t="shared" si="56"/>
        <v>2.4151183485370842</v>
      </c>
    </row>
    <row r="882" spans="1:8" x14ac:dyDescent="0.25">
      <c r="A882" t="str">
        <f t="shared" si="54"/>
        <v>Direct,STnet,60</v>
      </c>
      <c r="B882" t="s">
        <v>33</v>
      </c>
      <c r="C882" t="s">
        <v>5</v>
      </c>
      <c r="D882">
        <v>60</v>
      </c>
      <c r="E882">
        <v>120.67400000000001</v>
      </c>
      <c r="F882">
        <f t="shared" si="53"/>
        <v>113.5</v>
      </c>
      <c r="G882">
        <f t="shared" si="55"/>
        <v>6.3207048458149835</v>
      </c>
      <c r="H882">
        <f t="shared" si="56"/>
        <v>5.9449425725508442</v>
      </c>
    </row>
    <row r="883" spans="1:8" x14ac:dyDescent="0.25">
      <c r="A883" t="str">
        <f t="shared" si="54"/>
        <v>Direct,STnet,60</v>
      </c>
      <c r="B883" t="s">
        <v>33</v>
      </c>
      <c r="C883" t="s">
        <v>5</v>
      </c>
      <c r="D883">
        <v>60</v>
      </c>
      <c r="E883">
        <v>133.477</v>
      </c>
      <c r="F883">
        <f t="shared" si="53"/>
        <v>113.5</v>
      </c>
      <c r="G883">
        <f t="shared" si="55"/>
        <v>17.600881057268726</v>
      </c>
      <c r="H883">
        <f t="shared" si="56"/>
        <v>14.966623463218385</v>
      </c>
    </row>
    <row r="884" spans="1:8" x14ac:dyDescent="0.25">
      <c r="A884" t="str">
        <f t="shared" si="54"/>
        <v>Direct,STnet,60</v>
      </c>
      <c r="B884" t="s">
        <v>33</v>
      </c>
      <c r="C884" t="s">
        <v>5</v>
      </c>
      <c r="D884">
        <v>60</v>
      </c>
      <c r="E884">
        <v>119.163</v>
      </c>
      <c r="F884">
        <f t="shared" si="53"/>
        <v>113.5</v>
      </c>
      <c r="G884">
        <f t="shared" si="55"/>
        <v>4.9894273127753275</v>
      </c>
      <c r="H884">
        <f t="shared" si="56"/>
        <v>4.7523140572157434</v>
      </c>
    </row>
    <row r="885" spans="1:8" x14ac:dyDescent="0.25">
      <c r="A885" t="str">
        <f t="shared" si="54"/>
        <v>Direct,STnet,60</v>
      </c>
      <c r="B885" t="s">
        <v>33</v>
      </c>
      <c r="C885" t="s">
        <v>5</v>
      </c>
      <c r="D885">
        <v>60</v>
      </c>
      <c r="E885">
        <v>118.52800000000001</v>
      </c>
      <c r="F885">
        <f t="shared" si="53"/>
        <v>113.5</v>
      </c>
      <c r="G885">
        <f t="shared" si="55"/>
        <v>4.4299559471365688</v>
      </c>
      <c r="H885">
        <f t="shared" si="56"/>
        <v>4.2420356371490335</v>
      </c>
    </row>
    <row r="886" spans="1:8" x14ac:dyDescent="0.25">
      <c r="A886" t="str">
        <f t="shared" si="54"/>
        <v>Direct,STnet,60</v>
      </c>
      <c r="B886" t="s">
        <v>33</v>
      </c>
      <c r="C886" t="s">
        <v>5</v>
      </c>
      <c r="D886">
        <v>60</v>
      </c>
      <c r="E886">
        <v>133.74700000000001</v>
      </c>
      <c r="F886">
        <f t="shared" si="53"/>
        <v>113.5</v>
      </c>
      <c r="G886">
        <f t="shared" si="55"/>
        <v>17.8387665198238</v>
      </c>
      <c r="H886">
        <f t="shared" si="56"/>
        <v>15.138283475517216</v>
      </c>
    </row>
    <row r="887" spans="1:8" x14ac:dyDescent="0.25">
      <c r="A887" t="str">
        <f t="shared" si="54"/>
        <v>Direct,STnet,60</v>
      </c>
      <c r="B887" t="s">
        <v>33</v>
      </c>
      <c r="C887" t="s">
        <v>5</v>
      </c>
      <c r="D887">
        <v>60</v>
      </c>
      <c r="E887">
        <v>135.404</v>
      </c>
      <c r="F887">
        <f t="shared" si="53"/>
        <v>113.5</v>
      </c>
      <c r="G887">
        <f t="shared" si="55"/>
        <v>19.298678414096912</v>
      </c>
      <c r="H887">
        <f t="shared" si="56"/>
        <v>16.176774689078606</v>
      </c>
    </row>
    <row r="888" spans="1:8" x14ac:dyDescent="0.25">
      <c r="A888" t="str">
        <f t="shared" si="54"/>
        <v>Direct,STnet,60</v>
      </c>
      <c r="B888" t="s">
        <v>33</v>
      </c>
      <c r="C888" t="s">
        <v>5</v>
      </c>
      <c r="D888">
        <v>60</v>
      </c>
      <c r="E888">
        <v>112.236</v>
      </c>
      <c r="F888">
        <f t="shared" si="53"/>
        <v>113.5</v>
      </c>
      <c r="G888">
        <f t="shared" si="55"/>
        <v>1.1136563876651946</v>
      </c>
      <c r="H888">
        <f t="shared" si="56"/>
        <v>1.1261983677251468</v>
      </c>
    </row>
    <row r="889" spans="1:8" x14ac:dyDescent="0.25">
      <c r="A889" t="str">
        <f t="shared" si="54"/>
        <v>Direct,STnet,60</v>
      </c>
      <c r="B889" t="s">
        <v>33</v>
      </c>
      <c r="C889" t="s">
        <v>5</v>
      </c>
      <c r="D889">
        <v>60</v>
      </c>
      <c r="E889">
        <v>109.72499999999999</v>
      </c>
      <c r="F889">
        <f t="shared" si="53"/>
        <v>113.5</v>
      </c>
      <c r="G889">
        <f t="shared" si="55"/>
        <v>3.325991189427318</v>
      </c>
      <c r="H889">
        <f t="shared" si="56"/>
        <v>3.4404192298929193</v>
      </c>
    </row>
    <row r="890" spans="1:8" x14ac:dyDescent="0.25">
      <c r="A890" t="str">
        <f t="shared" si="54"/>
        <v>Direct,STnet,60</v>
      </c>
      <c r="B890" t="s">
        <v>33</v>
      </c>
      <c r="C890" t="s">
        <v>5</v>
      </c>
      <c r="D890">
        <v>60</v>
      </c>
      <c r="E890">
        <v>110.798</v>
      </c>
      <c r="F890">
        <f t="shared" si="53"/>
        <v>113.5</v>
      </c>
      <c r="G890">
        <f t="shared" si="55"/>
        <v>2.380616740088104</v>
      </c>
      <c r="H890">
        <f t="shared" si="56"/>
        <v>2.4386721781981606</v>
      </c>
    </row>
    <row r="891" spans="1:8" x14ac:dyDescent="0.25">
      <c r="A891" t="str">
        <f t="shared" si="54"/>
        <v>Direct,STnet,60</v>
      </c>
      <c r="B891" t="s">
        <v>33</v>
      </c>
      <c r="C891" t="s">
        <v>5</v>
      </c>
      <c r="D891">
        <v>60</v>
      </c>
      <c r="E891">
        <v>105.72499999999999</v>
      </c>
      <c r="F891">
        <f t="shared" si="53"/>
        <v>113.5</v>
      </c>
      <c r="G891">
        <f t="shared" si="55"/>
        <v>6.8502202643171861</v>
      </c>
      <c r="H891">
        <f t="shared" si="56"/>
        <v>7.3539843934736409</v>
      </c>
    </row>
    <row r="892" spans="1:8" x14ac:dyDescent="0.25">
      <c r="A892" t="str">
        <f t="shared" si="54"/>
        <v>Direct,STnet,60</v>
      </c>
      <c r="B892" t="s">
        <v>33</v>
      </c>
      <c r="C892" t="s">
        <v>5</v>
      </c>
      <c r="D892">
        <v>60</v>
      </c>
      <c r="E892">
        <v>107.43300000000001</v>
      </c>
      <c r="F892">
        <f t="shared" si="53"/>
        <v>113.5</v>
      </c>
      <c r="G892">
        <f t="shared" si="55"/>
        <v>5.345374449339201</v>
      </c>
      <c r="H892">
        <f t="shared" si="56"/>
        <v>5.6472406057728932</v>
      </c>
    </row>
    <row r="893" spans="1:8" x14ac:dyDescent="0.25">
      <c r="A893" t="str">
        <f t="shared" si="54"/>
        <v>Direct,STnet,60</v>
      </c>
      <c r="B893" t="s">
        <v>33</v>
      </c>
      <c r="C893" t="s">
        <v>5</v>
      </c>
      <c r="D893">
        <v>60</v>
      </c>
      <c r="E893">
        <v>102.36</v>
      </c>
      <c r="F893">
        <f t="shared" si="53"/>
        <v>113.5</v>
      </c>
      <c r="G893">
        <f t="shared" si="55"/>
        <v>9.8149779735682827</v>
      </c>
      <c r="H893">
        <f t="shared" si="56"/>
        <v>10.883157483391951</v>
      </c>
    </row>
    <row r="894" spans="1:8" x14ac:dyDescent="0.25">
      <c r="A894" t="str">
        <f t="shared" si="54"/>
        <v>Direct,STnet,60</v>
      </c>
      <c r="B894" t="s">
        <v>33</v>
      </c>
      <c r="C894" t="s">
        <v>5</v>
      </c>
      <c r="D894">
        <v>60</v>
      </c>
      <c r="E894">
        <v>112.163</v>
      </c>
      <c r="F894">
        <f t="shared" si="53"/>
        <v>113.5</v>
      </c>
      <c r="G894">
        <f t="shared" si="55"/>
        <v>1.1779735682819412</v>
      </c>
      <c r="H894">
        <f t="shared" si="56"/>
        <v>1.1920151921756759</v>
      </c>
    </row>
    <row r="895" spans="1:8" x14ac:dyDescent="0.25">
      <c r="A895" t="str">
        <f t="shared" si="54"/>
        <v>Direct,STnet,60</v>
      </c>
      <c r="B895" t="s">
        <v>33</v>
      </c>
      <c r="C895" t="s">
        <v>5</v>
      </c>
      <c r="D895">
        <v>60</v>
      </c>
      <c r="E895">
        <v>111.871</v>
      </c>
      <c r="F895">
        <f t="shared" si="53"/>
        <v>113.5</v>
      </c>
      <c r="G895">
        <f t="shared" si="55"/>
        <v>1.4352422907489031</v>
      </c>
      <c r="H895">
        <f t="shared" si="56"/>
        <v>1.4561414486328048</v>
      </c>
    </row>
    <row r="896" spans="1:8" x14ac:dyDescent="0.25">
      <c r="A896" t="str">
        <f t="shared" si="54"/>
        <v>Direct,STnet,60</v>
      </c>
      <c r="B896" t="s">
        <v>33</v>
      </c>
      <c r="C896" t="s">
        <v>5</v>
      </c>
      <c r="D896">
        <v>60</v>
      </c>
      <c r="E896">
        <v>111.52800000000001</v>
      </c>
      <c r="F896">
        <f t="shared" si="53"/>
        <v>113.5</v>
      </c>
      <c r="G896">
        <f t="shared" si="55"/>
        <v>1.7374449339206997</v>
      </c>
      <c r="H896">
        <f t="shared" si="56"/>
        <v>1.7681658417617048</v>
      </c>
    </row>
    <row r="897" spans="1:8" x14ac:dyDescent="0.25">
      <c r="A897" t="str">
        <f t="shared" si="54"/>
        <v>Direct,STnet,60</v>
      </c>
      <c r="B897" t="s">
        <v>33</v>
      </c>
      <c r="C897" t="s">
        <v>5</v>
      </c>
      <c r="D897">
        <v>60</v>
      </c>
      <c r="E897">
        <v>120.67400000000001</v>
      </c>
      <c r="F897">
        <f t="shared" si="53"/>
        <v>113.5</v>
      </c>
      <c r="G897">
        <f t="shared" si="55"/>
        <v>6.3207048458149835</v>
      </c>
      <c r="H897">
        <f t="shared" si="56"/>
        <v>5.9449425725508442</v>
      </c>
    </row>
    <row r="898" spans="1:8" x14ac:dyDescent="0.25">
      <c r="A898" t="str">
        <f t="shared" si="54"/>
        <v>Direct,STnet,60</v>
      </c>
      <c r="B898" t="s">
        <v>33</v>
      </c>
      <c r="C898" t="s">
        <v>5</v>
      </c>
      <c r="D898">
        <v>60</v>
      </c>
      <c r="E898">
        <v>119.944</v>
      </c>
      <c r="F898">
        <f t="shared" si="53"/>
        <v>113.5</v>
      </c>
      <c r="G898">
        <f t="shared" si="55"/>
        <v>5.6775330396475798</v>
      </c>
      <c r="H898">
        <f t="shared" si="56"/>
        <v>5.3725071700126747</v>
      </c>
    </row>
    <row r="899" spans="1:8" x14ac:dyDescent="0.25">
      <c r="A899" t="str">
        <f t="shared" si="54"/>
        <v>Direct,STnet,60</v>
      </c>
      <c r="B899" t="s">
        <v>33</v>
      </c>
      <c r="C899" t="s">
        <v>5</v>
      </c>
      <c r="D899">
        <v>60</v>
      </c>
      <c r="E899">
        <v>102.506</v>
      </c>
      <c r="F899">
        <f t="shared" ref="F899:F962" si="57">_xlfn.XLOOKUP(A899,$J$3:$J$36,$N$3:$N$36)</f>
        <v>113.5</v>
      </c>
      <c r="G899">
        <f t="shared" si="55"/>
        <v>9.6863436123348006</v>
      </c>
      <c r="H899">
        <f t="shared" si="56"/>
        <v>10.725225840438608</v>
      </c>
    </row>
    <row r="900" spans="1:8" x14ac:dyDescent="0.25">
      <c r="A900" t="str">
        <f t="shared" ref="A900:A963" si="58">B900&amp;","&amp;C900&amp;","&amp;D900</f>
        <v>Direct,STnet,60</v>
      </c>
      <c r="B900" t="s">
        <v>33</v>
      </c>
      <c r="C900" t="s">
        <v>5</v>
      </c>
      <c r="D900">
        <v>60</v>
      </c>
      <c r="E900">
        <v>103.43300000000001</v>
      </c>
      <c r="F900">
        <f t="shared" si="57"/>
        <v>113.5</v>
      </c>
      <c r="G900">
        <f t="shared" ref="G900:G963" si="59">ABS((E900-F900)/F900)*100</f>
        <v>8.8696035242290687</v>
      </c>
      <c r="H900">
        <f t="shared" ref="H900:H963" si="60">ABS((F900-E900)/E900)*100</f>
        <v>9.7328705538851157</v>
      </c>
    </row>
    <row r="901" spans="1:8" x14ac:dyDescent="0.25">
      <c r="A901" t="str">
        <f t="shared" si="58"/>
        <v>Direct,STnet,60</v>
      </c>
      <c r="B901" t="s">
        <v>33</v>
      </c>
      <c r="C901" t="s">
        <v>5</v>
      </c>
      <c r="D901">
        <v>60</v>
      </c>
      <c r="E901">
        <v>120.52800000000001</v>
      </c>
      <c r="F901">
        <f t="shared" si="57"/>
        <v>113.5</v>
      </c>
      <c r="G901">
        <f t="shared" si="59"/>
        <v>6.1920704845815031</v>
      </c>
      <c r="H901">
        <f t="shared" si="60"/>
        <v>5.8310102216912298</v>
      </c>
    </row>
    <row r="902" spans="1:8" x14ac:dyDescent="0.25">
      <c r="A902" t="str">
        <f t="shared" si="58"/>
        <v>Direct,STnet,60</v>
      </c>
      <c r="B902" t="s">
        <v>33</v>
      </c>
      <c r="C902" t="s">
        <v>5</v>
      </c>
      <c r="D902">
        <v>60</v>
      </c>
      <c r="E902">
        <v>108.944</v>
      </c>
      <c r="F902">
        <f t="shared" si="57"/>
        <v>113.5</v>
      </c>
      <c r="G902">
        <f t="shared" si="59"/>
        <v>4.0140969162995574</v>
      </c>
      <c r="H902">
        <f t="shared" si="60"/>
        <v>4.181965046262297</v>
      </c>
    </row>
    <row r="903" spans="1:8" x14ac:dyDescent="0.25">
      <c r="A903" t="str">
        <f t="shared" si="58"/>
        <v>Direct,STnet,80</v>
      </c>
      <c r="B903" t="s">
        <v>33</v>
      </c>
      <c r="C903" t="s">
        <v>5</v>
      </c>
      <c r="D903">
        <v>80</v>
      </c>
      <c r="E903">
        <v>132.16</v>
      </c>
      <c r="F903">
        <f t="shared" si="57"/>
        <v>147</v>
      </c>
      <c r="G903">
        <f t="shared" si="59"/>
        <v>10.095238095238097</v>
      </c>
      <c r="H903">
        <f t="shared" si="60"/>
        <v>11.228813559322038</v>
      </c>
    </row>
    <row r="904" spans="1:8" x14ac:dyDescent="0.25">
      <c r="A904" t="str">
        <f t="shared" si="58"/>
        <v>Direct,STnet,80</v>
      </c>
      <c r="B904" t="s">
        <v>33</v>
      </c>
      <c r="C904" t="s">
        <v>5</v>
      </c>
      <c r="D904">
        <v>80</v>
      </c>
      <c r="E904">
        <v>156.00800000000001</v>
      </c>
      <c r="F904">
        <f t="shared" si="57"/>
        <v>147</v>
      </c>
      <c r="G904">
        <f t="shared" si="59"/>
        <v>6.1278911564625913</v>
      </c>
      <c r="H904">
        <f t="shared" si="60"/>
        <v>5.7740628685708488</v>
      </c>
    </row>
    <row r="905" spans="1:8" x14ac:dyDescent="0.25">
      <c r="A905" t="str">
        <f t="shared" si="58"/>
        <v>Direct,STnet,80</v>
      </c>
      <c r="B905" t="s">
        <v>33</v>
      </c>
      <c r="C905" t="s">
        <v>5</v>
      </c>
      <c r="D905">
        <v>80</v>
      </c>
      <c r="E905">
        <v>144.59800000000001</v>
      </c>
      <c r="F905">
        <f t="shared" si="57"/>
        <v>147</v>
      </c>
      <c r="G905">
        <f t="shared" si="59"/>
        <v>1.6340136054421681</v>
      </c>
      <c r="H905">
        <f t="shared" si="60"/>
        <v>1.661157139102883</v>
      </c>
    </row>
    <row r="906" spans="1:8" x14ac:dyDescent="0.25">
      <c r="A906" t="str">
        <f t="shared" si="58"/>
        <v>Direct,STnet,80</v>
      </c>
      <c r="B906" t="s">
        <v>33</v>
      </c>
      <c r="C906" t="s">
        <v>5</v>
      </c>
      <c r="D906">
        <v>80</v>
      </c>
      <c r="E906">
        <v>134.55000000000001</v>
      </c>
      <c r="F906">
        <f t="shared" si="57"/>
        <v>147</v>
      </c>
      <c r="G906">
        <f t="shared" si="59"/>
        <v>8.4693877551020336</v>
      </c>
      <c r="H906">
        <f t="shared" si="60"/>
        <v>9.2530657748048952</v>
      </c>
    </row>
    <row r="907" spans="1:8" x14ac:dyDescent="0.25">
      <c r="A907" t="str">
        <f t="shared" si="58"/>
        <v>Direct,STnet,80</v>
      </c>
      <c r="B907" t="s">
        <v>33</v>
      </c>
      <c r="C907" t="s">
        <v>5</v>
      </c>
      <c r="D907">
        <v>80</v>
      </c>
      <c r="E907">
        <v>136.185</v>
      </c>
      <c r="F907">
        <f t="shared" si="57"/>
        <v>147</v>
      </c>
      <c r="G907">
        <f t="shared" si="59"/>
        <v>7.357142857142855</v>
      </c>
      <c r="H907">
        <f t="shared" si="60"/>
        <v>7.9414032382420956</v>
      </c>
    </row>
    <row r="908" spans="1:8" x14ac:dyDescent="0.25">
      <c r="A908" t="str">
        <f t="shared" si="58"/>
        <v>Direct,STnet,80</v>
      </c>
      <c r="B908" t="s">
        <v>33</v>
      </c>
      <c r="C908" t="s">
        <v>5</v>
      </c>
      <c r="D908">
        <v>80</v>
      </c>
      <c r="E908">
        <v>158.40100000000001</v>
      </c>
      <c r="F908">
        <f t="shared" si="57"/>
        <v>147</v>
      </c>
      <c r="G908">
        <f t="shared" si="59"/>
        <v>7.7557823129251773</v>
      </c>
      <c r="H908">
        <f t="shared" si="60"/>
        <v>7.1975555709875625</v>
      </c>
    </row>
    <row r="909" spans="1:8" x14ac:dyDescent="0.25">
      <c r="A909" t="str">
        <f t="shared" si="58"/>
        <v>Direct,STnet,80</v>
      </c>
      <c r="B909" t="s">
        <v>33</v>
      </c>
      <c r="C909" t="s">
        <v>5</v>
      </c>
      <c r="D909">
        <v>80</v>
      </c>
      <c r="E909">
        <v>146.84100000000001</v>
      </c>
      <c r="F909">
        <f t="shared" si="57"/>
        <v>147</v>
      </c>
      <c r="G909">
        <f t="shared" si="59"/>
        <v>0.10816326530611689</v>
      </c>
      <c r="H909">
        <f t="shared" si="60"/>
        <v>0.10828038490611736</v>
      </c>
    </row>
    <row r="910" spans="1:8" x14ac:dyDescent="0.25">
      <c r="A910" t="str">
        <f t="shared" si="58"/>
        <v>Direct,STnet,80</v>
      </c>
      <c r="B910" t="s">
        <v>33</v>
      </c>
      <c r="C910" t="s">
        <v>5</v>
      </c>
      <c r="D910">
        <v>80</v>
      </c>
      <c r="E910">
        <v>148.54599999999999</v>
      </c>
      <c r="F910">
        <f t="shared" si="57"/>
        <v>147</v>
      </c>
      <c r="G910">
        <f t="shared" si="59"/>
        <v>1.0517006802721036</v>
      </c>
      <c r="H910">
        <f t="shared" si="60"/>
        <v>1.0407550523070244</v>
      </c>
    </row>
    <row r="911" spans="1:8" x14ac:dyDescent="0.25">
      <c r="A911" t="str">
        <f t="shared" si="58"/>
        <v>Direct,STnet,80</v>
      </c>
      <c r="B911" t="s">
        <v>33</v>
      </c>
      <c r="C911" t="s">
        <v>5</v>
      </c>
      <c r="D911">
        <v>80</v>
      </c>
      <c r="E911">
        <v>141.62299999999999</v>
      </c>
      <c r="F911">
        <f t="shared" si="57"/>
        <v>147</v>
      </c>
      <c r="G911">
        <f t="shared" si="59"/>
        <v>3.6578231292517067</v>
      </c>
      <c r="H911">
        <f t="shared" si="60"/>
        <v>3.796699688609908</v>
      </c>
    </row>
    <row r="912" spans="1:8" x14ac:dyDescent="0.25">
      <c r="A912" t="str">
        <f t="shared" si="58"/>
        <v>Direct,STnet,80</v>
      </c>
      <c r="B912" t="s">
        <v>33</v>
      </c>
      <c r="C912" t="s">
        <v>5</v>
      </c>
      <c r="D912">
        <v>80</v>
      </c>
      <c r="E912">
        <v>138.03899999999999</v>
      </c>
      <c r="F912">
        <f t="shared" si="57"/>
        <v>147</v>
      </c>
      <c r="G912">
        <f t="shared" si="59"/>
        <v>6.0959183673469477</v>
      </c>
      <c r="H912">
        <f t="shared" si="60"/>
        <v>6.4916436659205097</v>
      </c>
    </row>
    <row r="913" spans="1:8" x14ac:dyDescent="0.25">
      <c r="A913" t="str">
        <f t="shared" si="58"/>
        <v>Direct,STnet,80</v>
      </c>
      <c r="B913" t="s">
        <v>33</v>
      </c>
      <c r="C913" t="s">
        <v>5</v>
      </c>
      <c r="D913">
        <v>80</v>
      </c>
      <c r="E913">
        <v>151.42500000000001</v>
      </c>
      <c r="F913">
        <f t="shared" si="57"/>
        <v>147</v>
      </c>
      <c r="G913">
        <f t="shared" si="59"/>
        <v>3.0102040816326605</v>
      </c>
      <c r="H913">
        <f t="shared" si="60"/>
        <v>2.9222387320455745</v>
      </c>
    </row>
    <row r="914" spans="1:8" x14ac:dyDescent="0.25">
      <c r="A914" t="str">
        <f t="shared" si="58"/>
        <v>Direct,STnet,80</v>
      </c>
      <c r="B914" t="s">
        <v>33</v>
      </c>
      <c r="C914" t="s">
        <v>5</v>
      </c>
      <c r="D914">
        <v>80</v>
      </c>
      <c r="E914">
        <v>143.67099999999999</v>
      </c>
      <c r="F914">
        <f t="shared" si="57"/>
        <v>147</v>
      </c>
      <c r="G914">
        <f t="shared" si="59"/>
        <v>2.2646258503401415</v>
      </c>
      <c r="H914">
        <f t="shared" si="60"/>
        <v>2.3170994842382999</v>
      </c>
    </row>
    <row r="915" spans="1:8" x14ac:dyDescent="0.25">
      <c r="A915" t="str">
        <f t="shared" si="58"/>
        <v>Direct,STnet,80</v>
      </c>
      <c r="B915" t="s">
        <v>33</v>
      </c>
      <c r="C915" t="s">
        <v>5</v>
      </c>
      <c r="D915">
        <v>80</v>
      </c>
      <c r="E915">
        <v>144.47300000000001</v>
      </c>
      <c r="F915">
        <f t="shared" si="57"/>
        <v>147</v>
      </c>
      <c r="G915">
        <f t="shared" si="59"/>
        <v>1.7190476190476101</v>
      </c>
      <c r="H915">
        <f t="shared" si="60"/>
        <v>1.7491157517321485</v>
      </c>
    </row>
    <row r="916" spans="1:8" x14ac:dyDescent="0.25">
      <c r="A916" t="str">
        <f t="shared" si="58"/>
        <v>Direct,STnet,80</v>
      </c>
      <c r="B916" t="s">
        <v>33</v>
      </c>
      <c r="C916" t="s">
        <v>5</v>
      </c>
      <c r="D916">
        <v>80</v>
      </c>
      <c r="E916">
        <v>145.37899999999999</v>
      </c>
      <c r="F916">
        <f t="shared" si="57"/>
        <v>147</v>
      </c>
      <c r="G916">
        <f t="shared" si="59"/>
        <v>1.1027210884353804</v>
      </c>
      <c r="H916">
        <f t="shared" si="60"/>
        <v>1.1150166117527356</v>
      </c>
    </row>
    <row r="917" spans="1:8" x14ac:dyDescent="0.25">
      <c r="A917" t="str">
        <f t="shared" si="58"/>
        <v>Direct,STnet,80</v>
      </c>
      <c r="B917" t="s">
        <v>33</v>
      </c>
      <c r="C917" t="s">
        <v>5</v>
      </c>
      <c r="D917">
        <v>80</v>
      </c>
      <c r="E917">
        <v>148.84200000000001</v>
      </c>
      <c r="F917">
        <f t="shared" si="57"/>
        <v>147</v>
      </c>
      <c r="G917">
        <f t="shared" si="59"/>
        <v>1.2530612244898047</v>
      </c>
      <c r="H917">
        <f t="shared" si="60"/>
        <v>1.23755391623333</v>
      </c>
    </row>
    <row r="918" spans="1:8" x14ac:dyDescent="0.25">
      <c r="A918" t="str">
        <f t="shared" si="58"/>
        <v>Direct,STnet,80</v>
      </c>
      <c r="B918" t="s">
        <v>33</v>
      </c>
      <c r="C918" t="s">
        <v>5</v>
      </c>
      <c r="D918">
        <v>80</v>
      </c>
      <c r="E918">
        <v>133.84200000000001</v>
      </c>
      <c r="F918">
        <f t="shared" si="57"/>
        <v>147</v>
      </c>
      <c r="G918">
        <f t="shared" si="59"/>
        <v>8.9510204081632576</v>
      </c>
      <c r="H918">
        <f t="shared" si="60"/>
        <v>9.8309947550096286</v>
      </c>
    </row>
    <row r="919" spans="1:8" x14ac:dyDescent="0.25">
      <c r="A919" t="str">
        <f t="shared" si="58"/>
        <v>Direct,STnet,80</v>
      </c>
      <c r="B919" t="s">
        <v>33</v>
      </c>
      <c r="C919" t="s">
        <v>5</v>
      </c>
      <c r="D919">
        <v>80</v>
      </c>
      <c r="E919">
        <v>136.16</v>
      </c>
      <c r="F919">
        <f t="shared" si="57"/>
        <v>147</v>
      </c>
      <c r="G919">
        <f t="shared" si="59"/>
        <v>7.3741496598639475</v>
      </c>
      <c r="H919">
        <f t="shared" si="60"/>
        <v>7.9612220916568761</v>
      </c>
    </row>
    <row r="920" spans="1:8" x14ac:dyDescent="0.25">
      <c r="A920" t="str">
        <f t="shared" si="58"/>
        <v>Direct,STnet,80</v>
      </c>
      <c r="B920" t="s">
        <v>33</v>
      </c>
      <c r="C920" t="s">
        <v>5</v>
      </c>
      <c r="D920">
        <v>80</v>
      </c>
      <c r="E920">
        <v>127.82</v>
      </c>
      <c r="F920">
        <f t="shared" si="57"/>
        <v>147</v>
      </c>
      <c r="G920">
        <f t="shared" si="59"/>
        <v>13.047619047619053</v>
      </c>
      <c r="H920">
        <f t="shared" si="60"/>
        <v>15.00547645125959</v>
      </c>
    </row>
    <row r="921" spans="1:8" x14ac:dyDescent="0.25">
      <c r="A921" t="str">
        <f t="shared" si="58"/>
        <v>Direct,STnet,80</v>
      </c>
      <c r="B921" t="s">
        <v>33</v>
      </c>
      <c r="C921" t="s">
        <v>5</v>
      </c>
      <c r="D921">
        <v>80</v>
      </c>
      <c r="E921">
        <v>164.00899999999999</v>
      </c>
      <c r="F921">
        <f t="shared" si="57"/>
        <v>147</v>
      </c>
      <c r="G921">
        <f t="shared" si="59"/>
        <v>11.570748299319717</v>
      </c>
      <c r="H921">
        <f t="shared" si="60"/>
        <v>10.370772335664499</v>
      </c>
    </row>
    <row r="922" spans="1:8" x14ac:dyDescent="0.25">
      <c r="A922" t="str">
        <f t="shared" si="58"/>
        <v>Direct,STnet,80</v>
      </c>
      <c r="B922" t="s">
        <v>33</v>
      </c>
      <c r="C922" t="s">
        <v>5</v>
      </c>
      <c r="D922">
        <v>80</v>
      </c>
      <c r="E922">
        <v>157.352</v>
      </c>
      <c r="F922">
        <f t="shared" si="57"/>
        <v>147</v>
      </c>
      <c r="G922">
        <f t="shared" si="59"/>
        <v>7.0421768707483023</v>
      </c>
      <c r="H922">
        <f t="shared" si="60"/>
        <v>6.5788804718084322</v>
      </c>
    </row>
    <row r="923" spans="1:8" x14ac:dyDescent="0.25">
      <c r="A923" t="str">
        <f t="shared" si="58"/>
        <v>Direct,STnet,80</v>
      </c>
      <c r="B923" t="s">
        <v>33</v>
      </c>
      <c r="C923" t="s">
        <v>5</v>
      </c>
      <c r="D923">
        <v>80</v>
      </c>
      <c r="E923">
        <v>157.44900000000001</v>
      </c>
      <c r="F923">
        <f t="shared" si="57"/>
        <v>147</v>
      </c>
      <c r="G923">
        <f t="shared" si="59"/>
        <v>7.1081632653061302</v>
      </c>
      <c r="H923">
        <f t="shared" si="60"/>
        <v>6.6364346550311604</v>
      </c>
    </row>
    <row r="924" spans="1:8" x14ac:dyDescent="0.25">
      <c r="A924" t="str">
        <f t="shared" si="58"/>
        <v>Direct,STnet,80</v>
      </c>
      <c r="B924" t="s">
        <v>33</v>
      </c>
      <c r="C924" t="s">
        <v>5</v>
      </c>
      <c r="D924">
        <v>80</v>
      </c>
      <c r="E924">
        <v>158.47300000000001</v>
      </c>
      <c r="F924">
        <f t="shared" si="57"/>
        <v>147</v>
      </c>
      <c r="G924">
        <f t="shared" si="59"/>
        <v>7.8047619047619143</v>
      </c>
      <c r="H924">
        <f t="shared" si="60"/>
        <v>7.2397190688634732</v>
      </c>
    </row>
    <row r="925" spans="1:8" x14ac:dyDescent="0.25">
      <c r="A925" t="str">
        <f t="shared" si="58"/>
        <v>Direct,STnet,80</v>
      </c>
      <c r="B925" t="s">
        <v>33</v>
      </c>
      <c r="C925" t="s">
        <v>5</v>
      </c>
      <c r="D925">
        <v>80</v>
      </c>
      <c r="E925">
        <v>143.816</v>
      </c>
      <c r="F925">
        <f t="shared" si="57"/>
        <v>147</v>
      </c>
      <c r="G925">
        <f t="shared" si="59"/>
        <v>2.1659863945578213</v>
      </c>
      <c r="H925">
        <f t="shared" si="60"/>
        <v>2.2139400344885112</v>
      </c>
    </row>
    <row r="926" spans="1:8" x14ac:dyDescent="0.25">
      <c r="A926" t="str">
        <f t="shared" si="58"/>
        <v>Direct,STnet,80</v>
      </c>
      <c r="B926" t="s">
        <v>33</v>
      </c>
      <c r="C926" t="s">
        <v>5</v>
      </c>
      <c r="D926">
        <v>80</v>
      </c>
      <c r="E926">
        <v>149.327</v>
      </c>
      <c r="F926">
        <f t="shared" si="57"/>
        <v>147</v>
      </c>
      <c r="G926">
        <f t="shared" si="59"/>
        <v>1.5829931972789104</v>
      </c>
      <c r="H926">
        <f t="shared" si="60"/>
        <v>1.5583250182485404</v>
      </c>
    </row>
    <row r="927" spans="1:8" x14ac:dyDescent="0.25">
      <c r="A927" t="str">
        <f t="shared" si="58"/>
        <v>Direct,STnet,80</v>
      </c>
      <c r="B927" t="s">
        <v>33</v>
      </c>
      <c r="C927" t="s">
        <v>5</v>
      </c>
      <c r="D927">
        <v>80</v>
      </c>
      <c r="E927">
        <v>160.98400000000001</v>
      </c>
      <c r="F927">
        <f t="shared" si="57"/>
        <v>147</v>
      </c>
      <c r="G927">
        <f t="shared" si="59"/>
        <v>9.5129251700680335</v>
      </c>
      <c r="H927">
        <f t="shared" si="60"/>
        <v>8.6865775480793168</v>
      </c>
    </row>
    <row r="928" spans="1:8" x14ac:dyDescent="0.25">
      <c r="A928" t="str">
        <f t="shared" si="58"/>
        <v>Direct,STnet,80</v>
      </c>
      <c r="B928" t="s">
        <v>33</v>
      </c>
      <c r="C928" t="s">
        <v>5</v>
      </c>
      <c r="D928">
        <v>80</v>
      </c>
      <c r="E928">
        <v>142.81700000000001</v>
      </c>
      <c r="F928">
        <f t="shared" si="57"/>
        <v>147</v>
      </c>
      <c r="G928">
        <f t="shared" si="59"/>
        <v>2.8455782312925124</v>
      </c>
      <c r="H928">
        <f t="shared" si="60"/>
        <v>2.9289230273706859</v>
      </c>
    </row>
    <row r="929" spans="1:8" x14ac:dyDescent="0.25">
      <c r="A929" t="str">
        <f t="shared" si="58"/>
        <v>Direct,STnet,80</v>
      </c>
      <c r="B929" t="s">
        <v>33</v>
      </c>
      <c r="C929" t="s">
        <v>5</v>
      </c>
      <c r="D929">
        <v>80</v>
      </c>
      <c r="E929">
        <v>153.20599999999999</v>
      </c>
      <c r="F929">
        <f t="shared" si="57"/>
        <v>147</v>
      </c>
      <c r="G929">
        <f t="shared" si="59"/>
        <v>4.2217687074829851</v>
      </c>
      <c r="H929">
        <f t="shared" si="60"/>
        <v>4.0507551923553837</v>
      </c>
    </row>
    <row r="930" spans="1:8" x14ac:dyDescent="0.25">
      <c r="A930" t="str">
        <f t="shared" si="58"/>
        <v>Direct,STnet,80</v>
      </c>
      <c r="B930" t="s">
        <v>33</v>
      </c>
      <c r="C930" t="s">
        <v>5</v>
      </c>
      <c r="D930">
        <v>80</v>
      </c>
      <c r="E930">
        <v>145.59800000000001</v>
      </c>
      <c r="F930">
        <f t="shared" si="57"/>
        <v>147</v>
      </c>
      <c r="G930">
        <f t="shared" si="59"/>
        <v>0.95374149659863039</v>
      </c>
      <c r="H930">
        <f t="shared" si="60"/>
        <v>0.96292531490816269</v>
      </c>
    </row>
    <row r="931" spans="1:8" x14ac:dyDescent="0.25">
      <c r="A931" t="str">
        <f t="shared" si="58"/>
        <v>Direct,STnet,80</v>
      </c>
      <c r="B931" t="s">
        <v>33</v>
      </c>
      <c r="C931" t="s">
        <v>5</v>
      </c>
      <c r="D931">
        <v>80</v>
      </c>
      <c r="E931">
        <v>137.76900000000001</v>
      </c>
      <c r="F931">
        <f t="shared" si="57"/>
        <v>147</v>
      </c>
      <c r="G931">
        <f t="shared" si="59"/>
        <v>6.2795918367346895</v>
      </c>
      <c r="H931">
        <f t="shared" si="60"/>
        <v>6.7003462317357281</v>
      </c>
    </row>
    <row r="932" spans="1:8" x14ac:dyDescent="0.25">
      <c r="A932" t="str">
        <f t="shared" si="58"/>
        <v>Direct,STnet,80</v>
      </c>
      <c r="B932" t="s">
        <v>33</v>
      </c>
      <c r="C932" t="s">
        <v>5</v>
      </c>
      <c r="D932">
        <v>80</v>
      </c>
      <c r="E932">
        <v>143.404</v>
      </c>
      <c r="F932">
        <f t="shared" si="57"/>
        <v>147</v>
      </c>
      <c r="G932">
        <f t="shared" si="59"/>
        <v>2.4462585034013631</v>
      </c>
      <c r="H932">
        <f t="shared" si="60"/>
        <v>2.5076009037404838</v>
      </c>
    </row>
    <row r="933" spans="1:8" x14ac:dyDescent="0.25">
      <c r="A933" t="str">
        <f t="shared" si="58"/>
        <v>Direct,STnet,80</v>
      </c>
      <c r="B933" t="s">
        <v>33</v>
      </c>
      <c r="C933" t="s">
        <v>5</v>
      </c>
      <c r="D933">
        <v>80</v>
      </c>
      <c r="E933">
        <v>136.452</v>
      </c>
      <c r="F933">
        <f t="shared" si="57"/>
        <v>147</v>
      </c>
      <c r="G933">
        <f t="shared" si="59"/>
        <v>7.1755102040816334</v>
      </c>
      <c r="H933">
        <f t="shared" si="60"/>
        <v>7.7301908363380551</v>
      </c>
    </row>
    <row r="934" spans="1:8" x14ac:dyDescent="0.25">
      <c r="A934" t="str">
        <f t="shared" si="58"/>
        <v>Direct,STnet,80</v>
      </c>
      <c r="B934" t="s">
        <v>33</v>
      </c>
      <c r="C934" t="s">
        <v>5</v>
      </c>
      <c r="D934">
        <v>80</v>
      </c>
      <c r="E934">
        <v>167.08199999999999</v>
      </c>
      <c r="F934">
        <f t="shared" si="57"/>
        <v>147</v>
      </c>
      <c r="G934">
        <f t="shared" si="59"/>
        <v>13.661224489795915</v>
      </c>
      <c r="H934">
        <f t="shared" si="60"/>
        <v>12.019248033899519</v>
      </c>
    </row>
    <row r="935" spans="1:8" x14ac:dyDescent="0.25">
      <c r="A935" t="str">
        <f t="shared" si="58"/>
        <v>Direct,STnet,80</v>
      </c>
      <c r="B935" t="s">
        <v>33</v>
      </c>
      <c r="C935" t="s">
        <v>5</v>
      </c>
      <c r="D935">
        <v>80</v>
      </c>
      <c r="E935">
        <v>161.71700000000001</v>
      </c>
      <c r="F935">
        <f t="shared" si="57"/>
        <v>147</v>
      </c>
      <c r="G935">
        <f t="shared" si="59"/>
        <v>10.011564625850349</v>
      </c>
      <c r="H935">
        <f t="shared" si="60"/>
        <v>9.1004656282270968</v>
      </c>
    </row>
    <row r="936" spans="1:8" x14ac:dyDescent="0.25">
      <c r="A936" t="str">
        <f t="shared" si="58"/>
        <v>Direct,STnet,80</v>
      </c>
      <c r="B936" t="s">
        <v>33</v>
      </c>
      <c r="C936" t="s">
        <v>5</v>
      </c>
      <c r="D936">
        <v>80</v>
      </c>
      <c r="E936">
        <v>142.76900000000001</v>
      </c>
      <c r="F936">
        <f t="shared" si="57"/>
        <v>147</v>
      </c>
      <c r="G936">
        <f t="shared" si="59"/>
        <v>2.878231292517003</v>
      </c>
      <c r="H936">
        <f t="shared" si="60"/>
        <v>2.9635284970826961</v>
      </c>
    </row>
    <row r="937" spans="1:8" x14ac:dyDescent="0.25">
      <c r="A937" t="str">
        <f t="shared" si="58"/>
        <v>Direct,STnet,80</v>
      </c>
      <c r="B937" t="s">
        <v>33</v>
      </c>
      <c r="C937" t="s">
        <v>5</v>
      </c>
      <c r="D937">
        <v>80</v>
      </c>
      <c r="E937">
        <v>144.59800000000001</v>
      </c>
      <c r="F937">
        <f t="shared" si="57"/>
        <v>147</v>
      </c>
      <c r="G937">
        <f t="shared" si="59"/>
        <v>1.6340136054421681</v>
      </c>
      <c r="H937">
        <f t="shared" si="60"/>
        <v>1.661157139102883</v>
      </c>
    </row>
    <row r="938" spans="1:8" x14ac:dyDescent="0.25">
      <c r="A938" t="str">
        <f t="shared" si="58"/>
        <v>Direct,STnet,80</v>
      </c>
      <c r="B938" t="s">
        <v>33</v>
      </c>
      <c r="C938" t="s">
        <v>5</v>
      </c>
      <c r="D938">
        <v>80</v>
      </c>
      <c r="E938">
        <v>162.46899999999999</v>
      </c>
      <c r="F938">
        <f t="shared" si="57"/>
        <v>147</v>
      </c>
      <c r="G938">
        <f t="shared" si="59"/>
        <v>10.523129251700675</v>
      </c>
      <c r="H938">
        <f t="shared" si="60"/>
        <v>9.5212009675691949</v>
      </c>
    </row>
    <row r="939" spans="1:8" x14ac:dyDescent="0.25">
      <c r="A939" t="str">
        <f t="shared" si="58"/>
        <v>Direct,STnet,80</v>
      </c>
      <c r="B939" t="s">
        <v>33</v>
      </c>
      <c r="C939" t="s">
        <v>5</v>
      </c>
      <c r="D939">
        <v>80</v>
      </c>
      <c r="E939">
        <v>155.86199999999999</v>
      </c>
      <c r="F939">
        <f t="shared" si="57"/>
        <v>147</v>
      </c>
      <c r="G939">
        <f t="shared" si="59"/>
        <v>6.0285714285714249</v>
      </c>
      <c r="H939">
        <f t="shared" si="60"/>
        <v>5.6857989760172432</v>
      </c>
    </row>
    <row r="940" spans="1:8" x14ac:dyDescent="0.25">
      <c r="A940" t="str">
        <f t="shared" si="58"/>
        <v>Direct,STnet,80</v>
      </c>
      <c r="B940" t="s">
        <v>33</v>
      </c>
      <c r="C940" t="s">
        <v>5</v>
      </c>
      <c r="D940">
        <v>80</v>
      </c>
      <c r="E940">
        <v>153.49799999999999</v>
      </c>
      <c r="F940">
        <f t="shared" si="57"/>
        <v>147</v>
      </c>
      <c r="G940">
        <f t="shared" si="59"/>
        <v>4.4204081632653001</v>
      </c>
      <c r="H940">
        <f t="shared" si="60"/>
        <v>4.2332799124418496</v>
      </c>
    </row>
    <row r="941" spans="1:8" x14ac:dyDescent="0.25">
      <c r="A941" t="str">
        <f t="shared" si="58"/>
        <v>Direct,STnet,80</v>
      </c>
      <c r="B941" t="s">
        <v>33</v>
      </c>
      <c r="C941" t="s">
        <v>5</v>
      </c>
      <c r="D941">
        <v>80</v>
      </c>
      <c r="E941">
        <v>139.477</v>
      </c>
      <c r="F941">
        <f t="shared" si="57"/>
        <v>147</v>
      </c>
      <c r="G941">
        <f t="shared" si="59"/>
        <v>5.1176870748299299</v>
      </c>
      <c r="H941">
        <f t="shared" si="60"/>
        <v>5.3937208285236968</v>
      </c>
    </row>
    <row r="942" spans="1:8" x14ac:dyDescent="0.25">
      <c r="A942" t="str">
        <f t="shared" si="58"/>
        <v>Direct,STnet,80</v>
      </c>
      <c r="B942" t="s">
        <v>33</v>
      </c>
      <c r="C942" t="s">
        <v>5</v>
      </c>
      <c r="D942">
        <v>80</v>
      </c>
      <c r="E942">
        <v>153.25399999999999</v>
      </c>
      <c r="F942">
        <f t="shared" si="57"/>
        <v>147</v>
      </c>
      <c r="G942">
        <f t="shared" si="59"/>
        <v>4.254421768707477</v>
      </c>
      <c r="H942">
        <f t="shared" si="60"/>
        <v>4.080807026244007</v>
      </c>
    </row>
    <row r="943" spans="1:8" x14ac:dyDescent="0.25">
      <c r="A943" t="str">
        <f t="shared" si="58"/>
        <v>Direct,STnet,80</v>
      </c>
      <c r="B943" t="s">
        <v>33</v>
      </c>
      <c r="C943" t="s">
        <v>5</v>
      </c>
      <c r="D943">
        <v>80</v>
      </c>
      <c r="E943">
        <v>161.571</v>
      </c>
      <c r="F943">
        <f t="shared" si="57"/>
        <v>147</v>
      </c>
      <c r="G943">
        <f t="shared" si="59"/>
        <v>9.912244897959182</v>
      </c>
      <c r="H943">
        <f t="shared" si="60"/>
        <v>9.018326308557846</v>
      </c>
    </row>
    <row r="944" spans="1:8" x14ac:dyDescent="0.25">
      <c r="A944" t="str">
        <f t="shared" si="58"/>
        <v>Direct,STnet,80</v>
      </c>
      <c r="B944" t="s">
        <v>33</v>
      </c>
      <c r="C944" t="s">
        <v>5</v>
      </c>
      <c r="D944">
        <v>80</v>
      </c>
      <c r="E944">
        <v>141.91399999999999</v>
      </c>
      <c r="F944">
        <f t="shared" si="57"/>
        <v>147</v>
      </c>
      <c r="G944">
        <f t="shared" si="59"/>
        <v>3.4598639455782401</v>
      </c>
      <c r="H944">
        <f t="shared" si="60"/>
        <v>3.5838606479980926</v>
      </c>
    </row>
    <row r="945" spans="1:8" x14ac:dyDescent="0.25">
      <c r="A945" t="str">
        <f t="shared" si="58"/>
        <v>Direct,STnet,80</v>
      </c>
      <c r="B945" t="s">
        <v>33</v>
      </c>
      <c r="C945" t="s">
        <v>5</v>
      </c>
      <c r="D945">
        <v>80</v>
      </c>
      <c r="E945">
        <v>141.45099999999999</v>
      </c>
      <c r="F945">
        <f t="shared" si="57"/>
        <v>147</v>
      </c>
      <c r="G945">
        <f t="shared" si="59"/>
        <v>3.7748299319727936</v>
      </c>
      <c r="H945">
        <f t="shared" si="60"/>
        <v>3.9229132349718325</v>
      </c>
    </row>
    <row r="946" spans="1:8" x14ac:dyDescent="0.25">
      <c r="A946" t="str">
        <f t="shared" si="58"/>
        <v>Direct,STnet,80</v>
      </c>
      <c r="B946" t="s">
        <v>33</v>
      </c>
      <c r="C946" t="s">
        <v>5</v>
      </c>
      <c r="D946">
        <v>80</v>
      </c>
      <c r="E946">
        <v>137.62299999999999</v>
      </c>
      <c r="F946">
        <f t="shared" si="57"/>
        <v>147</v>
      </c>
      <c r="G946">
        <f t="shared" si="59"/>
        <v>6.3789115646258567</v>
      </c>
      <c r="H946">
        <f t="shared" si="60"/>
        <v>6.8135413412002421</v>
      </c>
    </row>
    <row r="947" spans="1:8" x14ac:dyDescent="0.25">
      <c r="A947" t="str">
        <f t="shared" si="58"/>
        <v>Direct,STnet,80</v>
      </c>
      <c r="B947" t="s">
        <v>33</v>
      </c>
      <c r="C947" t="s">
        <v>5</v>
      </c>
      <c r="D947">
        <v>80</v>
      </c>
      <c r="E947">
        <v>154.352</v>
      </c>
      <c r="F947">
        <f t="shared" si="57"/>
        <v>147</v>
      </c>
      <c r="G947">
        <f t="shared" si="59"/>
        <v>5.0013605442176896</v>
      </c>
      <c r="H947">
        <f t="shared" si="60"/>
        <v>4.7631387996268293</v>
      </c>
    </row>
    <row r="948" spans="1:8" x14ac:dyDescent="0.25">
      <c r="A948" t="str">
        <f t="shared" si="58"/>
        <v>Direct,STnet,80</v>
      </c>
      <c r="B948" t="s">
        <v>33</v>
      </c>
      <c r="C948" t="s">
        <v>5</v>
      </c>
      <c r="D948">
        <v>80</v>
      </c>
      <c r="E948">
        <v>157.13399999999999</v>
      </c>
      <c r="F948">
        <f t="shared" si="57"/>
        <v>147</v>
      </c>
      <c r="G948">
        <f t="shared" si="59"/>
        <v>6.893877551020398</v>
      </c>
      <c r="H948">
        <f t="shared" si="60"/>
        <v>6.4492725953644578</v>
      </c>
    </row>
    <row r="949" spans="1:8" x14ac:dyDescent="0.25">
      <c r="A949" t="str">
        <f t="shared" si="58"/>
        <v>Direct,STnet,80</v>
      </c>
      <c r="B949" t="s">
        <v>33</v>
      </c>
      <c r="C949" t="s">
        <v>5</v>
      </c>
      <c r="D949">
        <v>80</v>
      </c>
      <c r="E949">
        <v>138.404</v>
      </c>
      <c r="F949">
        <f t="shared" si="57"/>
        <v>147</v>
      </c>
      <c r="G949">
        <f t="shared" si="59"/>
        <v>5.8476190476190499</v>
      </c>
      <c r="H949">
        <f t="shared" si="60"/>
        <v>6.2108031559781534</v>
      </c>
    </row>
    <row r="950" spans="1:8" x14ac:dyDescent="0.25">
      <c r="A950" t="str">
        <f t="shared" si="58"/>
        <v>Direct,STnet,80</v>
      </c>
      <c r="B950" t="s">
        <v>33</v>
      </c>
      <c r="C950" t="s">
        <v>5</v>
      </c>
      <c r="D950">
        <v>80</v>
      </c>
      <c r="E950">
        <v>139.88999999999999</v>
      </c>
      <c r="F950">
        <f t="shared" si="57"/>
        <v>147</v>
      </c>
      <c r="G950">
        <f t="shared" si="59"/>
        <v>4.8367346938775606</v>
      </c>
      <c r="H950">
        <f t="shared" si="60"/>
        <v>5.082564872399753</v>
      </c>
    </row>
    <row r="951" spans="1:8" x14ac:dyDescent="0.25">
      <c r="A951" t="str">
        <f t="shared" si="58"/>
        <v>Direct,STnet,80</v>
      </c>
      <c r="B951" t="s">
        <v>33</v>
      </c>
      <c r="C951" t="s">
        <v>5</v>
      </c>
      <c r="D951">
        <v>80</v>
      </c>
      <c r="E951">
        <v>140.18100000000001</v>
      </c>
      <c r="F951">
        <f t="shared" si="57"/>
        <v>147</v>
      </c>
      <c r="G951">
        <f t="shared" si="59"/>
        <v>4.6387755102040735</v>
      </c>
      <c r="H951">
        <f t="shared" si="60"/>
        <v>4.8644252787467543</v>
      </c>
    </row>
    <row r="952" spans="1:8" x14ac:dyDescent="0.25">
      <c r="A952" t="str">
        <f t="shared" si="58"/>
        <v>Direct,STnet,80</v>
      </c>
      <c r="B952" t="s">
        <v>33</v>
      </c>
      <c r="C952" t="s">
        <v>5</v>
      </c>
      <c r="D952">
        <v>80</v>
      </c>
      <c r="E952">
        <v>157.547</v>
      </c>
      <c r="F952">
        <f t="shared" si="57"/>
        <v>147</v>
      </c>
      <c r="G952">
        <f t="shared" si="59"/>
        <v>7.1748299319727868</v>
      </c>
      <c r="H952">
        <f t="shared" si="60"/>
        <v>6.6945102096517219</v>
      </c>
    </row>
    <row r="953" spans="1:8" x14ac:dyDescent="0.25">
      <c r="A953" t="str">
        <f t="shared" si="58"/>
        <v>Direct,STnet,80</v>
      </c>
      <c r="B953" t="s">
        <v>33</v>
      </c>
      <c r="C953" t="s">
        <v>5</v>
      </c>
      <c r="D953">
        <v>80</v>
      </c>
      <c r="E953">
        <v>138.33099999999999</v>
      </c>
      <c r="F953">
        <f t="shared" si="57"/>
        <v>147</v>
      </c>
      <c r="G953">
        <f t="shared" si="59"/>
        <v>5.8972789115646336</v>
      </c>
      <c r="H953">
        <f t="shared" si="60"/>
        <v>6.2668526939008693</v>
      </c>
    </row>
    <row r="954" spans="1:8" x14ac:dyDescent="0.25">
      <c r="A954" t="str">
        <f t="shared" si="58"/>
        <v>Direct,STnet,80</v>
      </c>
      <c r="B954" t="s">
        <v>33</v>
      </c>
      <c r="C954" t="s">
        <v>5</v>
      </c>
      <c r="D954">
        <v>80</v>
      </c>
      <c r="E954">
        <v>138.816</v>
      </c>
      <c r="F954">
        <f t="shared" si="57"/>
        <v>147</v>
      </c>
      <c r="G954">
        <f t="shared" si="59"/>
        <v>5.5673469387755086</v>
      </c>
      <c r="H954">
        <f t="shared" si="60"/>
        <v>5.895573997233746</v>
      </c>
    </row>
    <row r="955" spans="1:8" x14ac:dyDescent="0.25">
      <c r="A955" t="str">
        <f t="shared" si="58"/>
        <v>Direct,STnet,80</v>
      </c>
      <c r="B955" t="s">
        <v>33</v>
      </c>
      <c r="C955" t="s">
        <v>5</v>
      </c>
      <c r="D955">
        <v>80</v>
      </c>
      <c r="E955">
        <v>134.03899999999999</v>
      </c>
      <c r="F955">
        <f t="shared" si="57"/>
        <v>147</v>
      </c>
      <c r="G955">
        <f t="shared" si="59"/>
        <v>8.8170068027210977</v>
      </c>
      <c r="H955">
        <f t="shared" si="60"/>
        <v>9.6695737807653099</v>
      </c>
    </row>
    <row r="956" spans="1:8" x14ac:dyDescent="0.25">
      <c r="A956" t="str">
        <f t="shared" si="58"/>
        <v>Direct,STnet,80</v>
      </c>
      <c r="B956" t="s">
        <v>33</v>
      </c>
      <c r="C956" t="s">
        <v>5</v>
      </c>
      <c r="D956">
        <v>80</v>
      </c>
      <c r="E956">
        <v>141.67099999999999</v>
      </c>
      <c r="F956">
        <f t="shared" si="57"/>
        <v>147</v>
      </c>
      <c r="G956">
        <f t="shared" si="59"/>
        <v>3.6251700680272161</v>
      </c>
      <c r="H956">
        <f t="shared" si="60"/>
        <v>3.7615320001976467</v>
      </c>
    </row>
    <row r="957" spans="1:8" x14ac:dyDescent="0.25">
      <c r="A957" t="str">
        <f t="shared" si="58"/>
        <v>Direct,STnet,80</v>
      </c>
      <c r="B957" t="s">
        <v>33</v>
      </c>
      <c r="C957" t="s">
        <v>5</v>
      </c>
      <c r="D957">
        <v>80</v>
      </c>
      <c r="E957">
        <v>135.768</v>
      </c>
      <c r="F957">
        <f t="shared" si="57"/>
        <v>147</v>
      </c>
      <c r="G957">
        <f t="shared" si="59"/>
        <v>7.6408163265306115</v>
      </c>
      <c r="H957">
        <f t="shared" si="60"/>
        <v>8.272936185257203</v>
      </c>
    </row>
    <row r="958" spans="1:8" x14ac:dyDescent="0.25">
      <c r="A958" t="str">
        <f t="shared" si="58"/>
        <v>Direct,STnet,80</v>
      </c>
      <c r="B958" t="s">
        <v>33</v>
      </c>
      <c r="C958" t="s">
        <v>5</v>
      </c>
      <c r="D958">
        <v>80</v>
      </c>
      <c r="E958">
        <v>165.05799999999999</v>
      </c>
      <c r="F958">
        <f t="shared" si="57"/>
        <v>147</v>
      </c>
      <c r="G958">
        <f t="shared" si="59"/>
        <v>12.284353741496593</v>
      </c>
      <c r="H958">
        <f t="shared" si="60"/>
        <v>10.940396709035607</v>
      </c>
    </row>
    <row r="959" spans="1:8" x14ac:dyDescent="0.25">
      <c r="A959" t="str">
        <f t="shared" si="58"/>
        <v>Direct,STnet,80</v>
      </c>
      <c r="B959" t="s">
        <v>33</v>
      </c>
      <c r="C959" t="s">
        <v>5</v>
      </c>
      <c r="D959">
        <v>80</v>
      </c>
      <c r="E959">
        <v>157.47300000000001</v>
      </c>
      <c r="F959">
        <f t="shared" si="57"/>
        <v>147</v>
      </c>
      <c r="G959">
        <f t="shared" si="59"/>
        <v>7.1244897959183762</v>
      </c>
      <c r="H959">
        <f t="shared" si="60"/>
        <v>6.6506639233392466</v>
      </c>
    </row>
    <row r="960" spans="1:8" x14ac:dyDescent="0.25">
      <c r="A960" t="str">
        <f t="shared" si="58"/>
        <v>Direct,STnet,80</v>
      </c>
      <c r="B960" t="s">
        <v>33</v>
      </c>
      <c r="C960" t="s">
        <v>5</v>
      </c>
      <c r="D960">
        <v>80</v>
      </c>
      <c r="E960">
        <v>154.13399999999999</v>
      </c>
      <c r="F960">
        <f t="shared" si="57"/>
        <v>147</v>
      </c>
      <c r="G960">
        <f t="shared" si="59"/>
        <v>4.8530612244897871</v>
      </c>
      <c r="H960">
        <f t="shared" si="60"/>
        <v>4.6284401884074811</v>
      </c>
    </row>
    <row r="961" spans="1:8" x14ac:dyDescent="0.25">
      <c r="A961" t="str">
        <f t="shared" si="58"/>
        <v>Direct,STnet,80</v>
      </c>
      <c r="B961" t="s">
        <v>33</v>
      </c>
      <c r="C961" t="s">
        <v>5</v>
      </c>
      <c r="D961">
        <v>80</v>
      </c>
      <c r="E961">
        <v>167.27600000000001</v>
      </c>
      <c r="F961">
        <f t="shared" si="57"/>
        <v>147</v>
      </c>
      <c r="G961">
        <f t="shared" si="59"/>
        <v>13.793197278911574</v>
      </c>
      <c r="H961">
        <f t="shared" si="60"/>
        <v>12.121284583562501</v>
      </c>
    </row>
    <row r="962" spans="1:8" x14ac:dyDescent="0.25">
      <c r="A962" t="str">
        <f t="shared" si="58"/>
        <v>Direct,STnet,80</v>
      </c>
      <c r="B962" t="s">
        <v>33</v>
      </c>
      <c r="C962" t="s">
        <v>5</v>
      </c>
      <c r="D962">
        <v>80</v>
      </c>
      <c r="E962">
        <v>121.309</v>
      </c>
      <c r="F962">
        <f t="shared" si="57"/>
        <v>147</v>
      </c>
      <c r="G962">
        <f t="shared" si="59"/>
        <v>17.476870748299323</v>
      </c>
      <c r="H962">
        <f t="shared" si="60"/>
        <v>21.178148364919341</v>
      </c>
    </row>
    <row r="963" spans="1:8" x14ac:dyDescent="0.25">
      <c r="A963" t="str">
        <f t="shared" si="58"/>
        <v>Direct,STnet,80</v>
      </c>
      <c r="B963" t="s">
        <v>33</v>
      </c>
      <c r="C963" t="s">
        <v>5</v>
      </c>
      <c r="D963">
        <v>80</v>
      </c>
      <c r="E963">
        <v>129.601</v>
      </c>
      <c r="F963">
        <f t="shared" ref="F963:F1026" si="61">_xlfn.XLOOKUP(A963,$J$3:$J$36,$N$3:$N$36)</f>
        <v>147</v>
      </c>
      <c r="G963">
        <f t="shared" si="59"/>
        <v>11.836054421768708</v>
      </c>
      <c r="H963">
        <f t="shared" si="60"/>
        <v>13.425050732633236</v>
      </c>
    </row>
    <row r="964" spans="1:8" x14ac:dyDescent="0.25">
      <c r="A964" t="str">
        <f t="shared" ref="A964:A1027" si="62">B964&amp;","&amp;C964&amp;","&amp;D964</f>
        <v>Direct,STnet,80</v>
      </c>
      <c r="B964" t="s">
        <v>33</v>
      </c>
      <c r="C964" t="s">
        <v>5</v>
      </c>
      <c r="D964">
        <v>80</v>
      </c>
      <c r="E964">
        <v>172.227</v>
      </c>
      <c r="F964">
        <f t="shared" si="61"/>
        <v>147</v>
      </c>
      <c r="G964">
        <f t="shared" ref="G964:G1027" si="63">ABS((E964-F964)/F964)*100</f>
        <v>17.16122448979592</v>
      </c>
      <c r="H964">
        <f t="shared" ref="H964:H1027" si="64">ABS((F964-E964)/E964)*100</f>
        <v>14.647529133062761</v>
      </c>
    </row>
    <row r="965" spans="1:8" x14ac:dyDescent="0.25">
      <c r="A965" t="str">
        <f t="shared" si="62"/>
        <v>Direct,STnet,80</v>
      </c>
      <c r="B965" t="s">
        <v>33</v>
      </c>
      <c r="C965" t="s">
        <v>5</v>
      </c>
      <c r="D965">
        <v>80</v>
      </c>
      <c r="E965">
        <v>125.67400000000001</v>
      </c>
      <c r="F965">
        <f t="shared" si="61"/>
        <v>147</v>
      </c>
      <c r="G965">
        <f t="shared" si="63"/>
        <v>14.507482993197273</v>
      </c>
      <c r="H965">
        <f t="shared" si="64"/>
        <v>16.969301526170881</v>
      </c>
    </row>
    <row r="966" spans="1:8" x14ac:dyDescent="0.25">
      <c r="A966" t="str">
        <f t="shared" si="62"/>
        <v>Direct,STnet,80</v>
      </c>
      <c r="B966" t="s">
        <v>33</v>
      </c>
      <c r="C966" t="s">
        <v>5</v>
      </c>
      <c r="D966">
        <v>80</v>
      </c>
      <c r="E966">
        <v>133.11199999999999</v>
      </c>
      <c r="F966">
        <f t="shared" si="61"/>
        <v>147</v>
      </c>
      <c r="G966">
        <f t="shared" si="63"/>
        <v>9.4476190476190514</v>
      </c>
      <c r="H966">
        <f t="shared" si="64"/>
        <v>10.433319310054696</v>
      </c>
    </row>
    <row r="967" spans="1:8" x14ac:dyDescent="0.25">
      <c r="A967" t="str">
        <f t="shared" si="62"/>
        <v>Direct,STnet,80</v>
      </c>
      <c r="B967" t="s">
        <v>33</v>
      </c>
      <c r="C967" t="s">
        <v>5</v>
      </c>
      <c r="D967">
        <v>80</v>
      </c>
      <c r="E967">
        <v>153.47300000000001</v>
      </c>
      <c r="F967">
        <f t="shared" si="61"/>
        <v>147</v>
      </c>
      <c r="G967">
        <f t="shared" si="63"/>
        <v>4.403401360544227</v>
      </c>
      <c r="H967">
        <f t="shared" si="64"/>
        <v>4.2176799827982858</v>
      </c>
    </row>
    <row r="968" spans="1:8" x14ac:dyDescent="0.25">
      <c r="A968" t="str">
        <f t="shared" si="62"/>
        <v>Direct,STnet,80</v>
      </c>
      <c r="B968" t="s">
        <v>33</v>
      </c>
      <c r="C968" t="s">
        <v>5</v>
      </c>
      <c r="D968">
        <v>80</v>
      </c>
      <c r="E968">
        <v>141.477</v>
      </c>
      <c r="F968">
        <f t="shared" si="61"/>
        <v>147</v>
      </c>
      <c r="G968">
        <f t="shared" si="63"/>
        <v>3.7571428571428549</v>
      </c>
      <c r="H968">
        <f t="shared" si="64"/>
        <v>3.9038147543416923</v>
      </c>
    </row>
    <row r="969" spans="1:8" x14ac:dyDescent="0.25">
      <c r="A969" t="str">
        <f t="shared" si="62"/>
        <v>Direct,STnet,80</v>
      </c>
      <c r="B969" t="s">
        <v>33</v>
      </c>
      <c r="C969" t="s">
        <v>5</v>
      </c>
      <c r="D969">
        <v>80</v>
      </c>
      <c r="E969">
        <v>136.67099999999999</v>
      </c>
      <c r="F969">
        <f t="shared" si="61"/>
        <v>147</v>
      </c>
      <c r="G969">
        <f t="shared" si="63"/>
        <v>7.0265306122449038</v>
      </c>
      <c r="H969">
        <f t="shared" si="64"/>
        <v>7.5575652479311692</v>
      </c>
    </row>
    <row r="970" spans="1:8" x14ac:dyDescent="0.25">
      <c r="A970" t="str">
        <f t="shared" si="62"/>
        <v>Direct,STnet,80</v>
      </c>
      <c r="B970" t="s">
        <v>33</v>
      </c>
      <c r="C970" t="s">
        <v>5</v>
      </c>
      <c r="D970">
        <v>80</v>
      </c>
      <c r="E970">
        <v>163.571</v>
      </c>
      <c r="F970">
        <f t="shared" si="61"/>
        <v>147</v>
      </c>
      <c r="G970">
        <f t="shared" si="63"/>
        <v>11.272789115646258</v>
      </c>
      <c r="H970">
        <f t="shared" si="64"/>
        <v>10.130768901577907</v>
      </c>
    </row>
    <row r="971" spans="1:8" x14ac:dyDescent="0.25">
      <c r="A971" t="str">
        <f t="shared" si="62"/>
        <v>Direct,STnet,80</v>
      </c>
      <c r="B971" t="s">
        <v>33</v>
      </c>
      <c r="C971" t="s">
        <v>5</v>
      </c>
      <c r="D971">
        <v>80</v>
      </c>
      <c r="E971">
        <v>156.571</v>
      </c>
      <c r="F971">
        <f t="shared" si="61"/>
        <v>147</v>
      </c>
      <c r="G971">
        <f t="shared" si="63"/>
        <v>6.5108843537414947</v>
      </c>
      <c r="H971">
        <f t="shared" si="64"/>
        <v>6.1128816958440568</v>
      </c>
    </row>
    <row r="972" spans="1:8" x14ac:dyDescent="0.25">
      <c r="A972" t="str">
        <f t="shared" si="62"/>
        <v>Direct,STnet,80</v>
      </c>
      <c r="B972" t="s">
        <v>33</v>
      </c>
      <c r="C972" t="s">
        <v>5</v>
      </c>
      <c r="D972">
        <v>80</v>
      </c>
      <c r="E972">
        <v>155.54599999999999</v>
      </c>
      <c r="F972">
        <f t="shared" si="61"/>
        <v>147</v>
      </c>
      <c r="G972">
        <f t="shared" si="63"/>
        <v>5.8136054421768657</v>
      </c>
      <c r="H972">
        <f t="shared" si="64"/>
        <v>5.4941946433852324</v>
      </c>
    </row>
    <row r="973" spans="1:8" x14ac:dyDescent="0.25">
      <c r="A973" t="str">
        <f t="shared" si="62"/>
        <v>Direct,STnet,80</v>
      </c>
      <c r="B973" t="s">
        <v>33</v>
      </c>
      <c r="C973" t="s">
        <v>5</v>
      </c>
      <c r="D973">
        <v>80</v>
      </c>
      <c r="E973">
        <v>171.499</v>
      </c>
      <c r="F973">
        <f t="shared" si="61"/>
        <v>147</v>
      </c>
      <c r="G973">
        <f t="shared" si="63"/>
        <v>16.665986394557819</v>
      </c>
      <c r="H973">
        <f t="shared" si="64"/>
        <v>14.285214491046593</v>
      </c>
    </row>
    <row r="974" spans="1:8" x14ac:dyDescent="0.25">
      <c r="A974" t="str">
        <f t="shared" si="62"/>
        <v>Direct,STnet,80</v>
      </c>
      <c r="B974" t="s">
        <v>33</v>
      </c>
      <c r="C974" t="s">
        <v>5</v>
      </c>
      <c r="D974">
        <v>80</v>
      </c>
      <c r="E974">
        <v>136.208</v>
      </c>
      <c r="F974">
        <f t="shared" si="61"/>
        <v>147</v>
      </c>
      <c r="G974">
        <f t="shared" si="63"/>
        <v>7.3414965986394565</v>
      </c>
      <c r="H974">
        <f t="shared" si="64"/>
        <v>7.9231763185715982</v>
      </c>
    </row>
    <row r="975" spans="1:8" x14ac:dyDescent="0.25">
      <c r="A975" t="str">
        <f t="shared" si="62"/>
        <v>Direct,STnet,80</v>
      </c>
      <c r="B975" t="s">
        <v>33</v>
      </c>
      <c r="C975" t="s">
        <v>5</v>
      </c>
      <c r="D975">
        <v>80</v>
      </c>
      <c r="E975">
        <v>156.279</v>
      </c>
      <c r="F975">
        <f t="shared" si="61"/>
        <v>147</v>
      </c>
      <c r="G975">
        <f t="shared" si="63"/>
        <v>6.3122448979591805</v>
      </c>
      <c r="H975">
        <f t="shared" si="64"/>
        <v>5.9374580077937518</v>
      </c>
    </row>
    <row r="976" spans="1:8" x14ac:dyDescent="0.25">
      <c r="A976" t="str">
        <f t="shared" si="62"/>
        <v>Direct,STnet,80</v>
      </c>
      <c r="B976" t="s">
        <v>33</v>
      </c>
      <c r="C976" t="s">
        <v>5</v>
      </c>
      <c r="D976">
        <v>80</v>
      </c>
      <c r="E976">
        <v>134.67400000000001</v>
      </c>
      <c r="F976">
        <f t="shared" si="61"/>
        <v>147</v>
      </c>
      <c r="G976">
        <f t="shared" si="63"/>
        <v>8.3850340136054378</v>
      </c>
      <c r="H976">
        <f t="shared" si="64"/>
        <v>9.1524718950948163</v>
      </c>
    </row>
    <row r="977" spans="1:8" x14ac:dyDescent="0.25">
      <c r="A977" t="str">
        <f t="shared" si="62"/>
        <v>Direct,STnet,80</v>
      </c>
      <c r="B977" t="s">
        <v>33</v>
      </c>
      <c r="C977" t="s">
        <v>5</v>
      </c>
      <c r="D977">
        <v>80</v>
      </c>
      <c r="E977">
        <v>127.67400000000001</v>
      </c>
      <c r="F977">
        <f t="shared" si="61"/>
        <v>147</v>
      </c>
      <c r="G977">
        <f t="shared" si="63"/>
        <v>13.146938775510201</v>
      </c>
      <c r="H977">
        <f t="shared" si="64"/>
        <v>15.136989520184214</v>
      </c>
    </row>
    <row r="978" spans="1:8" x14ac:dyDescent="0.25">
      <c r="A978" t="str">
        <f t="shared" si="62"/>
        <v>Direct,STnet,80</v>
      </c>
      <c r="B978" t="s">
        <v>33</v>
      </c>
      <c r="C978" t="s">
        <v>5</v>
      </c>
      <c r="D978">
        <v>80</v>
      </c>
      <c r="E978">
        <v>136.185</v>
      </c>
      <c r="F978">
        <f t="shared" si="61"/>
        <v>147</v>
      </c>
      <c r="G978">
        <f t="shared" si="63"/>
        <v>7.357142857142855</v>
      </c>
      <c r="H978">
        <f t="shared" si="64"/>
        <v>7.9414032382420956</v>
      </c>
    </row>
    <row r="979" spans="1:8" x14ac:dyDescent="0.25">
      <c r="A979" t="str">
        <f t="shared" si="62"/>
        <v>Direct,STnet,80</v>
      </c>
      <c r="B979" t="s">
        <v>33</v>
      </c>
      <c r="C979" t="s">
        <v>5</v>
      </c>
      <c r="D979">
        <v>80</v>
      </c>
      <c r="E979">
        <v>134.11199999999999</v>
      </c>
      <c r="F979">
        <f t="shared" si="61"/>
        <v>147</v>
      </c>
      <c r="G979">
        <f t="shared" si="63"/>
        <v>8.7673469387755141</v>
      </c>
      <c r="H979">
        <f t="shared" si="64"/>
        <v>9.6098783106657155</v>
      </c>
    </row>
    <row r="980" spans="1:8" x14ac:dyDescent="0.25">
      <c r="A980" t="str">
        <f t="shared" si="62"/>
        <v>Direct,STnet,80</v>
      </c>
      <c r="B980" t="s">
        <v>33</v>
      </c>
      <c r="C980" t="s">
        <v>5</v>
      </c>
      <c r="D980">
        <v>80</v>
      </c>
      <c r="E980">
        <v>165.12899999999999</v>
      </c>
      <c r="F980">
        <f t="shared" si="61"/>
        <v>147</v>
      </c>
      <c r="G980">
        <f t="shared" si="63"/>
        <v>12.332653061224482</v>
      </c>
      <c r="H980">
        <f t="shared" si="64"/>
        <v>10.978689388296418</v>
      </c>
    </row>
    <row r="981" spans="1:8" x14ac:dyDescent="0.25">
      <c r="A981" t="str">
        <f t="shared" si="62"/>
        <v>Direct,STnet,80</v>
      </c>
      <c r="B981" t="s">
        <v>33</v>
      </c>
      <c r="C981" t="s">
        <v>5</v>
      </c>
      <c r="D981">
        <v>80</v>
      </c>
      <c r="E981">
        <v>155.18199999999999</v>
      </c>
      <c r="F981">
        <f t="shared" si="61"/>
        <v>147</v>
      </c>
      <c r="G981">
        <f t="shared" si="63"/>
        <v>5.5659863945578145</v>
      </c>
      <c r="H981">
        <f t="shared" si="64"/>
        <v>5.2725187199546264</v>
      </c>
    </row>
    <row r="982" spans="1:8" x14ac:dyDescent="0.25">
      <c r="A982" t="str">
        <f t="shared" si="62"/>
        <v>Direct,STnet,80</v>
      </c>
      <c r="B982" t="s">
        <v>33</v>
      </c>
      <c r="C982" t="s">
        <v>5</v>
      </c>
      <c r="D982">
        <v>80</v>
      </c>
      <c r="E982">
        <v>159.44800000000001</v>
      </c>
      <c r="F982">
        <f t="shared" si="61"/>
        <v>147</v>
      </c>
      <c r="G982">
        <f t="shared" si="63"/>
        <v>8.4680272108843582</v>
      </c>
      <c r="H982">
        <f t="shared" si="64"/>
        <v>7.8069339220310123</v>
      </c>
    </row>
    <row r="983" spans="1:8" x14ac:dyDescent="0.25">
      <c r="A983" t="str">
        <f t="shared" si="62"/>
        <v>Direct,STnet,80</v>
      </c>
      <c r="B983" t="s">
        <v>33</v>
      </c>
      <c r="C983" t="s">
        <v>5</v>
      </c>
      <c r="D983">
        <v>80</v>
      </c>
      <c r="E983">
        <v>160.71700000000001</v>
      </c>
      <c r="F983">
        <f t="shared" si="61"/>
        <v>147</v>
      </c>
      <c r="G983">
        <f t="shared" si="63"/>
        <v>9.3312925170068119</v>
      </c>
      <c r="H983">
        <f t="shared" si="64"/>
        <v>8.534878077614696</v>
      </c>
    </row>
    <row r="984" spans="1:8" x14ac:dyDescent="0.25">
      <c r="A984" t="str">
        <f t="shared" si="62"/>
        <v>Direct,STnet,80</v>
      </c>
      <c r="B984" t="s">
        <v>33</v>
      </c>
      <c r="C984" t="s">
        <v>5</v>
      </c>
      <c r="D984">
        <v>80</v>
      </c>
      <c r="E984">
        <v>132.404</v>
      </c>
      <c r="F984">
        <f t="shared" si="61"/>
        <v>147</v>
      </c>
      <c r="G984">
        <f t="shared" si="63"/>
        <v>9.9292517006802754</v>
      </c>
      <c r="H984">
        <f t="shared" si="64"/>
        <v>11.023836137881034</v>
      </c>
    </row>
    <row r="985" spans="1:8" x14ac:dyDescent="0.25">
      <c r="A985" t="str">
        <f t="shared" si="62"/>
        <v>Direct,STnet,80</v>
      </c>
      <c r="B985" t="s">
        <v>33</v>
      </c>
      <c r="C985" t="s">
        <v>5</v>
      </c>
      <c r="D985">
        <v>80</v>
      </c>
      <c r="E985">
        <v>164.46899999999999</v>
      </c>
      <c r="F985">
        <f t="shared" si="61"/>
        <v>147</v>
      </c>
      <c r="G985">
        <f t="shared" si="63"/>
        <v>11.883673469387752</v>
      </c>
      <c r="H985">
        <f t="shared" si="64"/>
        <v>10.621454499024129</v>
      </c>
    </row>
    <row r="986" spans="1:8" x14ac:dyDescent="0.25">
      <c r="A986" t="str">
        <f t="shared" si="62"/>
        <v>Direct,STnet,80</v>
      </c>
      <c r="B986" t="s">
        <v>33</v>
      </c>
      <c r="C986" t="s">
        <v>5</v>
      </c>
      <c r="D986">
        <v>80</v>
      </c>
      <c r="E986">
        <v>150.84100000000001</v>
      </c>
      <c r="F986">
        <f t="shared" si="61"/>
        <v>147</v>
      </c>
      <c r="G986">
        <f t="shared" si="63"/>
        <v>2.6129251700680327</v>
      </c>
      <c r="H986">
        <f t="shared" si="64"/>
        <v>2.5463899072533382</v>
      </c>
    </row>
    <row r="987" spans="1:8" x14ac:dyDescent="0.25">
      <c r="A987" t="str">
        <f t="shared" si="62"/>
        <v>Direct,STnet,80</v>
      </c>
      <c r="B987" t="s">
        <v>33</v>
      </c>
      <c r="C987" t="s">
        <v>5</v>
      </c>
      <c r="D987">
        <v>80</v>
      </c>
      <c r="E987">
        <v>131.25700000000001</v>
      </c>
      <c r="F987">
        <f t="shared" si="61"/>
        <v>147</v>
      </c>
      <c r="G987">
        <f t="shared" si="63"/>
        <v>10.709523809523807</v>
      </c>
      <c r="H987">
        <f t="shared" si="64"/>
        <v>11.99402698522745</v>
      </c>
    </row>
    <row r="988" spans="1:8" x14ac:dyDescent="0.25">
      <c r="A988" t="str">
        <f t="shared" si="62"/>
        <v>Direct,STnet,80</v>
      </c>
      <c r="B988" t="s">
        <v>33</v>
      </c>
      <c r="C988" t="s">
        <v>5</v>
      </c>
      <c r="D988">
        <v>80</v>
      </c>
      <c r="E988">
        <v>154.20699999999999</v>
      </c>
      <c r="F988">
        <f t="shared" si="61"/>
        <v>147</v>
      </c>
      <c r="G988">
        <f t="shared" si="63"/>
        <v>4.9027210884353698</v>
      </c>
      <c r="H988">
        <f t="shared" si="64"/>
        <v>4.673588099113525</v>
      </c>
    </row>
    <row r="989" spans="1:8" x14ac:dyDescent="0.25">
      <c r="A989" t="str">
        <f t="shared" si="62"/>
        <v>Direct,STnet,80</v>
      </c>
      <c r="B989" t="s">
        <v>33</v>
      </c>
      <c r="C989" t="s">
        <v>5</v>
      </c>
      <c r="D989">
        <v>80</v>
      </c>
      <c r="E989">
        <v>122.455</v>
      </c>
      <c r="F989">
        <f t="shared" si="61"/>
        <v>147</v>
      </c>
      <c r="G989">
        <f t="shared" si="63"/>
        <v>16.697278911564627</v>
      </c>
      <c r="H989">
        <f t="shared" si="64"/>
        <v>20.044097831856604</v>
      </c>
    </row>
    <row r="990" spans="1:8" x14ac:dyDescent="0.25">
      <c r="A990" t="str">
        <f t="shared" si="62"/>
        <v>Direct,STnet,80</v>
      </c>
      <c r="B990" t="s">
        <v>33</v>
      </c>
      <c r="C990" t="s">
        <v>5</v>
      </c>
      <c r="D990">
        <v>80</v>
      </c>
      <c r="E990">
        <v>118.38200000000001</v>
      </c>
      <c r="F990">
        <f t="shared" si="61"/>
        <v>147</v>
      </c>
      <c r="G990">
        <f t="shared" si="63"/>
        <v>19.468027210884351</v>
      </c>
      <c r="H990">
        <f t="shared" si="64"/>
        <v>24.174283252521491</v>
      </c>
    </row>
    <row r="991" spans="1:8" x14ac:dyDescent="0.25">
      <c r="A991" t="str">
        <f t="shared" si="62"/>
        <v>Direct,STnet,80</v>
      </c>
      <c r="B991" t="s">
        <v>33</v>
      </c>
      <c r="C991" t="s">
        <v>5</v>
      </c>
      <c r="D991">
        <v>80</v>
      </c>
      <c r="E991">
        <v>148.011</v>
      </c>
      <c r="F991">
        <f t="shared" si="61"/>
        <v>147</v>
      </c>
      <c r="G991">
        <f t="shared" si="63"/>
        <v>0.68775510204081336</v>
      </c>
      <c r="H991">
        <f t="shared" si="64"/>
        <v>0.68305734033281018</v>
      </c>
    </row>
    <row r="992" spans="1:8" x14ac:dyDescent="0.25">
      <c r="A992" t="str">
        <f t="shared" si="62"/>
        <v>Direct,STnet,80</v>
      </c>
      <c r="B992" t="s">
        <v>33</v>
      </c>
      <c r="C992" t="s">
        <v>5</v>
      </c>
      <c r="D992">
        <v>80</v>
      </c>
      <c r="E992">
        <v>164.83799999999999</v>
      </c>
      <c r="F992">
        <f t="shared" si="61"/>
        <v>147</v>
      </c>
      <c r="G992">
        <f t="shared" si="63"/>
        <v>12.134693877551015</v>
      </c>
      <c r="H992">
        <f t="shared" si="64"/>
        <v>10.82153386961744</v>
      </c>
    </row>
    <row r="993" spans="1:8" x14ac:dyDescent="0.25">
      <c r="A993" t="str">
        <f t="shared" si="62"/>
        <v>Direct,STnet,80</v>
      </c>
      <c r="B993" t="s">
        <v>33</v>
      </c>
      <c r="C993" t="s">
        <v>5</v>
      </c>
      <c r="D993">
        <v>80</v>
      </c>
      <c r="E993">
        <v>143.84200000000001</v>
      </c>
      <c r="F993">
        <f t="shared" si="61"/>
        <v>147</v>
      </c>
      <c r="G993">
        <f t="shared" si="63"/>
        <v>2.1482993197278826</v>
      </c>
      <c r="H993">
        <f t="shared" si="64"/>
        <v>2.1954644679578892</v>
      </c>
    </row>
    <row r="994" spans="1:8" x14ac:dyDescent="0.25">
      <c r="A994" t="str">
        <f t="shared" si="62"/>
        <v>Direct,STnet,80</v>
      </c>
      <c r="B994" t="s">
        <v>33</v>
      </c>
      <c r="C994" t="s">
        <v>5</v>
      </c>
      <c r="D994">
        <v>80</v>
      </c>
      <c r="E994">
        <v>153.69200000000001</v>
      </c>
      <c r="F994">
        <f t="shared" si="61"/>
        <v>147</v>
      </c>
      <c r="G994">
        <f t="shared" si="63"/>
        <v>4.5523809523809566</v>
      </c>
      <c r="H994">
        <f t="shared" si="64"/>
        <v>4.3541628711969445</v>
      </c>
    </row>
    <row r="995" spans="1:8" x14ac:dyDescent="0.25">
      <c r="A995" t="str">
        <f t="shared" si="62"/>
        <v>Direct,STnet,80</v>
      </c>
      <c r="B995" t="s">
        <v>33</v>
      </c>
      <c r="C995" t="s">
        <v>5</v>
      </c>
      <c r="D995">
        <v>80</v>
      </c>
      <c r="E995">
        <v>120.455</v>
      </c>
      <c r="F995">
        <f t="shared" si="61"/>
        <v>147</v>
      </c>
      <c r="G995">
        <f t="shared" si="63"/>
        <v>18.057823129251702</v>
      </c>
      <c r="H995">
        <f t="shared" si="64"/>
        <v>22.037275331036486</v>
      </c>
    </row>
    <row r="996" spans="1:8" x14ac:dyDescent="0.25">
      <c r="A996" t="str">
        <f t="shared" si="62"/>
        <v>Direct,STnet,80</v>
      </c>
      <c r="B996" t="s">
        <v>33</v>
      </c>
      <c r="C996" t="s">
        <v>5</v>
      </c>
      <c r="D996">
        <v>80</v>
      </c>
      <c r="E996">
        <v>152.327</v>
      </c>
      <c r="F996">
        <f t="shared" si="61"/>
        <v>147</v>
      </c>
      <c r="G996">
        <f t="shared" si="63"/>
        <v>3.6238095238095229</v>
      </c>
      <c r="H996">
        <f t="shared" si="64"/>
        <v>3.4970819355728127</v>
      </c>
    </row>
    <row r="997" spans="1:8" x14ac:dyDescent="0.25">
      <c r="A997" t="str">
        <f t="shared" si="62"/>
        <v>Direct,STnet,80</v>
      </c>
      <c r="B997" t="s">
        <v>33</v>
      </c>
      <c r="C997" t="s">
        <v>5</v>
      </c>
      <c r="D997">
        <v>80</v>
      </c>
      <c r="E997">
        <v>149.83699999999999</v>
      </c>
      <c r="F997">
        <f t="shared" si="61"/>
        <v>147</v>
      </c>
      <c r="G997">
        <f t="shared" si="63"/>
        <v>1.9299319727891082</v>
      </c>
      <c r="H997">
        <f t="shared" si="64"/>
        <v>1.8933908180222436</v>
      </c>
    </row>
    <row r="998" spans="1:8" x14ac:dyDescent="0.25">
      <c r="A998" t="str">
        <f t="shared" si="62"/>
        <v>Direct,STnet,80</v>
      </c>
      <c r="B998" t="s">
        <v>33</v>
      </c>
      <c r="C998" t="s">
        <v>5</v>
      </c>
      <c r="D998">
        <v>80</v>
      </c>
      <c r="E998">
        <v>160.13</v>
      </c>
      <c r="F998">
        <f t="shared" si="61"/>
        <v>147</v>
      </c>
      <c r="G998">
        <f t="shared" si="63"/>
        <v>8.9319727891156422</v>
      </c>
      <c r="H998">
        <f t="shared" si="64"/>
        <v>8.199587834884154</v>
      </c>
    </row>
    <row r="999" spans="1:8" x14ac:dyDescent="0.25">
      <c r="A999" t="str">
        <f t="shared" si="62"/>
        <v>Direct,STnet,80</v>
      </c>
      <c r="B999" t="s">
        <v>33</v>
      </c>
      <c r="C999" t="s">
        <v>5</v>
      </c>
      <c r="D999">
        <v>80</v>
      </c>
      <c r="E999">
        <v>144.54900000000001</v>
      </c>
      <c r="F999">
        <f t="shared" si="61"/>
        <v>147</v>
      </c>
      <c r="G999">
        <f t="shared" si="63"/>
        <v>1.6673469387755058</v>
      </c>
      <c r="H999">
        <f t="shared" si="64"/>
        <v>1.6956187867090005</v>
      </c>
    </row>
    <row r="1000" spans="1:8" x14ac:dyDescent="0.25">
      <c r="A1000" t="str">
        <f t="shared" si="62"/>
        <v>Direct,STnet,80</v>
      </c>
      <c r="B1000" t="s">
        <v>33</v>
      </c>
      <c r="C1000" t="s">
        <v>5</v>
      </c>
      <c r="D1000">
        <v>80</v>
      </c>
      <c r="E1000">
        <v>119.38200000000001</v>
      </c>
      <c r="F1000">
        <f t="shared" si="61"/>
        <v>147</v>
      </c>
      <c r="G1000">
        <f t="shared" si="63"/>
        <v>18.787755102040812</v>
      </c>
      <c r="H1000">
        <f t="shared" si="64"/>
        <v>23.134140825250032</v>
      </c>
    </row>
    <row r="1001" spans="1:8" x14ac:dyDescent="0.25">
      <c r="A1001" t="str">
        <f t="shared" si="62"/>
        <v>Direct,STnet,80</v>
      </c>
      <c r="B1001" t="s">
        <v>33</v>
      </c>
      <c r="C1001" t="s">
        <v>5</v>
      </c>
      <c r="D1001">
        <v>80</v>
      </c>
      <c r="E1001">
        <v>144.81700000000001</v>
      </c>
      <c r="F1001">
        <f t="shared" si="61"/>
        <v>147</v>
      </c>
      <c r="G1001">
        <f t="shared" si="63"/>
        <v>1.4850340136054372</v>
      </c>
      <c r="H1001">
        <f t="shared" si="64"/>
        <v>1.5074197090120585</v>
      </c>
    </row>
    <row r="1002" spans="1:8" x14ac:dyDescent="0.25">
      <c r="A1002" t="str">
        <f t="shared" si="62"/>
        <v>Direct,STnet,80</v>
      </c>
      <c r="B1002" t="s">
        <v>33</v>
      </c>
      <c r="C1002" t="s">
        <v>5</v>
      </c>
      <c r="D1002">
        <v>80</v>
      </c>
      <c r="E1002">
        <v>162.76499999999999</v>
      </c>
      <c r="F1002">
        <f t="shared" si="61"/>
        <v>147</v>
      </c>
      <c r="G1002">
        <f t="shared" si="63"/>
        <v>10.724489795918359</v>
      </c>
      <c r="H1002">
        <f t="shared" si="64"/>
        <v>9.6857432494700877</v>
      </c>
    </row>
    <row r="1003" spans="1:8" x14ac:dyDescent="0.25">
      <c r="A1003" t="str">
        <f t="shared" si="62"/>
        <v>Direct,STnet,100</v>
      </c>
      <c r="B1003" t="s">
        <v>33</v>
      </c>
      <c r="C1003" t="s">
        <v>5</v>
      </c>
      <c r="D1003">
        <v>100</v>
      </c>
      <c r="E1003">
        <v>169.46899999999999</v>
      </c>
      <c r="F1003">
        <f t="shared" si="61"/>
        <v>180.2</v>
      </c>
      <c r="G1003">
        <f t="shared" si="63"/>
        <v>5.9550499445061016</v>
      </c>
      <c r="H1003">
        <f t="shared" si="64"/>
        <v>6.3321315402817007</v>
      </c>
    </row>
    <row r="1004" spans="1:8" x14ac:dyDescent="0.25">
      <c r="A1004" t="str">
        <f t="shared" si="62"/>
        <v>Direct,STnet,100</v>
      </c>
      <c r="B1004" t="s">
        <v>33</v>
      </c>
      <c r="C1004" t="s">
        <v>5</v>
      </c>
      <c r="D1004">
        <v>100</v>
      </c>
      <c r="E1004">
        <v>175.34800000000001</v>
      </c>
      <c r="F1004">
        <f t="shared" si="61"/>
        <v>180.2</v>
      </c>
      <c r="G1004">
        <f t="shared" si="63"/>
        <v>2.6925638179800084</v>
      </c>
      <c r="H1004">
        <f t="shared" si="64"/>
        <v>2.7670689143873757</v>
      </c>
    </row>
    <row r="1005" spans="1:8" x14ac:dyDescent="0.25">
      <c r="A1005" t="str">
        <f t="shared" si="62"/>
        <v>Direct,STnet,100</v>
      </c>
      <c r="B1005" t="s">
        <v>33</v>
      </c>
      <c r="C1005" t="s">
        <v>5</v>
      </c>
      <c r="D1005">
        <v>100</v>
      </c>
      <c r="E1005">
        <v>188.86</v>
      </c>
      <c r="F1005">
        <f t="shared" si="61"/>
        <v>180.2</v>
      </c>
      <c r="G1005">
        <f t="shared" si="63"/>
        <v>4.8057713651498473</v>
      </c>
      <c r="H1005">
        <f t="shared" si="64"/>
        <v>4.5854071799216483</v>
      </c>
    </row>
    <row r="1006" spans="1:8" x14ac:dyDescent="0.25">
      <c r="A1006" t="str">
        <f t="shared" si="62"/>
        <v>Direct,STnet,100</v>
      </c>
      <c r="B1006" t="s">
        <v>33</v>
      </c>
      <c r="C1006" t="s">
        <v>5</v>
      </c>
      <c r="D1006">
        <v>100</v>
      </c>
      <c r="E1006">
        <v>173.053</v>
      </c>
      <c r="F1006">
        <f t="shared" si="61"/>
        <v>180.2</v>
      </c>
      <c r="G1006">
        <f t="shared" si="63"/>
        <v>3.9661487236403947</v>
      </c>
      <c r="H1006">
        <f t="shared" si="64"/>
        <v>4.1299486284548621</v>
      </c>
    </row>
    <row r="1007" spans="1:8" x14ac:dyDescent="0.25">
      <c r="A1007" t="str">
        <f t="shared" si="62"/>
        <v>Direct,STnet,100</v>
      </c>
      <c r="B1007" t="s">
        <v>33</v>
      </c>
      <c r="C1007" t="s">
        <v>5</v>
      </c>
      <c r="D1007">
        <v>100</v>
      </c>
      <c r="E1007">
        <v>166.761</v>
      </c>
      <c r="F1007">
        <f t="shared" si="61"/>
        <v>180.2</v>
      </c>
      <c r="G1007">
        <f t="shared" si="63"/>
        <v>7.4578246392896741</v>
      </c>
      <c r="H1007">
        <f t="shared" si="64"/>
        <v>8.0588386972973254</v>
      </c>
    </row>
    <row r="1008" spans="1:8" x14ac:dyDescent="0.25">
      <c r="A1008" t="str">
        <f t="shared" si="62"/>
        <v>Direct,STnet,100</v>
      </c>
      <c r="B1008" t="s">
        <v>33</v>
      </c>
      <c r="C1008" t="s">
        <v>5</v>
      </c>
      <c r="D1008">
        <v>100</v>
      </c>
      <c r="E1008">
        <v>183.345</v>
      </c>
      <c r="F1008">
        <f t="shared" si="61"/>
        <v>180.2</v>
      </c>
      <c r="G1008">
        <f t="shared" si="63"/>
        <v>1.7452830188679305</v>
      </c>
      <c r="H1008">
        <f t="shared" si="64"/>
        <v>1.7153453871117348</v>
      </c>
    </row>
    <row r="1009" spans="1:8" x14ac:dyDescent="0.25">
      <c r="A1009" t="str">
        <f t="shared" si="62"/>
        <v>Direct,STnet,100</v>
      </c>
      <c r="B1009" t="s">
        <v>33</v>
      </c>
      <c r="C1009" t="s">
        <v>5</v>
      </c>
      <c r="D1009">
        <v>100</v>
      </c>
      <c r="E1009">
        <v>182.84200000000001</v>
      </c>
      <c r="F1009">
        <f t="shared" si="61"/>
        <v>180.2</v>
      </c>
      <c r="G1009">
        <f t="shared" si="63"/>
        <v>1.4661487236404132</v>
      </c>
      <c r="H1009">
        <f t="shared" si="64"/>
        <v>1.4449634110324894</v>
      </c>
    </row>
    <row r="1010" spans="1:8" x14ac:dyDescent="0.25">
      <c r="A1010" t="str">
        <f t="shared" si="62"/>
        <v>Direct,STnet,100</v>
      </c>
      <c r="B1010" t="s">
        <v>33</v>
      </c>
      <c r="C1010" t="s">
        <v>5</v>
      </c>
      <c r="D1010">
        <v>100</v>
      </c>
      <c r="E1010">
        <v>163.98400000000001</v>
      </c>
      <c r="F1010">
        <f t="shared" si="61"/>
        <v>180.2</v>
      </c>
      <c r="G1010">
        <f t="shared" si="63"/>
        <v>8.9988901220865607</v>
      </c>
      <c r="H1010">
        <f t="shared" si="64"/>
        <v>9.8887696360620421</v>
      </c>
    </row>
    <row r="1011" spans="1:8" x14ac:dyDescent="0.25">
      <c r="A1011" t="str">
        <f t="shared" si="62"/>
        <v>Direct,STnet,100</v>
      </c>
      <c r="B1011" t="s">
        <v>33</v>
      </c>
      <c r="C1011" t="s">
        <v>5</v>
      </c>
      <c r="D1011">
        <v>100</v>
      </c>
      <c r="E1011">
        <v>176.203</v>
      </c>
      <c r="F1011">
        <f t="shared" si="61"/>
        <v>180.2</v>
      </c>
      <c r="G1011">
        <f t="shared" si="63"/>
        <v>2.2180910099888935</v>
      </c>
      <c r="H1011">
        <f t="shared" si="64"/>
        <v>2.2684063267935199</v>
      </c>
    </row>
    <row r="1012" spans="1:8" x14ac:dyDescent="0.25">
      <c r="A1012" t="str">
        <f t="shared" si="62"/>
        <v>Direct,STnet,100</v>
      </c>
      <c r="B1012" t="s">
        <v>33</v>
      </c>
      <c r="C1012" t="s">
        <v>5</v>
      </c>
      <c r="D1012">
        <v>100</v>
      </c>
      <c r="E1012">
        <v>169.619</v>
      </c>
      <c r="F1012">
        <f t="shared" si="61"/>
        <v>180.2</v>
      </c>
      <c r="G1012">
        <f t="shared" si="63"/>
        <v>5.8718091009988846</v>
      </c>
      <c r="H1012">
        <f t="shared" si="64"/>
        <v>6.2380983262488217</v>
      </c>
    </row>
    <row r="1013" spans="1:8" x14ac:dyDescent="0.25">
      <c r="A1013" t="str">
        <f t="shared" si="62"/>
        <v>Direct,STnet,100</v>
      </c>
      <c r="B1013" t="s">
        <v>33</v>
      </c>
      <c r="C1013" t="s">
        <v>5</v>
      </c>
      <c r="D1013">
        <v>100</v>
      </c>
      <c r="E1013">
        <v>198.56399999999999</v>
      </c>
      <c r="F1013">
        <f t="shared" si="61"/>
        <v>180.2</v>
      </c>
      <c r="G1013">
        <f t="shared" si="63"/>
        <v>10.19089900110988</v>
      </c>
      <c r="H1013">
        <f t="shared" si="64"/>
        <v>9.2484035373985236</v>
      </c>
    </row>
    <row r="1014" spans="1:8" x14ac:dyDescent="0.25">
      <c r="A1014" t="str">
        <f t="shared" si="62"/>
        <v>Direct,STnet,100</v>
      </c>
      <c r="B1014" t="s">
        <v>33</v>
      </c>
      <c r="C1014" t="s">
        <v>5</v>
      </c>
      <c r="D1014">
        <v>100</v>
      </c>
      <c r="E1014">
        <v>198.85599999999999</v>
      </c>
      <c r="F1014">
        <f t="shared" si="61"/>
        <v>180.2</v>
      </c>
      <c r="G1014">
        <f t="shared" si="63"/>
        <v>10.352941176470592</v>
      </c>
      <c r="H1014">
        <f t="shared" si="64"/>
        <v>9.3816631130064003</v>
      </c>
    </row>
    <row r="1015" spans="1:8" x14ac:dyDescent="0.25">
      <c r="A1015" t="str">
        <f t="shared" si="62"/>
        <v>Direct,STnet,100</v>
      </c>
      <c r="B1015" t="s">
        <v>33</v>
      </c>
      <c r="C1015" t="s">
        <v>5</v>
      </c>
      <c r="D1015">
        <v>100</v>
      </c>
      <c r="E1015">
        <v>165.79</v>
      </c>
      <c r="F1015">
        <f t="shared" si="61"/>
        <v>180.2</v>
      </c>
      <c r="G1015">
        <f t="shared" si="63"/>
        <v>7.9966703662597105</v>
      </c>
      <c r="H1015">
        <f t="shared" si="64"/>
        <v>8.6917184389890814</v>
      </c>
    </row>
    <row r="1016" spans="1:8" x14ac:dyDescent="0.25">
      <c r="A1016" t="str">
        <f t="shared" si="62"/>
        <v>Direct,STnet,100</v>
      </c>
      <c r="B1016" t="s">
        <v>33</v>
      </c>
      <c r="C1016" t="s">
        <v>5</v>
      </c>
      <c r="D1016">
        <v>100</v>
      </c>
      <c r="E1016">
        <v>182.273</v>
      </c>
      <c r="F1016">
        <f t="shared" si="61"/>
        <v>180.2</v>
      </c>
      <c r="G1016">
        <f t="shared" si="63"/>
        <v>1.1503884572697045</v>
      </c>
      <c r="H1016">
        <f t="shared" si="64"/>
        <v>1.1373050314637974</v>
      </c>
    </row>
    <row r="1017" spans="1:8" x14ac:dyDescent="0.25">
      <c r="A1017" t="str">
        <f t="shared" si="62"/>
        <v>Direct,STnet,100</v>
      </c>
      <c r="B1017" t="s">
        <v>33</v>
      </c>
      <c r="C1017" t="s">
        <v>5</v>
      </c>
      <c r="D1017">
        <v>100</v>
      </c>
      <c r="E1017">
        <v>179.68899999999999</v>
      </c>
      <c r="F1017">
        <f t="shared" si="61"/>
        <v>180.2</v>
      </c>
      <c r="G1017">
        <f t="shared" si="63"/>
        <v>0.28357380688124068</v>
      </c>
      <c r="H1017">
        <f t="shared" si="64"/>
        <v>0.28438023473890761</v>
      </c>
    </row>
    <row r="1018" spans="1:8" x14ac:dyDescent="0.25">
      <c r="A1018" t="str">
        <f t="shared" si="62"/>
        <v>Direct,STnet,100</v>
      </c>
      <c r="B1018" t="s">
        <v>33</v>
      </c>
      <c r="C1018" t="s">
        <v>5</v>
      </c>
      <c r="D1018">
        <v>100</v>
      </c>
      <c r="E1018">
        <v>147.91399999999999</v>
      </c>
      <c r="F1018">
        <f t="shared" si="61"/>
        <v>180.2</v>
      </c>
      <c r="G1018">
        <f t="shared" si="63"/>
        <v>17.916759156492787</v>
      </c>
      <c r="H1018">
        <f t="shared" si="64"/>
        <v>21.827548440309911</v>
      </c>
    </row>
    <row r="1019" spans="1:8" x14ac:dyDescent="0.25">
      <c r="A1019" t="str">
        <f t="shared" si="62"/>
        <v>Direct,STnet,100</v>
      </c>
      <c r="B1019" t="s">
        <v>33</v>
      </c>
      <c r="C1019" t="s">
        <v>5</v>
      </c>
      <c r="D1019">
        <v>100</v>
      </c>
      <c r="E1019">
        <v>190.63800000000001</v>
      </c>
      <c r="F1019">
        <f t="shared" si="61"/>
        <v>180.2</v>
      </c>
      <c r="G1019">
        <f t="shared" si="63"/>
        <v>5.7924528301886884</v>
      </c>
      <c r="H1019">
        <f t="shared" si="64"/>
        <v>5.4752987337257082</v>
      </c>
    </row>
    <row r="1020" spans="1:8" x14ac:dyDescent="0.25">
      <c r="A1020" t="str">
        <f t="shared" si="62"/>
        <v>Direct,STnet,100</v>
      </c>
      <c r="B1020" t="s">
        <v>33</v>
      </c>
      <c r="C1020" t="s">
        <v>5</v>
      </c>
      <c r="D1020">
        <v>100</v>
      </c>
      <c r="E1020">
        <v>175.98</v>
      </c>
      <c r="F1020">
        <f t="shared" si="61"/>
        <v>180.2</v>
      </c>
      <c r="G1020">
        <f t="shared" si="63"/>
        <v>2.3418423973362925</v>
      </c>
      <c r="H1020">
        <f t="shared" si="64"/>
        <v>2.3979997727014428</v>
      </c>
    </row>
    <row r="1021" spans="1:8" x14ac:dyDescent="0.25">
      <c r="A1021" t="str">
        <f t="shared" si="62"/>
        <v>Direct,STnet,100</v>
      </c>
      <c r="B1021" t="s">
        <v>33</v>
      </c>
      <c r="C1021" t="s">
        <v>5</v>
      </c>
      <c r="D1021">
        <v>100</v>
      </c>
      <c r="E1021">
        <v>196.839</v>
      </c>
      <c r="F1021">
        <f t="shared" si="61"/>
        <v>180.2</v>
      </c>
      <c r="G1021">
        <f t="shared" si="63"/>
        <v>9.2336293007769203</v>
      </c>
      <c r="H1021">
        <f t="shared" si="64"/>
        <v>8.4531012655012514</v>
      </c>
    </row>
    <row r="1022" spans="1:8" x14ac:dyDescent="0.25">
      <c r="A1022" t="str">
        <f t="shared" si="62"/>
        <v>Direct,STnet,100</v>
      </c>
      <c r="B1022" t="s">
        <v>33</v>
      </c>
      <c r="C1022" t="s">
        <v>5</v>
      </c>
      <c r="D1022">
        <v>100</v>
      </c>
      <c r="E1022">
        <v>205.148</v>
      </c>
      <c r="F1022">
        <f t="shared" si="61"/>
        <v>180.2</v>
      </c>
      <c r="G1022">
        <f t="shared" si="63"/>
        <v>13.84461709211987</v>
      </c>
      <c r="H1022">
        <f t="shared" si="64"/>
        <v>12.160976465771057</v>
      </c>
    </row>
    <row r="1023" spans="1:8" x14ac:dyDescent="0.25">
      <c r="A1023" t="str">
        <f t="shared" si="62"/>
        <v>Direct,STnet,100</v>
      </c>
      <c r="B1023" t="s">
        <v>33</v>
      </c>
      <c r="C1023" t="s">
        <v>5</v>
      </c>
      <c r="D1023">
        <v>100</v>
      </c>
      <c r="E1023">
        <v>184.328</v>
      </c>
      <c r="F1023">
        <f t="shared" si="61"/>
        <v>180.2</v>
      </c>
      <c r="G1023">
        <f t="shared" si="63"/>
        <v>2.2907880133185432</v>
      </c>
      <c r="H1023">
        <f t="shared" si="64"/>
        <v>2.2394861334143563</v>
      </c>
    </row>
    <row r="1024" spans="1:8" x14ac:dyDescent="0.25">
      <c r="A1024" t="str">
        <f t="shared" si="62"/>
        <v>Direct,STnet,100</v>
      </c>
      <c r="B1024" t="s">
        <v>33</v>
      </c>
      <c r="C1024" t="s">
        <v>5</v>
      </c>
      <c r="D1024">
        <v>100</v>
      </c>
      <c r="E1024">
        <v>180.34899999999999</v>
      </c>
      <c r="F1024">
        <f t="shared" si="61"/>
        <v>180.2</v>
      </c>
      <c r="G1024">
        <f t="shared" si="63"/>
        <v>8.2685904550499956E-2</v>
      </c>
      <c r="H1024">
        <f t="shared" si="64"/>
        <v>8.2617591447693595E-2</v>
      </c>
    </row>
    <row r="1025" spans="1:8" x14ac:dyDescent="0.25">
      <c r="A1025" t="str">
        <f t="shared" si="62"/>
        <v>Direct,STnet,100</v>
      </c>
      <c r="B1025" t="s">
        <v>33</v>
      </c>
      <c r="C1025" t="s">
        <v>5</v>
      </c>
      <c r="D1025">
        <v>100</v>
      </c>
      <c r="E1025">
        <v>163.83799999999999</v>
      </c>
      <c r="F1025">
        <f t="shared" si="61"/>
        <v>180.2</v>
      </c>
      <c r="G1025">
        <f t="shared" si="63"/>
        <v>9.079911209766923</v>
      </c>
      <c r="H1025">
        <f t="shared" si="64"/>
        <v>9.9866941735128574</v>
      </c>
    </row>
    <row r="1026" spans="1:8" x14ac:dyDescent="0.25">
      <c r="A1026" t="str">
        <f t="shared" si="62"/>
        <v>Direct,STnet,100</v>
      </c>
      <c r="B1026" t="s">
        <v>33</v>
      </c>
      <c r="C1026" t="s">
        <v>5</v>
      </c>
      <c r="D1026">
        <v>100</v>
      </c>
      <c r="E1026">
        <v>166.81399999999999</v>
      </c>
      <c r="F1026">
        <f t="shared" si="61"/>
        <v>180.2</v>
      </c>
      <c r="G1026">
        <f t="shared" si="63"/>
        <v>7.4284128745837936</v>
      </c>
      <c r="H1026">
        <f t="shared" si="64"/>
        <v>8.0245063363986215</v>
      </c>
    </row>
    <row r="1027" spans="1:8" x14ac:dyDescent="0.25">
      <c r="A1027" t="str">
        <f t="shared" si="62"/>
        <v>Direct,STnet,100</v>
      </c>
      <c r="B1027" t="s">
        <v>33</v>
      </c>
      <c r="C1027" t="s">
        <v>5</v>
      </c>
      <c r="D1027">
        <v>100</v>
      </c>
      <c r="E1027">
        <v>168.71700000000001</v>
      </c>
      <c r="F1027">
        <f t="shared" ref="F1027:F1090" si="65">_xlfn.XLOOKUP(A1027,$J$3:$J$36,$N$3:$N$36)</f>
        <v>180.2</v>
      </c>
      <c r="G1027">
        <f t="shared" si="63"/>
        <v>6.3723640399555919</v>
      </c>
      <c r="H1027">
        <f t="shared" si="64"/>
        <v>6.8060717058743183</v>
      </c>
    </row>
    <row r="1028" spans="1:8" x14ac:dyDescent="0.25">
      <c r="A1028" t="str">
        <f t="shared" ref="A1028:A1091" si="66">B1028&amp;","&amp;C1028&amp;","&amp;D1028</f>
        <v>Direct,STnet,100</v>
      </c>
      <c r="B1028" t="s">
        <v>33</v>
      </c>
      <c r="C1028" t="s">
        <v>5</v>
      </c>
      <c r="D1028">
        <v>100</v>
      </c>
      <c r="E1028">
        <v>177.54300000000001</v>
      </c>
      <c r="F1028">
        <f t="shared" si="65"/>
        <v>180.2</v>
      </c>
      <c r="G1028">
        <f t="shared" ref="G1028:G1091" si="67">ABS((E1028-F1028)/F1028)*100</f>
        <v>1.4744728079911114</v>
      </c>
      <c r="H1028">
        <f t="shared" ref="H1028:H1091" si="68">ABS((F1028-E1028)/E1028)*100</f>
        <v>1.4965388666407473</v>
      </c>
    </row>
    <row r="1029" spans="1:8" x14ac:dyDescent="0.25">
      <c r="A1029" t="str">
        <f t="shared" si="66"/>
        <v>Direct,STnet,100</v>
      </c>
      <c r="B1029" t="s">
        <v>33</v>
      </c>
      <c r="C1029" t="s">
        <v>5</v>
      </c>
      <c r="D1029">
        <v>100</v>
      </c>
      <c r="E1029">
        <v>174.054</v>
      </c>
      <c r="F1029">
        <f t="shared" si="65"/>
        <v>180.2</v>
      </c>
      <c r="G1029">
        <f t="shared" si="67"/>
        <v>3.4106548279689162</v>
      </c>
      <c r="H1029">
        <f t="shared" si="68"/>
        <v>3.5310880531329283</v>
      </c>
    </row>
    <row r="1030" spans="1:8" x14ac:dyDescent="0.25">
      <c r="A1030" t="str">
        <f t="shared" si="66"/>
        <v>Direct,STnet,100</v>
      </c>
      <c r="B1030" t="s">
        <v>33</v>
      </c>
      <c r="C1030" t="s">
        <v>5</v>
      </c>
      <c r="D1030">
        <v>100</v>
      </c>
      <c r="E1030">
        <v>195.07499999999999</v>
      </c>
      <c r="F1030">
        <f t="shared" si="65"/>
        <v>180.2</v>
      </c>
      <c r="G1030">
        <f t="shared" si="67"/>
        <v>8.2547169811320771</v>
      </c>
      <c r="H1030">
        <f t="shared" si="68"/>
        <v>7.6252723311546848</v>
      </c>
    </row>
    <row r="1031" spans="1:8" x14ac:dyDescent="0.25">
      <c r="A1031" t="str">
        <f t="shared" si="66"/>
        <v>Direct,STnet,100</v>
      </c>
      <c r="B1031" t="s">
        <v>33</v>
      </c>
      <c r="C1031" t="s">
        <v>5</v>
      </c>
      <c r="D1031">
        <v>100</v>
      </c>
      <c r="E1031">
        <v>168.83799999999999</v>
      </c>
      <c r="F1031">
        <f t="shared" si="65"/>
        <v>180.2</v>
      </c>
      <c r="G1031">
        <f t="shared" si="67"/>
        <v>6.3052164261931161</v>
      </c>
      <c r="H1031">
        <f t="shared" si="68"/>
        <v>6.7295277129556119</v>
      </c>
    </row>
    <row r="1032" spans="1:8" x14ac:dyDescent="0.25">
      <c r="A1032" t="str">
        <f t="shared" si="66"/>
        <v>Direct,STnet,100</v>
      </c>
      <c r="B1032" t="s">
        <v>33</v>
      </c>
      <c r="C1032" t="s">
        <v>5</v>
      </c>
      <c r="D1032">
        <v>100</v>
      </c>
      <c r="E1032">
        <v>142.62299999999999</v>
      </c>
      <c r="F1032">
        <f t="shared" si="65"/>
        <v>180.2</v>
      </c>
      <c r="G1032">
        <f t="shared" si="67"/>
        <v>20.852941176470587</v>
      </c>
      <c r="H1032">
        <f t="shared" si="68"/>
        <v>26.347082868821996</v>
      </c>
    </row>
    <row r="1033" spans="1:8" x14ac:dyDescent="0.25">
      <c r="A1033" t="str">
        <f t="shared" si="66"/>
        <v>Direct,STnet,100</v>
      </c>
      <c r="B1033" t="s">
        <v>33</v>
      </c>
      <c r="C1033" t="s">
        <v>5</v>
      </c>
      <c r="D1033">
        <v>100</v>
      </c>
      <c r="E1033">
        <v>221.12799999999999</v>
      </c>
      <c r="F1033">
        <f t="shared" si="65"/>
        <v>180.2</v>
      </c>
      <c r="G1033">
        <f t="shared" si="67"/>
        <v>22.712541620421753</v>
      </c>
      <c r="H1033">
        <f t="shared" si="68"/>
        <v>18.508737021091857</v>
      </c>
    </row>
    <row r="1034" spans="1:8" x14ac:dyDescent="0.25">
      <c r="A1034" t="str">
        <f t="shared" si="66"/>
        <v>Direct,STnet,100</v>
      </c>
      <c r="B1034" t="s">
        <v>33</v>
      </c>
      <c r="C1034" t="s">
        <v>5</v>
      </c>
      <c r="D1034">
        <v>100</v>
      </c>
      <c r="E1034">
        <v>201.44</v>
      </c>
      <c r="F1034">
        <f t="shared" si="65"/>
        <v>180.2</v>
      </c>
      <c r="G1034">
        <f t="shared" si="67"/>
        <v>11.786903440621538</v>
      </c>
      <c r="H1034">
        <f t="shared" si="68"/>
        <v>10.544082605242261</v>
      </c>
    </row>
    <row r="1035" spans="1:8" x14ac:dyDescent="0.25">
      <c r="A1035" t="str">
        <f t="shared" si="66"/>
        <v>Direct,STnet,100</v>
      </c>
      <c r="B1035" t="s">
        <v>33</v>
      </c>
      <c r="C1035" t="s">
        <v>5</v>
      </c>
      <c r="D1035">
        <v>100</v>
      </c>
      <c r="E1035">
        <v>179.98099999999999</v>
      </c>
      <c r="F1035">
        <f t="shared" si="65"/>
        <v>180.2</v>
      </c>
      <c r="G1035">
        <f t="shared" si="67"/>
        <v>0.12153163152052947</v>
      </c>
      <c r="H1035">
        <f t="shared" si="68"/>
        <v>0.12167951061500609</v>
      </c>
    </row>
    <row r="1036" spans="1:8" x14ac:dyDescent="0.25">
      <c r="A1036" t="str">
        <f t="shared" si="66"/>
        <v>Direct,STnet,100</v>
      </c>
      <c r="B1036" t="s">
        <v>33</v>
      </c>
      <c r="C1036" t="s">
        <v>5</v>
      </c>
      <c r="D1036">
        <v>100</v>
      </c>
      <c r="E1036">
        <v>151.667</v>
      </c>
      <c r="F1036">
        <f t="shared" si="65"/>
        <v>180.2</v>
      </c>
      <c r="G1036">
        <f t="shared" si="67"/>
        <v>15.834073251942279</v>
      </c>
      <c r="H1036">
        <f t="shared" si="68"/>
        <v>18.812925685877605</v>
      </c>
    </row>
    <row r="1037" spans="1:8" x14ac:dyDescent="0.25">
      <c r="A1037" t="str">
        <f t="shared" si="66"/>
        <v>Direct,STnet,100</v>
      </c>
      <c r="B1037" t="s">
        <v>33</v>
      </c>
      <c r="C1037" t="s">
        <v>5</v>
      </c>
      <c r="D1037">
        <v>100</v>
      </c>
      <c r="E1037">
        <v>172.08199999999999</v>
      </c>
      <c r="F1037">
        <f t="shared" si="65"/>
        <v>180.2</v>
      </c>
      <c r="G1037">
        <f t="shared" si="67"/>
        <v>4.5049944506104307</v>
      </c>
      <c r="H1037">
        <f t="shared" si="68"/>
        <v>4.7175183923943207</v>
      </c>
    </row>
    <row r="1038" spans="1:8" x14ac:dyDescent="0.25">
      <c r="A1038" t="str">
        <f t="shared" si="66"/>
        <v>Direct,STnet,100</v>
      </c>
      <c r="B1038" t="s">
        <v>33</v>
      </c>
      <c r="C1038" t="s">
        <v>5</v>
      </c>
      <c r="D1038">
        <v>100</v>
      </c>
      <c r="E1038">
        <v>174.27600000000001</v>
      </c>
      <c r="F1038">
        <f t="shared" si="65"/>
        <v>180.2</v>
      </c>
      <c r="G1038">
        <f t="shared" si="67"/>
        <v>3.2874583795782342</v>
      </c>
      <c r="H1038">
        <f t="shared" si="68"/>
        <v>3.3992058573756445</v>
      </c>
    </row>
    <row r="1039" spans="1:8" x14ac:dyDescent="0.25">
      <c r="A1039" t="str">
        <f t="shared" si="66"/>
        <v>Direct,STnet,100</v>
      </c>
      <c r="B1039" t="s">
        <v>33</v>
      </c>
      <c r="C1039" t="s">
        <v>5</v>
      </c>
      <c r="D1039">
        <v>100</v>
      </c>
      <c r="E1039">
        <v>161.643</v>
      </c>
      <c r="F1039">
        <f t="shared" si="65"/>
        <v>180.2</v>
      </c>
      <c r="G1039">
        <f t="shared" si="67"/>
        <v>10.298002219755821</v>
      </c>
      <c r="H1039">
        <f t="shared" si="68"/>
        <v>11.480237313091187</v>
      </c>
    </row>
    <row r="1040" spans="1:8" x14ac:dyDescent="0.25">
      <c r="A1040" t="str">
        <f t="shared" si="66"/>
        <v>Direct,STnet,100</v>
      </c>
      <c r="B1040" t="s">
        <v>33</v>
      </c>
      <c r="C1040" t="s">
        <v>5</v>
      </c>
      <c r="D1040">
        <v>100</v>
      </c>
      <c r="E1040">
        <v>193.35</v>
      </c>
      <c r="F1040">
        <f t="shared" si="65"/>
        <v>180.2</v>
      </c>
      <c r="G1040">
        <f t="shared" si="67"/>
        <v>7.2974472807991155</v>
      </c>
      <c r="H1040">
        <f t="shared" si="68"/>
        <v>6.8011378329454395</v>
      </c>
    </row>
    <row r="1041" spans="1:8" x14ac:dyDescent="0.25">
      <c r="A1041" t="str">
        <f t="shared" si="66"/>
        <v>Direct,STnet,100</v>
      </c>
      <c r="B1041" t="s">
        <v>33</v>
      </c>
      <c r="C1041" t="s">
        <v>5</v>
      </c>
      <c r="D1041">
        <v>100</v>
      </c>
      <c r="E1041">
        <v>169.786</v>
      </c>
      <c r="F1041">
        <f t="shared" si="65"/>
        <v>180.2</v>
      </c>
      <c r="G1041">
        <f t="shared" si="67"/>
        <v>5.7791342952275189</v>
      </c>
      <c r="H1041">
        <f t="shared" si="68"/>
        <v>6.1336034773184993</v>
      </c>
    </row>
    <row r="1042" spans="1:8" x14ac:dyDescent="0.25">
      <c r="A1042" t="str">
        <f t="shared" si="66"/>
        <v>Direct,STnet,100</v>
      </c>
      <c r="B1042" t="s">
        <v>33</v>
      </c>
      <c r="C1042" t="s">
        <v>5</v>
      </c>
      <c r="D1042">
        <v>100</v>
      </c>
      <c r="E1042">
        <v>167.10499999999999</v>
      </c>
      <c r="F1042">
        <f t="shared" si="65"/>
        <v>180.2</v>
      </c>
      <c r="G1042">
        <f t="shared" si="67"/>
        <v>7.2669256381797993</v>
      </c>
      <c r="H1042">
        <f t="shared" si="68"/>
        <v>7.8363902935280212</v>
      </c>
    </row>
    <row r="1043" spans="1:8" x14ac:dyDescent="0.25">
      <c r="A1043" t="str">
        <f t="shared" si="66"/>
        <v>Direct,STnet,100</v>
      </c>
      <c r="B1043" t="s">
        <v>33</v>
      </c>
      <c r="C1043" t="s">
        <v>5</v>
      </c>
      <c r="D1043">
        <v>100</v>
      </c>
      <c r="E1043">
        <v>173.911</v>
      </c>
      <c r="F1043">
        <f t="shared" si="65"/>
        <v>180.2</v>
      </c>
      <c r="G1043">
        <f t="shared" si="67"/>
        <v>3.490011098779128</v>
      </c>
      <c r="H1043">
        <f t="shared" si="68"/>
        <v>3.6162174905555067</v>
      </c>
    </row>
    <row r="1044" spans="1:8" x14ac:dyDescent="0.25">
      <c r="A1044" t="str">
        <f t="shared" si="66"/>
        <v>Direct,STnet,100</v>
      </c>
      <c r="B1044" t="s">
        <v>33</v>
      </c>
      <c r="C1044" t="s">
        <v>5</v>
      </c>
      <c r="D1044">
        <v>100</v>
      </c>
      <c r="E1044">
        <v>183.126</v>
      </c>
      <c r="F1044">
        <f t="shared" si="65"/>
        <v>180.2</v>
      </c>
      <c r="G1044">
        <f t="shared" si="67"/>
        <v>1.6237513873474008</v>
      </c>
      <c r="H1044">
        <f t="shared" si="68"/>
        <v>1.5978069744329131</v>
      </c>
    </row>
    <row r="1045" spans="1:8" x14ac:dyDescent="0.25">
      <c r="A1045" t="str">
        <f t="shared" si="66"/>
        <v>Direct,STnet,100</v>
      </c>
      <c r="B1045" t="s">
        <v>33</v>
      </c>
      <c r="C1045" t="s">
        <v>5</v>
      </c>
      <c r="D1045">
        <v>100</v>
      </c>
      <c r="E1045">
        <v>191.00200000000001</v>
      </c>
      <c r="F1045">
        <f t="shared" si="65"/>
        <v>180.2</v>
      </c>
      <c r="G1045">
        <f t="shared" si="67"/>
        <v>5.9944506104328648</v>
      </c>
      <c r="H1045">
        <f t="shared" si="68"/>
        <v>5.6554381629511843</v>
      </c>
    </row>
    <row r="1046" spans="1:8" x14ac:dyDescent="0.25">
      <c r="A1046" t="str">
        <f t="shared" si="66"/>
        <v>Direct,STnet,100</v>
      </c>
      <c r="B1046" t="s">
        <v>33</v>
      </c>
      <c r="C1046" t="s">
        <v>5</v>
      </c>
      <c r="D1046">
        <v>100</v>
      </c>
      <c r="E1046">
        <v>188.126</v>
      </c>
      <c r="F1046">
        <f t="shared" si="65"/>
        <v>180.2</v>
      </c>
      <c r="G1046">
        <f t="shared" si="67"/>
        <v>4.3984461709212077</v>
      </c>
      <c r="H1046">
        <f t="shared" si="68"/>
        <v>4.2131337507840572</v>
      </c>
    </row>
    <row r="1047" spans="1:8" x14ac:dyDescent="0.25">
      <c r="A1047" t="str">
        <f t="shared" si="66"/>
        <v>Direct,STnet,100</v>
      </c>
      <c r="B1047" t="s">
        <v>33</v>
      </c>
      <c r="C1047" t="s">
        <v>5</v>
      </c>
      <c r="D1047">
        <v>100</v>
      </c>
      <c r="E1047">
        <v>184.345</v>
      </c>
      <c r="F1047">
        <f t="shared" si="65"/>
        <v>180.2</v>
      </c>
      <c r="G1047">
        <f t="shared" si="67"/>
        <v>2.3002219755826916</v>
      </c>
      <c r="H1047">
        <f t="shared" si="68"/>
        <v>2.2485014510835719</v>
      </c>
    </row>
    <row r="1048" spans="1:8" x14ac:dyDescent="0.25">
      <c r="A1048" t="str">
        <f t="shared" si="66"/>
        <v>Direct,STnet,100</v>
      </c>
      <c r="B1048" t="s">
        <v>33</v>
      </c>
      <c r="C1048" t="s">
        <v>5</v>
      </c>
      <c r="D1048">
        <v>100</v>
      </c>
      <c r="E1048">
        <v>182.78299999999999</v>
      </c>
      <c r="F1048">
        <f t="shared" si="65"/>
        <v>180.2</v>
      </c>
      <c r="G1048">
        <f t="shared" si="67"/>
        <v>1.4334073251942279</v>
      </c>
      <c r="H1048">
        <f t="shared" si="68"/>
        <v>1.4131511136155981</v>
      </c>
    </row>
    <row r="1049" spans="1:8" x14ac:dyDescent="0.25">
      <c r="A1049" t="str">
        <f t="shared" si="66"/>
        <v>Direct,STnet,100</v>
      </c>
      <c r="B1049" t="s">
        <v>33</v>
      </c>
      <c r="C1049" t="s">
        <v>5</v>
      </c>
      <c r="D1049">
        <v>100</v>
      </c>
      <c r="E1049">
        <v>164.18199999999999</v>
      </c>
      <c r="F1049">
        <f t="shared" si="65"/>
        <v>180.2</v>
      </c>
      <c r="G1049">
        <f t="shared" si="67"/>
        <v>8.8890122086570482</v>
      </c>
      <c r="H1049">
        <f t="shared" si="68"/>
        <v>9.7562461171139354</v>
      </c>
    </row>
    <row r="1050" spans="1:8" x14ac:dyDescent="0.25">
      <c r="A1050" t="str">
        <f t="shared" si="66"/>
        <v>Direct,STnet,100</v>
      </c>
      <c r="B1050" t="s">
        <v>33</v>
      </c>
      <c r="C1050" t="s">
        <v>5</v>
      </c>
      <c r="D1050">
        <v>100</v>
      </c>
      <c r="E1050">
        <v>193.20400000000001</v>
      </c>
      <c r="F1050">
        <f t="shared" si="65"/>
        <v>180.2</v>
      </c>
      <c r="G1050">
        <f t="shared" si="67"/>
        <v>7.2164261931187674</v>
      </c>
      <c r="H1050">
        <f t="shared" si="68"/>
        <v>6.7307095091199027</v>
      </c>
    </row>
    <row r="1051" spans="1:8" x14ac:dyDescent="0.25">
      <c r="A1051" t="str">
        <f t="shared" si="66"/>
        <v>Direct,STnet,100</v>
      </c>
      <c r="B1051" t="s">
        <v>33</v>
      </c>
      <c r="C1051" t="s">
        <v>5</v>
      </c>
      <c r="D1051">
        <v>100</v>
      </c>
      <c r="E1051">
        <v>150.036</v>
      </c>
      <c r="F1051">
        <f t="shared" si="65"/>
        <v>180.2</v>
      </c>
      <c r="G1051">
        <f t="shared" si="67"/>
        <v>16.739178690344055</v>
      </c>
      <c r="H1051">
        <f t="shared" si="68"/>
        <v>20.104508251353</v>
      </c>
    </row>
    <row r="1052" spans="1:8" x14ac:dyDescent="0.25">
      <c r="A1052" t="str">
        <f t="shared" si="66"/>
        <v>Direct,STnet,100</v>
      </c>
      <c r="B1052" t="s">
        <v>33</v>
      </c>
      <c r="C1052" t="s">
        <v>5</v>
      </c>
      <c r="D1052">
        <v>100</v>
      </c>
      <c r="E1052">
        <v>189.37</v>
      </c>
      <c r="F1052">
        <f t="shared" si="65"/>
        <v>180.2</v>
      </c>
      <c r="G1052">
        <f t="shared" si="67"/>
        <v>5.0887902330743708</v>
      </c>
      <c r="H1052">
        <f t="shared" si="68"/>
        <v>4.8423720758303928</v>
      </c>
    </row>
    <row r="1053" spans="1:8" x14ac:dyDescent="0.25">
      <c r="A1053" t="str">
        <f t="shared" si="66"/>
        <v>Direct,STnet,100</v>
      </c>
      <c r="B1053" t="s">
        <v>33</v>
      </c>
      <c r="C1053" t="s">
        <v>5</v>
      </c>
      <c r="D1053">
        <v>100</v>
      </c>
      <c r="E1053">
        <v>162.34800000000001</v>
      </c>
      <c r="F1053">
        <f t="shared" si="65"/>
        <v>180.2</v>
      </c>
      <c r="G1053">
        <f t="shared" si="67"/>
        <v>9.9067702552719066</v>
      </c>
      <c r="H1053">
        <f t="shared" si="68"/>
        <v>10.996131766329103</v>
      </c>
    </row>
    <row r="1054" spans="1:8" x14ac:dyDescent="0.25">
      <c r="A1054" t="str">
        <f t="shared" si="66"/>
        <v>Direct,STnet,100</v>
      </c>
      <c r="B1054" t="s">
        <v>33</v>
      </c>
      <c r="C1054" t="s">
        <v>5</v>
      </c>
      <c r="D1054">
        <v>100</v>
      </c>
      <c r="E1054">
        <v>186.71</v>
      </c>
      <c r="F1054">
        <f t="shared" si="65"/>
        <v>180.2</v>
      </c>
      <c r="G1054">
        <f t="shared" si="67"/>
        <v>3.6126526082131072</v>
      </c>
      <c r="H1054">
        <f t="shared" si="68"/>
        <v>3.4866905896845477</v>
      </c>
    </row>
    <row r="1055" spans="1:8" x14ac:dyDescent="0.25">
      <c r="A1055" t="str">
        <f t="shared" si="66"/>
        <v>Direct,STnet,100</v>
      </c>
      <c r="B1055" t="s">
        <v>33</v>
      </c>
      <c r="C1055" t="s">
        <v>5</v>
      </c>
      <c r="D1055">
        <v>100</v>
      </c>
      <c r="E1055">
        <v>180.71299999999999</v>
      </c>
      <c r="F1055">
        <f t="shared" si="65"/>
        <v>180.2</v>
      </c>
      <c r="G1055">
        <f t="shared" si="67"/>
        <v>0.28468368479467548</v>
      </c>
      <c r="H1055">
        <f t="shared" si="68"/>
        <v>0.28387553745441957</v>
      </c>
    </row>
    <row r="1056" spans="1:8" x14ac:dyDescent="0.25">
      <c r="A1056" t="str">
        <f t="shared" si="66"/>
        <v>Direct,STnet,100</v>
      </c>
      <c r="B1056" t="s">
        <v>33</v>
      </c>
      <c r="C1056" t="s">
        <v>5</v>
      </c>
      <c r="D1056">
        <v>100</v>
      </c>
      <c r="E1056">
        <v>176.06100000000001</v>
      </c>
      <c r="F1056">
        <f t="shared" si="65"/>
        <v>180.2</v>
      </c>
      <c r="G1056">
        <f t="shared" si="67"/>
        <v>2.2968923418423874</v>
      </c>
      <c r="H1056">
        <f t="shared" si="68"/>
        <v>2.3508897484394509</v>
      </c>
    </row>
    <row r="1057" spans="1:8" x14ac:dyDescent="0.25">
      <c r="A1057" t="str">
        <f t="shared" si="66"/>
        <v>Direct,STnet,100</v>
      </c>
      <c r="B1057" t="s">
        <v>33</v>
      </c>
      <c r="C1057" t="s">
        <v>5</v>
      </c>
      <c r="D1057">
        <v>100</v>
      </c>
      <c r="E1057">
        <v>171.178</v>
      </c>
      <c r="F1057">
        <f t="shared" si="65"/>
        <v>180.2</v>
      </c>
      <c r="G1057">
        <f t="shared" si="67"/>
        <v>5.0066592674805728</v>
      </c>
      <c r="H1057">
        <f t="shared" si="68"/>
        <v>5.2705371017303575</v>
      </c>
    </row>
    <row r="1058" spans="1:8" x14ac:dyDescent="0.25">
      <c r="A1058" t="str">
        <f t="shared" si="66"/>
        <v>Direct,STnet,100</v>
      </c>
      <c r="B1058" t="s">
        <v>33</v>
      </c>
      <c r="C1058" t="s">
        <v>5</v>
      </c>
      <c r="D1058">
        <v>100</v>
      </c>
      <c r="E1058">
        <v>166.12899999999999</v>
      </c>
      <c r="F1058">
        <f t="shared" si="65"/>
        <v>180.2</v>
      </c>
      <c r="G1058">
        <f t="shared" si="67"/>
        <v>7.8085460599334064</v>
      </c>
      <c r="H1058">
        <f t="shared" si="68"/>
        <v>8.4699239747425192</v>
      </c>
    </row>
    <row r="1059" spans="1:8" x14ac:dyDescent="0.25">
      <c r="A1059" t="str">
        <f t="shared" si="66"/>
        <v>Direct,STnet,100</v>
      </c>
      <c r="B1059" t="s">
        <v>33</v>
      </c>
      <c r="C1059" t="s">
        <v>5</v>
      </c>
      <c r="D1059">
        <v>100</v>
      </c>
      <c r="E1059">
        <v>183.053</v>
      </c>
      <c r="F1059">
        <f t="shared" si="65"/>
        <v>180.2</v>
      </c>
      <c r="G1059">
        <f t="shared" si="67"/>
        <v>1.5832408435072189</v>
      </c>
      <c r="H1059">
        <f t="shared" si="68"/>
        <v>1.5585650057633629</v>
      </c>
    </row>
    <row r="1060" spans="1:8" x14ac:dyDescent="0.25">
      <c r="A1060" t="str">
        <f t="shared" si="66"/>
        <v>Direct,STnet,100</v>
      </c>
      <c r="B1060" t="s">
        <v>33</v>
      </c>
      <c r="C1060" t="s">
        <v>5</v>
      </c>
      <c r="D1060">
        <v>100</v>
      </c>
      <c r="E1060">
        <v>195.19900000000001</v>
      </c>
      <c r="F1060">
        <f t="shared" si="65"/>
        <v>180.2</v>
      </c>
      <c r="G1060">
        <f t="shared" si="67"/>
        <v>8.3235294117647207</v>
      </c>
      <c r="H1060">
        <f t="shared" si="68"/>
        <v>7.6839532989410912</v>
      </c>
    </row>
    <row r="1061" spans="1:8" x14ac:dyDescent="0.25">
      <c r="A1061" t="str">
        <f t="shared" si="66"/>
        <v>Direct,STnet,100</v>
      </c>
      <c r="B1061" t="s">
        <v>33</v>
      </c>
      <c r="C1061" t="s">
        <v>5</v>
      </c>
      <c r="D1061">
        <v>100</v>
      </c>
      <c r="E1061">
        <v>178.30099999999999</v>
      </c>
      <c r="F1061">
        <f t="shared" si="65"/>
        <v>180.2</v>
      </c>
      <c r="G1061">
        <f t="shared" si="67"/>
        <v>1.0538290788013323</v>
      </c>
      <c r="H1061">
        <f t="shared" si="68"/>
        <v>1.0650529161361972</v>
      </c>
    </row>
    <row r="1062" spans="1:8" x14ac:dyDescent="0.25">
      <c r="A1062" t="str">
        <f t="shared" si="66"/>
        <v>Direct,STnet,100</v>
      </c>
      <c r="B1062" t="s">
        <v>33</v>
      </c>
      <c r="C1062" t="s">
        <v>5</v>
      </c>
      <c r="D1062">
        <v>100</v>
      </c>
      <c r="E1062">
        <v>163.46899999999999</v>
      </c>
      <c r="F1062">
        <f t="shared" si="65"/>
        <v>180.2</v>
      </c>
      <c r="G1062">
        <f t="shared" si="67"/>
        <v>9.2846836847946701</v>
      </c>
      <c r="H1062">
        <f t="shared" si="68"/>
        <v>10.234968097926821</v>
      </c>
    </row>
    <row r="1063" spans="1:8" x14ac:dyDescent="0.25">
      <c r="A1063" t="str">
        <f t="shared" si="66"/>
        <v>Direct,STnet,100</v>
      </c>
      <c r="B1063" t="s">
        <v>33</v>
      </c>
      <c r="C1063" t="s">
        <v>5</v>
      </c>
      <c r="D1063">
        <v>100</v>
      </c>
      <c r="E1063">
        <v>179.12700000000001</v>
      </c>
      <c r="F1063">
        <f t="shared" si="65"/>
        <v>180.2</v>
      </c>
      <c r="G1063">
        <f t="shared" si="67"/>
        <v>0.5954495005549274</v>
      </c>
      <c r="H1063">
        <f t="shared" si="68"/>
        <v>0.59901634036185447</v>
      </c>
    </row>
    <row r="1064" spans="1:8" x14ac:dyDescent="0.25">
      <c r="A1064" t="str">
        <f t="shared" si="66"/>
        <v>Direct,STnet,100</v>
      </c>
      <c r="B1064" t="s">
        <v>33</v>
      </c>
      <c r="C1064" t="s">
        <v>5</v>
      </c>
      <c r="D1064">
        <v>100</v>
      </c>
      <c r="E1064">
        <v>192.85599999999999</v>
      </c>
      <c r="F1064">
        <f t="shared" si="65"/>
        <v>180.2</v>
      </c>
      <c r="G1064">
        <f t="shared" si="67"/>
        <v>7.0233074361820229</v>
      </c>
      <c r="H1064">
        <f t="shared" si="68"/>
        <v>6.5624092587215372</v>
      </c>
    </row>
    <row r="1065" spans="1:8" x14ac:dyDescent="0.25">
      <c r="A1065" t="str">
        <f t="shared" si="66"/>
        <v>Direct,STnet,100</v>
      </c>
      <c r="B1065" t="s">
        <v>33</v>
      </c>
      <c r="C1065" t="s">
        <v>5</v>
      </c>
      <c r="D1065">
        <v>100</v>
      </c>
      <c r="E1065">
        <v>177.08199999999999</v>
      </c>
      <c r="F1065">
        <f t="shared" si="65"/>
        <v>180.2</v>
      </c>
      <c r="G1065">
        <f t="shared" si="67"/>
        <v>1.7302996670366233</v>
      </c>
      <c r="H1065">
        <f t="shared" si="68"/>
        <v>1.7607661987101995</v>
      </c>
    </row>
    <row r="1066" spans="1:8" x14ac:dyDescent="0.25">
      <c r="A1066" t="str">
        <f t="shared" si="66"/>
        <v>Direct,STnet,100</v>
      </c>
      <c r="B1066" t="s">
        <v>33</v>
      </c>
      <c r="C1066" t="s">
        <v>5</v>
      </c>
      <c r="D1066">
        <v>100</v>
      </c>
      <c r="E1066">
        <v>171.32400000000001</v>
      </c>
      <c r="F1066">
        <f t="shared" si="65"/>
        <v>180.2</v>
      </c>
      <c r="G1066">
        <f t="shared" si="67"/>
        <v>4.9256381798002087</v>
      </c>
      <c r="H1066">
        <f t="shared" si="68"/>
        <v>5.1808269711190356</v>
      </c>
    </row>
    <row r="1067" spans="1:8" x14ac:dyDescent="0.25">
      <c r="A1067" t="str">
        <f t="shared" si="66"/>
        <v>Direct,STnet,100</v>
      </c>
      <c r="B1067" t="s">
        <v>33</v>
      </c>
      <c r="C1067" t="s">
        <v>5</v>
      </c>
      <c r="D1067">
        <v>100</v>
      </c>
      <c r="E1067">
        <v>173.68899999999999</v>
      </c>
      <c r="F1067">
        <f t="shared" si="65"/>
        <v>180.2</v>
      </c>
      <c r="G1067">
        <f t="shared" si="67"/>
        <v>3.6132075471698091</v>
      </c>
      <c r="H1067">
        <f t="shared" si="68"/>
        <v>3.7486542037780146</v>
      </c>
    </row>
    <row r="1068" spans="1:8" x14ac:dyDescent="0.25">
      <c r="A1068" t="str">
        <f t="shared" si="66"/>
        <v>Direct,STnet,100</v>
      </c>
      <c r="B1068" t="s">
        <v>33</v>
      </c>
      <c r="C1068" t="s">
        <v>5</v>
      </c>
      <c r="D1068">
        <v>100</v>
      </c>
      <c r="E1068">
        <v>172.61600000000001</v>
      </c>
      <c r="F1068">
        <f t="shared" si="65"/>
        <v>180.2</v>
      </c>
      <c r="G1068">
        <f t="shared" si="67"/>
        <v>4.2086570477247367</v>
      </c>
      <c r="H1068">
        <f t="shared" si="68"/>
        <v>4.3935672243592565</v>
      </c>
    </row>
    <row r="1069" spans="1:8" x14ac:dyDescent="0.25">
      <c r="A1069" t="str">
        <f t="shared" si="66"/>
        <v>Direct,STnet,100</v>
      </c>
      <c r="B1069" t="s">
        <v>33</v>
      </c>
      <c r="C1069" t="s">
        <v>5</v>
      </c>
      <c r="D1069">
        <v>100</v>
      </c>
      <c r="E1069">
        <v>183.91499999999999</v>
      </c>
      <c r="F1069">
        <f t="shared" si="65"/>
        <v>180.2</v>
      </c>
      <c r="G1069">
        <f t="shared" si="67"/>
        <v>2.0615982241953406</v>
      </c>
      <c r="H1069">
        <f t="shared" si="68"/>
        <v>2.0199548704564627</v>
      </c>
    </row>
    <row r="1070" spans="1:8" x14ac:dyDescent="0.25">
      <c r="A1070" t="str">
        <f t="shared" si="66"/>
        <v>Direct,STnet,100</v>
      </c>
      <c r="B1070" t="s">
        <v>33</v>
      </c>
      <c r="C1070" t="s">
        <v>5</v>
      </c>
      <c r="D1070">
        <v>100</v>
      </c>
      <c r="E1070">
        <v>188.15199999999999</v>
      </c>
      <c r="F1070">
        <f t="shared" si="65"/>
        <v>180.2</v>
      </c>
      <c r="G1070">
        <f t="shared" si="67"/>
        <v>4.4128745837957819</v>
      </c>
      <c r="H1070">
        <f t="shared" si="68"/>
        <v>4.2263701687996935</v>
      </c>
    </row>
    <row r="1071" spans="1:8" x14ac:dyDescent="0.25">
      <c r="A1071" t="str">
        <f t="shared" si="66"/>
        <v>Direct,STnet,100</v>
      </c>
      <c r="B1071" t="s">
        <v>33</v>
      </c>
      <c r="C1071" t="s">
        <v>5</v>
      </c>
      <c r="D1071">
        <v>100</v>
      </c>
      <c r="E1071">
        <v>186.053</v>
      </c>
      <c r="F1071">
        <f t="shared" si="65"/>
        <v>180.2</v>
      </c>
      <c r="G1071">
        <f t="shared" si="67"/>
        <v>3.2480577136515034</v>
      </c>
      <c r="H1071">
        <f t="shared" si="68"/>
        <v>3.1458777875121648</v>
      </c>
    </row>
    <row r="1072" spans="1:8" x14ac:dyDescent="0.25">
      <c r="A1072" t="str">
        <f t="shared" si="66"/>
        <v>Direct,STnet,100</v>
      </c>
      <c r="B1072" t="s">
        <v>33</v>
      </c>
      <c r="C1072" t="s">
        <v>5</v>
      </c>
      <c r="D1072">
        <v>100</v>
      </c>
      <c r="E1072">
        <v>191.78299999999999</v>
      </c>
      <c r="F1072">
        <f t="shared" si="65"/>
        <v>180.2</v>
      </c>
      <c r="G1072">
        <f t="shared" si="67"/>
        <v>6.4278579356270811</v>
      </c>
      <c r="H1072">
        <f t="shared" si="68"/>
        <v>6.039638549819327</v>
      </c>
    </row>
    <row r="1073" spans="1:8" x14ac:dyDescent="0.25">
      <c r="A1073" t="str">
        <f t="shared" si="66"/>
        <v>Direct,STnet,100</v>
      </c>
      <c r="B1073" t="s">
        <v>33</v>
      </c>
      <c r="C1073" t="s">
        <v>5</v>
      </c>
      <c r="D1073">
        <v>100</v>
      </c>
      <c r="E1073">
        <v>196.904</v>
      </c>
      <c r="F1073">
        <f t="shared" si="65"/>
        <v>180.2</v>
      </c>
      <c r="G1073">
        <f t="shared" si="67"/>
        <v>9.2697003329633798</v>
      </c>
      <c r="H1073">
        <f t="shared" si="68"/>
        <v>8.483321821801491</v>
      </c>
    </row>
    <row r="1074" spans="1:8" x14ac:dyDescent="0.25">
      <c r="A1074" t="str">
        <f t="shared" si="66"/>
        <v>Direct,STnet,100</v>
      </c>
      <c r="B1074" t="s">
        <v>33</v>
      </c>
      <c r="C1074" t="s">
        <v>5</v>
      </c>
      <c r="D1074">
        <v>100</v>
      </c>
      <c r="E1074">
        <v>187.27199999999999</v>
      </c>
      <c r="F1074">
        <f t="shared" si="65"/>
        <v>180.2</v>
      </c>
      <c r="G1074">
        <f t="shared" si="67"/>
        <v>3.9245283018867942</v>
      </c>
      <c r="H1074">
        <f t="shared" si="68"/>
        <v>3.7763253449527974</v>
      </c>
    </row>
    <row r="1075" spans="1:8" x14ac:dyDescent="0.25">
      <c r="A1075" t="str">
        <f t="shared" si="66"/>
        <v>Direct,STnet,100</v>
      </c>
      <c r="B1075" t="s">
        <v>33</v>
      </c>
      <c r="C1075" t="s">
        <v>5</v>
      </c>
      <c r="D1075">
        <v>100</v>
      </c>
      <c r="E1075">
        <v>184.90700000000001</v>
      </c>
      <c r="F1075">
        <f t="shared" si="65"/>
        <v>180.2</v>
      </c>
      <c r="G1075">
        <f t="shared" si="67"/>
        <v>2.6120976692563942</v>
      </c>
      <c r="H1075">
        <f t="shared" si="68"/>
        <v>2.5456040063383334</v>
      </c>
    </row>
    <row r="1076" spans="1:8" x14ac:dyDescent="0.25">
      <c r="A1076" t="str">
        <f t="shared" si="66"/>
        <v>Direct,STnet,100</v>
      </c>
      <c r="B1076" t="s">
        <v>33</v>
      </c>
      <c r="C1076" t="s">
        <v>5</v>
      </c>
      <c r="D1076">
        <v>100</v>
      </c>
      <c r="E1076">
        <v>175.98</v>
      </c>
      <c r="F1076">
        <f t="shared" si="65"/>
        <v>180.2</v>
      </c>
      <c r="G1076">
        <f t="shared" si="67"/>
        <v>2.3418423973362925</v>
      </c>
      <c r="H1076">
        <f t="shared" si="68"/>
        <v>2.3979997727014428</v>
      </c>
    </row>
    <row r="1077" spans="1:8" x14ac:dyDescent="0.25">
      <c r="A1077" t="str">
        <f t="shared" si="66"/>
        <v>Direct,STnet,100</v>
      </c>
      <c r="B1077" t="s">
        <v>33</v>
      </c>
      <c r="C1077" t="s">
        <v>5</v>
      </c>
      <c r="D1077">
        <v>100</v>
      </c>
      <c r="E1077">
        <v>183.44300000000001</v>
      </c>
      <c r="F1077">
        <f t="shared" si="65"/>
        <v>180.2</v>
      </c>
      <c r="G1077">
        <f t="shared" si="67"/>
        <v>1.7996670366259842</v>
      </c>
      <c r="H1077">
        <f t="shared" si="68"/>
        <v>1.7678515942281925</v>
      </c>
    </row>
    <row r="1078" spans="1:8" x14ac:dyDescent="0.25">
      <c r="A1078" t="str">
        <f t="shared" si="66"/>
        <v>Direct,STnet,100</v>
      </c>
      <c r="B1078" t="s">
        <v>33</v>
      </c>
      <c r="C1078" t="s">
        <v>5</v>
      </c>
      <c r="D1078">
        <v>100</v>
      </c>
      <c r="E1078">
        <v>195.19900000000001</v>
      </c>
      <c r="F1078">
        <f t="shared" si="65"/>
        <v>180.2</v>
      </c>
      <c r="G1078">
        <f t="shared" si="67"/>
        <v>8.3235294117647207</v>
      </c>
      <c r="H1078">
        <f t="shared" si="68"/>
        <v>7.6839532989410912</v>
      </c>
    </row>
    <row r="1079" spans="1:8" x14ac:dyDescent="0.25">
      <c r="A1079" t="str">
        <f t="shared" si="66"/>
        <v>Direct,STnet,100</v>
      </c>
      <c r="B1079" t="s">
        <v>33</v>
      </c>
      <c r="C1079" t="s">
        <v>5</v>
      </c>
      <c r="D1079">
        <v>100</v>
      </c>
      <c r="E1079">
        <v>178.39599999999999</v>
      </c>
      <c r="F1079">
        <f t="shared" si="65"/>
        <v>180.2</v>
      </c>
      <c r="G1079">
        <f t="shared" si="67"/>
        <v>1.0011098779134306</v>
      </c>
      <c r="H1079">
        <f t="shared" si="68"/>
        <v>1.0112334357272597</v>
      </c>
    </row>
    <row r="1080" spans="1:8" x14ac:dyDescent="0.25">
      <c r="A1080" t="str">
        <f t="shared" si="66"/>
        <v>Direct,STnet,100</v>
      </c>
      <c r="B1080" t="s">
        <v>33</v>
      </c>
      <c r="C1080" t="s">
        <v>5</v>
      </c>
      <c r="D1080">
        <v>100</v>
      </c>
      <c r="E1080">
        <v>183.98</v>
      </c>
      <c r="F1080">
        <f t="shared" si="65"/>
        <v>180.2</v>
      </c>
      <c r="G1080">
        <f t="shared" si="67"/>
        <v>2.0976692563817987</v>
      </c>
      <c r="H1080">
        <f t="shared" si="68"/>
        <v>2.0545711490379399</v>
      </c>
    </row>
    <row r="1081" spans="1:8" x14ac:dyDescent="0.25">
      <c r="A1081" t="str">
        <f t="shared" si="66"/>
        <v>Direct,STnet,100</v>
      </c>
      <c r="B1081" t="s">
        <v>33</v>
      </c>
      <c r="C1081" t="s">
        <v>5</v>
      </c>
      <c r="D1081">
        <v>100</v>
      </c>
      <c r="E1081">
        <v>202.20500000000001</v>
      </c>
      <c r="F1081">
        <f t="shared" si="65"/>
        <v>180.2</v>
      </c>
      <c r="G1081">
        <f t="shared" si="67"/>
        <v>12.211431742508339</v>
      </c>
      <c r="H1081">
        <f t="shared" si="68"/>
        <v>10.882520214633674</v>
      </c>
    </row>
    <row r="1082" spans="1:8" x14ac:dyDescent="0.25">
      <c r="A1082" t="str">
        <f t="shared" si="66"/>
        <v>Direct,STnet,100</v>
      </c>
      <c r="B1082" t="s">
        <v>33</v>
      </c>
      <c r="C1082" t="s">
        <v>5</v>
      </c>
      <c r="D1082">
        <v>100</v>
      </c>
      <c r="E1082">
        <v>159.69200000000001</v>
      </c>
      <c r="F1082">
        <f t="shared" si="65"/>
        <v>180.2</v>
      </c>
      <c r="G1082">
        <f t="shared" si="67"/>
        <v>11.380688124306317</v>
      </c>
      <c r="H1082">
        <f t="shared" si="68"/>
        <v>12.842221275956204</v>
      </c>
    </row>
    <row r="1083" spans="1:8" x14ac:dyDescent="0.25">
      <c r="A1083" t="str">
        <f t="shared" si="66"/>
        <v>Direct,STnet,100</v>
      </c>
      <c r="B1083" t="s">
        <v>33</v>
      </c>
      <c r="C1083" t="s">
        <v>5</v>
      </c>
      <c r="D1083">
        <v>100</v>
      </c>
      <c r="E1083">
        <v>175.834</v>
      </c>
      <c r="F1083">
        <f t="shared" si="65"/>
        <v>180.2</v>
      </c>
      <c r="G1083">
        <f t="shared" si="67"/>
        <v>2.4228634850166402</v>
      </c>
      <c r="H1083">
        <f t="shared" si="68"/>
        <v>2.4830237610473431</v>
      </c>
    </row>
    <row r="1084" spans="1:8" x14ac:dyDescent="0.25">
      <c r="A1084" t="str">
        <f t="shared" si="66"/>
        <v>Direct,STnet,100</v>
      </c>
      <c r="B1084" t="s">
        <v>33</v>
      </c>
      <c r="C1084" t="s">
        <v>5</v>
      </c>
      <c r="D1084">
        <v>100</v>
      </c>
      <c r="E1084">
        <v>176.83500000000001</v>
      </c>
      <c r="F1084">
        <f t="shared" si="65"/>
        <v>180.2</v>
      </c>
      <c r="G1084">
        <f t="shared" si="67"/>
        <v>1.8673695893451616</v>
      </c>
      <c r="H1084">
        <f t="shared" si="68"/>
        <v>1.902903836910103</v>
      </c>
    </row>
    <row r="1085" spans="1:8" x14ac:dyDescent="0.25">
      <c r="A1085" t="str">
        <f t="shared" si="66"/>
        <v>Direct,STnet,100</v>
      </c>
      <c r="B1085" t="s">
        <v>33</v>
      </c>
      <c r="C1085" t="s">
        <v>5</v>
      </c>
      <c r="D1085">
        <v>100</v>
      </c>
      <c r="E1085">
        <v>181.346</v>
      </c>
      <c r="F1085">
        <f t="shared" si="65"/>
        <v>180.2</v>
      </c>
      <c r="G1085">
        <f t="shared" si="67"/>
        <v>0.63596004439512488</v>
      </c>
      <c r="H1085">
        <f t="shared" si="68"/>
        <v>0.63194115116959571</v>
      </c>
    </row>
    <row r="1086" spans="1:8" x14ac:dyDescent="0.25">
      <c r="A1086" t="str">
        <f t="shared" si="66"/>
        <v>Direct,STnet,100</v>
      </c>
      <c r="B1086" t="s">
        <v>33</v>
      </c>
      <c r="C1086" t="s">
        <v>5</v>
      </c>
      <c r="D1086">
        <v>100</v>
      </c>
      <c r="E1086">
        <v>145.25800000000001</v>
      </c>
      <c r="F1086">
        <f t="shared" si="65"/>
        <v>180.2</v>
      </c>
      <c r="G1086">
        <f t="shared" si="67"/>
        <v>19.390677025527182</v>
      </c>
      <c r="H1086">
        <f t="shared" si="68"/>
        <v>24.055129493728383</v>
      </c>
    </row>
    <row r="1087" spans="1:8" x14ac:dyDescent="0.25">
      <c r="A1087" t="str">
        <f t="shared" si="66"/>
        <v>Direct,STnet,100</v>
      </c>
      <c r="B1087" t="s">
        <v>33</v>
      </c>
      <c r="C1087" t="s">
        <v>5</v>
      </c>
      <c r="D1087">
        <v>100</v>
      </c>
      <c r="E1087">
        <v>150.06</v>
      </c>
      <c r="F1087">
        <f t="shared" si="65"/>
        <v>180.2</v>
      </c>
      <c r="G1087">
        <f t="shared" si="67"/>
        <v>16.7258601553829</v>
      </c>
      <c r="H1087">
        <f t="shared" si="68"/>
        <v>20.085299213647865</v>
      </c>
    </row>
    <row r="1088" spans="1:8" x14ac:dyDescent="0.25">
      <c r="A1088" t="str">
        <f t="shared" si="66"/>
        <v>Direct,STnet,100</v>
      </c>
      <c r="B1088" t="s">
        <v>33</v>
      </c>
      <c r="C1088" t="s">
        <v>5</v>
      </c>
      <c r="D1088">
        <v>100</v>
      </c>
      <c r="E1088">
        <v>169.05699999999999</v>
      </c>
      <c r="F1088">
        <f t="shared" si="65"/>
        <v>180.2</v>
      </c>
      <c r="G1088">
        <f t="shared" si="67"/>
        <v>6.1836847946725868</v>
      </c>
      <c r="H1088">
        <f t="shared" si="68"/>
        <v>6.5912680338584035</v>
      </c>
    </row>
    <row r="1089" spans="1:8" x14ac:dyDescent="0.25">
      <c r="A1089" t="str">
        <f t="shared" si="66"/>
        <v>Direct,STnet,100</v>
      </c>
      <c r="B1089" t="s">
        <v>33</v>
      </c>
      <c r="C1089" t="s">
        <v>5</v>
      </c>
      <c r="D1089">
        <v>100</v>
      </c>
      <c r="E1089">
        <v>167.64</v>
      </c>
      <c r="F1089">
        <f t="shared" si="65"/>
        <v>180.2</v>
      </c>
      <c r="G1089">
        <f t="shared" si="67"/>
        <v>6.9700332963374052</v>
      </c>
      <c r="H1089">
        <f t="shared" si="68"/>
        <v>7.4922452875208796</v>
      </c>
    </row>
    <row r="1090" spans="1:8" x14ac:dyDescent="0.25">
      <c r="A1090" t="str">
        <f t="shared" si="66"/>
        <v>Direct,STnet,100</v>
      </c>
      <c r="B1090" t="s">
        <v>33</v>
      </c>
      <c r="C1090" t="s">
        <v>5</v>
      </c>
      <c r="D1090">
        <v>100</v>
      </c>
      <c r="E1090">
        <v>155.44800000000001</v>
      </c>
      <c r="F1090">
        <f t="shared" si="65"/>
        <v>180.2</v>
      </c>
      <c r="G1090">
        <f t="shared" si="67"/>
        <v>13.735849056603763</v>
      </c>
      <c r="H1090">
        <f t="shared" si="68"/>
        <v>15.923009623797013</v>
      </c>
    </row>
    <row r="1091" spans="1:8" x14ac:dyDescent="0.25">
      <c r="A1091" t="str">
        <f t="shared" si="66"/>
        <v>Direct,STnet,100</v>
      </c>
      <c r="B1091" t="s">
        <v>33</v>
      </c>
      <c r="C1091" t="s">
        <v>5</v>
      </c>
      <c r="D1091">
        <v>100</v>
      </c>
      <c r="E1091">
        <v>203.613</v>
      </c>
      <c r="F1091">
        <f t="shared" ref="F1091:F1154" si="69">_xlfn.XLOOKUP(A1091,$J$3:$J$36,$N$3:$N$36)</f>
        <v>180.2</v>
      </c>
      <c r="G1091">
        <f t="shared" si="67"/>
        <v>12.992785793562714</v>
      </c>
      <c r="H1091">
        <f t="shared" si="68"/>
        <v>11.498774636197105</v>
      </c>
    </row>
    <row r="1092" spans="1:8" x14ac:dyDescent="0.25">
      <c r="A1092" t="str">
        <f t="shared" ref="A1092:A1155" si="70">B1092&amp;","&amp;C1092&amp;","&amp;D1092</f>
        <v>Direct,STnet,100</v>
      </c>
      <c r="B1092" t="s">
        <v>33</v>
      </c>
      <c r="C1092" t="s">
        <v>5</v>
      </c>
      <c r="D1092">
        <v>100</v>
      </c>
      <c r="E1092">
        <v>190.27199999999999</v>
      </c>
      <c r="F1092">
        <f t="shared" si="69"/>
        <v>180.2</v>
      </c>
      <c r="G1092">
        <f t="shared" ref="G1092:G1155" si="71">ABS((E1092-F1092)/F1092)*100</f>
        <v>5.5893451720310789</v>
      </c>
      <c r="H1092">
        <f t="shared" ref="H1092:H1155" si="72">ABS((F1092-E1092)/E1092)*100</f>
        <v>5.2934746047763221</v>
      </c>
    </row>
    <row r="1093" spans="1:8" x14ac:dyDescent="0.25">
      <c r="A1093" t="str">
        <f t="shared" si="70"/>
        <v>Direct,STnet,100</v>
      </c>
      <c r="B1093" t="s">
        <v>33</v>
      </c>
      <c r="C1093" t="s">
        <v>5</v>
      </c>
      <c r="D1093">
        <v>100</v>
      </c>
      <c r="E1093">
        <v>181.053</v>
      </c>
      <c r="F1093">
        <f t="shared" si="69"/>
        <v>180.2</v>
      </c>
      <c r="G1093">
        <f t="shared" si="71"/>
        <v>0.47336293007769631</v>
      </c>
      <c r="H1093">
        <f t="shared" si="72"/>
        <v>0.47113276222984907</v>
      </c>
    </row>
    <row r="1094" spans="1:8" x14ac:dyDescent="0.25">
      <c r="A1094" t="str">
        <f t="shared" si="70"/>
        <v>Direct,STnet,100</v>
      </c>
      <c r="B1094" t="s">
        <v>33</v>
      </c>
      <c r="C1094" t="s">
        <v>5</v>
      </c>
      <c r="D1094">
        <v>100</v>
      </c>
      <c r="E1094">
        <v>183.56399999999999</v>
      </c>
      <c r="F1094">
        <f t="shared" si="69"/>
        <v>180.2</v>
      </c>
      <c r="G1094">
        <f t="shared" si="71"/>
        <v>1.8668146503884597</v>
      </c>
      <c r="H1094">
        <f t="shared" si="72"/>
        <v>1.8326033427033646</v>
      </c>
    </row>
    <row r="1095" spans="1:8" x14ac:dyDescent="0.25">
      <c r="A1095" t="str">
        <f t="shared" si="70"/>
        <v>Direct,STnet,100</v>
      </c>
      <c r="B1095" t="s">
        <v>33</v>
      </c>
      <c r="C1095" t="s">
        <v>5</v>
      </c>
      <c r="D1095">
        <v>100</v>
      </c>
      <c r="E1095">
        <v>204.732</v>
      </c>
      <c r="F1095">
        <f t="shared" si="69"/>
        <v>180.2</v>
      </c>
      <c r="G1095">
        <f t="shared" si="71"/>
        <v>13.613762486126532</v>
      </c>
      <c r="H1095">
        <f t="shared" si="72"/>
        <v>11.982494187523205</v>
      </c>
    </row>
    <row r="1096" spans="1:8" x14ac:dyDescent="0.25">
      <c r="A1096" t="str">
        <f t="shared" si="70"/>
        <v>Direct,STnet,100</v>
      </c>
      <c r="B1096" t="s">
        <v>33</v>
      </c>
      <c r="C1096" t="s">
        <v>5</v>
      </c>
      <c r="D1096">
        <v>100</v>
      </c>
      <c r="E1096">
        <v>171.47</v>
      </c>
      <c r="F1096">
        <f t="shared" si="69"/>
        <v>180.2</v>
      </c>
      <c r="G1096">
        <f t="shared" si="71"/>
        <v>4.8446170921198615</v>
      </c>
      <c r="H1096">
        <f t="shared" si="72"/>
        <v>5.0912696098442813</v>
      </c>
    </row>
    <row r="1097" spans="1:8" x14ac:dyDescent="0.25">
      <c r="A1097" t="str">
        <f t="shared" si="70"/>
        <v>Direct,STnet,100</v>
      </c>
      <c r="B1097" t="s">
        <v>33</v>
      </c>
      <c r="C1097" t="s">
        <v>5</v>
      </c>
      <c r="D1097">
        <v>100</v>
      </c>
      <c r="E1097">
        <v>182.27600000000001</v>
      </c>
      <c r="F1097">
        <f t="shared" si="69"/>
        <v>180.2</v>
      </c>
      <c r="G1097">
        <f t="shared" si="71"/>
        <v>1.1520532741398568</v>
      </c>
      <c r="H1097">
        <f t="shared" si="72"/>
        <v>1.1389321687989762</v>
      </c>
    </row>
    <row r="1098" spans="1:8" x14ac:dyDescent="0.25">
      <c r="A1098" t="str">
        <f t="shared" si="70"/>
        <v>Direct,STnet,100</v>
      </c>
      <c r="B1098" t="s">
        <v>33</v>
      </c>
      <c r="C1098" t="s">
        <v>5</v>
      </c>
      <c r="D1098">
        <v>100</v>
      </c>
      <c r="E1098">
        <v>191.78299999999999</v>
      </c>
      <c r="F1098">
        <f t="shared" si="69"/>
        <v>180.2</v>
      </c>
      <c r="G1098">
        <f t="shared" si="71"/>
        <v>6.4278579356270811</v>
      </c>
      <c r="H1098">
        <f t="shared" si="72"/>
        <v>6.039638549819327</v>
      </c>
    </row>
    <row r="1099" spans="1:8" x14ac:dyDescent="0.25">
      <c r="A1099" t="str">
        <f t="shared" si="70"/>
        <v>Direct,STnet,100</v>
      </c>
      <c r="B1099" t="s">
        <v>33</v>
      </c>
      <c r="C1099" t="s">
        <v>5</v>
      </c>
      <c r="D1099">
        <v>100</v>
      </c>
      <c r="E1099">
        <v>174.42099999999999</v>
      </c>
      <c r="F1099">
        <f t="shared" si="69"/>
        <v>180.2</v>
      </c>
      <c r="G1099">
        <f t="shared" si="71"/>
        <v>3.2069922308546044</v>
      </c>
      <c r="H1099">
        <f t="shared" si="72"/>
        <v>3.3132478313964464</v>
      </c>
    </row>
    <row r="1100" spans="1:8" x14ac:dyDescent="0.25">
      <c r="A1100" t="str">
        <f t="shared" si="70"/>
        <v>Direct,STnet,100</v>
      </c>
      <c r="B1100" t="s">
        <v>33</v>
      </c>
      <c r="C1100" t="s">
        <v>5</v>
      </c>
      <c r="D1100">
        <v>100</v>
      </c>
      <c r="E1100">
        <v>162.376</v>
      </c>
      <c r="F1100">
        <f t="shared" si="69"/>
        <v>180.2</v>
      </c>
      <c r="G1100">
        <f t="shared" si="71"/>
        <v>9.8912319644838984</v>
      </c>
      <c r="H1100">
        <f t="shared" si="72"/>
        <v>10.976991673646342</v>
      </c>
    </row>
    <row r="1101" spans="1:8" x14ac:dyDescent="0.25">
      <c r="A1101" t="str">
        <f t="shared" si="70"/>
        <v>Direct,STnet,100</v>
      </c>
      <c r="B1101" t="s">
        <v>33</v>
      </c>
      <c r="C1101" t="s">
        <v>5</v>
      </c>
      <c r="D1101">
        <v>100</v>
      </c>
      <c r="E1101">
        <v>163.69200000000001</v>
      </c>
      <c r="F1101">
        <f t="shared" si="69"/>
        <v>180.2</v>
      </c>
      <c r="G1101">
        <f t="shared" si="71"/>
        <v>9.1609322974472711</v>
      </c>
      <c r="H1101">
        <f t="shared" si="72"/>
        <v>10.084793392468772</v>
      </c>
    </row>
    <row r="1102" spans="1:8" x14ac:dyDescent="0.25">
      <c r="A1102" t="str">
        <f t="shared" si="70"/>
        <v>Direct,STnet,100</v>
      </c>
      <c r="B1102" t="s">
        <v>33</v>
      </c>
      <c r="C1102" t="s">
        <v>5</v>
      </c>
      <c r="D1102">
        <v>100</v>
      </c>
      <c r="E1102">
        <v>156.084</v>
      </c>
      <c r="F1102">
        <f t="shared" si="69"/>
        <v>180.2</v>
      </c>
      <c r="G1102">
        <f t="shared" si="71"/>
        <v>13.382907880133176</v>
      </c>
      <c r="H1102">
        <f t="shared" si="72"/>
        <v>15.450654775633623</v>
      </c>
    </row>
    <row r="1103" spans="1:8" x14ac:dyDescent="0.25">
      <c r="A1103" t="str">
        <f t="shared" si="70"/>
        <v>Direct,STnet,120</v>
      </c>
      <c r="B1103" t="s">
        <v>33</v>
      </c>
      <c r="C1103" t="s">
        <v>5</v>
      </c>
      <c r="D1103">
        <v>120</v>
      </c>
      <c r="E1103">
        <v>193.16</v>
      </c>
      <c r="F1103" t="e">
        <f t="shared" si="69"/>
        <v>#N/A</v>
      </c>
      <c r="G1103" t="e">
        <f t="shared" si="71"/>
        <v>#N/A</v>
      </c>
      <c r="H1103" t="e">
        <f t="shared" si="72"/>
        <v>#N/A</v>
      </c>
    </row>
    <row r="1104" spans="1:8" x14ac:dyDescent="0.25">
      <c r="A1104" t="str">
        <f t="shared" si="70"/>
        <v>Direct,STnet,120</v>
      </c>
      <c r="B1104" t="s">
        <v>33</v>
      </c>
      <c r="C1104" t="s">
        <v>5</v>
      </c>
      <c r="D1104">
        <v>120</v>
      </c>
      <c r="E1104">
        <v>248.61199999999999</v>
      </c>
      <c r="F1104" t="e">
        <f t="shared" si="69"/>
        <v>#N/A</v>
      </c>
      <c r="G1104" t="e">
        <f t="shared" si="71"/>
        <v>#N/A</v>
      </c>
      <c r="H1104" t="e">
        <f t="shared" si="72"/>
        <v>#N/A</v>
      </c>
    </row>
    <row r="1105" spans="1:8" x14ac:dyDescent="0.25">
      <c r="A1105" t="str">
        <f t="shared" si="70"/>
        <v>Direct,STnet,120</v>
      </c>
      <c r="B1105" t="s">
        <v>33</v>
      </c>
      <c r="C1105" t="s">
        <v>5</v>
      </c>
      <c r="D1105">
        <v>120</v>
      </c>
      <c r="E1105">
        <v>213.34200000000001</v>
      </c>
      <c r="F1105" t="e">
        <f t="shared" si="69"/>
        <v>#N/A</v>
      </c>
      <c r="G1105" t="e">
        <f t="shared" si="71"/>
        <v>#N/A</v>
      </c>
      <c r="H1105" t="e">
        <f t="shared" si="72"/>
        <v>#N/A</v>
      </c>
    </row>
    <row r="1106" spans="1:8" x14ac:dyDescent="0.25">
      <c r="A1106" t="str">
        <f t="shared" si="70"/>
        <v>Direct,STnet,120</v>
      </c>
      <c r="B1106" t="s">
        <v>33</v>
      </c>
      <c r="C1106" t="s">
        <v>5</v>
      </c>
      <c r="D1106">
        <v>120</v>
      </c>
      <c r="E1106">
        <v>230.49199999999999</v>
      </c>
      <c r="F1106" t="e">
        <f t="shared" si="69"/>
        <v>#N/A</v>
      </c>
      <c r="G1106" t="e">
        <f t="shared" si="71"/>
        <v>#N/A</v>
      </c>
      <c r="H1106" t="e">
        <f t="shared" si="72"/>
        <v>#N/A</v>
      </c>
    </row>
    <row r="1107" spans="1:8" x14ac:dyDescent="0.25">
      <c r="A1107" t="str">
        <f t="shared" si="70"/>
        <v>Direct,STnet,120</v>
      </c>
      <c r="B1107" t="s">
        <v>33</v>
      </c>
      <c r="C1107" t="s">
        <v>5</v>
      </c>
      <c r="D1107">
        <v>120</v>
      </c>
      <c r="E1107">
        <v>209.15299999999999</v>
      </c>
      <c r="F1107" t="e">
        <f t="shared" si="69"/>
        <v>#N/A</v>
      </c>
      <c r="G1107" t="e">
        <f t="shared" si="71"/>
        <v>#N/A</v>
      </c>
      <c r="H1107" t="e">
        <f t="shared" si="72"/>
        <v>#N/A</v>
      </c>
    </row>
    <row r="1108" spans="1:8" x14ac:dyDescent="0.25">
      <c r="A1108" t="str">
        <f t="shared" si="70"/>
        <v>Direct,STnet,120</v>
      </c>
      <c r="B1108" t="s">
        <v>33</v>
      </c>
      <c r="C1108" t="s">
        <v>5</v>
      </c>
      <c r="D1108">
        <v>120</v>
      </c>
      <c r="E1108">
        <v>189.71799999999999</v>
      </c>
      <c r="F1108" t="e">
        <f t="shared" si="69"/>
        <v>#N/A</v>
      </c>
      <c r="G1108" t="e">
        <f t="shared" si="71"/>
        <v>#N/A</v>
      </c>
      <c r="H1108" t="e">
        <f t="shared" si="72"/>
        <v>#N/A</v>
      </c>
    </row>
    <row r="1109" spans="1:8" x14ac:dyDescent="0.25">
      <c r="A1109" t="str">
        <f t="shared" si="70"/>
        <v>Direct,STnet,120</v>
      </c>
      <c r="B1109" t="s">
        <v>33</v>
      </c>
      <c r="C1109" t="s">
        <v>5</v>
      </c>
      <c r="D1109">
        <v>120</v>
      </c>
      <c r="E1109">
        <v>190.345</v>
      </c>
      <c r="F1109" t="e">
        <f t="shared" si="69"/>
        <v>#N/A</v>
      </c>
      <c r="G1109" t="e">
        <f t="shared" si="71"/>
        <v>#N/A</v>
      </c>
      <c r="H1109" t="e">
        <f t="shared" si="72"/>
        <v>#N/A</v>
      </c>
    </row>
    <row r="1110" spans="1:8" x14ac:dyDescent="0.25">
      <c r="A1110" t="str">
        <f t="shared" si="70"/>
        <v>Direct,STnet,120</v>
      </c>
      <c r="B1110" t="s">
        <v>33</v>
      </c>
      <c r="C1110" t="s">
        <v>5</v>
      </c>
      <c r="D1110">
        <v>120</v>
      </c>
      <c r="E1110">
        <v>199.977</v>
      </c>
      <c r="F1110" t="e">
        <f t="shared" si="69"/>
        <v>#N/A</v>
      </c>
      <c r="G1110" t="e">
        <f t="shared" si="71"/>
        <v>#N/A</v>
      </c>
      <c r="H1110" t="e">
        <f t="shared" si="72"/>
        <v>#N/A</v>
      </c>
    </row>
    <row r="1111" spans="1:8" x14ac:dyDescent="0.25">
      <c r="A1111" t="str">
        <f t="shared" si="70"/>
        <v>Direct,STnet,120</v>
      </c>
      <c r="B1111" t="s">
        <v>33</v>
      </c>
      <c r="C1111" t="s">
        <v>5</v>
      </c>
      <c r="D1111">
        <v>120</v>
      </c>
      <c r="E1111">
        <v>232.19300000000001</v>
      </c>
      <c r="F1111" t="e">
        <f t="shared" si="69"/>
        <v>#N/A</v>
      </c>
      <c r="G1111" t="e">
        <f t="shared" si="71"/>
        <v>#N/A</v>
      </c>
      <c r="H1111" t="e">
        <f t="shared" si="72"/>
        <v>#N/A</v>
      </c>
    </row>
    <row r="1112" spans="1:8" x14ac:dyDescent="0.25">
      <c r="A1112" t="str">
        <f t="shared" si="70"/>
        <v>Direct,STnet,120</v>
      </c>
      <c r="B1112" t="s">
        <v>33</v>
      </c>
      <c r="C1112" t="s">
        <v>5</v>
      </c>
      <c r="D1112">
        <v>120</v>
      </c>
      <c r="E1112">
        <v>197.27199999999999</v>
      </c>
      <c r="F1112" t="e">
        <f t="shared" si="69"/>
        <v>#N/A</v>
      </c>
      <c r="G1112" t="e">
        <f t="shared" si="71"/>
        <v>#N/A</v>
      </c>
      <c r="H1112" t="e">
        <f t="shared" si="72"/>
        <v>#N/A</v>
      </c>
    </row>
    <row r="1113" spans="1:8" x14ac:dyDescent="0.25">
      <c r="A1113" t="str">
        <f t="shared" si="70"/>
        <v>Direct,STnet,120</v>
      </c>
      <c r="B1113" t="s">
        <v>33</v>
      </c>
      <c r="C1113" t="s">
        <v>5</v>
      </c>
      <c r="D1113">
        <v>120</v>
      </c>
      <c r="E1113">
        <v>188.053</v>
      </c>
      <c r="F1113" t="e">
        <f t="shared" si="69"/>
        <v>#N/A</v>
      </c>
      <c r="G1113" t="e">
        <f t="shared" si="71"/>
        <v>#N/A</v>
      </c>
      <c r="H1113" t="e">
        <f t="shared" si="72"/>
        <v>#N/A</v>
      </c>
    </row>
    <row r="1114" spans="1:8" x14ac:dyDescent="0.25">
      <c r="A1114" t="str">
        <f t="shared" si="70"/>
        <v>Direct,STnet,120</v>
      </c>
      <c r="B1114" t="s">
        <v>33</v>
      </c>
      <c r="C1114" t="s">
        <v>5</v>
      </c>
      <c r="D1114">
        <v>120</v>
      </c>
      <c r="E1114">
        <v>214.44</v>
      </c>
      <c r="F1114" t="e">
        <f t="shared" si="69"/>
        <v>#N/A</v>
      </c>
      <c r="G1114" t="e">
        <f t="shared" si="71"/>
        <v>#N/A</v>
      </c>
      <c r="H1114" t="e">
        <f t="shared" si="72"/>
        <v>#N/A</v>
      </c>
    </row>
    <row r="1115" spans="1:8" x14ac:dyDescent="0.25">
      <c r="A1115" t="str">
        <f t="shared" si="70"/>
        <v>Direct,STnet,120</v>
      </c>
      <c r="B1115" t="s">
        <v>33</v>
      </c>
      <c r="C1115" t="s">
        <v>5</v>
      </c>
      <c r="D1115">
        <v>120</v>
      </c>
      <c r="E1115">
        <v>193.565</v>
      </c>
      <c r="F1115" t="e">
        <f t="shared" si="69"/>
        <v>#N/A</v>
      </c>
      <c r="G1115" t="e">
        <f t="shared" si="71"/>
        <v>#N/A</v>
      </c>
      <c r="H1115" t="e">
        <f t="shared" si="72"/>
        <v>#N/A</v>
      </c>
    </row>
    <row r="1116" spans="1:8" x14ac:dyDescent="0.25">
      <c r="A1116" t="str">
        <f t="shared" si="70"/>
        <v>Direct,STnet,120</v>
      </c>
      <c r="B1116" t="s">
        <v>33</v>
      </c>
      <c r="C1116" t="s">
        <v>5</v>
      </c>
      <c r="D1116">
        <v>120</v>
      </c>
      <c r="E1116">
        <v>189.637</v>
      </c>
      <c r="F1116" t="e">
        <f t="shared" si="69"/>
        <v>#N/A</v>
      </c>
      <c r="G1116" t="e">
        <f t="shared" si="71"/>
        <v>#N/A</v>
      </c>
      <c r="H1116" t="e">
        <f t="shared" si="72"/>
        <v>#N/A</v>
      </c>
    </row>
    <row r="1117" spans="1:8" x14ac:dyDescent="0.25">
      <c r="A1117" t="str">
        <f t="shared" si="70"/>
        <v>Direct,STnet,120</v>
      </c>
      <c r="B1117" t="s">
        <v>33</v>
      </c>
      <c r="C1117" t="s">
        <v>5</v>
      </c>
      <c r="D1117">
        <v>120</v>
      </c>
      <c r="E1117">
        <v>239.541</v>
      </c>
      <c r="F1117" t="e">
        <f t="shared" si="69"/>
        <v>#N/A</v>
      </c>
      <c r="G1117" t="e">
        <f t="shared" si="71"/>
        <v>#N/A</v>
      </c>
      <c r="H1117" t="e">
        <f t="shared" si="72"/>
        <v>#N/A</v>
      </c>
    </row>
    <row r="1118" spans="1:8" x14ac:dyDescent="0.25">
      <c r="A1118" t="str">
        <f t="shared" si="70"/>
        <v>Direct,STnet,120</v>
      </c>
      <c r="B1118" t="s">
        <v>33</v>
      </c>
      <c r="C1118" t="s">
        <v>5</v>
      </c>
      <c r="D1118">
        <v>120</v>
      </c>
      <c r="E1118">
        <v>203.58600000000001</v>
      </c>
      <c r="F1118" t="e">
        <f t="shared" si="69"/>
        <v>#N/A</v>
      </c>
      <c r="G1118" t="e">
        <f t="shared" si="71"/>
        <v>#N/A</v>
      </c>
      <c r="H1118" t="e">
        <f t="shared" si="72"/>
        <v>#N/A</v>
      </c>
    </row>
    <row r="1119" spans="1:8" x14ac:dyDescent="0.25">
      <c r="A1119" t="str">
        <f t="shared" si="70"/>
        <v>Direct,STnet,120</v>
      </c>
      <c r="B1119" t="s">
        <v>33</v>
      </c>
      <c r="C1119" t="s">
        <v>5</v>
      </c>
      <c r="D1119">
        <v>120</v>
      </c>
      <c r="E1119">
        <v>203.85599999999999</v>
      </c>
      <c r="F1119" t="e">
        <f t="shared" si="69"/>
        <v>#N/A</v>
      </c>
      <c r="G1119" t="e">
        <f t="shared" si="71"/>
        <v>#N/A</v>
      </c>
      <c r="H1119" t="e">
        <f t="shared" si="72"/>
        <v>#N/A</v>
      </c>
    </row>
    <row r="1120" spans="1:8" x14ac:dyDescent="0.25">
      <c r="A1120" t="str">
        <f t="shared" si="70"/>
        <v>Direct,STnet,120</v>
      </c>
      <c r="B1120" t="s">
        <v>33</v>
      </c>
      <c r="C1120" t="s">
        <v>5</v>
      </c>
      <c r="D1120">
        <v>120</v>
      </c>
      <c r="E1120">
        <v>206.82900000000001</v>
      </c>
      <c r="F1120" t="e">
        <f t="shared" si="69"/>
        <v>#N/A</v>
      </c>
      <c r="G1120" t="e">
        <f t="shared" si="71"/>
        <v>#N/A</v>
      </c>
      <c r="H1120" t="e">
        <f t="shared" si="72"/>
        <v>#N/A</v>
      </c>
    </row>
    <row r="1121" spans="1:8" x14ac:dyDescent="0.25">
      <c r="A1121" t="str">
        <f t="shared" si="70"/>
        <v>Direct,STnet,120</v>
      </c>
      <c r="B1121" t="s">
        <v>33</v>
      </c>
      <c r="C1121" t="s">
        <v>5</v>
      </c>
      <c r="D1121">
        <v>120</v>
      </c>
      <c r="E1121">
        <v>210.54400000000001</v>
      </c>
      <c r="F1121" t="e">
        <f t="shared" si="69"/>
        <v>#N/A</v>
      </c>
      <c r="G1121" t="e">
        <f t="shared" si="71"/>
        <v>#N/A</v>
      </c>
      <c r="H1121" t="e">
        <f t="shared" si="72"/>
        <v>#N/A</v>
      </c>
    </row>
    <row r="1122" spans="1:8" x14ac:dyDescent="0.25">
      <c r="A1122" t="str">
        <f t="shared" si="70"/>
        <v>Direct,STnet,120</v>
      </c>
      <c r="B1122" t="s">
        <v>33</v>
      </c>
      <c r="C1122" t="s">
        <v>5</v>
      </c>
      <c r="D1122">
        <v>120</v>
      </c>
      <c r="E1122">
        <v>205.66</v>
      </c>
      <c r="F1122" t="e">
        <f t="shared" si="69"/>
        <v>#N/A</v>
      </c>
      <c r="G1122" t="e">
        <f t="shared" si="71"/>
        <v>#N/A</v>
      </c>
      <c r="H1122" t="e">
        <f t="shared" si="72"/>
        <v>#N/A</v>
      </c>
    </row>
    <row r="1123" spans="1:8" x14ac:dyDescent="0.25">
      <c r="A1123" t="str">
        <f t="shared" si="70"/>
        <v>Direct,STnet,120</v>
      </c>
      <c r="B1123" t="s">
        <v>33</v>
      </c>
      <c r="C1123" t="s">
        <v>5</v>
      </c>
      <c r="D1123">
        <v>120</v>
      </c>
      <c r="E1123">
        <v>207.72300000000001</v>
      </c>
      <c r="F1123" t="e">
        <f t="shared" si="69"/>
        <v>#N/A</v>
      </c>
      <c r="G1123" t="e">
        <f t="shared" si="71"/>
        <v>#N/A</v>
      </c>
      <c r="H1123" t="e">
        <f t="shared" si="72"/>
        <v>#N/A</v>
      </c>
    </row>
    <row r="1124" spans="1:8" x14ac:dyDescent="0.25">
      <c r="A1124" t="str">
        <f t="shared" si="70"/>
        <v>Direct,STnet,120</v>
      </c>
      <c r="B1124" t="s">
        <v>33</v>
      </c>
      <c r="C1124" t="s">
        <v>5</v>
      </c>
      <c r="D1124">
        <v>120</v>
      </c>
      <c r="E1124">
        <v>188.989</v>
      </c>
      <c r="F1124" t="e">
        <f t="shared" si="69"/>
        <v>#N/A</v>
      </c>
      <c r="G1124" t="e">
        <f t="shared" si="71"/>
        <v>#N/A</v>
      </c>
      <c r="H1124" t="e">
        <f t="shared" si="72"/>
        <v>#N/A</v>
      </c>
    </row>
    <row r="1125" spans="1:8" x14ac:dyDescent="0.25">
      <c r="A1125" t="str">
        <f t="shared" si="70"/>
        <v>Direct,STnet,120</v>
      </c>
      <c r="B1125" t="s">
        <v>33</v>
      </c>
      <c r="C1125" t="s">
        <v>5</v>
      </c>
      <c r="D1125">
        <v>120</v>
      </c>
      <c r="E1125">
        <v>215.291</v>
      </c>
      <c r="F1125" t="e">
        <f t="shared" si="69"/>
        <v>#N/A</v>
      </c>
      <c r="G1125" t="e">
        <f t="shared" si="71"/>
        <v>#N/A</v>
      </c>
      <c r="H1125" t="e">
        <f t="shared" si="72"/>
        <v>#N/A</v>
      </c>
    </row>
    <row r="1126" spans="1:8" x14ac:dyDescent="0.25">
      <c r="A1126" t="str">
        <f t="shared" si="70"/>
        <v>Direct,STnet,120</v>
      </c>
      <c r="B1126" t="s">
        <v>33</v>
      </c>
      <c r="C1126" t="s">
        <v>5</v>
      </c>
      <c r="D1126">
        <v>120</v>
      </c>
      <c r="E1126">
        <v>220.024</v>
      </c>
      <c r="F1126" t="e">
        <f t="shared" si="69"/>
        <v>#N/A</v>
      </c>
      <c r="G1126" t="e">
        <f t="shared" si="71"/>
        <v>#N/A</v>
      </c>
      <c r="H1126" t="e">
        <f t="shared" si="72"/>
        <v>#N/A</v>
      </c>
    </row>
    <row r="1127" spans="1:8" x14ac:dyDescent="0.25">
      <c r="A1127" t="str">
        <f t="shared" si="70"/>
        <v>Direct,STnet,120</v>
      </c>
      <c r="B1127" t="s">
        <v>33</v>
      </c>
      <c r="C1127" t="s">
        <v>5</v>
      </c>
      <c r="D1127">
        <v>120</v>
      </c>
      <c r="E1127">
        <v>221.28200000000001</v>
      </c>
      <c r="F1127" t="e">
        <f t="shared" si="69"/>
        <v>#N/A</v>
      </c>
      <c r="G1127" t="e">
        <f t="shared" si="71"/>
        <v>#N/A</v>
      </c>
      <c r="H1127" t="e">
        <f t="shared" si="72"/>
        <v>#N/A</v>
      </c>
    </row>
    <row r="1128" spans="1:8" x14ac:dyDescent="0.25">
      <c r="A1128" t="str">
        <f t="shared" si="70"/>
        <v>Direct,STnet,120</v>
      </c>
      <c r="B1128" t="s">
        <v>33</v>
      </c>
      <c r="C1128" t="s">
        <v>5</v>
      </c>
      <c r="D1128">
        <v>120</v>
      </c>
      <c r="E1128">
        <v>187.56399999999999</v>
      </c>
      <c r="F1128" t="e">
        <f t="shared" si="69"/>
        <v>#N/A</v>
      </c>
      <c r="G1128" t="e">
        <f t="shared" si="71"/>
        <v>#N/A</v>
      </c>
      <c r="H1128" t="e">
        <f t="shared" si="72"/>
        <v>#N/A</v>
      </c>
    </row>
    <row r="1129" spans="1:8" x14ac:dyDescent="0.25">
      <c r="A1129" t="str">
        <f t="shared" si="70"/>
        <v>Direct,STnet,120</v>
      </c>
      <c r="B1129" t="s">
        <v>33</v>
      </c>
      <c r="C1129" t="s">
        <v>5</v>
      </c>
      <c r="D1129">
        <v>120</v>
      </c>
      <c r="E1129">
        <v>186.054</v>
      </c>
      <c r="F1129" t="e">
        <f t="shared" si="69"/>
        <v>#N/A</v>
      </c>
      <c r="G1129" t="e">
        <f t="shared" si="71"/>
        <v>#N/A</v>
      </c>
      <c r="H1129" t="e">
        <f t="shared" si="72"/>
        <v>#N/A</v>
      </c>
    </row>
    <row r="1130" spans="1:8" x14ac:dyDescent="0.25">
      <c r="A1130" t="str">
        <f t="shared" si="70"/>
        <v>Direct,STnet,120</v>
      </c>
      <c r="B1130" t="s">
        <v>33</v>
      </c>
      <c r="C1130" t="s">
        <v>5</v>
      </c>
      <c r="D1130">
        <v>120</v>
      </c>
      <c r="E1130">
        <v>211.148</v>
      </c>
      <c r="F1130" t="e">
        <f t="shared" si="69"/>
        <v>#N/A</v>
      </c>
      <c r="G1130" t="e">
        <f t="shared" si="71"/>
        <v>#N/A</v>
      </c>
      <c r="H1130" t="e">
        <f t="shared" si="72"/>
        <v>#N/A</v>
      </c>
    </row>
    <row r="1131" spans="1:8" x14ac:dyDescent="0.25">
      <c r="A1131" t="str">
        <f t="shared" si="70"/>
        <v>Direct,STnet,120</v>
      </c>
      <c r="B1131" t="s">
        <v>33</v>
      </c>
      <c r="C1131" t="s">
        <v>5</v>
      </c>
      <c r="D1131">
        <v>120</v>
      </c>
      <c r="E1131">
        <v>205.63399999999999</v>
      </c>
      <c r="F1131" t="e">
        <f t="shared" si="69"/>
        <v>#N/A</v>
      </c>
      <c r="G1131" t="e">
        <f t="shared" si="71"/>
        <v>#N/A</v>
      </c>
      <c r="H1131" t="e">
        <f t="shared" si="72"/>
        <v>#N/A</v>
      </c>
    </row>
    <row r="1132" spans="1:8" x14ac:dyDescent="0.25">
      <c r="A1132" t="str">
        <f t="shared" si="70"/>
        <v>Direct,STnet,120</v>
      </c>
      <c r="B1132" t="s">
        <v>33</v>
      </c>
      <c r="C1132" t="s">
        <v>5</v>
      </c>
      <c r="D1132">
        <v>120</v>
      </c>
      <c r="E1132">
        <v>204.69</v>
      </c>
      <c r="F1132" t="e">
        <f t="shared" si="69"/>
        <v>#N/A</v>
      </c>
      <c r="G1132" t="e">
        <f t="shared" si="71"/>
        <v>#N/A</v>
      </c>
      <c r="H1132" t="e">
        <f t="shared" si="72"/>
        <v>#N/A</v>
      </c>
    </row>
    <row r="1133" spans="1:8" x14ac:dyDescent="0.25">
      <c r="A1133" t="str">
        <f t="shared" si="70"/>
        <v>Direct,STnet,120</v>
      </c>
      <c r="B1133" t="s">
        <v>33</v>
      </c>
      <c r="C1133" t="s">
        <v>5</v>
      </c>
      <c r="D1133">
        <v>120</v>
      </c>
      <c r="E1133">
        <v>233.80199999999999</v>
      </c>
      <c r="F1133" t="e">
        <f t="shared" si="69"/>
        <v>#N/A</v>
      </c>
      <c r="G1133" t="e">
        <f t="shared" si="71"/>
        <v>#N/A</v>
      </c>
      <c r="H1133" t="e">
        <f t="shared" si="72"/>
        <v>#N/A</v>
      </c>
    </row>
    <row r="1134" spans="1:8" x14ac:dyDescent="0.25">
      <c r="A1134" t="str">
        <f t="shared" si="70"/>
        <v>Direct,STnet,120</v>
      </c>
      <c r="B1134" t="s">
        <v>33</v>
      </c>
      <c r="C1134" t="s">
        <v>5</v>
      </c>
      <c r="D1134">
        <v>120</v>
      </c>
      <c r="E1134">
        <v>217.99799999999999</v>
      </c>
      <c r="F1134" t="e">
        <f t="shared" si="69"/>
        <v>#N/A</v>
      </c>
      <c r="G1134" t="e">
        <f t="shared" si="71"/>
        <v>#N/A</v>
      </c>
      <c r="H1134" t="e">
        <f t="shared" si="72"/>
        <v>#N/A</v>
      </c>
    </row>
    <row r="1135" spans="1:8" x14ac:dyDescent="0.25">
      <c r="A1135" t="str">
        <f t="shared" si="70"/>
        <v>Direct,STnet,120</v>
      </c>
      <c r="B1135" t="s">
        <v>33</v>
      </c>
      <c r="C1135" t="s">
        <v>5</v>
      </c>
      <c r="D1135">
        <v>120</v>
      </c>
      <c r="E1135">
        <v>238.66</v>
      </c>
      <c r="F1135" t="e">
        <f t="shared" si="69"/>
        <v>#N/A</v>
      </c>
      <c r="G1135" t="e">
        <f t="shared" si="71"/>
        <v>#N/A</v>
      </c>
      <c r="H1135" t="e">
        <f t="shared" si="72"/>
        <v>#N/A</v>
      </c>
    </row>
    <row r="1136" spans="1:8" x14ac:dyDescent="0.25">
      <c r="A1136" t="str">
        <f t="shared" si="70"/>
        <v>Direct,STnet,120</v>
      </c>
      <c r="B1136" t="s">
        <v>33</v>
      </c>
      <c r="C1136" t="s">
        <v>5</v>
      </c>
      <c r="D1136">
        <v>120</v>
      </c>
      <c r="E1136">
        <v>232.95500000000001</v>
      </c>
      <c r="F1136" t="e">
        <f t="shared" si="69"/>
        <v>#N/A</v>
      </c>
      <c r="G1136" t="e">
        <f t="shared" si="71"/>
        <v>#N/A</v>
      </c>
      <c r="H1136" t="e">
        <f t="shared" si="72"/>
        <v>#N/A</v>
      </c>
    </row>
    <row r="1137" spans="1:8" x14ac:dyDescent="0.25">
      <c r="A1137" t="str">
        <f t="shared" si="70"/>
        <v>Direct,STnet,120</v>
      </c>
      <c r="B1137" t="s">
        <v>33</v>
      </c>
      <c r="C1137" t="s">
        <v>5</v>
      </c>
      <c r="D1137">
        <v>120</v>
      </c>
      <c r="E1137">
        <v>240.65600000000001</v>
      </c>
      <c r="F1137" t="e">
        <f t="shared" si="69"/>
        <v>#N/A</v>
      </c>
      <c r="G1137" t="e">
        <f t="shared" si="71"/>
        <v>#N/A</v>
      </c>
      <c r="H1137" t="e">
        <f t="shared" si="72"/>
        <v>#N/A</v>
      </c>
    </row>
    <row r="1138" spans="1:8" x14ac:dyDescent="0.25">
      <c r="A1138" t="str">
        <f t="shared" si="70"/>
        <v>Direct,STnet,120</v>
      </c>
      <c r="B1138" t="s">
        <v>33</v>
      </c>
      <c r="C1138" t="s">
        <v>5</v>
      </c>
      <c r="D1138">
        <v>120</v>
      </c>
      <c r="E1138">
        <v>189.126</v>
      </c>
      <c r="F1138" t="e">
        <f t="shared" si="69"/>
        <v>#N/A</v>
      </c>
      <c r="G1138" t="e">
        <f t="shared" si="71"/>
        <v>#N/A</v>
      </c>
      <c r="H1138" t="e">
        <f t="shared" si="72"/>
        <v>#N/A</v>
      </c>
    </row>
    <row r="1139" spans="1:8" x14ac:dyDescent="0.25">
      <c r="A1139" t="str">
        <f t="shared" si="70"/>
        <v>Direct,STnet,120</v>
      </c>
      <c r="B1139" t="s">
        <v>33</v>
      </c>
      <c r="C1139" t="s">
        <v>5</v>
      </c>
      <c r="D1139">
        <v>120</v>
      </c>
      <c r="E1139">
        <v>239.077</v>
      </c>
      <c r="F1139" t="e">
        <f t="shared" si="69"/>
        <v>#N/A</v>
      </c>
      <c r="G1139" t="e">
        <f t="shared" si="71"/>
        <v>#N/A</v>
      </c>
      <c r="H1139" t="e">
        <f t="shared" si="72"/>
        <v>#N/A</v>
      </c>
    </row>
    <row r="1140" spans="1:8" x14ac:dyDescent="0.25">
      <c r="A1140" t="str">
        <f t="shared" si="70"/>
        <v>Direct,STnet,120</v>
      </c>
      <c r="B1140" t="s">
        <v>33</v>
      </c>
      <c r="C1140" t="s">
        <v>5</v>
      </c>
      <c r="D1140">
        <v>120</v>
      </c>
      <c r="E1140">
        <v>197.37100000000001</v>
      </c>
      <c r="F1140" t="e">
        <f t="shared" si="69"/>
        <v>#N/A</v>
      </c>
      <c r="G1140" t="e">
        <f t="shared" si="71"/>
        <v>#N/A</v>
      </c>
      <c r="H1140" t="e">
        <f t="shared" si="72"/>
        <v>#N/A</v>
      </c>
    </row>
    <row r="1141" spans="1:8" x14ac:dyDescent="0.25">
      <c r="A1141" t="str">
        <f t="shared" si="70"/>
        <v>Direct,STnet,120</v>
      </c>
      <c r="B1141" t="s">
        <v>33</v>
      </c>
      <c r="C1141" t="s">
        <v>5</v>
      </c>
      <c r="D1141">
        <v>120</v>
      </c>
      <c r="E1141">
        <v>174.93299999999999</v>
      </c>
      <c r="F1141" t="e">
        <f t="shared" si="69"/>
        <v>#N/A</v>
      </c>
      <c r="G1141" t="e">
        <f t="shared" si="71"/>
        <v>#N/A</v>
      </c>
      <c r="H1141" t="e">
        <f t="shared" si="72"/>
        <v>#N/A</v>
      </c>
    </row>
    <row r="1142" spans="1:8" x14ac:dyDescent="0.25">
      <c r="A1142" t="str">
        <f t="shared" si="70"/>
        <v>Direct,STnet,120</v>
      </c>
      <c r="B1142" t="s">
        <v>33</v>
      </c>
      <c r="C1142" t="s">
        <v>5</v>
      </c>
      <c r="D1142">
        <v>120</v>
      </c>
      <c r="E1142">
        <v>212.59299999999999</v>
      </c>
      <c r="F1142" t="e">
        <f t="shared" si="69"/>
        <v>#N/A</v>
      </c>
      <c r="G1142" t="e">
        <f t="shared" si="71"/>
        <v>#N/A</v>
      </c>
      <c r="H1142" t="e">
        <f t="shared" si="72"/>
        <v>#N/A</v>
      </c>
    </row>
    <row r="1143" spans="1:8" x14ac:dyDescent="0.25">
      <c r="A1143" t="str">
        <f t="shared" si="70"/>
        <v>Direct,STnet,120</v>
      </c>
      <c r="B1143" t="s">
        <v>33</v>
      </c>
      <c r="C1143" t="s">
        <v>5</v>
      </c>
      <c r="D1143">
        <v>120</v>
      </c>
      <c r="E1143">
        <v>211.392</v>
      </c>
      <c r="F1143" t="e">
        <f t="shared" si="69"/>
        <v>#N/A</v>
      </c>
      <c r="G1143" t="e">
        <f t="shared" si="71"/>
        <v>#N/A</v>
      </c>
      <c r="H1143" t="e">
        <f t="shared" si="72"/>
        <v>#N/A</v>
      </c>
    </row>
    <row r="1144" spans="1:8" x14ac:dyDescent="0.25">
      <c r="A1144" t="str">
        <f t="shared" si="70"/>
        <v>Direct,STnet,120</v>
      </c>
      <c r="B1144" t="s">
        <v>33</v>
      </c>
      <c r="C1144" t="s">
        <v>5</v>
      </c>
      <c r="D1144">
        <v>120</v>
      </c>
      <c r="E1144">
        <v>163.42500000000001</v>
      </c>
      <c r="F1144" t="e">
        <f t="shared" si="69"/>
        <v>#N/A</v>
      </c>
      <c r="G1144" t="e">
        <f t="shared" si="71"/>
        <v>#N/A</v>
      </c>
      <c r="H1144" t="e">
        <f t="shared" si="72"/>
        <v>#N/A</v>
      </c>
    </row>
    <row r="1145" spans="1:8" x14ac:dyDescent="0.25">
      <c r="A1145" t="str">
        <f t="shared" si="70"/>
        <v>Direct,STnet,120</v>
      </c>
      <c r="B1145" t="s">
        <v>33</v>
      </c>
      <c r="C1145" t="s">
        <v>5</v>
      </c>
      <c r="D1145">
        <v>120</v>
      </c>
      <c r="E1145">
        <v>213.81299999999999</v>
      </c>
      <c r="F1145" t="e">
        <f t="shared" si="69"/>
        <v>#N/A</v>
      </c>
      <c r="G1145" t="e">
        <f t="shared" si="71"/>
        <v>#N/A</v>
      </c>
      <c r="H1145" t="e">
        <f t="shared" si="72"/>
        <v>#N/A</v>
      </c>
    </row>
    <row r="1146" spans="1:8" x14ac:dyDescent="0.25">
      <c r="A1146" t="str">
        <f t="shared" si="70"/>
        <v>Direct,STnet,120</v>
      </c>
      <c r="B1146" t="s">
        <v>33</v>
      </c>
      <c r="C1146" t="s">
        <v>5</v>
      </c>
      <c r="D1146">
        <v>120</v>
      </c>
      <c r="E1146">
        <v>225.566</v>
      </c>
      <c r="F1146" t="e">
        <f t="shared" si="69"/>
        <v>#N/A</v>
      </c>
      <c r="G1146" t="e">
        <f t="shared" si="71"/>
        <v>#N/A</v>
      </c>
      <c r="H1146" t="e">
        <f t="shared" si="72"/>
        <v>#N/A</v>
      </c>
    </row>
    <row r="1147" spans="1:8" x14ac:dyDescent="0.25">
      <c r="A1147" t="str">
        <f t="shared" si="70"/>
        <v>Direct,STnet,120</v>
      </c>
      <c r="B1147" t="s">
        <v>33</v>
      </c>
      <c r="C1147" t="s">
        <v>5</v>
      </c>
      <c r="D1147">
        <v>120</v>
      </c>
      <c r="E1147">
        <v>223.09700000000001</v>
      </c>
      <c r="F1147" t="e">
        <f t="shared" si="69"/>
        <v>#N/A</v>
      </c>
      <c r="G1147" t="e">
        <f t="shared" si="71"/>
        <v>#N/A</v>
      </c>
      <c r="H1147" t="e">
        <f t="shared" si="72"/>
        <v>#N/A</v>
      </c>
    </row>
    <row r="1148" spans="1:8" x14ac:dyDescent="0.25">
      <c r="A1148" t="str">
        <f t="shared" si="70"/>
        <v>Direct,STnet,120</v>
      </c>
      <c r="B1148" t="s">
        <v>33</v>
      </c>
      <c r="C1148" t="s">
        <v>5</v>
      </c>
      <c r="D1148">
        <v>120</v>
      </c>
      <c r="E1148">
        <v>176.34899999999999</v>
      </c>
      <c r="F1148" t="e">
        <f t="shared" si="69"/>
        <v>#N/A</v>
      </c>
      <c r="G1148" t="e">
        <f t="shared" si="71"/>
        <v>#N/A</v>
      </c>
      <c r="H1148" t="e">
        <f t="shared" si="72"/>
        <v>#N/A</v>
      </c>
    </row>
    <row r="1149" spans="1:8" x14ac:dyDescent="0.25">
      <c r="A1149" t="str">
        <f t="shared" si="70"/>
        <v>Direct,STnet,120</v>
      </c>
      <c r="B1149" t="s">
        <v>33</v>
      </c>
      <c r="C1149" t="s">
        <v>5</v>
      </c>
      <c r="D1149">
        <v>120</v>
      </c>
      <c r="E1149">
        <v>200.328</v>
      </c>
      <c r="F1149" t="e">
        <f t="shared" si="69"/>
        <v>#N/A</v>
      </c>
      <c r="G1149" t="e">
        <f t="shared" si="71"/>
        <v>#N/A</v>
      </c>
      <c r="H1149" t="e">
        <f t="shared" si="72"/>
        <v>#N/A</v>
      </c>
    </row>
    <row r="1150" spans="1:8" x14ac:dyDescent="0.25">
      <c r="A1150" t="str">
        <f t="shared" si="70"/>
        <v>Direct,STnet,120</v>
      </c>
      <c r="B1150" t="s">
        <v>33</v>
      </c>
      <c r="C1150" t="s">
        <v>5</v>
      </c>
      <c r="D1150">
        <v>120</v>
      </c>
      <c r="E1150">
        <v>161.39699999999999</v>
      </c>
      <c r="F1150" t="e">
        <f t="shared" si="69"/>
        <v>#N/A</v>
      </c>
      <c r="G1150" t="e">
        <f t="shared" si="71"/>
        <v>#N/A</v>
      </c>
      <c r="H1150" t="e">
        <f t="shared" si="72"/>
        <v>#N/A</v>
      </c>
    </row>
    <row r="1151" spans="1:8" x14ac:dyDescent="0.25">
      <c r="A1151" t="str">
        <f t="shared" si="70"/>
        <v>Direct,STnet,120</v>
      </c>
      <c r="B1151" t="s">
        <v>33</v>
      </c>
      <c r="C1151" t="s">
        <v>5</v>
      </c>
      <c r="D1151">
        <v>120</v>
      </c>
      <c r="E1151">
        <v>244.22</v>
      </c>
      <c r="F1151" t="e">
        <f t="shared" si="69"/>
        <v>#N/A</v>
      </c>
      <c r="G1151" t="e">
        <f t="shared" si="71"/>
        <v>#N/A</v>
      </c>
      <c r="H1151" t="e">
        <f t="shared" si="72"/>
        <v>#N/A</v>
      </c>
    </row>
    <row r="1152" spans="1:8" x14ac:dyDescent="0.25">
      <c r="A1152" t="str">
        <f t="shared" si="70"/>
        <v>Direct,STnet,120</v>
      </c>
      <c r="B1152" t="s">
        <v>33</v>
      </c>
      <c r="C1152" t="s">
        <v>5</v>
      </c>
      <c r="D1152">
        <v>120</v>
      </c>
      <c r="E1152">
        <v>199.328</v>
      </c>
      <c r="F1152" t="e">
        <f t="shared" si="69"/>
        <v>#N/A</v>
      </c>
      <c r="G1152" t="e">
        <f t="shared" si="71"/>
        <v>#N/A</v>
      </c>
      <c r="H1152" t="e">
        <f t="shared" si="72"/>
        <v>#N/A</v>
      </c>
    </row>
    <row r="1153" spans="1:8" x14ac:dyDescent="0.25">
      <c r="A1153" t="str">
        <f t="shared" si="70"/>
        <v>Direct,STnet,120</v>
      </c>
      <c r="B1153" t="s">
        <v>33</v>
      </c>
      <c r="C1153" t="s">
        <v>5</v>
      </c>
      <c r="D1153">
        <v>120</v>
      </c>
      <c r="E1153">
        <v>184.41900000000001</v>
      </c>
      <c r="F1153" t="e">
        <f t="shared" si="69"/>
        <v>#N/A</v>
      </c>
      <c r="G1153" t="e">
        <f t="shared" si="71"/>
        <v>#N/A</v>
      </c>
      <c r="H1153" t="e">
        <f t="shared" si="72"/>
        <v>#N/A</v>
      </c>
    </row>
    <row r="1154" spans="1:8" x14ac:dyDescent="0.25">
      <c r="A1154" t="str">
        <f t="shared" si="70"/>
        <v>Direct,STnet,120</v>
      </c>
      <c r="B1154" t="s">
        <v>33</v>
      </c>
      <c r="C1154" t="s">
        <v>5</v>
      </c>
      <c r="D1154">
        <v>120</v>
      </c>
      <c r="E1154">
        <v>244.935</v>
      </c>
      <c r="F1154" t="e">
        <f t="shared" si="69"/>
        <v>#N/A</v>
      </c>
      <c r="G1154" t="e">
        <f t="shared" si="71"/>
        <v>#N/A</v>
      </c>
      <c r="H1154" t="e">
        <f t="shared" si="72"/>
        <v>#N/A</v>
      </c>
    </row>
    <row r="1155" spans="1:8" x14ac:dyDescent="0.25">
      <c r="A1155" t="str">
        <f t="shared" si="70"/>
        <v>Direct,STnet,120</v>
      </c>
      <c r="B1155" t="s">
        <v>33</v>
      </c>
      <c r="C1155" t="s">
        <v>5</v>
      </c>
      <c r="D1155">
        <v>120</v>
      </c>
      <c r="E1155">
        <v>204.40600000000001</v>
      </c>
      <c r="F1155" t="e">
        <f t="shared" ref="F1155:F1218" si="73">_xlfn.XLOOKUP(A1155,$J$3:$J$36,$N$3:$N$36)</f>
        <v>#N/A</v>
      </c>
      <c r="G1155" t="e">
        <f t="shared" si="71"/>
        <v>#N/A</v>
      </c>
      <c r="H1155" t="e">
        <f t="shared" si="72"/>
        <v>#N/A</v>
      </c>
    </row>
    <row r="1156" spans="1:8" x14ac:dyDescent="0.25">
      <c r="A1156" t="str">
        <f t="shared" ref="A1156:A1219" si="74">B1156&amp;","&amp;C1156&amp;","&amp;D1156</f>
        <v>Direct,STnet,120</v>
      </c>
      <c r="B1156" t="s">
        <v>33</v>
      </c>
      <c r="C1156" t="s">
        <v>5</v>
      </c>
      <c r="D1156">
        <v>120</v>
      </c>
      <c r="E1156">
        <v>234.69499999999999</v>
      </c>
      <c r="F1156" t="e">
        <f t="shared" si="73"/>
        <v>#N/A</v>
      </c>
      <c r="G1156" t="e">
        <f t="shared" ref="G1156:G1219" si="75">ABS((E1156-F1156)/F1156)*100</f>
        <v>#N/A</v>
      </c>
      <c r="H1156" t="e">
        <f t="shared" ref="H1156:H1219" si="76">ABS((F1156-E1156)/E1156)*100</f>
        <v>#N/A</v>
      </c>
    </row>
    <row r="1157" spans="1:8" x14ac:dyDescent="0.25">
      <c r="A1157" t="str">
        <f t="shared" si="74"/>
        <v>Direct,STnet,120</v>
      </c>
      <c r="B1157" t="s">
        <v>33</v>
      </c>
      <c r="C1157" t="s">
        <v>5</v>
      </c>
      <c r="D1157">
        <v>120</v>
      </c>
      <c r="E1157">
        <v>217.93799999999999</v>
      </c>
      <c r="F1157" t="e">
        <f t="shared" si="73"/>
        <v>#N/A</v>
      </c>
      <c r="G1157" t="e">
        <f t="shared" si="75"/>
        <v>#N/A</v>
      </c>
      <c r="H1157" t="e">
        <f t="shared" si="76"/>
        <v>#N/A</v>
      </c>
    </row>
    <row r="1158" spans="1:8" x14ac:dyDescent="0.25">
      <c r="A1158" t="str">
        <f t="shared" si="74"/>
        <v>Direct,STnet,120</v>
      </c>
      <c r="B1158" t="s">
        <v>33</v>
      </c>
      <c r="C1158" t="s">
        <v>5</v>
      </c>
      <c r="D1158">
        <v>120</v>
      </c>
      <c r="E1158">
        <v>234.583</v>
      </c>
      <c r="F1158" t="e">
        <f t="shared" si="73"/>
        <v>#N/A</v>
      </c>
      <c r="G1158" t="e">
        <f t="shared" si="75"/>
        <v>#N/A</v>
      </c>
      <c r="H1158" t="e">
        <f t="shared" si="76"/>
        <v>#N/A</v>
      </c>
    </row>
    <row r="1159" spans="1:8" x14ac:dyDescent="0.25">
      <c r="A1159" t="str">
        <f t="shared" si="74"/>
        <v>Direct,STnet,120</v>
      </c>
      <c r="B1159" t="s">
        <v>33</v>
      </c>
      <c r="C1159" t="s">
        <v>5</v>
      </c>
      <c r="D1159">
        <v>120</v>
      </c>
      <c r="E1159">
        <v>217.642</v>
      </c>
      <c r="F1159" t="e">
        <f t="shared" si="73"/>
        <v>#N/A</v>
      </c>
      <c r="G1159" t="e">
        <f t="shared" si="75"/>
        <v>#N/A</v>
      </c>
      <c r="H1159" t="e">
        <f t="shared" si="76"/>
        <v>#N/A</v>
      </c>
    </row>
    <row r="1160" spans="1:8" x14ac:dyDescent="0.25">
      <c r="A1160" t="str">
        <f t="shared" si="74"/>
        <v>Direct,STnet,120</v>
      </c>
      <c r="B1160" t="s">
        <v>33</v>
      </c>
      <c r="C1160" t="s">
        <v>5</v>
      </c>
      <c r="D1160">
        <v>120</v>
      </c>
      <c r="E1160">
        <v>233.94800000000001</v>
      </c>
      <c r="F1160" t="e">
        <f t="shared" si="73"/>
        <v>#N/A</v>
      </c>
      <c r="G1160" t="e">
        <f t="shared" si="75"/>
        <v>#N/A</v>
      </c>
      <c r="H1160" t="e">
        <f t="shared" si="76"/>
        <v>#N/A</v>
      </c>
    </row>
    <row r="1161" spans="1:8" x14ac:dyDescent="0.25">
      <c r="A1161" t="str">
        <f t="shared" si="74"/>
        <v>Direct,STnet,120</v>
      </c>
      <c r="B1161" t="s">
        <v>33</v>
      </c>
      <c r="C1161" t="s">
        <v>5</v>
      </c>
      <c r="D1161">
        <v>120</v>
      </c>
      <c r="E1161">
        <v>208.51300000000001</v>
      </c>
      <c r="F1161" t="e">
        <f t="shared" si="73"/>
        <v>#N/A</v>
      </c>
      <c r="G1161" t="e">
        <f t="shared" si="75"/>
        <v>#N/A</v>
      </c>
      <c r="H1161" t="e">
        <f t="shared" si="76"/>
        <v>#N/A</v>
      </c>
    </row>
    <row r="1162" spans="1:8" x14ac:dyDescent="0.25">
      <c r="A1162" t="str">
        <f t="shared" si="74"/>
        <v>Direct,STnet,120</v>
      </c>
      <c r="B1162" t="s">
        <v>33</v>
      </c>
      <c r="C1162" t="s">
        <v>5</v>
      </c>
      <c r="D1162">
        <v>120</v>
      </c>
      <c r="E1162">
        <v>220.53399999999999</v>
      </c>
      <c r="F1162" t="e">
        <f t="shared" si="73"/>
        <v>#N/A</v>
      </c>
      <c r="G1162" t="e">
        <f t="shared" si="75"/>
        <v>#N/A</v>
      </c>
      <c r="H1162" t="e">
        <f t="shared" si="76"/>
        <v>#N/A</v>
      </c>
    </row>
    <row r="1163" spans="1:8" x14ac:dyDescent="0.25">
      <c r="A1163" t="str">
        <f t="shared" si="74"/>
        <v>Direct,STnet,120</v>
      </c>
      <c r="B1163" t="s">
        <v>33</v>
      </c>
      <c r="C1163" t="s">
        <v>5</v>
      </c>
      <c r="D1163">
        <v>120</v>
      </c>
      <c r="E1163">
        <v>211.977</v>
      </c>
      <c r="F1163" t="e">
        <f t="shared" si="73"/>
        <v>#N/A</v>
      </c>
      <c r="G1163" t="e">
        <f t="shared" si="75"/>
        <v>#N/A</v>
      </c>
      <c r="H1163" t="e">
        <f t="shared" si="76"/>
        <v>#N/A</v>
      </c>
    </row>
    <row r="1164" spans="1:8" x14ac:dyDescent="0.25">
      <c r="A1164" t="str">
        <f t="shared" si="74"/>
        <v>Direct,STnet,120</v>
      </c>
      <c r="B1164" t="s">
        <v>33</v>
      </c>
      <c r="C1164" t="s">
        <v>5</v>
      </c>
      <c r="D1164">
        <v>120</v>
      </c>
      <c r="E1164">
        <v>216.642</v>
      </c>
      <c r="F1164" t="e">
        <f t="shared" si="73"/>
        <v>#N/A</v>
      </c>
      <c r="G1164" t="e">
        <f t="shared" si="75"/>
        <v>#N/A</v>
      </c>
      <c r="H1164" t="e">
        <f t="shared" si="76"/>
        <v>#N/A</v>
      </c>
    </row>
    <row r="1165" spans="1:8" x14ac:dyDescent="0.25">
      <c r="A1165" t="str">
        <f t="shared" si="74"/>
        <v>Direct,STnet,120</v>
      </c>
      <c r="B1165" t="s">
        <v>33</v>
      </c>
      <c r="C1165" t="s">
        <v>5</v>
      </c>
      <c r="D1165">
        <v>120</v>
      </c>
      <c r="E1165">
        <v>204.44</v>
      </c>
      <c r="F1165" t="e">
        <f t="shared" si="73"/>
        <v>#N/A</v>
      </c>
      <c r="G1165" t="e">
        <f t="shared" si="75"/>
        <v>#N/A</v>
      </c>
      <c r="H1165" t="e">
        <f t="shared" si="76"/>
        <v>#N/A</v>
      </c>
    </row>
    <row r="1166" spans="1:8" x14ac:dyDescent="0.25">
      <c r="A1166" t="str">
        <f t="shared" si="74"/>
        <v>Direct,STnet,120</v>
      </c>
      <c r="B1166" t="s">
        <v>33</v>
      </c>
      <c r="C1166" t="s">
        <v>5</v>
      </c>
      <c r="D1166">
        <v>120</v>
      </c>
      <c r="E1166">
        <v>201.57300000000001</v>
      </c>
      <c r="F1166" t="e">
        <f t="shared" si="73"/>
        <v>#N/A</v>
      </c>
      <c r="G1166" t="e">
        <f t="shared" si="75"/>
        <v>#N/A</v>
      </c>
      <c r="H1166" t="e">
        <f t="shared" si="76"/>
        <v>#N/A</v>
      </c>
    </row>
    <row r="1167" spans="1:8" x14ac:dyDescent="0.25">
      <c r="A1167" t="str">
        <f t="shared" si="74"/>
        <v>Direct,STnet,120</v>
      </c>
      <c r="B1167" t="s">
        <v>33</v>
      </c>
      <c r="C1167" t="s">
        <v>5</v>
      </c>
      <c r="D1167">
        <v>120</v>
      </c>
      <c r="E1167">
        <v>208.56100000000001</v>
      </c>
      <c r="F1167" t="e">
        <f t="shared" si="73"/>
        <v>#N/A</v>
      </c>
      <c r="G1167" t="e">
        <f t="shared" si="75"/>
        <v>#N/A</v>
      </c>
      <c r="H1167" t="e">
        <f t="shared" si="76"/>
        <v>#N/A</v>
      </c>
    </row>
    <row r="1168" spans="1:8" x14ac:dyDescent="0.25">
      <c r="A1168" t="str">
        <f t="shared" si="74"/>
        <v>Direct,STnet,120</v>
      </c>
      <c r="B1168" t="s">
        <v>33</v>
      </c>
      <c r="C1168" t="s">
        <v>5</v>
      </c>
      <c r="D1168">
        <v>120</v>
      </c>
      <c r="E1168">
        <v>202.78299999999999</v>
      </c>
      <c r="F1168" t="e">
        <f t="shared" si="73"/>
        <v>#N/A</v>
      </c>
      <c r="G1168" t="e">
        <f t="shared" si="75"/>
        <v>#N/A</v>
      </c>
      <c r="H1168" t="e">
        <f t="shared" si="76"/>
        <v>#N/A</v>
      </c>
    </row>
    <row r="1169" spans="1:8" x14ac:dyDescent="0.25">
      <c r="A1169" t="str">
        <f t="shared" si="74"/>
        <v>Direct,STnet,120</v>
      </c>
      <c r="B1169" t="s">
        <v>33</v>
      </c>
      <c r="C1169" t="s">
        <v>5</v>
      </c>
      <c r="D1169">
        <v>120</v>
      </c>
      <c r="E1169">
        <v>221.10499999999999</v>
      </c>
      <c r="F1169" t="e">
        <f t="shared" si="73"/>
        <v>#N/A</v>
      </c>
      <c r="G1169" t="e">
        <f t="shared" si="75"/>
        <v>#N/A</v>
      </c>
      <c r="H1169" t="e">
        <f t="shared" si="76"/>
        <v>#N/A</v>
      </c>
    </row>
    <row r="1170" spans="1:8" x14ac:dyDescent="0.25">
      <c r="A1170" t="str">
        <f t="shared" si="74"/>
        <v>Direct,STnet,120</v>
      </c>
      <c r="B1170" t="s">
        <v>33</v>
      </c>
      <c r="C1170" t="s">
        <v>5</v>
      </c>
      <c r="D1170">
        <v>120</v>
      </c>
      <c r="E1170">
        <v>207.47499999999999</v>
      </c>
      <c r="F1170" t="e">
        <f t="shared" si="73"/>
        <v>#N/A</v>
      </c>
      <c r="G1170" t="e">
        <f t="shared" si="75"/>
        <v>#N/A</v>
      </c>
      <c r="H1170" t="e">
        <f t="shared" si="76"/>
        <v>#N/A</v>
      </c>
    </row>
    <row r="1171" spans="1:8" x14ac:dyDescent="0.25">
      <c r="A1171" t="str">
        <f t="shared" si="74"/>
        <v>Direct,STnet,120</v>
      </c>
      <c r="B1171" t="s">
        <v>33</v>
      </c>
      <c r="C1171" t="s">
        <v>5</v>
      </c>
      <c r="D1171">
        <v>120</v>
      </c>
      <c r="E1171">
        <v>233.11799999999999</v>
      </c>
      <c r="F1171" t="e">
        <f t="shared" si="73"/>
        <v>#N/A</v>
      </c>
      <c r="G1171" t="e">
        <f t="shared" si="75"/>
        <v>#N/A</v>
      </c>
      <c r="H1171" t="e">
        <f t="shared" si="76"/>
        <v>#N/A</v>
      </c>
    </row>
    <row r="1172" spans="1:8" x14ac:dyDescent="0.25">
      <c r="A1172" t="str">
        <f t="shared" si="74"/>
        <v>Direct,STnet,120</v>
      </c>
      <c r="B1172" t="s">
        <v>33</v>
      </c>
      <c r="C1172" t="s">
        <v>5</v>
      </c>
      <c r="D1172">
        <v>120</v>
      </c>
      <c r="E1172">
        <v>181.84200000000001</v>
      </c>
      <c r="F1172" t="e">
        <f t="shared" si="73"/>
        <v>#N/A</v>
      </c>
      <c r="G1172" t="e">
        <f t="shared" si="75"/>
        <v>#N/A</v>
      </c>
      <c r="H1172" t="e">
        <f t="shared" si="76"/>
        <v>#N/A</v>
      </c>
    </row>
    <row r="1173" spans="1:8" x14ac:dyDescent="0.25">
      <c r="A1173" t="str">
        <f t="shared" si="74"/>
        <v>Direct,STnet,120</v>
      </c>
      <c r="B1173" t="s">
        <v>33</v>
      </c>
      <c r="C1173" t="s">
        <v>5</v>
      </c>
      <c r="D1173">
        <v>120</v>
      </c>
      <c r="E1173">
        <v>218.92599999999999</v>
      </c>
      <c r="F1173" t="e">
        <f t="shared" si="73"/>
        <v>#N/A</v>
      </c>
      <c r="G1173" t="e">
        <f t="shared" si="75"/>
        <v>#N/A</v>
      </c>
      <c r="H1173" t="e">
        <f t="shared" si="76"/>
        <v>#N/A</v>
      </c>
    </row>
    <row r="1174" spans="1:8" x14ac:dyDescent="0.25">
      <c r="A1174" t="str">
        <f t="shared" si="74"/>
        <v>Direct,STnet,120</v>
      </c>
      <c r="B1174" t="s">
        <v>33</v>
      </c>
      <c r="C1174" t="s">
        <v>5</v>
      </c>
      <c r="D1174">
        <v>120</v>
      </c>
      <c r="E1174">
        <v>211.041</v>
      </c>
      <c r="F1174" t="e">
        <f t="shared" si="73"/>
        <v>#N/A</v>
      </c>
      <c r="G1174" t="e">
        <f t="shared" si="75"/>
        <v>#N/A</v>
      </c>
      <c r="H1174" t="e">
        <f t="shared" si="76"/>
        <v>#N/A</v>
      </c>
    </row>
    <row r="1175" spans="1:8" x14ac:dyDescent="0.25">
      <c r="A1175" t="str">
        <f t="shared" si="74"/>
        <v>Direct,STnet,120</v>
      </c>
      <c r="B1175" t="s">
        <v>33</v>
      </c>
      <c r="C1175" t="s">
        <v>5</v>
      </c>
      <c r="D1175">
        <v>120</v>
      </c>
      <c r="E1175">
        <v>195.98099999999999</v>
      </c>
      <c r="F1175" t="e">
        <f t="shared" si="73"/>
        <v>#N/A</v>
      </c>
      <c r="G1175" t="e">
        <f t="shared" si="75"/>
        <v>#N/A</v>
      </c>
      <c r="H1175" t="e">
        <f t="shared" si="76"/>
        <v>#N/A</v>
      </c>
    </row>
    <row r="1176" spans="1:8" x14ac:dyDescent="0.25">
      <c r="A1176" t="str">
        <f t="shared" si="74"/>
        <v>Direct,STnet,120</v>
      </c>
      <c r="B1176" t="s">
        <v>33</v>
      </c>
      <c r="C1176" t="s">
        <v>5</v>
      </c>
      <c r="D1176">
        <v>120</v>
      </c>
      <c r="E1176">
        <v>240.71899999999999</v>
      </c>
      <c r="F1176" t="e">
        <f t="shared" si="73"/>
        <v>#N/A</v>
      </c>
      <c r="G1176" t="e">
        <f t="shared" si="75"/>
        <v>#N/A</v>
      </c>
      <c r="H1176" t="e">
        <f t="shared" si="76"/>
        <v>#N/A</v>
      </c>
    </row>
    <row r="1177" spans="1:8" x14ac:dyDescent="0.25">
      <c r="A1177" t="str">
        <f t="shared" si="74"/>
        <v>Direct,STnet,120</v>
      </c>
      <c r="B1177" t="s">
        <v>33</v>
      </c>
      <c r="C1177" t="s">
        <v>5</v>
      </c>
      <c r="D1177">
        <v>120</v>
      </c>
      <c r="E1177">
        <v>174.666</v>
      </c>
      <c r="F1177" t="e">
        <f t="shared" si="73"/>
        <v>#N/A</v>
      </c>
      <c r="G1177" t="e">
        <f t="shared" si="75"/>
        <v>#N/A</v>
      </c>
      <c r="H1177" t="e">
        <f t="shared" si="76"/>
        <v>#N/A</v>
      </c>
    </row>
    <row r="1178" spans="1:8" x14ac:dyDescent="0.25">
      <c r="A1178" t="str">
        <f t="shared" si="74"/>
        <v>Direct,STnet,120</v>
      </c>
      <c r="B1178" t="s">
        <v>33</v>
      </c>
      <c r="C1178" t="s">
        <v>5</v>
      </c>
      <c r="D1178">
        <v>120</v>
      </c>
      <c r="E1178">
        <v>198.27799999999999</v>
      </c>
      <c r="F1178" t="e">
        <f t="shared" si="73"/>
        <v>#N/A</v>
      </c>
      <c r="G1178" t="e">
        <f t="shared" si="75"/>
        <v>#N/A</v>
      </c>
      <c r="H1178" t="e">
        <f t="shared" si="76"/>
        <v>#N/A</v>
      </c>
    </row>
    <row r="1179" spans="1:8" x14ac:dyDescent="0.25">
      <c r="A1179" t="str">
        <f t="shared" si="74"/>
        <v>Direct,STnet,120</v>
      </c>
      <c r="B1179" t="s">
        <v>33</v>
      </c>
      <c r="C1179" t="s">
        <v>5</v>
      </c>
      <c r="D1179">
        <v>120</v>
      </c>
      <c r="E1179">
        <v>218.316</v>
      </c>
      <c r="F1179" t="e">
        <f t="shared" si="73"/>
        <v>#N/A</v>
      </c>
      <c r="G1179" t="e">
        <f t="shared" si="75"/>
        <v>#N/A</v>
      </c>
      <c r="H1179" t="e">
        <f t="shared" si="76"/>
        <v>#N/A</v>
      </c>
    </row>
    <row r="1180" spans="1:8" x14ac:dyDescent="0.25">
      <c r="A1180" t="str">
        <f t="shared" si="74"/>
        <v>Direct,STnet,120</v>
      </c>
      <c r="B1180" t="s">
        <v>33</v>
      </c>
      <c r="C1180" t="s">
        <v>5</v>
      </c>
      <c r="D1180">
        <v>120</v>
      </c>
      <c r="E1180">
        <v>170.499</v>
      </c>
      <c r="F1180" t="e">
        <f t="shared" si="73"/>
        <v>#N/A</v>
      </c>
      <c r="G1180" t="e">
        <f t="shared" si="75"/>
        <v>#N/A</v>
      </c>
      <c r="H1180" t="e">
        <f t="shared" si="76"/>
        <v>#N/A</v>
      </c>
    </row>
    <row r="1181" spans="1:8" x14ac:dyDescent="0.25">
      <c r="A1181" t="str">
        <f t="shared" si="74"/>
        <v>Direct,STnet,120</v>
      </c>
      <c r="B1181" t="s">
        <v>33</v>
      </c>
      <c r="C1181" t="s">
        <v>5</v>
      </c>
      <c r="D1181">
        <v>120</v>
      </c>
      <c r="E1181">
        <v>222.87799999999999</v>
      </c>
      <c r="F1181" t="e">
        <f t="shared" si="73"/>
        <v>#N/A</v>
      </c>
      <c r="G1181" t="e">
        <f t="shared" si="75"/>
        <v>#N/A</v>
      </c>
      <c r="H1181" t="e">
        <f t="shared" si="76"/>
        <v>#N/A</v>
      </c>
    </row>
    <row r="1182" spans="1:8" x14ac:dyDescent="0.25">
      <c r="A1182" t="str">
        <f t="shared" si="74"/>
        <v>Direct,STnet,120</v>
      </c>
      <c r="B1182" t="s">
        <v>33</v>
      </c>
      <c r="C1182" t="s">
        <v>5</v>
      </c>
      <c r="D1182">
        <v>120</v>
      </c>
      <c r="E1182">
        <v>208.27699999999999</v>
      </c>
      <c r="F1182" t="e">
        <f t="shared" si="73"/>
        <v>#N/A</v>
      </c>
      <c r="G1182" t="e">
        <f t="shared" si="75"/>
        <v>#N/A</v>
      </c>
      <c r="H1182" t="e">
        <f t="shared" si="76"/>
        <v>#N/A</v>
      </c>
    </row>
    <row r="1183" spans="1:8" x14ac:dyDescent="0.25">
      <c r="A1183" t="str">
        <f t="shared" si="74"/>
        <v>Direct,STnet,120</v>
      </c>
      <c r="B1183" t="s">
        <v>33</v>
      </c>
      <c r="C1183" t="s">
        <v>5</v>
      </c>
      <c r="D1183">
        <v>120</v>
      </c>
      <c r="E1183">
        <v>189.16</v>
      </c>
      <c r="F1183" t="e">
        <f t="shared" si="73"/>
        <v>#N/A</v>
      </c>
      <c r="G1183" t="e">
        <f t="shared" si="75"/>
        <v>#N/A</v>
      </c>
      <c r="H1183" t="e">
        <f t="shared" si="76"/>
        <v>#N/A</v>
      </c>
    </row>
    <row r="1184" spans="1:8" x14ac:dyDescent="0.25">
      <c r="A1184" t="str">
        <f t="shared" si="74"/>
        <v>Direct,STnet,120</v>
      </c>
      <c r="B1184" t="s">
        <v>33</v>
      </c>
      <c r="C1184" t="s">
        <v>5</v>
      </c>
      <c r="D1184">
        <v>120</v>
      </c>
      <c r="E1184">
        <v>240.07599999999999</v>
      </c>
      <c r="F1184" t="e">
        <f t="shared" si="73"/>
        <v>#N/A</v>
      </c>
      <c r="G1184" t="e">
        <f t="shared" si="75"/>
        <v>#N/A</v>
      </c>
      <c r="H1184" t="e">
        <f t="shared" si="76"/>
        <v>#N/A</v>
      </c>
    </row>
    <row r="1185" spans="1:8" x14ac:dyDescent="0.25">
      <c r="A1185" t="str">
        <f t="shared" si="74"/>
        <v>Direct,STnet,120</v>
      </c>
      <c r="B1185" t="s">
        <v>33</v>
      </c>
      <c r="C1185" t="s">
        <v>5</v>
      </c>
      <c r="D1185">
        <v>120</v>
      </c>
      <c r="E1185">
        <v>196.22900000000001</v>
      </c>
      <c r="F1185" t="e">
        <f t="shared" si="73"/>
        <v>#N/A</v>
      </c>
      <c r="G1185" t="e">
        <f t="shared" si="75"/>
        <v>#N/A</v>
      </c>
      <c r="H1185" t="e">
        <f t="shared" si="76"/>
        <v>#N/A</v>
      </c>
    </row>
    <row r="1186" spans="1:8" x14ac:dyDescent="0.25">
      <c r="A1186" t="str">
        <f t="shared" si="74"/>
        <v>Direct,STnet,120</v>
      </c>
      <c r="B1186" t="s">
        <v>33</v>
      </c>
      <c r="C1186" t="s">
        <v>5</v>
      </c>
      <c r="D1186">
        <v>120</v>
      </c>
      <c r="E1186">
        <v>219.732</v>
      </c>
      <c r="F1186" t="e">
        <f t="shared" si="73"/>
        <v>#N/A</v>
      </c>
      <c r="G1186" t="e">
        <f t="shared" si="75"/>
        <v>#N/A</v>
      </c>
      <c r="H1186" t="e">
        <f t="shared" si="76"/>
        <v>#N/A</v>
      </c>
    </row>
    <row r="1187" spans="1:8" x14ac:dyDescent="0.25">
      <c r="A1187" t="str">
        <f t="shared" si="74"/>
        <v>Direct,STnet,120</v>
      </c>
      <c r="B1187" t="s">
        <v>33</v>
      </c>
      <c r="C1187" t="s">
        <v>5</v>
      </c>
      <c r="D1187">
        <v>120</v>
      </c>
      <c r="E1187">
        <v>258.34199999999998</v>
      </c>
      <c r="F1187" t="e">
        <f t="shared" si="73"/>
        <v>#N/A</v>
      </c>
      <c r="G1187" t="e">
        <f t="shared" si="75"/>
        <v>#N/A</v>
      </c>
      <c r="H1187" t="e">
        <f t="shared" si="76"/>
        <v>#N/A</v>
      </c>
    </row>
    <row r="1188" spans="1:8" x14ac:dyDescent="0.25">
      <c r="A1188" t="str">
        <f t="shared" si="74"/>
        <v>Direct,STnet,120</v>
      </c>
      <c r="B1188" t="s">
        <v>33</v>
      </c>
      <c r="C1188" t="s">
        <v>5</v>
      </c>
      <c r="D1188">
        <v>120</v>
      </c>
      <c r="E1188">
        <v>208.26900000000001</v>
      </c>
      <c r="F1188" t="e">
        <f t="shared" si="73"/>
        <v>#N/A</v>
      </c>
      <c r="G1188" t="e">
        <f t="shared" si="75"/>
        <v>#N/A</v>
      </c>
      <c r="H1188" t="e">
        <f t="shared" si="76"/>
        <v>#N/A</v>
      </c>
    </row>
    <row r="1189" spans="1:8" x14ac:dyDescent="0.25">
      <c r="A1189" t="str">
        <f t="shared" si="74"/>
        <v>Direct,STnet,120</v>
      </c>
      <c r="B1189" t="s">
        <v>33</v>
      </c>
      <c r="C1189" t="s">
        <v>5</v>
      </c>
      <c r="D1189">
        <v>120</v>
      </c>
      <c r="E1189">
        <v>203.13200000000001</v>
      </c>
      <c r="F1189" t="e">
        <f t="shared" si="73"/>
        <v>#N/A</v>
      </c>
      <c r="G1189" t="e">
        <f t="shared" si="75"/>
        <v>#N/A</v>
      </c>
      <c r="H1189" t="e">
        <f t="shared" si="76"/>
        <v>#N/A</v>
      </c>
    </row>
    <row r="1190" spans="1:8" x14ac:dyDescent="0.25">
      <c r="A1190" t="str">
        <f t="shared" si="74"/>
        <v>Direct,STnet,120</v>
      </c>
      <c r="B1190" t="s">
        <v>33</v>
      </c>
      <c r="C1190" t="s">
        <v>5</v>
      </c>
      <c r="D1190">
        <v>120</v>
      </c>
      <c r="E1190">
        <v>202.929</v>
      </c>
      <c r="F1190" t="e">
        <f t="shared" si="73"/>
        <v>#N/A</v>
      </c>
      <c r="G1190" t="e">
        <f t="shared" si="75"/>
        <v>#N/A</v>
      </c>
      <c r="H1190" t="e">
        <f t="shared" si="76"/>
        <v>#N/A</v>
      </c>
    </row>
    <row r="1191" spans="1:8" x14ac:dyDescent="0.25">
      <c r="A1191" t="str">
        <f t="shared" si="74"/>
        <v>Direct,STnet,120</v>
      </c>
      <c r="B1191" t="s">
        <v>33</v>
      </c>
      <c r="C1191" t="s">
        <v>5</v>
      </c>
      <c r="D1191">
        <v>120</v>
      </c>
      <c r="E1191">
        <v>213.20099999999999</v>
      </c>
      <c r="F1191" t="e">
        <f t="shared" si="73"/>
        <v>#N/A</v>
      </c>
      <c r="G1191" t="e">
        <f t="shared" si="75"/>
        <v>#N/A</v>
      </c>
      <c r="H1191" t="e">
        <f t="shared" si="76"/>
        <v>#N/A</v>
      </c>
    </row>
    <row r="1192" spans="1:8" x14ac:dyDescent="0.25">
      <c r="A1192" t="str">
        <f t="shared" si="74"/>
        <v>Direct,STnet,120</v>
      </c>
      <c r="B1192" t="s">
        <v>33</v>
      </c>
      <c r="C1192" t="s">
        <v>5</v>
      </c>
      <c r="D1192">
        <v>120</v>
      </c>
      <c r="E1192">
        <v>210.72</v>
      </c>
      <c r="F1192" t="e">
        <f t="shared" si="73"/>
        <v>#N/A</v>
      </c>
      <c r="G1192" t="e">
        <f t="shared" si="75"/>
        <v>#N/A</v>
      </c>
      <c r="H1192" t="e">
        <f t="shared" si="76"/>
        <v>#N/A</v>
      </c>
    </row>
    <row r="1193" spans="1:8" x14ac:dyDescent="0.25">
      <c r="A1193" t="str">
        <f t="shared" si="74"/>
        <v>Direct,STnet,120</v>
      </c>
      <c r="B1193" t="s">
        <v>33</v>
      </c>
      <c r="C1193" t="s">
        <v>5</v>
      </c>
      <c r="D1193">
        <v>120</v>
      </c>
      <c r="E1193">
        <v>199.92599999999999</v>
      </c>
      <c r="F1193" t="e">
        <f t="shared" si="73"/>
        <v>#N/A</v>
      </c>
      <c r="G1193" t="e">
        <f t="shared" si="75"/>
        <v>#N/A</v>
      </c>
      <c r="H1193" t="e">
        <f t="shared" si="76"/>
        <v>#N/A</v>
      </c>
    </row>
    <row r="1194" spans="1:8" x14ac:dyDescent="0.25">
      <c r="A1194" t="str">
        <f t="shared" si="74"/>
        <v>Direct,STnet,120</v>
      </c>
      <c r="B1194" t="s">
        <v>33</v>
      </c>
      <c r="C1194" t="s">
        <v>5</v>
      </c>
      <c r="D1194">
        <v>120</v>
      </c>
      <c r="E1194">
        <v>206.90899999999999</v>
      </c>
      <c r="F1194" t="e">
        <f t="shared" si="73"/>
        <v>#N/A</v>
      </c>
      <c r="G1194" t="e">
        <f t="shared" si="75"/>
        <v>#N/A</v>
      </c>
      <c r="H1194" t="e">
        <f t="shared" si="76"/>
        <v>#N/A</v>
      </c>
    </row>
    <row r="1195" spans="1:8" x14ac:dyDescent="0.25">
      <c r="A1195" t="str">
        <f t="shared" si="74"/>
        <v>Direct,STnet,120</v>
      </c>
      <c r="B1195" t="s">
        <v>33</v>
      </c>
      <c r="C1195" t="s">
        <v>5</v>
      </c>
      <c r="D1195">
        <v>120</v>
      </c>
      <c r="E1195">
        <v>200.32900000000001</v>
      </c>
      <c r="F1195" t="e">
        <f t="shared" si="73"/>
        <v>#N/A</v>
      </c>
      <c r="G1195" t="e">
        <f t="shared" si="75"/>
        <v>#N/A</v>
      </c>
      <c r="H1195" t="e">
        <f t="shared" si="76"/>
        <v>#N/A</v>
      </c>
    </row>
    <row r="1196" spans="1:8" x14ac:dyDescent="0.25">
      <c r="A1196" t="str">
        <f t="shared" si="74"/>
        <v>Direct,STnet,120</v>
      </c>
      <c r="B1196" t="s">
        <v>33</v>
      </c>
      <c r="C1196" t="s">
        <v>5</v>
      </c>
      <c r="D1196">
        <v>120</v>
      </c>
      <c r="E1196">
        <v>184.98099999999999</v>
      </c>
      <c r="F1196" t="e">
        <f t="shared" si="73"/>
        <v>#N/A</v>
      </c>
      <c r="G1196" t="e">
        <f t="shared" si="75"/>
        <v>#N/A</v>
      </c>
      <c r="H1196" t="e">
        <f t="shared" si="76"/>
        <v>#N/A</v>
      </c>
    </row>
    <row r="1197" spans="1:8" x14ac:dyDescent="0.25">
      <c r="A1197" t="str">
        <f t="shared" si="74"/>
        <v>Direct,STnet,120</v>
      </c>
      <c r="B1197" t="s">
        <v>33</v>
      </c>
      <c r="C1197" t="s">
        <v>5</v>
      </c>
      <c r="D1197">
        <v>120</v>
      </c>
      <c r="E1197">
        <v>243.00399999999999</v>
      </c>
      <c r="F1197" t="e">
        <f t="shared" si="73"/>
        <v>#N/A</v>
      </c>
      <c r="G1197" t="e">
        <f t="shared" si="75"/>
        <v>#N/A</v>
      </c>
      <c r="H1197" t="e">
        <f t="shared" si="76"/>
        <v>#N/A</v>
      </c>
    </row>
    <row r="1198" spans="1:8" x14ac:dyDescent="0.25">
      <c r="A1198" t="str">
        <f t="shared" si="74"/>
        <v>Direct,STnet,120</v>
      </c>
      <c r="B1198" t="s">
        <v>33</v>
      </c>
      <c r="C1198" t="s">
        <v>5</v>
      </c>
      <c r="D1198">
        <v>120</v>
      </c>
      <c r="E1198">
        <v>225.715</v>
      </c>
      <c r="F1198" t="e">
        <f t="shared" si="73"/>
        <v>#N/A</v>
      </c>
      <c r="G1198" t="e">
        <f t="shared" si="75"/>
        <v>#N/A</v>
      </c>
      <c r="H1198" t="e">
        <f t="shared" si="76"/>
        <v>#N/A</v>
      </c>
    </row>
    <row r="1199" spans="1:8" x14ac:dyDescent="0.25">
      <c r="A1199" t="str">
        <f t="shared" si="74"/>
        <v>Direct,STnet,120</v>
      </c>
      <c r="B1199" t="s">
        <v>33</v>
      </c>
      <c r="C1199" t="s">
        <v>5</v>
      </c>
      <c r="D1199">
        <v>120</v>
      </c>
      <c r="E1199">
        <v>215.56100000000001</v>
      </c>
      <c r="F1199" t="e">
        <f t="shared" si="73"/>
        <v>#N/A</v>
      </c>
      <c r="G1199" t="e">
        <f t="shared" si="75"/>
        <v>#N/A</v>
      </c>
      <c r="H1199" t="e">
        <f t="shared" si="76"/>
        <v>#N/A</v>
      </c>
    </row>
    <row r="1200" spans="1:8" x14ac:dyDescent="0.25">
      <c r="A1200" t="str">
        <f t="shared" si="74"/>
        <v>Direct,STnet,120</v>
      </c>
      <c r="B1200" t="s">
        <v>33</v>
      </c>
      <c r="C1200" t="s">
        <v>5</v>
      </c>
      <c r="D1200">
        <v>120</v>
      </c>
      <c r="E1200">
        <v>206.22200000000001</v>
      </c>
      <c r="F1200" t="e">
        <f t="shared" si="73"/>
        <v>#N/A</v>
      </c>
      <c r="G1200" t="e">
        <f t="shared" si="75"/>
        <v>#N/A</v>
      </c>
      <c r="H1200" t="e">
        <f t="shared" si="76"/>
        <v>#N/A</v>
      </c>
    </row>
    <row r="1201" spans="1:8" x14ac:dyDescent="0.25">
      <c r="A1201" t="str">
        <f t="shared" si="74"/>
        <v>Direct,STnet,120</v>
      </c>
      <c r="B1201" t="s">
        <v>33</v>
      </c>
      <c r="C1201" t="s">
        <v>5</v>
      </c>
      <c r="D1201">
        <v>120</v>
      </c>
      <c r="E1201">
        <v>195.34200000000001</v>
      </c>
      <c r="F1201" t="e">
        <f t="shared" si="73"/>
        <v>#N/A</v>
      </c>
      <c r="G1201" t="e">
        <f t="shared" si="75"/>
        <v>#N/A</v>
      </c>
      <c r="H1201" t="e">
        <f t="shared" si="76"/>
        <v>#N/A</v>
      </c>
    </row>
    <row r="1202" spans="1:8" x14ac:dyDescent="0.25">
      <c r="A1202" t="str">
        <f t="shared" si="74"/>
        <v>Direct,STnet,120</v>
      </c>
      <c r="B1202" t="s">
        <v>33</v>
      </c>
      <c r="C1202" t="s">
        <v>5</v>
      </c>
      <c r="D1202">
        <v>120</v>
      </c>
      <c r="E1202">
        <v>240.72900000000001</v>
      </c>
      <c r="F1202" t="e">
        <f t="shared" si="73"/>
        <v>#N/A</v>
      </c>
      <c r="G1202" t="e">
        <f t="shared" si="75"/>
        <v>#N/A</v>
      </c>
      <c r="H1202" t="e">
        <f t="shared" si="76"/>
        <v>#N/A</v>
      </c>
    </row>
    <row r="1203" spans="1:8" x14ac:dyDescent="0.25">
      <c r="A1203" t="str">
        <f t="shared" si="74"/>
        <v>Direct,USnet,20</v>
      </c>
      <c r="B1203" t="s">
        <v>33</v>
      </c>
      <c r="C1203" t="s">
        <v>7</v>
      </c>
      <c r="D1203">
        <v>20</v>
      </c>
      <c r="E1203">
        <v>971.82799999999997</v>
      </c>
      <c r="F1203">
        <f t="shared" si="73"/>
        <v>920</v>
      </c>
      <c r="G1203">
        <f t="shared" si="75"/>
        <v>5.6334782608695626</v>
      </c>
      <c r="H1203">
        <f t="shared" si="76"/>
        <v>5.3330424725362899</v>
      </c>
    </row>
    <row r="1204" spans="1:8" x14ac:dyDescent="0.25">
      <c r="A1204" t="str">
        <f t="shared" si="74"/>
        <v>Direct,USnet,20</v>
      </c>
      <c r="B1204" t="s">
        <v>33</v>
      </c>
      <c r="C1204" t="s">
        <v>7</v>
      </c>
      <c r="D1204">
        <v>20</v>
      </c>
      <c r="E1204">
        <v>969.82799999999997</v>
      </c>
      <c r="F1204">
        <f t="shared" si="73"/>
        <v>920</v>
      </c>
      <c r="G1204">
        <f t="shared" si="75"/>
        <v>5.4160869565217364</v>
      </c>
      <c r="H1204">
        <f t="shared" si="76"/>
        <v>5.1378182523086542</v>
      </c>
    </row>
    <row r="1205" spans="1:8" x14ac:dyDescent="0.25">
      <c r="A1205" t="str">
        <f t="shared" si="74"/>
        <v>Direct,USnet,20</v>
      </c>
      <c r="B1205" t="s">
        <v>33</v>
      </c>
      <c r="C1205" t="s">
        <v>7</v>
      </c>
      <c r="D1205">
        <v>20</v>
      </c>
      <c r="E1205">
        <v>975.82799999999997</v>
      </c>
      <c r="F1205">
        <f t="shared" si="73"/>
        <v>920</v>
      </c>
      <c r="G1205">
        <f t="shared" si="75"/>
        <v>6.0682608695652149</v>
      </c>
      <c r="H1205">
        <f t="shared" si="76"/>
        <v>5.72109019212402</v>
      </c>
    </row>
    <row r="1206" spans="1:8" x14ac:dyDescent="0.25">
      <c r="A1206" t="str">
        <f t="shared" si="74"/>
        <v>Direct,USnet,20</v>
      </c>
      <c r="B1206" t="s">
        <v>33</v>
      </c>
      <c r="C1206" t="s">
        <v>7</v>
      </c>
      <c r="D1206">
        <v>20</v>
      </c>
      <c r="E1206">
        <v>972.82799999999997</v>
      </c>
      <c r="F1206">
        <f t="shared" si="73"/>
        <v>920</v>
      </c>
      <c r="G1206">
        <f t="shared" si="75"/>
        <v>5.7421739130434757</v>
      </c>
      <c r="H1206">
        <f t="shared" si="76"/>
        <v>5.4303535671259437</v>
      </c>
    </row>
    <row r="1207" spans="1:8" x14ac:dyDescent="0.25">
      <c r="A1207" t="str">
        <f t="shared" si="74"/>
        <v>Direct,USnet,20</v>
      </c>
      <c r="B1207" t="s">
        <v>33</v>
      </c>
      <c r="C1207" t="s">
        <v>7</v>
      </c>
      <c r="D1207">
        <v>20</v>
      </c>
      <c r="E1207">
        <v>968.82799999999997</v>
      </c>
      <c r="F1207">
        <f t="shared" si="73"/>
        <v>920</v>
      </c>
      <c r="G1207">
        <f t="shared" si="75"/>
        <v>5.3073913043478234</v>
      </c>
      <c r="H1207">
        <f t="shared" si="76"/>
        <v>5.0399038838679289</v>
      </c>
    </row>
    <row r="1208" spans="1:8" x14ac:dyDescent="0.25">
      <c r="A1208" t="str">
        <f t="shared" si="74"/>
        <v>Direct,USnet,20</v>
      </c>
      <c r="B1208" t="s">
        <v>33</v>
      </c>
      <c r="C1208" t="s">
        <v>7</v>
      </c>
      <c r="D1208">
        <v>20</v>
      </c>
      <c r="E1208">
        <v>967.82799999999997</v>
      </c>
      <c r="F1208">
        <f t="shared" si="73"/>
        <v>920</v>
      </c>
      <c r="G1208">
        <f t="shared" si="75"/>
        <v>5.1986956521739103</v>
      </c>
      <c r="H1208">
        <f t="shared" si="76"/>
        <v>4.9417871770603838</v>
      </c>
    </row>
    <row r="1209" spans="1:8" x14ac:dyDescent="0.25">
      <c r="A1209" t="str">
        <f t="shared" si="74"/>
        <v>Direct,USnet,20</v>
      </c>
      <c r="B1209" t="s">
        <v>33</v>
      </c>
      <c r="C1209" t="s">
        <v>7</v>
      </c>
      <c r="D1209">
        <v>20</v>
      </c>
      <c r="E1209">
        <v>970.82799999999997</v>
      </c>
      <c r="F1209">
        <f t="shared" si="73"/>
        <v>920</v>
      </c>
      <c r="G1209">
        <f t="shared" si="75"/>
        <v>5.5247826086956495</v>
      </c>
      <c r="H1209">
        <f t="shared" si="76"/>
        <v>5.2355309076376022</v>
      </c>
    </row>
    <row r="1210" spans="1:8" x14ac:dyDescent="0.25">
      <c r="A1210" t="str">
        <f t="shared" si="74"/>
        <v>Direct,USnet,20</v>
      </c>
      <c r="B1210" t="s">
        <v>33</v>
      </c>
      <c r="C1210" t="s">
        <v>7</v>
      </c>
      <c r="D1210">
        <v>20</v>
      </c>
      <c r="E1210">
        <v>969.82799999999997</v>
      </c>
      <c r="F1210">
        <f t="shared" si="73"/>
        <v>920</v>
      </c>
      <c r="G1210">
        <f t="shared" si="75"/>
        <v>5.4160869565217364</v>
      </c>
      <c r="H1210">
        <f t="shared" si="76"/>
        <v>5.1378182523086542</v>
      </c>
    </row>
    <row r="1211" spans="1:8" x14ac:dyDescent="0.25">
      <c r="A1211" t="str">
        <f t="shared" si="74"/>
        <v>Direct,USnet,20</v>
      </c>
      <c r="B1211" t="s">
        <v>33</v>
      </c>
      <c r="C1211" t="s">
        <v>7</v>
      </c>
      <c r="D1211">
        <v>20</v>
      </c>
      <c r="E1211">
        <v>966.82799999999997</v>
      </c>
      <c r="F1211">
        <f t="shared" si="73"/>
        <v>920</v>
      </c>
      <c r="G1211">
        <f t="shared" si="75"/>
        <v>5.0899999999999972</v>
      </c>
      <c r="H1211">
        <f t="shared" si="76"/>
        <v>4.8434675040441499</v>
      </c>
    </row>
    <row r="1212" spans="1:8" x14ac:dyDescent="0.25">
      <c r="A1212" t="str">
        <f t="shared" si="74"/>
        <v>Direct,USnet,20</v>
      </c>
      <c r="B1212" t="s">
        <v>33</v>
      </c>
      <c r="C1212" t="s">
        <v>7</v>
      </c>
      <c r="D1212">
        <v>20</v>
      </c>
      <c r="E1212">
        <v>970.82799999999997</v>
      </c>
      <c r="F1212">
        <f t="shared" si="73"/>
        <v>920</v>
      </c>
      <c r="G1212">
        <f t="shared" si="75"/>
        <v>5.5247826086956495</v>
      </c>
      <c r="H1212">
        <f t="shared" si="76"/>
        <v>5.2355309076376022</v>
      </c>
    </row>
    <row r="1213" spans="1:8" x14ac:dyDescent="0.25">
      <c r="A1213" t="str">
        <f t="shared" si="74"/>
        <v>Direct,USnet,20</v>
      </c>
      <c r="B1213" t="s">
        <v>33</v>
      </c>
      <c r="C1213" t="s">
        <v>7</v>
      </c>
      <c r="D1213">
        <v>20</v>
      </c>
      <c r="E1213">
        <v>965.82799999999997</v>
      </c>
      <c r="F1213">
        <f t="shared" si="73"/>
        <v>920</v>
      </c>
      <c r="G1213">
        <f t="shared" si="75"/>
        <v>4.9813043478260841</v>
      </c>
      <c r="H1213">
        <f t="shared" si="76"/>
        <v>4.7449442343771331</v>
      </c>
    </row>
    <row r="1214" spans="1:8" x14ac:dyDescent="0.25">
      <c r="A1214" t="str">
        <f t="shared" si="74"/>
        <v>Direct,USnet,20</v>
      </c>
      <c r="B1214" t="s">
        <v>33</v>
      </c>
      <c r="C1214" t="s">
        <v>7</v>
      </c>
      <c r="D1214">
        <v>20</v>
      </c>
      <c r="E1214">
        <v>968.82799999999997</v>
      </c>
      <c r="F1214">
        <f t="shared" si="73"/>
        <v>920</v>
      </c>
      <c r="G1214">
        <f t="shared" si="75"/>
        <v>5.3073913043478234</v>
      </c>
      <c r="H1214">
        <f t="shared" si="76"/>
        <v>5.0399038838679289</v>
      </c>
    </row>
    <row r="1215" spans="1:8" x14ac:dyDescent="0.25">
      <c r="A1215" t="str">
        <f t="shared" si="74"/>
        <v>Direct,USnet,20</v>
      </c>
      <c r="B1215" t="s">
        <v>33</v>
      </c>
      <c r="C1215" t="s">
        <v>7</v>
      </c>
      <c r="D1215">
        <v>20</v>
      </c>
      <c r="E1215">
        <v>971.82799999999997</v>
      </c>
      <c r="F1215">
        <f t="shared" si="73"/>
        <v>920</v>
      </c>
      <c r="G1215">
        <f t="shared" si="75"/>
        <v>5.6334782608695626</v>
      </c>
      <c r="H1215">
        <f t="shared" si="76"/>
        <v>5.3330424725362899</v>
      </c>
    </row>
    <row r="1216" spans="1:8" x14ac:dyDescent="0.25">
      <c r="A1216" t="str">
        <f t="shared" si="74"/>
        <v>Direct,USnet,20</v>
      </c>
      <c r="B1216" t="s">
        <v>33</v>
      </c>
      <c r="C1216" t="s">
        <v>7</v>
      </c>
      <c r="D1216">
        <v>20</v>
      </c>
      <c r="E1216">
        <v>969.82799999999997</v>
      </c>
      <c r="F1216">
        <f t="shared" si="73"/>
        <v>920</v>
      </c>
      <c r="G1216">
        <f t="shared" si="75"/>
        <v>5.4160869565217364</v>
      </c>
      <c r="H1216">
        <f t="shared" si="76"/>
        <v>5.1378182523086542</v>
      </c>
    </row>
    <row r="1217" spans="1:8" x14ac:dyDescent="0.25">
      <c r="A1217" t="str">
        <f t="shared" si="74"/>
        <v>Direct,USnet,20</v>
      </c>
      <c r="B1217" t="s">
        <v>33</v>
      </c>
      <c r="C1217" t="s">
        <v>7</v>
      </c>
      <c r="D1217">
        <v>20</v>
      </c>
      <c r="E1217">
        <v>965.82799999999997</v>
      </c>
      <c r="F1217">
        <f t="shared" si="73"/>
        <v>920</v>
      </c>
      <c r="G1217">
        <f t="shared" si="75"/>
        <v>4.9813043478260841</v>
      </c>
      <c r="H1217">
        <f t="shared" si="76"/>
        <v>4.7449442343771331</v>
      </c>
    </row>
    <row r="1218" spans="1:8" x14ac:dyDescent="0.25">
      <c r="A1218" t="str">
        <f t="shared" si="74"/>
        <v>Direct,USnet,20</v>
      </c>
      <c r="B1218" t="s">
        <v>33</v>
      </c>
      <c r="C1218" t="s">
        <v>7</v>
      </c>
      <c r="D1218">
        <v>20</v>
      </c>
      <c r="E1218">
        <v>964.82799999999997</v>
      </c>
      <c r="F1218">
        <f t="shared" si="73"/>
        <v>920</v>
      </c>
      <c r="G1218">
        <f t="shared" si="75"/>
        <v>4.872608695652171</v>
      </c>
      <c r="H1218">
        <f t="shared" si="76"/>
        <v>4.6462167350035424</v>
      </c>
    </row>
    <row r="1219" spans="1:8" x14ac:dyDescent="0.25">
      <c r="A1219" t="str">
        <f t="shared" si="74"/>
        <v>Direct,USnet,20</v>
      </c>
      <c r="B1219" t="s">
        <v>33</v>
      </c>
      <c r="C1219" t="s">
        <v>7</v>
      </c>
      <c r="D1219">
        <v>20</v>
      </c>
      <c r="E1219">
        <v>967.82799999999997</v>
      </c>
      <c r="F1219">
        <f t="shared" ref="F1219:F1282" si="77">_xlfn.XLOOKUP(A1219,$J$3:$J$36,$N$3:$N$36)</f>
        <v>920</v>
      </c>
      <c r="G1219">
        <f t="shared" si="75"/>
        <v>5.1986956521739103</v>
      </c>
      <c r="H1219">
        <f t="shared" si="76"/>
        <v>4.9417871770603838</v>
      </c>
    </row>
    <row r="1220" spans="1:8" x14ac:dyDescent="0.25">
      <c r="A1220" t="str">
        <f t="shared" ref="A1220:A1283" si="78">B1220&amp;","&amp;C1220&amp;","&amp;D1220</f>
        <v>Direct,USnet,20</v>
      </c>
      <c r="B1220" t="s">
        <v>33</v>
      </c>
      <c r="C1220" t="s">
        <v>7</v>
      </c>
      <c r="D1220">
        <v>20</v>
      </c>
      <c r="E1220">
        <v>967.82799999999997</v>
      </c>
      <c r="F1220">
        <f t="shared" si="77"/>
        <v>920</v>
      </c>
      <c r="G1220">
        <f t="shared" ref="G1220:G1283" si="79">ABS((E1220-F1220)/F1220)*100</f>
        <v>5.1986956521739103</v>
      </c>
      <c r="H1220">
        <f t="shared" ref="H1220:H1283" si="80">ABS((F1220-E1220)/E1220)*100</f>
        <v>4.9417871770603838</v>
      </c>
    </row>
    <row r="1221" spans="1:8" x14ac:dyDescent="0.25">
      <c r="A1221" t="str">
        <f t="shared" si="78"/>
        <v>Direct,USnet,20</v>
      </c>
      <c r="B1221" t="s">
        <v>33</v>
      </c>
      <c r="C1221" t="s">
        <v>7</v>
      </c>
      <c r="D1221">
        <v>20</v>
      </c>
      <c r="E1221">
        <v>966.82799999999997</v>
      </c>
      <c r="F1221">
        <f t="shared" si="77"/>
        <v>920</v>
      </c>
      <c r="G1221">
        <f t="shared" si="79"/>
        <v>5.0899999999999972</v>
      </c>
      <c r="H1221">
        <f t="shared" si="80"/>
        <v>4.8434675040441499</v>
      </c>
    </row>
    <row r="1222" spans="1:8" x14ac:dyDescent="0.25">
      <c r="A1222" t="str">
        <f t="shared" si="78"/>
        <v>Direct,USnet,20</v>
      </c>
      <c r="B1222" t="s">
        <v>33</v>
      </c>
      <c r="C1222" t="s">
        <v>7</v>
      </c>
      <c r="D1222">
        <v>20</v>
      </c>
      <c r="E1222">
        <v>963.82799999999997</v>
      </c>
      <c r="F1222">
        <f t="shared" si="77"/>
        <v>920</v>
      </c>
      <c r="G1222">
        <f t="shared" si="79"/>
        <v>4.7639130434782579</v>
      </c>
      <c r="H1222">
        <f t="shared" si="80"/>
        <v>4.5472843702403312</v>
      </c>
    </row>
    <row r="1223" spans="1:8" x14ac:dyDescent="0.25">
      <c r="A1223" t="str">
        <f t="shared" si="78"/>
        <v>Direct,USnet,20</v>
      </c>
      <c r="B1223" t="s">
        <v>33</v>
      </c>
      <c r="C1223" t="s">
        <v>7</v>
      </c>
      <c r="D1223">
        <v>20</v>
      </c>
      <c r="E1223">
        <v>965.82799999999997</v>
      </c>
      <c r="F1223">
        <f t="shared" si="77"/>
        <v>920</v>
      </c>
      <c r="G1223">
        <f t="shared" si="79"/>
        <v>4.9813043478260841</v>
      </c>
      <c r="H1223">
        <f t="shared" si="80"/>
        <v>4.7449442343771331</v>
      </c>
    </row>
    <row r="1224" spans="1:8" x14ac:dyDescent="0.25">
      <c r="A1224" t="str">
        <f t="shared" si="78"/>
        <v>Direct,USnet,20</v>
      </c>
      <c r="B1224" t="s">
        <v>33</v>
      </c>
      <c r="C1224" t="s">
        <v>7</v>
      </c>
      <c r="D1224">
        <v>20</v>
      </c>
      <c r="E1224">
        <v>964.82799999999997</v>
      </c>
      <c r="F1224">
        <f t="shared" si="77"/>
        <v>920</v>
      </c>
      <c r="G1224">
        <f t="shared" si="79"/>
        <v>4.872608695652171</v>
      </c>
      <c r="H1224">
        <f t="shared" si="80"/>
        <v>4.6462167350035424</v>
      </c>
    </row>
    <row r="1225" spans="1:8" x14ac:dyDescent="0.25">
      <c r="A1225" t="str">
        <f t="shared" si="78"/>
        <v>Direct,USnet,20</v>
      </c>
      <c r="B1225" t="s">
        <v>33</v>
      </c>
      <c r="C1225" t="s">
        <v>7</v>
      </c>
      <c r="D1225">
        <v>20</v>
      </c>
      <c r="E1225">
        <v>968.82799999999997</v>
      </c>
      <c r="F1225">
        <f t="shared" si="77"/>
        <v>920</v>
      </c>
      <c r="G1225">
        <f t="shared" si="79"/>
        <v>5.3073913043478234</v>
      </c>
      <c r="H1225">
        <f t="shared" si="80"/>
        <v>5.0399038838679289</v>
      </c>
    </row>
    <row r="1226" spans="1:8" x14ac:dyDescent="0.25">
      <c r="A1226" t="str">
        <f t="shared" si="78"/>
        <v>Direct,USnet,20</v>
      </c>
      <c r="B1226" t="s">
        <v>33</v>
      </c>
      <c r="C1226" t="s">
        <v>7</v>
      </c>
      <c r="D1226">
        <v>20</v>
      </c>
      <c r="E1226">
        <v>963.82799999999997</v>
      </c>
      <c r="F1226">
        <f t="shared" si="77"/>
        <v>920</v>
      </c>
      <c r="G1226">
        <f t="shared" si="79"/>
        <v>4.7639130434782579</v>
      </c>
      <c r="H1226">
        <f t="shared" si="80"/>
        <v>4.5472843702403312</v>
      </c>
    </row>
    <row r="1227" spans="1:8" x14ac:dyDescent="0.25">
      <c r="A1227" t="str">
        <f t="shared" si="78"/>
        <v>Direct,USnet,20</v>
      </c>
      <c r="B1227" t="s">
        <v>33</v>
      </c>
      <c r="C1227" t="s">
        <v>7</v>
      </c>
      <c r="D1227">
        <v>20</v>
      </c>
      <c r="E1227">
        <v>971.82799999999997</v>
      </c>
      <c r="F1227">
        <f t="shared" si="77"/>
        <v>920</v>
      </c>
      <c r="G1227">
        <f t="shared" si="79"/>
        <v>5.6334782608695626</v>
      </c>
      <c r="H1227">
        <f t="shared" si="80"/>
        <v>5.3330424725362899</v>
      </c>
    </row>
    <row r="1228" spans="1:8" x14ac:dyDescent="0.25">
      <c r="A1228" t="str">
        <f t="shared" si="78"/>
        <v>Direct,USnet,20</v>
      </c>
      <c r="B1228" t="s">
        <v>33</v>
      </c>
      <c r="C1228" t="s">
        <v>7</v>
      </c>
      <c r="D1228">
        <v>20</v>
      </c>
      <c r="E1228">
        <v>973.82799999999997</v>
      </c>
      <c r="F1228">
        <f t="shared" si="77"/>
        <v>920</v>
      </c>
      <c r="G1228">
        <f t="shared" si="79"/>
        <v>5.8508695652173888</v>
      </c>
      <c r="H1228">
        <f t="shared" si="80"/>
        <v>5.5274648089806391</v>
      </c>
    </row>
    <row r="1229" spans="1:8" x14ac:dyDescent="0.25">
      <c r="A1229" t="str">
        <f t="shared" si="78"/>
        <v>Direct,USnet,20</v>
      </c>
      <c r="B1229" t="s">
        <v>33</v>
      </c>
      <c r="C1229" t="s">
        <v>7</v>
      </c>
      <c r="D1229">
        <v>20</v>
      </c>
      <c r="E1229">
        <v>969.82799999999997</v>
      </c>
      <c r="F1229">
        <f t="shared" si="77"/>
        <v>920</v>
      </c>
      <c r="G1229">
        <f t="shared" si="79"/>
        <v>5.4160869565217364</v>
      </c>
      <c r="H1229">
        <f t="shared" si="80"/>
        <v>5.1378182523086542</v>
      </c>
    </row>
    <row r="1230" spans="1:8" x14ac:dyDescent="0.25">
      <c r="A1230" t="str">
        <f t="shared" si="78"/>
        <v>Direct,USnet,20</v>
      </c>
      <c r="B1230" t="s">
        <v>33</v>
      </c>
      <c r="C1230" t="s">
        <v>7</v>
      </c>
      <c r="D1230">
        <v>20</v>
      </c>
      <c r="E1230">
        <v>967.82799999999997</v>
      </c>
      <c r="F1230">
        <f t="shared" si="77"/>
        <v>920</v>
      </c>
      <c r="G1230">
        <f t="shared" si="79"/>
        <v>5.1986956521739103</v>
      </c>
      <c r="H1230">
        <f t="shared" si="80"/>
        <v>4.9417871770603838</v>
      </c>
    </row>
    <row r="1231" spans="1:8" x14ac:dyDescent="0.25">
      <c r="A1231" t="str">
        <f t="shared" si="78"/>
        <v>Direct,USnet,20</v>
      </c>
      <c r="B1231" t="s">
        <v>33</v>
      </c>
      <c r="C1231" t="s">
        <v>7</v>
      </c>
      <c r="D1231">
        <v>20</v>
      </c>
      <c r="E1231">
        <v>969.82799999999997</v>
      </c>
      <c r="F1231">
        <f t="shared" si="77"/>
        <v>920</v>
      </c>
      <c r="G1231">
        <f t="shared" si="79"/>
        <v>5.4160869565217364</v>
      </c>
      <c r="H1231">
        <f t="shared" si="80"/>
        <v>5.1378182523086542</v>
      </c>
    </row>
    <row r="1232" spans="1:8" x14ac:dyDescent="0.25">
      <c r="A1232" t="str">
        <f t="shared" si="78"/>
        <v>Direct,USnet,20</v>
      </c>
      <c r="B1232" t="s">
        <v>33</v>
      </c>
      <c r="C1232" t="s">
        <v>7</v>
      </c>
      <c r="D1232">
        <v>20</v>
      </c>
      <c r="E1232">
        <v>974.82799999999997</v>
      </c>
      <c r="F1232">
        <f t="shared" si="77"/>
        <v>920</v>
      </c>
      <c r="G1232">
        <f t="shared" si="79"/>
        <v>5.9595652173913019</v>
      </c>
      <c r="H1232">
        <f t="shared" si="80"/>
        <v>5.6243768131403673</v>
      </c>
    </row>
    <row r="1233" spans="1:8" x14ac:dyDescent="0.25">
      <c r="A1233" t="str">
        <f t="shared" si="78"/>
        <v>Direct,USnet,20</v>
      </c>
      <c r="B1233" t="s">
        <v>33</v>
      </c>
      <c r="C1233" t="s">
        <v>7</v>
      </c>
      <c r="D1233">
        <v>20</v>
      </c>
      <c r="E1233">
        <v>967.82799999999997</v>
      </c>
      <c r="F1233">
        <f t="shared" si="77"/>
        <v>920</v>
      </c>
      <c r="G1233">
        <f t="shared" si="79"/>
        <v>5.1986956521739103</v>
      </c>
      <c r="H1233">
        <f t="shared" si="80"/>
        <v>4.9417871770603838</v>
      </c>
    </row>
    <row r="1234" spans="1:8" x14ac:dyDescent="0.25">
      <c r="A1234" t="str">
        <f t="shared" si="78"/>
        <v>Direct,USnet,20</v>
      </c>
      <c r="B1234" t="s">
        <v>33</v>
      </c>
      <c r="C1234" t="s">
        <v>7</v>
      </c>
      <c r="D1234">
        <v>20</v>
      </c>
      <c r="E1234">
        <v>967.82799999999997</v>
      </c>
      <c r="F1234">
        <f t="shared" si="77"/>
        <v>920</v>
      </c>
      <c r="G1234">
        <f t="shared" si="79"/>
        <v>5.1986956521739103</v>
      </c>
      <c r="H1234">
        <f t="shared" si="80"/>
        <v>4.9417871770603838</v>
      </c>
    </row>
    <row r="1235" spans="1:8" x14ac:dyDescent="0.25">
      <c r="A1235" t="str">
        <f t="shared" si="78"/>
        <v>Direct,USnet,20</v>
      </c>
      <c r="B1235" t="s">
        <v>33</v>
      </c>
      <c r="C1235" t="s">
        <v>7</v>
      </c>
      <c r="D1235">
        <v>20</v>
      </c>
      <c r="E1235">
        <v>968.82799999999997</v>
      </c>
      <c r="F1235">
        <f t="shared" si="77"/>
        <v>920</v>
      </c>
      <c r="G1235">
        <f t="shared" si="79"/>
        <v>5.3073913043478234</v>
      </c>
      <c r="H1235">
        <f t="shared" si="80"/>
        <v>5.0399038838679289</v>
      </c>
    </row>
    <row r="1236" spans="1:8" x14ac:dyDescent="0.25">
      <c r="A1236" t="str">
        <f t="shared" si="78"/>
        <v>Direct,USnet,20</v>
      </c>
      <c r="B1236" t="s">
        <v>33</v>
      </c>
      <c r="C1236" t="s">
        <v>7</v>
      </c>
      <c r="D1236">
        <v>20</v>
      </c>
      <c r="E1236">
        <v>972.82799999999997</v>
      </c>
      <c r="F1236">
        <f t="shared" si="77"/>
        <v>920</v>
      </c>
      <c r="G1236">
        <f t="shared" si="79"/>
        <v>5.7421739130434757</v>
      </c>
      <c r="H1236">
        <f t="shared" si="80"/>
        <v>5.4303535671259437</v>
      </c>
    </row>
    <row r="1237" spans="1:8" x14ac:dyDescent="0.25">
      <c r="A1237" t="str">
        <f t="shared" si="78"/>
        <v>Direct,USnet,20</v>
      </c>
      <c r="B1237" t="s">
        <v>33</v>
      </c>
      <c r="C1237" t="s">
        <v>7</v>
      </c>
      <c r="D1237">
        <v>20</v>
      </c>
      <c r="E1237">
        <v>976.82799999999997</v>
      </c>
      <c r="F1237">
        <f t="shared" si="77"/>
        <v>920</v>
      </c>
      <c r="G1237">
        <f t="shared" si="79"/>
        <v>6.176956521739128</v>
      </c>
      <c r="H1237">
        <f t="shared" si="80"/>
        <v>5.8176055559422926</v>
      </c>
    </row>
    <row r="1238" spans="1:8" x14ac:dyDescent="0.25">
      <c r="A1238" t="str">
        <f t="shared" si="78"/>
        <v>Direct,USnet,20</v>
      </c>
      <c r="B1238" t="s">
        <v>33</v>
      </c>
      <c r="C1238" t="s">
        <v>7</v>
      </c>
      <c r="D1238">
        <v>20</v>
      </c>
      <c r="E1238">
        <v>975.82799999999997</v>
      </c>
      <c r="F1238">
        <f t="shared" si="77"/>
        <v>920</v>
      </c>
      <c r="G1238">
        <f t="shared" si="79"/>
        <v>6.0682608695652149</v>
      </c>
      <c r="H1238">
        <f t="shared" si="80"/>
        <v>5.72109019212402</v>
      </c>
    </row>
    <row r="1239" spans="1:8" x14ac:dyDescent="0.25">
      <c r="A1239" t="str">
        <f t="shared" si="78"/>
        <v>Direct,USnet,20</v>
      </c>
      <c r="B1239" t="s">
        <v>33</v>
      </c>
      <c r="C1239" t="s">
        <v>7</v>
      </c>
      <c r="D1239">
        <v>20</v>
      </c>
      <c r="E1239">
        <v>977.82799999999997</v>
      </c>
      <c r="F1239">
        <f t="shared" si="77"/>
        <v>920</v>
      </c>
      <c r="G1239">
        <f t="shared" si="79"/>
        <v>6.2856521739130411</v>
      </c>
      <c r="H1239">
        <f t="shared" si="80"/>
        <v>5.9139235121105118</v>
      </c>
    </row>
    <row r="1240" spans="1:8" x14ac:dyDescent="0.25">
      <c r="A1240" t="str">
        <f t="shared" si="78"/>
        <v>Direct,USnet,20</v>
      </c>
      <c r="B1240" t="s">
        <v>33</v>
      </c>
      <c r="C1240" t="s">
        <v>7</v>
      </c>
      <c r="D1240">
        <v>20</v>
      </c>
      <c r="E1240">
        <v>967.82799999999997</v>
      </c>
      <c r="F1240">
        <f t="shared" si="77"/>
        <v>920</v>
      </c>
      <c r="G1240">
        <f t="shared" si="79"/>
        <v>5.1986956521739103</v>
      </c>
      <c r="H1240">
        <f t="shared" si="80"/>
        <v>4.9417871770603838</v>
      </c>
    </row>
    <row r="1241" spans="1:8" x14ac:dyDescent="0.25">
      <c r="A1241" t="str">
        <f t="shared" si="78"/>
        <v>Direct,USnet,20</v>
      </c>
      <c r="B1241" t="s">
        <v>33</v>
      </c>
      <c r="C1241" t="s">
        <v>7</v>
      </c>
      <c r="D1241">
        <v>20</v>
      </c>
      <c r="E1241">
        <v>967.82799999999997</v>
      </c>
      <c r="F1241">
        <f t="shared" si="77"/>
        <v>920</v>
      </c>
      <c r="G1241">
        <f t="shared" si="79"/>
        <v>5.1986956521739103</v>
      </c>
      <c r="H1241">
        <f t="shared" si="80"/>
        <v>4.9417871770603838</v>
      </c>
    </row>
    <row r="1242" spans="1:8" x14ac:dyDescent="0.25">
      <c r="A1242" t="str">
        <f t="shared" si="78"/>
        <v>Direct,USnet,20</v>
      </c>
      <c r="B1242" t="s">
        <v>33</v>
      </c>
      <c r="C1242" t="s">
        <v>7</v>
      </c>
      <c r="D1242">
        <v>20</v>
      </c>
      <c r="E1242">
        <v>968.82799999999997</v>
      </c>
      <c r="F1242">
        <f t="shared" si="77"/>
        <v>920</v>
      </c>
      <c r="G1242">
        <f t="shared" si="79"/>
        <v>5.3073913043478234</v>
      </c>
      <c r="H1242">
        <f t="shared" si="80"/>
        <v>5.0399038838679289</v>
      </c>
    </row>
    <row r="1243" spans="1:8" x14ac:dyDescent="0.25">
      <c r="A1243" t="str">
        <f t="shared" si="78"/>
        <v>Direct,USnet,20</v>
      </c>
      <c r="B1243" t="s">
        <v>33</v>
      </c>
      <c r="C1243" t="s">
        <v>7</v>
      </c>
      <c r="D1243">
        <v>20</v>
      </c>
      <c r="E1243">
        <v>968.82799999999997</v>
      </c>
      <c r="F1243">
        <f t="shared" si="77"/>
        <v>920</v>
      </c>
      <c r="G1243">
        <f t="shared" si="79"/>
        <v>5.3073913043478234</v>
      </c>
      <c r="H1243">
        <f t="shared" si="80"/>
        <v>5.0399038838679289</v>
      </c>
    </row>
    <row r="1244" spans="1:8" x14ac:dyDescent="0.25">
      <c r="A1244" t="str">
        <f t="shared" si="78"/>
        <v>Direct,USnet,20</v>
      </c>
      <c r="B1244" t="s">
        <v>33</v>
      </c>
      <c r="C1244" t="s">
        <v>7</v>
      </c>
      <c r="D1244">
        <v>20</v>
      </c>
      <c r="E1244">
        <v>971.82799999999997</v>
      </c>
      <c r="F1244">
        <f t="shared" si="77"/>
        <v>920</v>
      </c>
      <c r="G1244">
        <f t="shared" si="79"/>
        <v>5.6334782608695626</v>
      </c>
      <c r="H1244">
        <f t="shared" si="80"/>
        <v>5.3330424725362899</v>
      </c>
    </row>
    <row r="1245" spans="1:8" x14ac:dyDescent="0.25">
      <c r="A1245" t="str">
        <f t="shared" si="78"/>
        <v>Direct,USnet,20</v>
      </c>
      <c r="B1245" t="s">
        <v>33</v>
      </c>
      <c r="C1245" t="s">
        <v>7</v>
      </c>
      <c r="D1245">
        <v>20</v>
      </c>
      <c r="E1245">
        <v>968.82799999999997</v>
      </c>
      <c r="F1245">
        <f t="shared" si="77"/>
        <v>920</v>
      </c>
      <c r="G1245">
        <f t="shared" si="79"/>
        <v>5.3073913043478234</v>
      </c>
      <c r="H1245">
        <f t="shared" si="80"/>
        <v>5.0399038838679289</v>
      </c>
    </row>
    <row r="1246" spans="1:8" x14ac:dyDescent="0.25">
      <c r="A1246" t="str">
        <f t="shared" si="78"/>
        <v>Direct,USnet,20</v>
      </c>
      <c r="B1246" t="s">
        <v>33</v>
      </c>
      <c r="C1246" t="s">
        <v>7</v>
      </c>
      <c r="D1246">
        <v>20</v>
      </c>
      <c r="E1246">
        <v>969.82799999999997</v>
      </c>
      <c r="F1246">
        <f t="shared" si="77"/>
        <v>920</v>
      </c>
      <c r="G1246">
        <f t="shared" si="79"/>
        <v>5.4160869565217364</v>
      </c>
      <c r="H1246">
        <f t="shared" si="80"/>
        <v>5.1378182523086542</v>
      </c>
    </row>
    <row r="1247" spans="1:8" x14ac:dyDescent="0.25">
      <c r="A1247" t="str">
        <f t="shared" si="78"/>
        <v>Direct,USnet,20</v>
      </c>
      <c r="B1247" t="s">
        <v>33</v>
      </c>
      <c r="C1247" t="s">
        <v>7</v>
      </c>
      <c r="D1247">
        <v>20</v>
      </c>
      <c r="E1247">
        <v>963.82799999999997</v>
      </c>
      <c r="F1247">
        <f t="shared" si="77"/>
        <v>920</v>
      </c>
      <c r="G1247">
        <f t="shared" si="79"/>
        <v>4.7639130434782579</v>
      </c>
      <c r="H1247">
        <f t="shared" si="80"/>
        <v>4.5472843702403312</v>
      </c>
    </row>
    <row r="1248" spans="1:8" x14ac:dyDescent="0.25">
      <c r="A1248" t="str">
        <f t="shared" si="78"/>
        <v>Direct,USnet,20</v>
      </c>
      <c r="B1248" t="s">
        <v>33</v>
      </c>
      <c r="C1248" t="s">
        <v>7</v>
      </c>
      <c r="D1248">
        <v>20</v>
      </c>
      <c r="E1248">
        <v>974.82799999999997</v>
      </c>
      <c r="F1248">
        <f t="shared" si="77"/>
        <v>920</v>
      </c>
      <c r="G1248">
        <f t="shared" si="79"/>
        <v>5.9595652173913019</v>
      </c>
      <c r="H1248">
        <f t="shared" si="80"/>
        <v>5.6243768131403673</v>
      </c>
    </row>
    <row r="1249" spans="1:8" x14ac:dyDescent="0.25">
      <c r="A1249" t="str">
        <f t="shared" si="78"/>
        <v>Direct,USnet,20</v>
      </c>
      <c r="B1249" t="s">
        <v>33</v>
      </c>
      <c r="C1249" t="s">
        <v>7</v>
      </c>
      <c r="D1249">
        <v>20</v>
      </c>
      <c r="E1249">
        <v>973.82799999999997</v>
      </c>
      <c r="F1249">
        <f t="shared" si="77"/>
        <v>920</v>
      </c>
      <c r="G1249">
        <f t="shared" si="79"/>
        <v>5.8508695652173888</v>
      </c>
      <c r="H1249">
        <f t="shared" si="80"/>
        <v>5.5274648089806391</v>
      </c>
    </row>
    <row r="1250" spans="1:8" x14ac:dyDescent="0.25">
      <c r="A1250" t="str">
        <f t="shared" si="78"/>
        <v>Direct,USnet,20</v>
      </c>
      <c r="B1250" t="s">
        <v>33</v>
      </c>
      <c r="C1250" t="s">
        <v>7</v>
      </c>
      <c r="D1250">
        <v>20</v>
      </c>
      <c r="E1250">
        <v>968.82799999999997</v>
      </c>
      <c r="F1250">
        <f t="shared" si="77"/>
        <v>920</v>
      </c>
      <c r="G1250">
        <f t="shared" si="79"/>
        <v>5.3073913043478234</v>
      </c>
      <c r="H1250">
        <f t="shared" si="80"/>
        <v>5.0399038838679289</v>
      </c>
    </row>
    <row r="1251" spans="1:8" x14ac:dyDescent="0.25">
      <c r="A1251" t="str">
        <f t="shared" si="78"/>
        <v>Direct,USnet,20</v>
      </c>
      <c r="B1251" t="s">
        <v>33</v>
      </c>
      <c r="C1251" t="s">
        <v>7</v>
      </c>
      <c r="D1251">
        <v>20</v>
      </c>
      <c r="E1251">
        <v>959.82799999999997</v>
      </c>
      <c r="F1251">
        <f t="shared" si="77"/>
        <v>920</v>
      </c>
      <c r="G1251">
        <f t="shared" si="79"/>
        <v>4.3291304347826065</v>
      </c>
      <c r="H1251">
        <f t="shared" si="80"/>
        <v>4.1494934509099526</v>
      </c>
    </row>
    <row r="1252" spans="1:8" x14ac:dyDescent="0.25">
      <c r="A1252" t="str">
        <f t="shared" si="78"/>
        <v>Direct,USnet,20</v>
      </c>
      <c r="B1252" t="s">
        <v>33</v>
      </c>
      <c r="C1252" t="s">
        <v>7</v>
      </c>
      <c r="D1252">
        <v>20</v>
      </c>
      <c r="E1252">
        <v>970.82799999999997</v>
      </c>
      <c r="F1252">
        <f t="shared" si="77"/>
        <v>920</v>
      </c>
      <c r="G1252">
        <f t="shared" si="79"/>
        <v>5.5247826086956495</v>
      </c>
      <c r="H1252">
        <f t="shared" si="80"/>
        <v>5.2355309076376022</v>
      </c>
    </row>
    <row r="1253" spans="1:8" x14ac:dyDescent="0.25">
      <c r="A1253" t="str">
        <f t="shared" si="78"/>
        <v>Direct,USnet,20</v>
      </c>
      <c r="B1253" t="s">
        <v>33</v>
      </c>
      <c r="C1253" t="s">
        <v>7</v>
      </c>
      <c r="D1253">
        <v>20</v>
      </c>
      <c r="E1253">
        <v>968.82799999999997</v>
      </c>
      <c r="F1253">
        <f t="shared" si="77"/>
        <v>920</v>
      </c>
      <c r="G1253">
        <f t="shared" si="79"/>
        <v>5.3073913043478234</v>
      </c>
      <c r="H1253">
        <f t="shared" si="80"/>
        <v>5.0399038838679289</v>
      </c>
    </row>
    <row r="1254" spans="1:8" x14ac:dyDescent="0.25">
      <c r="A1254" t="str">
        <f t="shared" si="78"/>
        <v>Direct,USnet,20</v>
      </c>
      <c r="B1254" t="s">
        <v>33</v>
      </c>
      <c r="C1254" t="s">
        <v>7</v>
      </c>
      <c r="D1254">
        <v>20</v>
      </c>
      <c r="E1254">
        <v>969.82799999999997</v>
      </c>
      <c r="F1254">
        <f t="shared" si="77"/>
        <v>920</v>
      </c>
      <c r="G1254">
        <f t="shared" si="79"/>
        <v>5.4160869565217364</v>
      </c>
      <c r="H1254">
        <f t="shared" si="80"/>
        <v>5.1378182523086542</v>
      </c>
    </row>
    <row r="1255" spans="1:8" x14ac:dyDescent="0.25">
      <c r="A1255" t="str">
        <f t="shared" si="78"/>
        <v>Direct,USnet,20</v>
      </c>
      <c r="B1255" t="s">
        <v>33</v>
      </c>
      <c r="C1255" t="s">
        <v>7</v>
      </c>
      <c r="D1255">
        <v>20</v>
      </c>
      <c r="E1255">
        <v>967.82799999999997</v>
      </c>
      <c r="F1255">
        <f t="shared" si="77"/>
        <v>920</v>
      </c>
      <c r="G1255">
        <f t="shared" si="79"/>
        <v>5.1986956521739103</v>
      </c>
      <c r="H1255">
        <f t="shared" si="80"/>
        <v>4.9417871770603838</v>
      </c>
    </row>
    <row r="1256" spans="1:8" x14ac:dyDescent="0.25">
      <c r="A1256" t="str">
        <f t="shared" si="78"/>
        <v>Direct,USnet,20</v>
      </c>
      <c r="B1256" t="s">
        <v>33</v>
      </c>
      <c r="C1256" t="s">
        <v>7</v>
      </c>
      <c r="D1256">
        <v>20</v>
      </c>
      <c r="E1256">
        <v>969.82799999999997</v>
      </c>
      <c r="F1256">
        <f t="shared" si="77"/>
        <v>920</v>
      </c>
      <c r="G1256">
        <f t="shared" si="79"/>
        <v>5.4160869565217364</v>
      </c>
      <c r="H1256">
        <f t="shared" si="80"/>
        <v>5.1378182523086542</v>
      </c>
    </row>
    <row r="1257" spans="1:8" x14ac:dyDescent="0.25">
      <c r="A1257" t="str">
        <f t="shared" si="78"/>
        <v>Direct,USnet,20</v>
      </c>
      <c r="B1257" t="s">
        <v>33</v>
      </c>
      <c r="C1257" t="s">
        <v>7</v>
      </c>
      <c r="D1257">
        <v>20</v>
      </c>
      <c r="E1257">
        <v>968.82799999999997</v>
      </c>
      <c r="F1257">
        <f t="shared" si="77"/>
        <v>920</v>
      </c>
      <c r="G1257">
        <f t="shared" si="79"/>
        <v>5.3073913043478234</v>
      </c>
      <c r="H1257">
        <f t="shared" si="80"/>
        <v>5.0399038838679289</v>
      </c>
    </row>
    <row r="1258" spans="1:8" x14ac:dyDescent="0.25">
      <c r="A1258" t="str">
        <f t="shared" si="78"/>
        <v>Direct,USnet,20</v>
      </c>
      <c r="B1258" t="s">
        <v>33</v>
      </c>
      <c r="C1258" t="s">
        <v>7</v>
      </c>
      <c r="D1258">
        <v>20</v>
      </c>
      <c r="E1258">
        <v>969.82799999999997</v>
      </c>
      <c r="F1258">
        <f t="shared" si="77"/>
        <v>920</v>
      </c>
      <c r="G1258">
        <f t="shared" si="79"/>
        <v>5.4160869565217364</v>
      </c>
      <c r="H1258">
        <f t="shared" si="80"/>
        <v>5.1378182523086542</v>
      </c>
    </row>
    <row r="1259" spans="1:8" x14ac:dyDescent="0.25">
      <c r="A1259" t="str">
        <f t="shared" si="78"/>
        <v>Direct,USnet,20</v>
      </c>
      <c r="B1259" t="s">
        <v>33</v>
      </c>
      <c r="C1259" t="s">
        <v>7</v>
      </c>
      <c r="D1259">
        <v>20</v>
      </c>
      <c r="E1259">
        <v>967.82799999999997</v>
      </c>
      <c r="F1259">
        <f t="shared" si="77"/>
        <v>920</v>
      </c>
      <c r="G1259">
        <f t="shared" si="79"/>
        <v>5.1986956521739103</v>
      </c>
      <c r="H1259">
        <f t="shared" si="80"/>
        <v>4.9417871770603838</v>
      </c>
    </row>
    <row r="1260" spans="1:8" x14ac:dyDescent="0.25">
      <c r="A1260" t="str">
        <f t="shared" si="78"/>
        <v>Direct,USnet,20</v>
      </c>
      <c r="B1260" t="s">
        <v>33</v>
      </c>
      <c r="C1260" t="s">
        <v>7</v>
      </c>
      <c r="D1260">
        <v>20</v>
      </c>
      <c r="E1260">
        <v>967.82799999999997</v>
      </c>
      <c r="F1260">
        <f t="shared" si="77"/>
        <v>920</v>
      </c>
      <c r="G1260">
        <f t="shared" si="79"/>
        <v>5.1986956521739103</v>
      </c>
      <c r="H1260">
        <f t="shared" si="80"/>
        <v>4.9417871770603838</v>
      </c>
    </row>
    <row r="1261" spans="1:8" x14ac:dyDescent="0.25">
      <c r="A1261" t="str">
        <f t="shared" si="78"/>
        <v>Direct,USnet,20</v>
      </c>
      <c r="B1261" t="s">
        <v>33</v>
      </c>
      <c r="C1261" t="s">
        <v>7</v>
      </c>
      <c r="D1261">
        <v>20</v>
      </c>
      <c r="E1261">
        <v>973.82799999999997</v>
      </c>
      <c r="F1261">
        <f t="shared" si="77"/>
        <v>920</v>
      </c>
      <c r="G1261">
        <f t="shared" si="79"/>
        <v>5.8508695652173888</v>
      </c>
      <c r="H1261">
        <f t="shared" si="80"/>
        <v>5.5274648089806391</v>
      </c>
    </row>
    <row r="1262" spans="1:8" x14ac:dyDescent="0.25">
      <c r="A1262" t="str">
        <f t="shared" si="78"/>
        <v>Direct,USnet,20</v>
      </c>
      <c r="B1262" t="s">
        <v>33</v>
      </c>
      <c r="C1262" t="s">
        <v>7</v>
      </c>
      <c r="D1262">
        <v>20</v>
      </c>
      <c r="E1262">
        <v>965.82799999999997</v>
      </c>
      <c r="F1262">
        <f t="shared" si="77"/>
        <v>920</v>
      </c>
      <c r="G1262">
        <f t="shared" si="79"/>
        <v>4.9813043478260841</v>
      </c>
      <c r="H1262">
        <f t="shared" si="80"/>
        <v>4.7449442343771331</v>
      </c>
    </row>
    <row r="1263" spans="1:8" x14ac:dyDescent="0.25">
      <c r="A1263" t="str">
        <f t="shared" si="78"/>
        <v>Direct,USnet,20</v>
      </c>
      <c r="B1263" t="s">
        <v>33</v>
      </c>
      <c r="C1263" t="s">
        <v>7</v>
      </c>
      <c r="D1263">
        <v>20</v>
      </c>
      <c r="E1263">
        <v>971.82799999999997</v>
      </c>
      <c r="F1263">
        <f t="shared" si="77"/>
        <v>920</v>
      </c>
      <c r="G1263">
        <f t="shared" si="79"/>
        <v>5.6334782608695626</v>
      </c>
      <c r="H1263">
        <f t="shared" si="80"/>
        <v>5.3330424725362899</v>
      </c>
    </row>
    <row r="1264" spans="1:8" x14ac:dyDescent="0.25">
      <c r="A1264" t="str">
        <f t="shared" si="78"/>
        <v>Direct,USnet,20</v>
      </c>
      <c r="B1264" t="s">
        <v>33</v>
      </c>
      <c r="C1264" t="s">
        <v>7</v>
      </c>
      <c r="D1264">
        <v>20</v>
      </c>
      <c r="E1264">
        <v>967.82799999999997</v>
      </c>
      <c r="F1264">
        <f t="shared" si="77"/>
        <v>920</v>
      </c>
      <c r="G1264">
        <f t="shared" si="79"/>
        <v>5.1986956521739103</v>
      </c>
      <c r="H1264">
        <f t="shared" si="80"/>
        <v>4.9417871770603838</v>
      </c>
    </row>
    <row r="1265" spans="1:8" x14ac:dyDescent="0.25">
      <c r="A1265" t="str">
        <f t="shared" si="78"/>
        <v>Direct,USnet,20</v>
      </c>
      <c r="B1265" t="s">
        <v>33</v>
      </c>
      <c r="C1265" t="s">
        <v>7</v>
      </c>
      <c r="D1265">
        <v>20</v>
      </c>
      <c r="E1265">
        <v>970.82799999999997</v>
      </c>
      <c r="F1265">
        <f t="shared" si="77"/>
        <v>920</v>
      </c>
      <c r="G1265">
        <f t="shared" si="79"/>
        <v>5.5247826086956495</v>
      </c>
      <c r="H1265">
        <f t="shared" si="80"/>
        <v>5.2355309076376022</v>
      </c>
    </row>
    <row r="1266" spans="1:8" x14ac:dyDescent="0.25">
      <c r="A1266" t="str">
        <f t="shared" si="78"/>
        <v>Direct,USnet,20</v>
      </c>
      <c r="B1266" t="s">
        <v>33</v>
      </c>
      <c r="C1266" t="s">
        <v>7</v>
      </c>
      <c r="D1266">
        <v>20</v>
      </c>
      <c r="E1266">
        <v>970.82799999999997</v>
      </c>
      <c r="F1266">
        <f t="shared" si="77"/>
        <v>920</v>
      </c>
      <c r="G1266">
        <f t="shared" si="79"/>
        <v>5.5247826086956495</v>
      </c>
      <c r="H1266">
        <f t="shared" si="80"/>
        <v>5.2355309076376022</v>
      </c>
    </row>
    <row r="1267" spans="1:8" x14ac:dyDescent="0.25">
      <c r="A1267" t="str">
        <f t="shared" si="78"/>
        <v>Direct,USnet,20</v>
      </c>
      <c r="B1267" t="s">
        <v>33</v>
      </c>
      <c r="C1267" t="s">
        <v>7</v>
      </c>
      <c r="D1267">
        <v>20</v>
      </c>
      <c r="E1267">
        <v>970.82799999999997</v>
      </c>
      <c r="F1267">
        <f t="shared" si="77"/>
        <v>920</v>
      </c>
      <c r="G1267">
        <f t="shared" si="79"/>
        <v>5.5247826086956495</v>
      </c>
      <c r="H1267">
        <f t="shared" si="80"/>
        <v>5.2355309076376022</v>
      </c>
    </row>
    <row r="1268" spans="1:8" x14ac:dyDescent="0.25">
      <c r="A1268" t="str">
        <f t="shared" si="78"/>
        <v>Direct,USnet,20</v>
      </c>
      <c r="B1268" t="s">
        <v>33</v>
      </c>
      <c r="C1268" t="s">
        <v>7</v>
      </c>
      <c r="D1268">
        <v>20</v>
      </c>
      <c r="E1268">
        <v>966.82799999999997</v>
      </c>
      <c r="F1268">
        <f t="shared" si="77"/>
        <v>920</v>
      </c>
      <c r="G1268">
        <f t="shared" si="79"/>
        <v>5.0899999999999972</v>
      </c>
      <c r="H1268">
        <f t="shared" si="80"/>
        <v>4.8434675040441499</v>
      </c>
    </row>
    <row r="1269" spans="1:8" x14ac:dyDescent="0.25">
      <c r="A1269" t="str">
        <f t="shared" si="78"/>
        <v>Direct,USnet,20</v>
      </c>
      <c r="B1269" t="s">
        <v>33</v>
      </c>
      <c r="C1269" t="s">
        <v>7</v>
      </c>
      <c r="D1269">
        <v>20</v>
      </c>
      <c r="E1269">
        <v>966.82799999999997</v>
      </c>
      <c r="F1269">
        <f t="shared" si="77"/>
        <v>920</v>
      </c>
      <c r="G1269">
        <f t="shared" si="79"/>
        <v>5.0899999999999972</v>
      </c>
      <c r="H1269">
        <f t="shared" si="80"/>
        <v>4.8434675040441499</v>
      </c>
    </row>
    <row r="1270" spans="1:8" x14ac:dyDescent="0.25">
      <c r="A1270" t="str">
        <f t="shared" si="78"/>
        <v>Direct,USnet,20</v>
      </c>
      <c r="B1270" t="s">
        <v>33</v>
      </c>
      <c r="C1270" t="s">
        <v>7</v>
      </c>
      <c r="D1270">
        <v>20</v>
      </c>
      <c r="E1270">
        <v>972.82799999999997</v>
      </c>
      <c r="F1270">
        <f t="shared" si="77"/>
        <v>920</v>
      </c>
      <c r="G1270">
        <f t="shared" si="79"/>
        <v>5.7421739130434757</v>
      </c>
      <c r="H1270">
        <f t="shared" si="80"/>
        <v>5.4303535671259437</v>
      </c>
    </row>
    <row r="1271" spans="1:8" x14ac:dyDescent="0.25">
      <c r="A1271" t="str">
        <f t="shared" si="78"/>
        <v>Direct,USnet,20</v>
      </c>
      <c r="B1271" t="s">
        <v>33</v>
      </c>
      <c r="C1271" t="s">
        <v>7</v>
      </c>
      <c r="D1271">
        <v>20</v>
      </c>
      <c r="E1271">
        <v>966.82799999999997</v>
      </c>
      <c r="F1271">
        <f t="shared" si="77"/>
        <v>920</v>
      </c>
      <c r="G1271">
        <f t="shared" si="79"/>
        <v>5.0899999999999972</v>
      </c>
      <c r="H1271">
        <f t="shared" si="80"/>
        <v>4.8434675040441499</v>
      </c>
    </row>
    <row r="1272" spans="1:8" x14ac:dyDescent="0.25">
      <c r="A1272" t="str">
        <f t="shared" si="78"/>
        <v>Direct,USnet,20</v>
      </c>
      <c r="B1272" t="s">
        <v>33</v>
      </c>
      <c r="C1272" t="s">
        <v>7</v>
      </c>
      <c r="D1272">
        <v>20</v>
      </c>
      <c r="E1272">
        <v>970.82799999999997</v>
      </c>
      <c r="F1272">
        <f t="shared" si="77"/>
        <v>920</v>
      </c>
      <c r="G1272">
        <f t="shared" si="79"/>
        <v>5.5247826086956495</v>
      </c>
      <c r="H1272">
        <f t="shared" si="80"/>
        <v>5.2355309076376022</v>
      </c>
    </row>
    <row r="1273" spans="1:8" x14ac:dyDescent="0.25">
      <c r="A1273" t="str">
        <f t="shared" si="78"/>
        <v>Direct,USnet,20</v>
      </c>
      <c r="B1273" t="s">
        <v>33</v>
      </c>
      <c r="C1273" t="s">
        <v>7</v>
      </c>
      <c r="D1273">
        <v>20</v>
      </c>
      <c r="E1273">
        <v>971.82799999999997</v>
      </c>
      <c r="F1273">
        <f t="shared" si="77"/>
        <v>920</v>
      </c>
      <c r="G1273">
        <f t="shared" si="79"/>
        <v>5.6334782608695626</v>
      </c>
      <c r="H1273">
        <f t="shared" si="80"/>
        <v>5.3330424725362899</v>
      </c>
    </row>
    <row r="1274" spans="1:8" x14ac:dyDescent="0.25">
      <c r="A1274" t="str">
        <f t="shared" si="78"/>
        <v>Direct,USnet,20</v>
      </c>
      <c r="B1274" t="s">
        <v>33</v>
      </c>
      <c r="C1274" t="s">
        <v>7</v>
      </c>
      <c r="D1274">
        <v>20</v>
      </c>
      <c r="E1274">
        <v>969.82799999999997</v>
      </c>
      <c r="F1274">
        <f t="shared" si="77"/>
        <v>920</v>
      </c>
      <c r="G1274">
        <f t="shared" si="79"/>
        <v>5.4160869565217364</v>
      </c>
      <c r="H1274">
        <f t="shared" si="80"/>
        <v>5.1378182523086542</v>
      </c>
    </row>
    <row r="1275" spans="1:8" x14ac:dyDescent="0.25">
      <c r="A1275" t="str">
        <f t="shared" si="78"/>
        <v>Direct,USnet,20</v>
      </c>
      <c r="B1275" t="s">
        <v>33</v>
      </c>
      <c r="C1275" t="s">
        <v>7</v>
      </c>
      <c r="D1275">
        <v>20</v>
      </c>
      <c r="E1275">
        <v>967.82799999999997</v>
      </c>
      <c r="F1275">
        <f t="shared" si="77"/>
        <v>920</v>
      </c>
      <c r="G1275">
        <f t="shared" si="79"/>
        <v>5.1986956521739103</v>
      </c>
      <c r="H1275">
        <f t="shared" si="80"/>
        <v>4.9417871770603838</v>
      </c>
    </row>
    <row r="1276" spans="1:8" x14ac:dyDescent="0.25">
      <c r="A1276" t="str">
        <f t="shared" si="78"/>
        <v>Direct,USnet,20</v>
      </c>
      <c r="B1276" t="s">
        <v>33</v>
      </c>
      <c r="C1276" t="s">
        <v>7</v>
      </c>
      <c r="D1276">
        <v>20</v>
      </c>
      <c r="E1276">
        <v>969.82799999999997</v>
      </c>
      <c r="F1276">
        <f t="shared" si="77"/>
        <v>920</v>
      </c>
      <c r="G1276">
        <f t="shared" si="79"/>
        <v>5.4160869565217364</v>
      </c>
      <c r="H1276">
        <f t="shared" si="80"/>
        <v>5.1378182523086542</v>
      </c>
    </row>
    <row r="1277" spans="1:8" x14ac:dyDescent="0.25">
      <c r="A1277" t="str">
        <f t="shared" si="78"/>
        <v>Direct,USnet,20</v>
      </c>
      <c r="B1277" t="s">
        <v>33</v>
      </c>
      <c r="C1277" t="s">
        <v>7</v>
      </c>
      <c r="D1277">
        <v>20</v>
      </c>
      <c r="E1277">
        <v>970.82799999999997</v>
      </c>
      <c r="F1277">
        <f t="shared" si="77"/>
        <v>920</v>
      </c>
      <c r="G1277">
        <f t="shared" si="79"/>
        <v>5.5247826086956495</v>
      </c>
      <c r="H1277">
        <f t="shared" si="80"/>
        <v>5.2355309076376022</v>
      </c>
    </row>
    <row r="1278" spans="1:8" x14ac:dyDescent="0.25">
      <c r="A1278" t="str">
        <f t="shared" si="78"/>
        <v>Direct,USnet,20</v>
      </c>
      <c r="B1278" t="s">
        <v>33</v>
      </c>
      <c r="C1278" t="s">
        <v>7</v>
      </c>
      <c r="D1278">
        <v>20</v>
      </c>
      <c r="E1278">
        <v>961.82799999999997</v>
      </c>
      <c r="F1278">
        <f t="shared" si="77"/>
        <v>920</v>
      </c>
      <c r="G1278">
        <f t="shared" si="79"/>
        <v>4.5465217391304318</v>
      </c>
      <c r="H1278">
        <f t="shared" si="80"/>
        <v>4.3488024885946315</v>
      </c>
    </row>
    <row r="1279" spans="1:8" x14ac:dyDescent="0.25">
      <c r="A1279" t="str">
        <f t="shared" si="78"/>
        <v>Direct,USnet,20</v>
      </c>
      <c r="B1279" t="s">
        <v>33</v>
      </c>
      <c r="C1279" t="s">
        <v>7</v>
      </c>
      <c r="D1279">
        <v>20</v>
      </c>
      <c r="E1279">
        <v>967.82799999999997</v>
      </c>
      <c r="F1279">
        <f t="shared" si="77"/>
        <v>920</v>
      </c>
      <c r="G1279">
        <f t="shared" si="79"/>
        <v>5.1986956521739103</v>
      </c>
      <c r="H1279">
        <f t="shared" si="80"/>
        <v>4.9417871770603838</v>
      </c>
    </row>
    <row r="1280" spans="1:8" x14ac:dyDescent="0.25">
      <c r="A1280" t="str">
        <f t="shared" si="78"/>
        <v>Direct,USnet,20</v>
      </c>
      <c r="B1280" t="s">
        <v>33</v>
      </c>
      <c r="C1280" t="s">
        <v>7</v>
      </c>
      <c r="D1280">
        <v>20</v>
      </c>
      <c r="E1280">
        <v>967.82799999999997</v>
      </c>
      <c r="F1280">
        <f t="shared" si="77"/>
        <v>920</v>
      </c>
      <c r="G1280">
        <f t="shared" si="79"/>
        <v>5.1986956521739103</v>
      </c>
      <c r="H1280">
        <f t="shared" si="80"/>
        <v>4.9417871770603838</v>
      </c>
    </row>
    <row r="1281" spans="1:8" x14ac:dyDescent="0.25">
      <c r="A1281" t="str">
        <f t="shared" si="78"/>
        <v>Direct,USnet,20</v>
      </c>
      <c r="B1281" t="s">
        <v>33</v>
      </c>
      <c r="C1281" t="s">
        <v>7</v>
      </c>
      <c r="D1281">
        <v>20</v>
      </c>
      <c r="E1281">
        <v>969.82799999999997</v>
      </c>
      <c r="F1281">
        <f t="shared" si="77"/>
        <v>920</v>
      </c>
      <c r="G1281">
        <f t="shared" si="79"/>
        <v>5.4160869565217364</v>
      </c>
      <c r="H1281">
        <f t="shared" si="80"/>
        <v>5.1378182523086542</v>
      </c>
    </row>
    <row r="1282" spans="1:8" x14ac:dyDescent="0.25">
      <c r="A1282" t="str">
        <f t="shared" si="78"/>
        <v>Direct,USnet,20</v>
      </c>
      <c r="B1282" t="s">
        <v>33</v>
      </c>
      <c r="C1282" t="s">
        <v>7</v>
      </c>
      <c r="D1282">
        <v>20</v>
      </c>
      <c r="E1282">
        <v>964.82799999999997</v>
      </c>
      <c r="F1282">
        <f t="shared" si="77"/>
        <v>920</v>
      </c>
      <c r="G1282">
        <f t="shared" si="79"/>
        <v>4.872608695652171</v>
      </c>
      <c r="H1282">
        <f t="shared" si="80"/>
        <v>4.6462167350035424</v>
      </c>
    </row>
    <row r="1283" spans="1:8" x14ac:dyDescent="0.25">
      <c r="A1283" t="str">
        <f t="shared" si="78"/>
        <v>Direct,USnet,20</v>
      </c>
      <c r="B1283" t="s">
        <v>33</v>
      </c>
      <c r="C1283" t="s">
        <v>7</v>
      </c>
      <c r="D1283">
        <v>20</v>
      </c>
      <c r="E1283">
        <v>974.82799999999997</v>
      </c>
      <c r="F1283">
        <f t="shared" ref="F1283:F1346" si="81">_xlfn.XLOOKUP(A1283,$J$3:$J$36,$N$3:$N$36)</f>
        <v>920</v>
      </c>
      <c r="G1283">
        <f t="shared" si="79"/>
        <v>5.9595652173913019</v>
      </c>
      <c r="H1283">
        <f t="shared" si="80"/>
        <v>5.6243768131403673</v>
      </c>
    </row>
    <row r="1284" spans="1:8" x14ac:dyDescent="0.25">
      <c r="A1284" t="str">
        <f t="shared" ref="A1284:A1347" si="82">B1284&amp;","&amp;C1284&amp;","&amp;D1284</f>
        <v>Direct,USnet,20</v>
      </c>
      <c r="B1284" t="s">
        <v>33</v>
      </c>
      <c r="C1284" t="s">
        <v>7</v>
      </c>
      <c r="D1284">
        <v>20</v>
      </c>
      <c r="E1284">
        <v>970.82799999999997</v>
      </c>
      <c r="F1284">
        <f t="shared" si="81"/>
        <v>920</v>
      </c>
      <c r="G1284">
        <f t="shared" ref="G1284:G1347" si="83">ABS((E1284-F1284)/F1284)*100</f>
        <v>5.5247826086956495</v>
      </c>
      <c r="H1284">
        <f t="shared" ref="H1284:H1347" si="84">ABS((F1284-E1284)/E1284)*100</f>
        <v>5.2355309076376022</v>
      </c>
    </row>
    <row r="1285" spans="1:8" x14ac:dyDescent="0.25">
      <c r="A1285" t="str">
        <f t="shared" si="82"/>
        <v>Direct,USnet,20</v>
      </c>
      <c r="B1285" t="s">
        <v>33</v>
      </c>
      <c r="C1285" t="s">
        <v>7</v>
      </c>
      <c r="D1285">
        <v>20</v>
      </c>
      <c r="E1285">
        <v>968.82799999999997</v>
      </c>
      <c r="F1285">
        <f t="shared" si="81"/>
        <v>920</v>
      </c>
      <c r="G1285">
        <f t="shared" si="83"/>
        <v>5.3073913043478234</v>
      </c>
      <c r="H1285">
        <f t="shared" si="84"/>
        <v>5.0399038838679289</v>
      </c>
    </row>
    <row r="1286" spans="1:8" x14ac:dyDescent="0.25">
      <c r="A1286" t="str">
        <f t="shared" si="82"/>
        <v>Direct,USnet,20</v>
      </c>
      <c r="B1286" t="s">
        <v>33</v>
      </c>
      <c r="C1286" t="s">
        <v>7</v>
      </c>
      <c r="D1286">
        <v>20</v>
      </c>
      <c r="E1286">
        <v>972.82799999999997</v>
      </c>
      <c r="F1286">
        <f t="shared" si="81"/>
        <v>920</v>
      </c>
      <c r="G1286">
        <f t="shared" si="83"/>
        <v>5.7421739130434757</v>
      </c>
      <c r="H1286">
        <f t="shared" si="84"/>
        <v>5.4303535671259437</v>
      </c>
    </row>
    <row r="1287" spans="1:8" x14ac:dyDescent="0.25">
      <c r="A1287" t="str">
        <f t="shared" si="82"/>
        <v>Direct,USnet,20</v>
      </c>
      <c r="B1287" t="s">
        <v>33</v>
      </c>
      <c r="C1287" t="s">
        <v>7</v>
      </c>
      <c r="D1287">
        <v>20</v>
      </c>
      <c r="E1287">
        <v>972.82799999999997</v>
      </c>
      <c r="F1287">
        <f t="shared" si="81"/>
        <v>920</v>
      </c>
      <c r="G1287">
        <f t="shared" si="83"/>
        <v>5.7421739130434757</v>
      </c>
      <c r="H1287">
        <f t="shared" si="84"/>
        <v>5.4303535671259437</v>
      </c>
    </row>
    <row r="1288" spans="1:8" x14ac:dyDescent="0.25">
      <c r="A1288" t="str">
        <f t="shared" si="82"/>
        <v>Direct,USnet,20</v>
      </c>
      <c r="B1288" t="s">
        <v>33</v>
      </c>
      <c r="C1288" t="s">
        <v>7</v>
      </c>
      <c r="D1288">
        <v>20</v>
      </c>
      <c r="E1288">
        <v>966.82799999999997</v>
      </c>
      <c r="F1288">
        <f t="shared" si="81"/>
        <v>920</v>
      </c>
      <c r="G1288">
        <f t="shared" si="83"/>
        <v>5.0899999999999972</v>
      </c>
      <c r="H1288">
        <f t="shared" si="84"/>
        <v>4.8434675040441499</v>
      </c>
    </row>
    <row r="1289" spans="1:8" x14ac:dyDescent="0.25">
      <c r="A1289" t="str">
        <f t="shared" si="82"/>
        <v>Direct,USnet,20</v>
      </c>
      <c r="B1289" t="s">
        <v>33</v>
      </c>
      <c r="C1289" t="s">
        <v>7</v>
      </c>
      <c r="D1289">
        <v>20</v>
      </c>
      <c r="E1289">
        <v>974.82799999999997</v>
      </c>
      <c r="F1289">
        <f t="shared" si="81"/>
        <v>920</v>
      </c>
      <c r="G1289">
        <f t="shared" si="83"/>
        <v>5.9595652173913019</v>
      </c>
      <c r="H1289">
        <f t="shared" si="84"/>
        <v>5.6243768131403673</v>
      </c>
    </row>
    <row r="1290" spans="1:8" x14ac:dyDescent="0.25">
      <c r="A1290" t="str">
        <f t="shared" si="82"/>
        <v>Direct,USnet,20</v>
      </c>
      <c r="B1290" t="s">
        <v>33</v>
      </c>
      <c r="C1290" t="s">
        <v>7</v>
      </c>
      <c r="D1290">
        <v>20</v>
      </c>
      <c r="E1290">
        <v>962.82799999999997</v>
      </c>
      <c r="F1290">
        <f t="shared" si="81"/>
        <v>920</v>
      </c>
      <c r="G1290">
        <f t="shared" si="83"/>
        <v>4.6552173913043449</v>
      </c>
      <c r="H1290">
        <f t="shared" si="84"/>
        <v>4.448146501763552</v>
      </c>
    </row>
    <row r="1291" spans="1:8" x14ac:dyDescent="0.25">
      <c r="A1291" t="str">
        <f t="shared" si="82"/>
        <v>Direct,USnet,20</v>
      </c>
      <c r="B1291" t="s">
        <v>33</v>
      </c>
      <c r="C1291" t="s">
        <v>7</v>
      </c>
      <c r="D1291">
        <v>20</v>
      </c>
      <c r="E1291">
        <v>967.82799999999997</v>
      </c>
      <c r="F1291">
        <f t="shared" si="81"/>
        <v>920</v>
      </c>
      <c r="G1291">
        <f t="shared" si="83"/>
        <v>5.1986956521739103</v>
      </c>
      <c r="H1291">
        <f t="shared" si="84"/>
        <v>4.9417871770603838</v>
      </c>
    </row>
    <row r="1292" spans="1:8" x14ac:dyDescent="0.25">
      <c r="A1292" t="str">
        <f t="shared" si="82"/>
        <v>Direct,USnet,20</v>
      </c>
      <c r="B1292" t="s">
        <v>33</v>
      </c>
      <c r="C1292" t="s">
        <v>7</v>
      </c>
      <c r="D1292">
        <v>20</v>
      </c>
      <c r="E1292">
        <v>964.82799999999997</v>
      </c>
      <c r="F1292">
        <f t="shared" si="81"/>
        <v>920</v>
      </c>
      <c r="G1292">
        <f t="shared" si="83"/>
        <v>4.872608695652171</v>
      </c>
      <c r="H1292">
        <f t="shared" si="84"/>
        <v>4.6462167350035424</v>
      </c>
    </row>
    <row r="1293" spans="1:8" x14ac:dyDescent="0.25">
      <c r="A1293" t="str">
        <f t="shared" si="82"/>
        <v>Direct,USnet,20</v>
      </c>
      <c r="B1293" t="s">
        <v>33</v>
      </c>
      <c r="C1293" t="s">
        <v>7</v>
      </c>
      <c r="D1293">
        <v>20</v>
      </c>
      <c r="E1293">
        <v>968.82799999999997</v>
      </c>
      <c r="F1293">
        <f t="shared" si="81"/>
        <v>920</v>
      </c>
      <c r="G1293">
        <f t="shared" si="83"/>
        <v>5.3073913043478234</v>
      </c>
      <c r="H1293">
        <f t="shared" si="84"/>
        <v>5.0399038838679289</v>
      </c>
    </row>
    <row r="1294" spans="1:8" x14ac:dyDescent="0.25">
      <c r="A1294" t="str">
        <f t="shared" si="82"/>
        <v>Direct,USnet,20</v>
      </c>
      <c r="B1294" t="s">
        <v>33</v>
      </c>
      <c r="C1294" t="s">
        <v>7</v>
      </c>
      <c r="D1294">
        <v>20</v>
      </c>
      <c r="E1294">
        <v>965.82799999999997</v>
      </c>
      <c r="F1294">
        <f t="shared" si="81"/>
        <v>920</v>
      </c>
      <c r="G1294">
        <f t="shared" si="83"/>
        <v>4.9813043478260841</v>
      </c>
      <c r="H1294">
        <f t="shared" si="84"/>
        <v>4.7449442343771331</v>
      </c>
    </row>
    <row r="1295" spans="1:8" x14ac:dyDescent="0.25">
      <c r="A1295" t="str">
        <f t="shared" si="82"/>
        <v>Direct,USnet,20</v>
      </c>
      <c r="B1295" t="s">
        <v>33</v>
      </c>
      <c r="C1295" t="s">
        <v>7</v>
      </c>
      <c r="D1295">
        <v>20</v>
      </c>
      <c r="E1295">
        <v>966.82799999999997</v>
      </c>
      <c r="F1295">
        <f t="shared" si="81"/>
        <v>920</v>
      </c>
      <c r="G1295">
        <f t="shared" si="83"/>
        <v>5.0899999999999972</v>
      </c>
      <c r="H1295">
        <f t="shared" si="84"/>
        <v>4.8434675040441499</v>
      </c>
    </row>
    <row r="1296" spans="1:8" x14ac:dyDescent="0.25">
      <c r="A1296" t="str">
        <f t="shared" si="82"/>
        <v>Direct,USnet,20</v>
      </c>
      <c r="B1296" t="s">
        <v>33</v>
      </c>
      <c r="C1296" t="s">
        <v>7</v>
      </c>
      <c r="D1296">
        <v>20</v>
      </c>
      <c r="E1296">
        <v>968.82799999999997</v>
      </c>
      <c r="F1296">
        <f t="shared" si="81"/>
        <v>920</v>
      </c>
      <c r="G1296">
        <f t="shared" si="83"/>
        <v>5.3073913043478234</v>
      </c>
      <c r="H1296">
        <f t="shared" si="84"/>
        <v>5.0399038838679289</v>
      </c>
    </row>
    <row r="1297" spans="1:8" x14ac:dyDescent="0.25">
      <c r="A1297" t="str">
        <f t="shared" si="82"/>
        <v>Direct,USnet,20</v>
      </c>
      <c r="B1297" t="s">
        <v>33</v>
      </c>
      <c r="C1297" t="s">
        <v>7</v>
      </c>
      <c r="D1297">
        <v>20</v>
      </c>
      <c r="E1297">
        <v>965.82799999999997</v>
      </c>
      <c r="F1297">
        <f t="shared" si="81"/>
        <v>920</v>
      </c>
      <c r="G1297">
        <f t="shared" si="83"/>
        <v>4.9813043478260841</v>
      </c>
      <c r="H1297">
        <f t="shared" si="84"/>
        <v>4.7449442343771331</v>
      </c>
    </row>
    <row r="1298" spans="1:8" x14ac:dyDescent="0.25">
      <c r="A1298" t="str">
        <f t="shared" si="82"/>
        <v>Direct,USnet,20</v>
      </c>
      <c r="B1298" t="s">
        <v>33</v>
      </c>
      <c r="C1298" t="s">
        <v>7</v>
      </c>
      <c r="D1298">
        <v>20</v>
      </c>
      <c r="E1298">
        <v>973.82799999999997</v>
      </c>
      <c r="F1298">
        <f t="shared" si="81"/>
        <v>920</v>
      </c>
      <c r="G1298">
        <f t="shared" si="83"/>
        <v>5.8508695652173888</v>
      </c>
      <c r="H1298">
        <f t="shared" si="84"/>
        <v>5.5274648089806391</v>
      </c>
    </row>
    <row r="1299" spans="1:8" x14ac:dyDescent="0.25">
      <c r="A1299" t="str">
        <f t="shared" si="82"/>
        <v>Direct,USnet,20</v>
      </c>
      <c r="B1299" t="s">
        <v>33</v>
      </c>
      <c r="C1299" t="s">
        <v>7</v>
      </c>
      <c r="D1299">
        <v>20</v>
      </c>
      <c r="E1299">
        <v>968.82799999999997</v>
      </c>
      <c r="F1299">
        <f t="shared" si="81"/>
        <v>920</v>
      </c>
      <c r="G1299">
        <f t="shared" si="83"/>
        <v>5.3073913043478234</v>
      </c>
      <c r="H1299">
        <f t="shared" si="84"/>
        <v>5.0399038838679289</v>
      </c>
    </row>
    <row r="1300" spans="1:8" x14ac:dyDescent="0.25">
      <c r="A1300" t="str">
        <f t="shared" si="82"/>
        <v>Direct,USnet,20</v>
      </c>
      <c r="B1300" t="s">
        <v>33</v>
      </c>
      <c r="C1300" t="s">
        <v>7</v>
      </c>
      <c r="D1300">
        <v>20</v>
      </c>
      <c r="E1300">
        <v>970.82799999999997</v>
      </c>
      <c r="F1300">
        <f t="shared" si="81"/>
        <v>920</v>
      </c>
      <c r="G1300">
        <f t="shared" si="83"/>
        <v>5.5247826086956495</v>
      </c>
      <c r="H1300">
        <f t="shared" si="84"/>
        <v>5.2355309076376022</v>
      </c>
    </row>
    <row r="1301" spans="1:8" x14ac:dyDescent="0.25">
      <c r="A1301" t="str">
        <f t="shared" si="82"/>
        <v>Direct,USnet,20</v>
      </c>
      <c r="B1301" t="s">
        <v>33</v>
      </c>
      <c r="C1301" t="s">
        <v>7</v>
      </c>
      <c r="D1301">
        <v>20</v>
      </c>
      <c r="E1301">
        <v>964.82799999999997</v>
      </c>
      <c r="F1301">
        <f t="shared" si="81"/>
        <v>920</v>
      </c>
      <c r="G1301">
        <f t="shared" si="83"/>
        <v>4.872608695652171</v>
      </c>
      <c r="H1301">
        <f t="shared" si="84"/>
        <v>4.6462167350035424</v>
      </c>
    </row>
    <row r="1302" spans="1:8" x14ac:dyDescent="0.25">
      <c r="A1302" t="str">
        <f t="shared" si="82"/>
        <v>Direct,USnet,20</v>
      </c>
      <c r="B1302" t="s">
        <v>33</v>
      </c>
      <c r="C1302" t="s">
        <v>7</v>
      </c>
      <c r="D1302">
        <v>20</v>
      </c>
      <c r="E1302">
        <v>967.82799999999997</v>
      </c>
      <c r="F1302">
        <f t="shared" si="81"/>
        <v>920</v>
      </c>
      <c r="G1302">
        <f t="shared" si="83"/>
        <v>5.1986956521739103</v>
      </c>
      <c r="H1302">
        <f t="shared" si="84"/>
        <v>4.9417871770603838</v>
      </c>
    </row>
    <row r="1303" spans="1:8" x14ac:dyDescent="0.25">
      <c r="A1303" t="str">
        <f t="shared" si="82"/>
        <v>Direct,USnet,40</v>
      </c>
      <c r="B1303" t="s">
        <v>33</v>
      </c>
      <c r="C1303" t="s">
        <v>7</v>
      </c>
      <c r="D1303">
        <v>40</v>
      </c>
      <c r="E1303">
        <v>1583.5450000000001</v>
      </c>
      <c r="F1303">
        <f t="shared" si="81"/>
        <v>1480</v>
      </c>
      <c r="G1303">
        <f t="shared" si="83"/>
        <v>6.9962837837837881</v>
      </c>
      <c r="H1303">
        <f t="shared" si="84"/>
        <v>6.5388100748636813</v>
      </c>
    </row>
    <row r="1304" spans="1:8" x14ac:dyDescent="0.25">
      <c r="A1304" t="str">
        <f t="shared" si="82"/>
        <v>Direct,USnet,40</v>
      </c>
      <c r="B1304" t="s">
        <v>33</v>
      </c>
      <c r="C1304" t="s">
        <v>7</v>
      </c>
      <c r="D1304">
        <v>40</v>
      </c>
      <c r="E1304">
        <v>1605.586</v>
      </c>
      <c r="F1304">
        <f t="shared" si="81"/>
        <v>1480</v>
      </c>
      <c r="G1304">
        <f t="shared" si="83"/>
        <v>8.4855405405405406</v>
      </c>
      <c r="H1304">
        <f t="shared" si="84"/>
        <v>7.8218170811155563</v>
      </c>
    </row>
    <row r="1305" spans="1:8" x14ac:dyDescent="0.25">
      <c r="A1305" t="str">
        <f t="shared" si="82"/>
        <v>Direct,USnet,40</v>
      </c>
      <c r="B1305" t="s">
        <v>33</v>
      </c>
      <c r="C1305" t="s">
        <v>7</v>
      </c>
      <c r="D1305">
        <v>40</v>
      </c>
      <c r="E1305">
        <v>1571.1590000000001</v>
      </c>
      <c r="F1305">
        <f t="shared" si="81"/>
        <v>1480</v>
      </c>
      <c r="G1305">
        <f t="shared" si="83"/>
        <v>6.1593918918918984</v>
      </c>
      <c r="H1305">
        <f t="shared" si="84"/>
        <v>5.8020225833286192</v>
      </c>
    </row>
    <row r="1306" spans="1:8" x14ac:dyDescent="0.25">
      <c r="A1306" t="str">
        <f t="shared" si="82"/>
        <v>Direct,USnet,40</v>
      </c>
      <c r="B1306" t="s">
        <v>33</v>
      </c>
      <c r="C1306" t="s">
        <v>7</v>
      </c>
      <c r="D1306">
        <v>40</v>
      </c>
      <c r="E1306">
        <v>1614.2470000000001</v>
      </c>
      <c r="F1306">
        <f t="shared" si="81"/>
        <v>1480</v>
      </c>
      <c r="G1306">
        <f t="shared" si="83"/>
        <v>9.070743243243248</v>
      </c>
      <c r="H1306">
        <f t="shared" si="84"/>
        <v>8.3163852867621912</v>
      </c>
    </row>
    <row r="1307" spans="1:8" x14ac:dyDescent="0.25">
      <c r="A1307" t="str">
        <f t="shared" si="82"/>
        <v>Direct,USnet,40</v>
      </c>
      <c r="B1307" t="s">
        <v>33</v>
      </c>
      <c r="C1307" t="s">
        <v>7</v>
      </c>
      <c r="D1307">
        <v>40</v>
      </c>
      <c r="E1307">
        <v>1602.6079999999999</v>
      </c>
      <c r="F1307">
        <f t="shared" si="81"/>
        <v>1480</v>
      </c>
      <c r="G1307">
        <f t="shared" si="83"/>
        <v>8.2843243243243219</v>
      </c>
      <c r="H1307">
        <f t="shared" si="84"/>
        <v>7.6505296366921884</v>
      </c>
    </row>
    <row r="1308" spans="1:8" x14ac:dyDescent="0.25">
      <c r="A1308" t="str">
        <f t="shared" si="82"/>
        <v>Direct,USnet,40</v>
      </c>
      <c r="B1308" t="s">
        <v>33</v>
      </c>
      <c r="C1308" t="s">
        <v>7</v>
      </c>
      <c r="D1308">
        <v>40</v>
      </c>
      <c r="E1308">
        <v>1559.0740000000001</v>
      </c>
      <c r="F1308">
        <f t="shared" si="81"/>
        <v>1480</v>
      </c>
      <c r="G1308">
        <f t="shared" si="83"/>
        <v>5.3428378378378421</v>
      </c>
      <c r="H1308">
        <f t="shared" si="84"/>
        <v>5.0718567559974748</v>
      </c>
    </row>
    <row r="1309" spans="1:8" x14ac:dyDescent="0.25">
      <c r="A1309" t="str">
        <f t="shared" si="82"/>
        <v>Direct,USnet,40</v>
      </c>
      <c r="B1309" t="s">
        <v>33</v>
      </c>
      <c r="C1309" t="s">
        <v>7</v>
      </c>
      <c r="D1309">
        <v>40</v>
      </c>
      <c r="E1309">
        <v>1582.675</v>
      </c>
      <c r="F1309">
        <f t="shared" si="81"/>
        <v>1480</v>
      </c>
      <c r="G1309">
        <f t="shared" si="83"/>
        <v>6.9374999999999964</v>
      </c>
      <c r="H1309">
        <f t="shared" si="84"/>
        <v>6.4874342489772028</v>
      </c>
    </row>
    <row r="1310" spans="1:8" x14ac:dyDescent="0.25">
      <c r="A1310" t="str">
        <f t="shared" si="82"/>
        <v>Direct,USnet,40</v>
      </c>
      <c r="B1310" t="s">
        <v>33</v>
      </c>
      <c r="C1310" t="s">
        <v>7</v>
      </c>
      <c r="D1310">
        <v>40</v>
      </c>
      <c r="E1310">
        <v>1556.954</v>
      </c>
      <c r="F1310">
        <f t="shared" si="81"/>
        <v>1480</v>
      </c>
      <c r="G1310">
        <f t="shared" si="83"/>
        <v>5.1995945945945916</v>
      </c>
      <c r="H1310">
        <f t="shared" si="84"/>
        <v>4.9425994602281094</v>
      </c>
    </row>
    <row r="1311" spans="1:8" x14ac:dyDescent="0.25">
      <c r="A1311" t="str">
        <f t="shared" si="82"/>
        <v>Direct,USnet,40</v>
      </c>
      <c r="B1311" t="s">
        <v>33</v>
      </c>
      <c r="C1311" t="s">
        <v>7</v>
      </c>
      <c r="D1311">
        <v>40</v>
      </c>
      <c r="E1311">
        <v>1561.335</v>
      </c>
      <c r="F1311">
        <f t="shared" si="81"/>
        <v>1480</v>
      </c>
      <c r="G1311">
        <f t="shared" si="83"/>
        <v>5.4956081081081107</v>
      </c>
      <c r="H1311">
        <f t="shared" si="84"/>
        <v>5.2093240720281067</v>
      </c>
    </row>
    <row r="1312" spans="1:8" x14ac:dyDescent="0.25">
      <c r="A1312" t="str">
        <f t="shared" si="82"/>
        <v>Direct,USnet,40</v>
      </c>
      <c r="B1312" t="s">
        <v>33</v>
      </c>
      <c r="C1312" t="s">
        <v>7</v>
      </c>
      <c r="D1312">
        <v>40</v>
      </c>
      <c r="E1312">
        <v>1603.9870000000001</v>
      </c>
      <c r="F1312">
        <f t="shared" si="81"/>
        <v>1480</v>
      </c>
      <c r="G1312">
        <f t="shared" si="83"/>
        <v>8.3775000000000066</v>
      </c>
      <c r="H1312">
        <f t="shared" si="84"/>
        <v>7.7299254919148392</v>
      </c>
    </row>
    <row r="1313" spans="1:8" x14ac:dyDescent="0.25">
      <c r="A1313" t="str">
        <f t="shared" si="82"/>
        <v>Direct,USnet,40</v>
      </c>
      <c r="B1313" t="s">
        <v>33</v>
      </c>
      <c r="C1313" t="s">
        <v>7</v>
      </c>
      <c r="D1313">
        <v>40</v>
      </c>
      <c r="E1313">
        <v>1569.7429999999999</v>
      </c>
      <c r="F1313">
        <f t="shared" si="81"/>
        <v>1480</v>
      </c>
      <c r="G1313">
        <f t="shared" si="83"/>
        <v>6.0637162162162115</v>
      </c>
      <c r="H1313">
        <f t="shared" si="84"/>
        <v>5.7170504980751584</v>
      </c>
    </row>
    <row r="1314" spans="1:8" x14ac:dyDescent="0.25">
      <c r="A1314" t="str">
        <f t="shared" si="82"/>
        <v>Direct,USnet,40</v>
      </c>
      <c r="B1314" t="s">
        <v>33</v>
      </c>
      <c r="C1314" t="s">
        <v>7</v>
      </c>
      <c r="D1314">
        <v>40</v>
      </c>
      <c r="E1314">
        <v>1567.5909999999999</v>
      </c>
      <c r="F1314">
        <f t="shared" si="81"/>
        <v>1480</v>
      </c>
      <c r="G1314">
        <f t="shared" si="83"/>
        <v>5.9183108108108033</v>
      </c>
      <c r="H1314">
        <f t="shared" si="84"/>
        <v>5.5876181988796754</v>
      </c>
    </row>
    <row r="1315" spans="1:8" x14ac:dyDescent="0.25">
      <c r="A1315" t="str">
        <f t="shared" si="82"/>
        <v>Direct,USnet,40</v>
      </c>
      <c r="B1315" t="s">
        <v>33</v>
      </c>
      <c r="C1315" t="s">
        <v>7</v>
      </c>
      <c r="D1315">
        <v>40</v>
      </c>
      <c r="E1315">
        <v>1572.0640000000001</v>
      </c>
      <c r="F1315">
        <f t="shared" si="81"/>
        <v>1480</v>
      </c>
      <c r="G1315">
        <f t="shared" si="83"/>
        <v>6.2205405405405454</v>
      </c>
      <c r="H1315">
        <f t="shared" si="84"/>
        <v>5.8562501272212879</v>
      </c>
    </row>
    <row r="1316" spans="1:8" x14ac:dyDescent="0.25">
      <c r="A1316" t="str">
        <f t="shared" si="82"/>
        <v>Direct,USnet,40</v>
      </c>
      <c r="B1316" t="s">
        <v>33</v>
      </c>
      <c r="C1316" t="s">
        <v>7</v>
      </c>
      <c r="D1316">
        <v>40</v>
      </c>
      <c r="E1316">
        <v>1568.519</v>
      </c>
      <c r="F1316">
        <f t="shared" si="81"/>
        <v>1480</v>
      </c>
      <c r="G1316">
        <f t="shared" si="83"/>
        <v>5.9810135135135143</v>
      </c>
      <c r="H1316">
        <f t="shared" si="84"/>
        <v>5.6434764258513921</v>
      </c>
    </row>
    <row r="1317" spans="1:8" x14ac:dyDescent="0.25">
      <c r="A1317" t="str">
        <f t="shared" si="82"/>
        <v>Direct,USnet,40</v>
      </c>
      <c r="B1317" t="s">
        <v>33</v>
      </c>
      <c r="C1317" t="s">
        <v>7</v>
      </c>
      <c r="D1317">
        <v>40</v>
      </c>
      <c r="E1317">
        <v>1576.799</v>
      </c>
      <c r="F1317">
        <f t="shared" si="81"/>
        <v>1480</v>
      </c>
      <c r="G1317">
        <f t="shared" si="83"/>
        <v>6.5404729729729718</v>
      </c>
      <c r="H1317">
        <f t="shared" si="84"/>
        <v>6.1389562017733379</v>
      </c>
    </row>
    <row r="1318" spans="1:8" x14ac:dyDescent="0.25">
      <c r="A1318" t="str">
        <f t="shared" si="82"/>
        <v>Direct,USnet,40</v>
      </c>
      <c r="B1318" t="s">
        <v>33</v>
      </c>
      <c r="C1318" t="s">
        <v>7</v>
      </c>
      <c r="D1318">
        <v>40</v>
      </c>
      <c r="E1318">
        <v>1571.5239999999999</v>
      </c>
      <c r="F1318">
        <f t="shared" si="81"/>
        <v>1480</v>
      </c>
      <c r="G1318">
        <f t="shared" si="83"/>
        <v>6.1840540540540463</v>
      </c>
      <c r="H1318">
        <f t="shared" si="84"/>
        <v>5.8239008758377144</v>
      </c>
    </row>
    <row r="1319" spans="1:8" x14ac:dyDescent="0.25">
      <c r="A1319" t="str">
        <f t="shared" si="82"/>
        <v>Direct,USnet,40</v>
      </c>
      <c r="B1319" t="s">
        <v>33</v>
      </c>
      <c r="C1319" t="s">
        <v>7</v>
      </c>
      <c r="D1319">
        <v>40</v>
      </c>
      <c r="E1319">
        <v>1600.6759999999999</v>
      </c>
      <c r="F1319">
        <f t="shared" si="81"/>
        <v>1480</v>
      </c>
      <c r="G1319">
        <f t="shared" si="83"/>
        <v>8.1537837837837781</v>
      </c>
      <c r="H1319">
        <f t="shared" si="84"/>
        <v>7.5390647451451729</v>
      </c>
    </row>
    <row r="1320" spans="1:8" x14ac:dyDescent="0.25">
      <c r="A1320" t="str">
        <f t="shared" si="82"/>
        <v>Direct,USnet,40</v>
      </c>
      <c r="B1320" t="s">
        <v>33</v>
      </c>
      <c r="C1320" t="s">
        <v>7</v>
      </c>
      <c r="D1320">
        <v>40</v>
      </c>
      <c r="E1320">
        <v>1551.1959999999999</v>
      </c>
      <c r="F1320">
        <f t="shared" si="81"/>
        <v>1480</v>
      </c>
      <c r="G1320">
        <f t="shared" si="83"/>
        <v>4.8105405405405346</v>
      </c>
      <c r="H1320">
        <f t="shared" si="84"/>
        <v>4.5897488131738298</v>
      </c>
    </row>
    <row r="1321" spans="1:8" x14ac:dyDescent="0.25">
      <c r="A1321" t="str">
        <f t="shared" si="82"/>
        <v>Direct,USnet,40</v>
      </c>
      <c r="B1321" t="s">
        <v>33</v>
      </c>
      <c r="C1321" t="s">
        <v>7</v>
      </c>
      <c r="D1321">
        <v>40</v>
      </c>
      <c r="E1321">
        <v>1590.192</v>
      </c>
      <c r="F1321">
        <f t="shared" si="81"/>
        <v>1480</v>
      </c>
      <c r="G1321">
        <f t="shared" si="83"/>
        <v>7.4454054054054062</v>
      </c>
      <c r="H1321">
        <f t="shared" si="84"/>
        <v>6.9294776982905217</v>
      </c>
    </row>
    <row r="1322" spans="1:8" x14ac:dyDescent="0.25">
      <c r="A1322" t="str">
        <f t="shared" si="82"/>
        <v>Direct,USnet,40</v>
      </c>
      <c r="B1322" t="s">
        <v>33</v>
      </c>
      <c r="C1322" t="s">
        <v>7</v>
      </c>
      <c r="D1322">
        <v>40</v>
      </c>
      <c r="E1322">
        <v>1578.249</v>
      </c>
      <c r="F1322">
        <f t="shared" si="81"/>
        <v>1480</v>
      </c>
      <c r="G1322">
        <f t="shared" si="83"/>
        <v>6.6384459459459482</v>
      </c>
      <c r="H1322">
        <f t="shared" si="84"/>
        <v>6.2251900682338475</v>
      </c>
    </row>
    <row r="1323" spans="1:8" x14ac:dyDescent="0.25">
      <c r="A1323" t="str">
        <f t="shared" si="82"/>
        <v>Direct,USnet,40</v>
      </c>
      <c r="B1323" t="s">
        <v>33</v>
      </c>
      <c r="C1323" t="s">
        <v>7</v>
      </c>
      <c r="D1323">
        <v>40</v>
      </c>
      <c r="E1323">
        <v>1539.922</v>
      </c>
      <c r="F1323">
        <f t="shared" si="81"/>
        <v>1480</v>
      </c>
      <c r="G1323">
        <f t="shared" si="83"/>
        <v>4.0487837837837857</v>
      </c>
      <c r="H1323">
        <f t="shared" si="84"/>
        <v>3.8912360496180991</v>
      </c>
    </row>
    <row r="1324" spans="1:8" x14ac:dyDescent="0.25">
      <c r="A1324" t="str">
        <f t="shared" si="82"/>
        <v>Direct,USnet,40</v>
      </c>
      <c r="B1324" t="s">
        <v>33</v>
      </c>
      <c r="C1324" t="s">
        <v>7</v>
      </c>
      <c r="D1324">
        <v>40</v>
      </c>
      <c r="E1324">
        <v>1570.0150000000001</v>
      </c>
      <c r="F1324">
        <f t="shared" si="81"/>
        <v>1480</v>
      </c>
      <c r="G1324">
        <f t="shared" si="83"/>
        <v>6.0820945945946008</v>
      </c>
      <c r="H1324">
        <f t="shared" si="84"/>
        <v>5.7333847128849147</v>
      </c>
    </row>
    <row r="1325" spans="1:8" x14ac:dyDescent="0.25">
      <c r="A1325" t="str">
        <f t="shared" si="82"/>
        <v>Direct,USnet,40</v>
      </c>
      <c r="B1325" t="s">
        <v>33</v>
      </c>
      <c r="C1325" t="s">
        <v>7</v>
      </c>
      <c r="D1325">
        <v>40</v>
      </c>
      <c r="E1325">
        <v>1616.5319999999999</v>
      </c>
      <c r="F1325">
        <f t="shared" si="81"/>
        <v>1480</v>
      </c>
      <c r="G1325">
        <f t="shared" si="83"/>
        <v>9.2251351351351296</v>
      </c>
      <c r="H1325">
        <f t="shared" si="84"/>
        <v>8.4459818920998746</v>
      </c>
    </row>
    <row r="1326" spans="1:8" x14ac:dyDescent="0.25">
      <c r="A1326" t="str">
        <f t="shared" si="82"/>
        <v>Direct,USnet,40</v>
      </c>
      <c r="B1326" t="s">
        <v>33</v>
      </c>
      <c r="C1326" t="s">
        <v>7</v>
      </c>
      <c r="D1326">
        <v>40</v>
      </c>
      <c r="E1326">
        <v>1591.2950000000001</v>
      </c>
      <c r="F1326">
        <f t="shared" si="81"/>
        <v>1480</v>
      </c>
      <c r="G1326">
        <f t="shared" si="83"/>
        <v>7.5199324324324373</v>
      </c>
      <c r="H1326">
        <f t="shared" si="84"/>
        <v>6.993989172340771</v>
      </c>
    </row>
    <row r="1327" spans="1:8" x14ac:dyDescent="0.25">
      <c r="A1327" t="str">
        <f t="shared" si="82"/>
        <v>Direct,USnet,40</v>
      </c>
      <c r="B1327" t="s">
        <v>33</v>
      </c>
      <c r="C1327" t="s">
        <v>7</v>
      </c>
      <c r="D1327">
        <v>40</v>
      </c>
      <c r="E1327">
        <v>1592.9090000000001</v>
      </c>
      <c r="F1327">
        <f t="shared" si="81"/>
        <v>1480</v>
      </c>
      <c r="G1327">
        <f t="shared" si="83"/>
        <v>7.628986486486494</v>
      </c>
      <c r="H1327">
        <f t="shared" si="84"/>
        <v>7.0882266344154061</v>
      </c>
    </row>
    <row r="1328" spans="1:8" x14ac:dyDescent="0.25">
      <c r="A1328" t="str">
        <f t="shared" si="82"/>
        <v>Direct,USnet,40</v>
      </c>
      <c r="B1328" t="s">
        <v>33</v>
      </c>
      <c r="C1328" t="s">
        <v>7</v>
      </c>
      <c r="D1328">
        <v>40</v>
      </c>
      <c r="E1328">
        <v>1590.098</v>
      </c>
      <c r="F1328">
        <f t="shared" si="81"/>
        <v>1480</v>
      </c>
      <c r="G1328">
        <f t="shared" si="83"/>
        <v>7.4390540540540506</v>
      </c>
      <c r="H1328">
        <f t="shared" si="84"/>
        <v>6.9239757549534655</v>
      </c>
    </row>
    <row r="1329" spans="1:8" x14ac:dyDescent="0.25">
      <c r="A1329" t="str">
        <f t="shared" si="82"/>
        <v>Direct,USnet,40</v>
      </c>
      <c r="B1329" t="s">
        <v>33</v>
      </c>
      <c r="C1329" t="s">
        <v>7</v>
      </c>
      <c r="D1329">
        <v>40</v>
      </c>
      <c r="E1329">
        <v>1544.413</v>
      </c>
      <c r="F1329">
        <f t="shared" si="81"/>
        <v>1480</v>
      </c>
      <c r="G1329">
        <f t="shared" si="83"/>
        <v>4.3522297297297303</v>
      </c>
      <c r="H1329">
        <f t="shared" si="84"/>
        <v>4.1707108137525397</v>
      </c>
    </row>
    <row r="1330" spans="1:8" x14ac:dyDescent="0.25">
      <c r="A1330" t="str">
        <f t="shared" si="82"/>
        <v>Direct,USnet,40</v>
      </c>
      <c r="B1330" t="s">
        <v>33</v>
      </c>
      <c r="C1330" t="s">
        <v>7</v>
      </c>
      <c r="D1330">
        <v>40</v>
      </c>
      <c r="E1330">
        <v>1592.336</v>
      </c>
      <c r="F1330">
        <f t="shared" si="81"/>
        <v>1480</v>
      </c>
      <c r="G1330">
        <f t="shared" si="83"/>
        <v>7.5902702702702722</v>
      </c>
      <c r="H1330">
        <f t="shared" si="84"/>
        <v>7.0547924558635868</v>
      </c>
    </row>
    <row r="1331" spans="1:8" x14ac:dyDescent="0.25">
      <c r="A1331" t="str">
        <f t="shared" si="82"/>
        <v>Direct,USnet,40</v>
      </c>
      <c r="B1331" t="s">
        <v>33</v>
      </c>
      <c r="C1331" t="s">
        <v>7</v>
      </c>
      <c r="D1331">
        <v>40</v>
      </c>
      <c r="E1331">
        <v>1593.288</v>
      </c>
      <c r="F1331">
        <f t="shared" si="81"/>
        <v>1480</v>
      </c>
      <c r="G1331">
        <f t="shared" si="83"/>
        <v>7.6545945945945952</v>
      </c>
      <c r="H1331">
        <f t="shared" si="84"/>
        <v>7.1103278252268272</v>
      </c>
    </row>
    <row r="1332" spans="1:8" x14ac:dyDescent="0.25">
      <c r="A1332" t="str">
        <f t="shared" si="82"/>
        <v>Direct,USnet,40</v>
      </c>
      <c r="B1332" t="s">
        <v>33</v>
      </c>
      <c r="C1332" t="s">
        <v>7</v>
      </c>
      <c r="D1332">
        <v>40</v>
      </c>
      <c r="E1332">
        <v>1591.0630000000001</v>
      </c>
      <c r="F1332">
        <f t="shared" si="81"/>
        <v>1480</v>
      </c>
      <c r="G1332">
        <f t="shared" si="83"/>
        <v>7.5042567567567637</v>
      </c>
      <c r="H1332">
        <f t="shared" si="84"/>
        <v>6.9804275506375362</v>
      </c>
    </row>
    <row r="1333" spans="1:8" x14ac:dyDescent="0.25">
      <c r="A1333" t="str">
        <f t="shared" si="82"/>
        <v>Direct,USnet,40</v>
      </c>
      <c r="B1333" t="s">
        <v>33</v>
      </c>
      <c r="C1333" t="s">
        <v>7</v>
      </c>
      <c r="D1333">
        <v>40</v>
      </c>
      <c r="E1333">
        <v>1612.579</v>
      </c>
      <c r="F1333">
        <f t="shared" si="81"/>
        <v>1480</v>
      </c>
      <c r="G1333">
        <f t="shared" si="83"/>
        <v>8.9580405405405372</v>
      </c>
      <c r="H1333">
        <f t="shared" si="84"/>
        <v>8.2215506961209321</v>
      </c>
    </row>
    <row r="1334" spans="1:8" x14ac:dyDescent="0.25">
      <c r="A1334" t="str">
        <f t="shared" si="82"/>
        <v>Direct,USnet,40</v>
      </c>
      <c r="B1334" t="s">
        <v>33</v>
      </c>
      <c r="C1334" t="s">
        <v>7</v>
      </c>
      <c r="D1334">
        <v>40</v>
      </c>
      <c r="E1334">
        <v>1593.9680000000001</v>
      </c>
      <c r="F1334">
        <f t="shared" si="81"/>
        <v>1480</v>
      </c>
      <c r="G1334">
        <f t="shared" si="83"/>
        <v>7.7005405405405458</v>
      </c>
      <c r="H1334">
        <f t="shared" si="84"/>
        <v>7.149955331600137</v>
      </c>
    </row>
    <row r="1335" spans="1:8" x14ac:dyDescent="0.25">
      <c r="A1335" t="str">
        <f t="shared" si="82"/>
        <v>Direct,USnet,40</v>
      </c>
      <c r="B1335" t="s">
        <v>33</v>
      </c>
      <c r="C1335" t="s">
        <v>7</v>
      </c>
      <c r="D1335">
        <v>40</v>
      </c>
      <c r="E1335">
        <v>1583.6679999999999</v>
      </c>
      <c r="F1335">
        <f t="shared" si="81"/>
        <v>1480</v>
      </c>
      <c r="G1335">
        <f t="shared" si="83"/>
        <v>7.0045945945945878</v>
      </c>
      <c r="H1335">
        <f t="shared" si="84"/>
        <v>6.5460689993104548</v>
      </c>
    </row>
    <row r="1336" spans="1:8" x14ac:dyDescent="0.25">
      <c r="A1336" t="str">
        <f t="shared" si="82"/>
        <v>Direct,USnet,40</v>
      </c>
      <c r="B1336" t="s">
        <v>33</v>
      </c>
      <c r="C1336" t="s">
        <v>7</v>
      </c>
      <c r="D1336">
        <v>40</v>
      </c>
      <c r="E1336">
        <v>1558.001</v>
      </c>
      <c r="F1336">
        <f t="shared" si="81"/>
        <v>1480</v>
      </c>
      <c r="G1336">
        <f t="shared" si="83"/>
        <v>5.2703378378378369</v>
      </c>
      <c r="H1336">
        <f t="shared" si="84"/>
        <v>5.0064794566884094</v>
      </c>
    </row>
    <row r="1337" spans="1:8" x14ac:dyDescent="0.25">
      <c r="A1337" t="str">
        <f t="shared" si="82"/>
        <v>Direct,USnet,40</v>
      </c>
      <c r="B1337" t="s">
        <v>33</v>
      </c>
      <c r="C1337" t="s">
        <v>7</v>
      </c>
      <c r="D1337">
        <v>40</v>
      </c>
      <c r="E1337">
        <v>1597.76</v>
      </c>
      <c r="F1337">
        <f t="shared" si="81"/>
        <v>1480</v>
      </c>
      <c r="G1337">
        <f t="shared" si="83"/>
        <v>7.9567567567567572</v>
      </c>
      <c r="H1337">
        <f t="shared" si="84"/>
        <v>7.3703184458241537</v>
      </c>
    </row>
    <row r="1338" spans="1:8" x14ac:dyDescent="0.25">
      <c r="A1338" t="str">
        <f t="shared" si="82"/>
        <v>Direct,USnet,40</v>
      </c>
      <c r="B1338" t="s">
        <v>33</v>
      </c>
      <c r="C1338" t="s">
        <v>7</v>
      </c>
      <c r="D1338">
        <v>40</v>
      </c>
      <c r="E1338">
        <v>1592.528</v>
      </c>
      <c r="F1338">
        <f t="shared" si="81"/>
        <v>1480</v>
      </c>
      <c r="G1338">
        <f t="shared" si="83"/>
        <v>7.6032432432432451</v>
      </c>
      <c r="H1338">
        <f t="shared" si="84"/>
        <v>7.0659982116483988</v>
      </c>
    </row>
    <row r="1339" spans="1:8" x14ac:dyDescent="0.25">
      <c r="A1339" t="str">
        <f t="shared" si="82"/>
        <v>Direct,USnet,40</v>
      </c>
      <c r="B1339" t="s">
        <v>33</v>
      </c>
      <c r="C1339" t="s">
        <v>7</v>
      </c>
      <c r="D1339">
        <v>40</v>
      </c>
      <c r="E1339">
        <v>1600.2260000000001</v>
      </c>
      <c r="F1339">
        <f t="shared" si="81"/>
        <v>1480</v>
      </c>
      <c r="G1339">
        <f t="shared" si="83"/>
        <v>8.1233783783783853</v>
      </c>
      <c r="H1339">
        <f t="shared" si="84"/>
        <v>7.5130637797411177</v>
      </c>
    </row>
    <row r="1340" spans="1:8" x14ac:dyDescent="0.25">
      <c r="A1340" t="str">
        <f t="shared" si="82"/>
        <v>Direct,USnet,40</v>
      </c>
      <c r="B1340" t="s">
        <v>33</v>
      </c>
      <c r="C1340" t="s">
        <v>7</v>
      </c>
      <c r="D1340">
        <v>40</v>
      </c>
      <c r="E1340">
        <v>1553.4880000000001</v>
      </c>
      <c r="F1340">
        <f t="shared" si="81"/>
        <v>1480</v>
      </c>
      <c r="G1340">
        <f t="shared" si="83"/>
        <v>4.9654054054054093</v>
      </c>
      <c r="H1340">
        <f t="shared" si="84"/>
        <v>4.7305161031176333</v>
      </c>
    </row>
    <row r="1341" spans="1:8" x14ac:dyDescent="0.25">
      <c r="A1341" t="str">
        <f t="shared" si="82"/>
        <v>Direct,USnet,40</v>
      </c>
      <c r="B1341" t="s">
        <v>33</v>
      </c>
      <c r="C1341" t="s">
        <v>7</v>
      </c>
      <c r="D1341">
        <v>40</v>
      </c>
      <c r="E1341">
        <v>1613.3320000000001</v>
      </c>
      <c r="F1341">
        <f t="shared" si="81"/>
        <v>1480</v>
      </c>
      <c r="G1341">
        <f t="shared" si="83"/>
        <v>9.0089189189189263</v>
      </c>
      <c r="H1341">
        <f t="shared" si="84"/>
        <v>8.2643869953611588</v>
      </c>
    </row>
    <row r="1342" spans="1:8" x14ac:dyDescent="0.25">
      <c r="A1342" t="str">
        <f t="shared" si="82"/>
        <v>Direct,USnet,40</v>
      </c>
      <c r="B1342" t="s">
        <v>33</v>
      </c>
      <c r="C1342" t="s">
        <v>7</v>
      </c>
      <c r="D1342">
        <v>40</v>
      </c>
      <c r="E1342">
        <v>1640.9110000000001</v>
      </c>
      <c r="F1342">
        <f t="shared" si="81"/>
        <v>1480</v>
      </c>
      <c r="G1342">
        <f t="shared" si="83"/>
        <v>10.872364864864869</v>
      </c>
      <c r="H1342">
        <f t="shared" si="84"/>
        <v>9.8061991174414729</v>
      </c>
    </row>
    <row r="1343" spans="1:8" x14ac:dyDescent="0.25">
      <c r="A1343" t="str">
        <f t="shared" si="82"/>
        <v>Direct,USnet,40</v>
      </c>
      <c r="B1343" t="s">
        <v>33</v>
      </c>
      <c r="C1343" t="s">
        <v>7</v>
      </c>
      <c r="D1343">
        <v>40</v>
      </c>
      <c r="E1343">
        <v>1577.45</v>
      </c>
      <c r="F1343">
        <f t="shared" si="81"/>
        <v>1480</v>
      </c>
      <c r="G1343">
        <f t="shared" si="83"/>
        <v>6.5844594594594632</v>
      </c>
      <c r="H1343">
        <f t="shared" si="84"/>
        <v>6.1776918444324727</v>
      </c>
    </row>
    <row r="1344" spans="1:8" x14ac:dyDescent="0.25">
      <c r="A1344" t="str">
        <f t="shared" si="82"/>
        <v>Direct,USnet,40</v>
      </c>
      <c r="B1344" t="s">
        <v>33</v>
      </c>
      <c r="C1344" t="s">
        <v>7</v>
      </c>
      <c r="D1344">
        <v>40</v>
      </c>
      <c r="E1344">
        <v>1571.1890000000001</v>
      </c>
      <c r="F1344">
        <f t="shared" si="81"/>
        <v>1480</v>
      </c>
      <c r="G1344">
        <f t="shared" si="83"/>
        <v>6.1614189189189243</v>
      </c>
      <c r="H1344">
        <f t="shared" si="84"/>
        <v>5.8038211825566544</v>
      </c>
    </row>
    <row r="1345" spans="1:8" x14ac:dyDescent="0.25">
      <c r="A1345" t="str">
        <f t="shared" si="82"/>
        <v>Direct,USnet,40</v>
      </c>
      <c r="B1345" t="s">
        <v>33</v>
      </c>
      <c r="C1345" t="s">
        <v>7</v>
      </c>
      <c r="D1345">
        <v>40</v>
      </c>
      <c r="E1345">
        <v>1593.9739999999999</v>
      </c>
      <c r="F1345">
        <f t="shared" si="81"/>
        <v>1480</v>
      </c>
      <c r="G1345">
        <f t="shared" si="83"/>
        <v>7.700945945945942</v>
      </c>
      <c r="H1345">
        <f t="shared" si="84"/>
        <v>7.1503048355870265</v>
      </c>
    </row>
    <row r="1346" spans="1:8" x14ac:dyDescent="0.25">
      <c r="A1346" t="str">
        <f t="shared" si="82"/>
        <v>Direct,USnet,40</v>
      </c>
      <c r="B1346" t="s">
        <v>33</v>
      </c>
      <c r="C1346" t="s">
        <v>7</v>
      </c>
      <c r="D1346">
        <v>40</v>
      </c>
      <c r="E1346">
        <v>1619.0719999999999</v>
      </c>
      <c r="F1346">
        <f t="shared" si="81"/>
        <v>1480</v>
      </c>
      <c r="G1346">
        <f t="shared" si="83"/>
        <v>9.3967567567567496</v>
      </c>
      <c r="H1346">
        <f t="shared" si="84"/>
        <v>8.5896118270218924</v>
      </c>
    </row>
    <row r="1347" spans="1:8" x14ac:dyDescent="0.25">
      <c r="A1347" t="str">
        <f t="shared" si="82"/>
        <v>Direct,USnet,40</v>
      </c>
      <c r="B1347" t="s">
        <v>33</v>
      </c>
      <c r="C1347" t="s">
        <v>7</v>
      </c>
      <c r="D1347">
        <v>40</v>
      </c>
      <c r="E1347">
        <v>1568.8240000000001</v>
      </c>
      <c r="F1347">
        <f t="shared" ref="F1347:F1410" si="85">_xlfn.XLOOKUP(A1347,$J$3:$J$36,$N$3:$N$36)</f>
        <v>1480</v>
      </c>
      <c r="G1347">
        <f t="shared" si="83"/>
        <v>6.0016216216216263</v>
      </c>
      <c r="H1347">
        <f t="shared" si="84"/>
        <v>5.661820573882097</v>
      </c>
    </row>
    <row r="1348" spans="1:8" x14ac:dyDescent="0.25">
      <c r="A1348" t="str">
        <f t="shared" ref="A1348:A1411" si="86">B1348&amp;","&amp;C1348&amp;","&amp;D1348</f>
        <v>Direct,USnet,40</v>
      </c>
      <c r="B1348" t="s">
        <v>33</v>
      </c>
      <c r="C1348" t="s">
        <v>7</v>
      </c>
      <c r="D1348">
        <v>40</v>
      </c>
      <c r="E1348">
        <v>1580.2059999999999</v>
      </c>
      <c r="F1348">
        <f t="shared" si="85"/>
        <v>1480</v>
      </c>
      <c r="G1348">
        <f t="shared" ref="G1348:G1411" si="87">ABS((E1348-F1348)/F1348)*100</f>
        <v>6.770675675675669</v>
      </c>
      <c r="H1348">
        <f t="shared" ref="H1348:H1411" si="88">ABS((F1348-E1348)/E1348)*100</f>
        <v>6.3413251183706372</v>
      </c>
    </row>
    <row r="1349" spans="1:8" x14ac:dyDescent="0.25">
      <c r="A1349" t="str">
        <f t="shared" si="86"/>
        <v>Direct,USnet,40</v>
      </c>
      <c r="B1349" t="s">
        <v>33</v>
      </c>
      <c r="C1349" t="s">
        <v>7</v>
      </c>
      <c r="D1349">
        <v>40</v>
      </c>
      <c r="E1349">
        <v>1581.3879999999999</v>
      </c>
      <c r="F1349">
        <f t="shared" si="85"/>
        <v>1480</v>
      </c>
      <c r="G1349">
        <f t="shared" si="87"/>
        <v>6.8505405405405355</v>
      </c>
      <c r="H1349">
        <f t="shared" si="88"/>
        <v>6.4113297938266838</v>
      </c>
    </row>
    <row r="1350" spans="1:8" x14ac:dyDescent="0.25">
      <c r="A1350" t="str">
        <f t="shared" si="86"/>
        <v>Direct,USnet,40</v>
      </c>
      <c r="B1350" t="s">
        <v>33</v>
      </c>
      <c r="C1350" t="s">
        <v>7</v>
      </c>
      <c r="D1350">
        <v>40</v>
      </c>
      <c r="E1350">
        <v>1604.0709999999999</v>
      </c>
      <c r="F1350">
        <f t="shared" si="85"/>
        <v>1480</v>
      </c>
      <c r="G1350">
        <f t="shared" si="87"/>
        <v>8.3831756756756697</v>
      </c>
      <c r="H1350">
        <f t="shared" si="88"/>
        <v>7.7347573766996556</v>
      </c>
    </row>
    <row r="1351" spans="1:8" x14ac:dyDescent="0.25">
      <c r="A1351" t="str">
        <f t="shared" si="86"/>
        <v>Direct,USnet,40</v>
      </c>
      <c r="B1351" t="s">
        <v>33</v>
      </c>
      <c r="C1351" t="s">
        <v>7</v>
      </c>
      <c r="D1351">
        <v>40</v>
      </c>
      <c r="E1351">
        <v>1552.915</v>
      </c>
      <c r="F1351">
        <f t="shared" si="85"/>
        <v>1480</v>
      </c>
      <c r="G1351">
        <f t="shared" si="87"/>
        <v>4.9266891891891866</v>
      </c>
      <c r="H1351">
        <f t="shared" si="88"/>
        <v>4.695363236236366</v>
      </c>
    </row>
    <row r="1352" spans="1:8" x14ac:dyDescent="0.25">
      <c r="A1352" t="str">
        <f t="shared" si="86"/>
        <v>Direct,USnet,40</v>
      </c>
      <c r="B1352" t="s">
        <v>33</v>
      </c>
      <c r="C1352" t="s">
        <v>7</v>
      </c>
      <c r="D1352">
        <v>40</v>
      </c>
      <c r="E1352">
        <v>1582.8810000000001</v>
      </c>
      <c r="F1352">
        <f t="shared" si="85"/>
        <v>1480</v>
      </c>
      <c r="G1352">
        <f t="shared" si="87"/>
        <v>6.9514189189189253</v>
      </c>
      <c r="H1352">
        <f t="shared" si="88"/>
        <v>6.4996042027164442</v>
      </c>
    </row>
    <row r="1353" spans="1:8" x14ac:dyDescent="0.25">
      <c r="A1353" t="str">
        <f t="shared" si="86"/>
        <v>Direct,USnet,40</v>
      </c>
      <c r="B1353" t="s">
        <v>33</v>
      </c>
      <c r="C1353" t="s">
        <v>7</v>
      </c>
      <c r="D1353">
        <v>40</v>
      </c>
      <c r="E1353">
        <v>1546.05</v>
      </c>
      <c r="F1353">
        <f t="shared" si="85"/>
        <v>1480</v>
      </c>
      <c r="G1353">
        <f t="shared" si="87"/>
        <v>4.4628378378378342</v>
      </c>
      <c r="H1353">
        <f t="shared" si="88"/>
        <v>4.2721774845574174</v>
      </c>
    </row>
    <row r="1354" spans="1:8" x14ac:dyDescent="0.25">
      <c r="A1354" t="str">
        <f t="shared" si="86"/>
        <v>Direct,USnet,40</v>
      </c>
      <c r="B1354" t="s">
        <v>33</v>
      </c>
      <c r="C1354" t="s">
        <v>7</v>
      </c>
      <c r="D1354">
        <v>40</v>
      </c>
      <c r="E1354">
        <v>1543.7</v>
      </c>
      <c r="F1354">
        <f t="shared" si="85"/>
        <v>1480</v>
      </c>
      <c r="G1354">
        <f t="shared" si="87"/>
        <v>4.3040540540540571</v>
      </c>
      <c r="H1354">
        <f t="shared" si="88"/>
        <v>4.1264494396579678</v>
      </c>
    </row>
    <row r="1355" spans="1:8" x14ac:dyDescent="0.25">
      <c r="A1355" t="str">
        <f t="shared" si="86"/>
        <v>Direct,USnet,40</v>
      </c>
      <c r="B1355" t="s">
        <v>33</v>
      </c>
      <c r="C1355" t="s">
        <v>7</v>
      </c>
      <c r="D1355">
        <v>40</v>
      </c>
      <c r="E1355">
        <v>1620.6759999999999</v>
      </c>
      <c r="F1355">
        <f t="shared" si="85"/>
        <v>1480</v>
      </c>
      <c r="G1355">
        <f t="shared" si="87"/>
        <v>9.5051351351351308</v>
      </c>
      <c r="H1355">
        <f t="shared" si="88"/>
        <v>8.6800816449432183</v>
      </c>
    </row>
    <row r="1356" spans="1:8" x14ac:dyDescent="0.25">
      <c r="A1356" t="str">
        <f t="shared" si="86"/>
        <v>Direct,USnet,40</v>
      </c>
      <c r="B1356" t="s">
        <v>33</v>
      </c>
      <c r="C1356" t="s">
        <v>7</v>
      </c>
      <c r="D1356">
        <v>40</v>
      </c>
      <c r="E1356">
        <v>1564.5070000000001</v>
      </c>
      <c r="F1356">
        <f t="shared" si="85"/>
        <v>1480</v>
      </c>
      <c r="G1356">
        <f t="shared" si="87"/>
        <v>5.7099324324324368</v>
      </c>
      <c r="H1356">
        <f t="shared" si="88"/>
        <v>5.4015098686039789</v>
      </c>
    </row>
    <row r="1357" spans="1:8" x14ac:dyDescent="0.25">
      <c r="A1357" t="str">
        <f t="shared" si="86"/>
        <v>Direct,USnet,40</v>
      </c>
      <c r="B1357" t="s">
        <v>33</v>
      </c>
      <c r="C1357" t="s">
        <v>7</v>
      </c>
      <c r="D1357">
        <v>40</v>
      </c>
      <c r="E1357">
        <v>1582.729</v>
      </c>
      <c r="F1357">
        <f t="shared" si="85"/>
        <v>1480</v>
      </c>
      <c r="G1357">
        <f t="shared" si="87"/>
        <v>6.9411486486486513</v>
      </c>
      <c r="H1357">
        <f t="shared" si="88"/>
        <v>6.4906247373997719</v>
      </c>
    </row>
    <row r="1358" spans="1:8" x14ac:dyDescent="0.25">
      <c r="A1358" t="str">
        <f t="shared" si="86"/>
        <v>Direct,USnet,40</v>
      </c>
      <c r="B1358" t="s">
        <v>33</v>
      </c>
      <c r="C1358" t="s">
        <v>7</v>
      </c>
      <c r="D1358">
        <v>40</v>
      </c>
      <c r="E1358">
        <v>1603.09</v>
      </c>
      <c r="F1358">
        <f t="shared" si="85"/>
        <v>1480</v>
      </c>
      <c r="G1358">
        <f t="shared" si="87"/>
        <v>8.3168918918918866</v>
      </c>
      <c r="H1358">
        <f t="shared" si="88"/>
        <v>7.6782962902893743</v>
      </c>
    </row>
    <row r="1359" spans="1:8" x14ac:dyDescent="0.25">
      <c r="A1359" t="str">
        <f t="shared" si="86"/>
        <v>Direct,USnet,40</v>
      </c>
      <c r="B1359" t="s">
        <v>33</v>
      </c>
      <c r="C1359" t="s">
        <v>7</v>
      </c>
      <c r="D1359">
        <v>40</v>
      </c>
      <c r="E1359">
        <v>1622.6089999999999</v>
      </c>
      <c r="F1359">
        <f t="shared" si="85"/>
        <v>1480</v>
      </c>
      <c r="G1359">
        <f t="shared" si="87"/>
        <v>9.6357432432432368</v>
      </c>
      <c r="H1359">
        <f t="shared" si="88"/>
        <v>8.7888702700404053</v>
      </c>
    </row>
    <row r="1360" spans="1:8" x14ac:dyDescent="0.25">
      <c r="A1360" t="str">
        <f t="shared" si="86"/>
        <v>Direct,USnet,40</v>
      </c>
      <c r="B1360" t="s">
        <v>33</v>
      </c>
      <c r="C1360" t="s">
        <v>7</v>
      </c>
      <c r="D1360">
        <v>40</v>
      </c>
      <c r="E1360">
        <v>1568.8240000000001</v>
      </c>
      <c r="F1360">
        <f t="shared" si="85"/>
        <v>1480</v>
      </c>
      <c r="G1360">
        <f t="shared" si="87"/>
        <v>6.0016216216216263</v>
      </c>
      <c r="H1360">
        <f t="shared" si="88"/>
        <v>5.661820573882097</v>
      </c>
    </row>
    <row r="1361" spans="1:8" x14ac:dyDescent="0.25">
      <c r="A1361" t="str">
        <f t="shared" si="86"/>
        <v>Direct,USnet,40</v>
      </c>
      <c r="B1361" t="s">
        <v>33</v>
      </c>
      <c r="C1361" t="s">
        <v>7</v>
      </c>
      <c r="D1361">
        <v>40</v>
      </c>
      <c r="E1361">
        <v>1594.3320000000001</v>
      </c>
      <c r="F1361">
        <f t="shared" si="85"/>
        <v>1480</v>
      </c>
      <c r="G1361">
        <f t="shared" si="87"/>
        <v>7.7251351351351429</v>
      </c>
      <c r="H1361">
        <f t="shared" si="88"/>
        <v>7.1711538123803642</v>
      </c>
    </row>
    <row r="1362" spans="1:8" x14ac:dyDescent="0.25">
      <c r="A1362" t="str">
        <f t="shared" si="86"/>
        <v>Direct,USnet,40</v>
      </c>
      <c r="B1362" t="s">
        <v>33</v>
      </c>
      <c r="C1362" t="s">
        <v>7</v>
      </c>
      <c r="D1362">
        <v>40</v>
      </c>
      <c r="E1362">
        <v>1584.394</v>
      </c>
      <c r="F1362">
        <f t="shared" si="85"/>
        <v>1480</v>
      </c>
      <c r="G1362">
        <f t="shared" si="87"/>
        <v>7.0536486486486485</v>
      </c>
      <c r="H1362">
        <f t="shared" si="88"/>
        <v>6.5888913994877534</v>
      </c>
    </row>
    <row r="1363" spans="1:8" x14ac:dyDescent="0.25">
      <c r="A1363" t="str">
        <f t="shared" si="86"/>
        <v>Direct,USnet,40</v>
      </c>
      <c r="B1363" t="s">
        <v>33</v>
      </c>
      <c r="C1363" t="s">
        <v>7</v>
      </c>
      <c r="D1363">
        <v>40</v>
      </c>
      <c r="E1363">
        <v>1574.1410000000001</v>
      </c>
      <c r="F1363">
        <f t="shared" si="85"/>
        <v>1480</v>
      </c>
      <c r="G1363">
        <f t="shared" si="87"/>
        <v>6.3608783783783833</v>
      </c>
      <c r="H1363">
        <f t="shared" si="88"/>
        <v>5.9804680775102153</v>
      </c>
    </row>
    <row r="1364" spans="1:8" x14ac:dyDescent="0.25">
      <c r="A1364" t="str">
        <f t="shared" si="86"/>
        <v>Direct,USnet,40</v>
      </c>
      <c r="B1364" t="s">
        <v>33</v>
      </c>
      <c r="C1364" t="s">
        <v>7</v>
      </c>
      <c r="D1364">
        <v>40</v>
      </c>
      <c r="E1364">
        <v>1583.277</v>
      </c>
      <c r="F1364">
        <f t="shared" si="85"/>
        <v>1480</v>
      </c>
      <c r="G1364">
        <f t="shared" si="87"/>
        <v>6.9781756756756783</v>
      </c>
      <c r="H1364">
        <f t="shared" si="88"/>
        <v>6.5229899758538812</v>
      </c>
    </row>
    <row r="1365" spans="1:8" x14ac:dyDescent="0.25">
      <c r="A1365" t="str">
        <f t="shared" si="86"/>
        <v>Direct,USnet,40</v>
      </c>
      <c r="B1365" t="s">
        <v>33</v>
      </c>
      <c r="C1365" t="s">
        <v>7</v>
      </c>
      <c r="D1365">
        <v>40</v>
      </c>
      <c r="E1365">
        <v>1570.1079999999999</v>
      </c>
      <c r="F1365">
        <f t="shared" si="85"/>
        <v>1480</v>
      </c>
      <c r="G1365">
        <f t="shared" si="87"/>
        <v>6.0883783783783754</v>
      </c>
      <c r="H1365">
        <f t="shared" si="88"/>
        <v>5.7389682747938329</v>
      </c>
    </row>
    <row r="1366" spans="1:8" x14ac:dyDescent="0.25">
      <c r="A1366" t="str">
        <f t="shared" si="86"/>
        <v>Direct,USnet,40</v>
      </c>
      <c r="B1366" t="s">
        <v>33</v>
      </c>
      <c r="C1366" t="s">
        <v>7</v>
      </c>
      <c r="D1366">
        <v>40</v>
      </c>
      <c r="E1366">
        <v>1585.057</v>
      </c>
      <c r="F1366">
        <f t="shared" si="85"/>
        <v>1480</v>
      </c>
      <c r="G1366">
        <f t="shared" si="87"/>
        <v>7.0984459459459472</v>
      </c>
      <c r="H1366">
        <f t="shared" si="88"/>
        <v>6.627963536957977</v>
      </c>
    </row>
    <row r="1367" spans="1:8" x14ac:dyDescent="0.25">
      <c r="A1367" t="str">
        <f t="shared" si="86"/>
        <v>Direct,USnet,40</v>
      </c>
      <c r="B1367" t="s">
        <v>33</v>
      </c>
      <c r="C1367" t="s">
        <v>7</v>
      </c>
      <c r="D1367">
        <v>40</v>
      </c>
      <c r="E1367">
        <v>1595.8019999999999</v>
      </c>
      <c r="F1367">
        <f t="shared" si="85"/>
        <v>1480</v>
      </c>
      <c r="G1367">
        <f t="shared" si="87"/>
        <v>7.8244594594594528</v>
      </c>
      <c r="H1367">
        <f t="shared" si="88"/>
        <v>7.2566646739382401</v>
      </c>
    </row>
    <row r="1368" spans="1:8" x14ac:dyDescent="0.25">
      <c r="A1368" t="str">
        <f t="shared" si="86"/>
        <v>Direct,USnet,40</v>
      </c>
      <c r="B1368" t="s">
        <v>33</v>
      </c>
      <c r="C1368" t="s">
        <v>7</v>
      </c>
      <c r="D1368">
        <v>40</v>
      </c>
      <c r="E1368">
        <v>1557.0530000000001</v>
      </c>
      <c r="F1368">
        <f t="shared" si="85"/>
        <v>1480</v>
      </c>
      <c r="G1368">
        <f t="shared" si="87"/>
        <v>5.2062837837837908</v>
      </c>
      <c r="H1368">
        <f t="shared" si="88"/>
        <v>4.948643366667679</v>
      </c>
    </row>
    <row r="1369" spans="1:8" x14ac:dyDescent="0.25">
      <c r="A1369" t="str">
        <f t="shared" si="86"/>
        <v>Direct,USnet,40</v>
      </c>
      <c r="B1369" t="s">
        <v>33</v>
      </c>
      <c r="C1369" t="s">
        <v>7</v>
      </c>
      <c r="D1369">
        <v>40</v>
      </c>
      <c r="E1369">
        <v>1545.2739999999999</v>
      </c>
      <c r="F1369">
        <f t="shared" si="85"/>
        <v>1480</v>
      </c>
      <c r="G1369">
        <f t="shared" si="87"/>
        <v>4.410405405405398</v>
      </c>
      <c r="H1369">
        <f t="shared" si="88"/>
        <v>4.224105239588571</v>
      </c>
    </row>
    <row r="1370" spans="1:8" x14ac:dyDescent="0.25">
      <c r="A1370" t="str">
        <f t="shared" si="86"/>
        <v>Direct,USnet,40</v>
      </c>
      <c r="B1370" t="s">
        <v>33</v>
      </c>
      <c r="C1370" t="s">
        <v>7</v>
      </c>
      <c r="D1370">
        <v>40</v>
      </c>
      <c r="E1370">
        <v>1575.567</v>
      </c>
      <c r="F1370">
        <f t="shared" si="85"/>
        <v>1480</v>
      </c>
      <c r="G1370">
        <f t="shared" si="87"/>
        <v>6.4572297297297299</v>
      </c>
      <c r="H1370">
        <f t="shared" si="88"/>
        <v>6.0655624292714947</v>
      </c>
    </row>
    <row r="1371" spans="1:8" x14ac:dyDescent="0.25">
      <c r="A1371" t="str">
        <f t="shared" si="86"/>
        <v>Direct,USnet,40</v>
      </c>
      <c r="B1371" t="s">
        <v>33</v>
      </c>
      <c r="C1371" t="s">
        <v>7</v>
      </c>
      <c r="D1371">
        <v>40</v>
      </c>
      <c r="E1371">
        <v>1570.789</v>
      </c>
      <c r="F1371">
        <f t="shared" si="85"/>
        <v>1480</v>
      </c>
      <c r="G1371">
        <f t="shared" si="87"/>
        <v>6.1343918918918909</v>
      </c>
      <c r="H1371">
        <f t="shared" si="88"/>
        <v>5.7798342107055749</v>
      </c>
    </row>
    <row r="1372" spans="1:8" x14ac:dyDescent="0.25">
      <c r="A1372" t="str">
        <f t="shared" si="86"/>
        <v>Direct,USnet,40</v>
      </c>
      <c r="B1372" t="s">
        <v>33</v>
      </c>
      <c r="C1372" t="s">
        <v>7</v>
      </c>
      <c r="D1372">
        <v>40</v>
      </c>
      <c r="E1372">
        <v>1559.3309999999999</v>
      </c>
      <c r="F1372">
        <f t="shared" si="85"/>
        <v>1480</v>
      </c>
      <c r="G1372">
        <f t="shared" si="87"/>
        <v>5.3602027027026962</v>
      </c>
      <c r="H1372">
        <f t="shared" si="88"/>
        <v>5.0875022686010807</v>
      </c>
    </row>
    <row r="1373" spans="1:8" x14ac:dyDescent="0.25">
      <c r="A1373" t="str">
        <f t="shared" si="86"/>
        <v>Direct,USnet,40</v>
      </c>
      <c r="B1373" t="s">
        <v>33</v>
      </c>
      <c r="C1373" t="s">
        <v>7</v>
      </c>
      <c r="D1373">
        <v>40</v>
      </c>
      <c r="E1373">
        <v>1552.962</v>
      </c>
      <c r="F1373">
        <f t="shared" si="85"/>
        <v>1480</v>
      </c>
      <c r="G1373">
        <f t="shared" si="87"/>
        <v>4.9298648648648644</v>
      </c>
      <c r="H1373">
        <f t="shared" si="88"/>
        <v>4.6982476068313321</v>
      </c>
    </row>
    <row r="1374" spans="1:8" x14ac:dyDescent="0.25">
      <c r="A1374" t="str">
        <f t="shared" si="86"/>
        <v>Direct,USnet,40</v>
      </c>
      <c r="B1374" t="s">
        <v>33</v>
      </c>
      <c r="C1374" t="s">
        <v>7</v>
      </c>
      <c r="D1374">
        <v>40</v>
      </c>
      <c r="E1374">
        <v>1603.335</v>
      </c>
      <c r="F1374">
        <f t="shared" si="85"/>
        <v>1480</v>
      </c>
      <c r="G1374">
        <f t="shared" si="87"/>
        <v>8.3334459459459485</v>
      </c>
      <c r="H1374">
        <f t="shared" si="88"/>
        <v>7.6924036461500576</v>
      </c>
    </row>
    <row r="1375" spans="1:8" x14ac:dyDescent="0.25">
      <c r="A1375" t="str">
        <f t="shared" si="86"/>
        <v>Direct,USnet,40</v>
      </c>
      <c r="B1375" t="s">
        <v>33</v>
      </c>
      <c r="C1375" t="s">
        <v>7</v>
      </c>
      <c r="D1375">
        <v>40</v>
      </c>
      <c r="E1375">
        <v>1589.434</v>
      </c>
      <c r="F1375">
        <f t="shared" si="85"/>
        <v>1480</v>
      </c>
      <c r="G1375">
        <f t="shared" si="87"/>
        <v>7.3941891891891878</v>
      </c>
      <c r="H1375">
        <f t="shared" si="88"/>
        <v>6.8850924291288589</v>
      </c>
    </row>
    <row r="1376" spans="1:8" x14ac:dyDescent="0.25">
      <c r="A1376" t="str">
        <f t="shared" si="86"/>
        <v>Direct,USnet,40</v>
      </c>
      <c r="B1376" t="s">
        <v>33</v>
      </c>
      <c r="C1376" t="s">
        <v>7</v>
      </c>
      <c r="D1376">
        <v>40</v>
      </c>
      <c r="E1376">
        <v>1550.346</v>
      </c>
      <c r="F1376">
        <f t="shared" si="85"/>
        <v>1480</v>
      </c>
      <c r="G1376">
        <f t="shared" si="87"/>
        <v>4.7531081081081084</v>
      </c>
      <c r="H1376">
        <f t="shared" si="88"/>
        <v>4.53743873948138</v>
      </c>
    </row>
    <row r="1377" spans="1:8" x14ac:dyDescent="0.25">
      <c r="A1377" t="str">
        <f t="shared" si="86"/>
        <v>Direct,USnet,40</v>
      </c>
      <c r="B1377" t="s">
        <v>33</v>
      </c>
      <c r="C1377" t="s">
        <v>7</v>
      </c>
      <c r="D1377">
        <v>40</v>
      </c>
      <c r="E1377">
        <v>1576.4760000000001</v>
      </c>
      <c r="F1377">
        <f t="shared" si="85"/>
        <v>1480</v>
      </c>
      <c r="G1377">
        <f t="shared" si="87"/>
        <v>6.5186486486486563</v>
      </c>
      <c r="H1377">
        <f t="shared" si="88"/>
        <v>6.1197252606446346</v>
      </c>
    </row>
    <row r="1378" spans="1:8" x14ac:dyDescent="0.25">
      <c r="A1378" t="str">
        <f t="shared" si="86"/>
        <v>Direct,USnet,40</v>
      </c>
      <c r="B1378" t="s">
        <v>33</v>
      </c>
      <c r="C1378" t="s">
        <v>7</v>
      </c>
      <c r="D1378">
        <v>40</v>
      </c>
      <c r="E1378">
        <v>1596.9949999999999</v>
      </c>
      <c r="F1378">
        <f t="shared" si="85"/>
        <v>1480</v>
      </c>
      <c r="G1378">
        <f t="shared" si="87"/>
        <v>7.9050675675675599</v>
      </c>
      <c r="H1378">
        <f t="shared" si="88"/>
        <v>7.3259465433517263</v>
      </c>
    </row>
    <row r="1379" spans="1:8" x14ac:dyDescent="0.25">
      <c r="A1379" t="str">
        <f t="shared" si="86"/>
        <v>Direct,USnet,40</v>
      </c>
      <c r="B1379" t="s">
        <v>33</v>
      </c>
      <c r="C1379" t="s">
        <v>7</v>
      </c>
      <c r="D1379">
        <v>40</v>
      </c>
      <c r="E1379">
        <v>1620.758</v>
      </c>
      <c r="F1379">
        <f t="shared" si="85"/>
        <v>1480</v>
      </c>
      <c r="G1379">
        <f t="shared" si="87"/>
        <v>9.5106756756756781</v>
      </c>
      <c r="H1379">
        <f t="shared" si="88"/>
        <v>8.6847018493815877</v>
      </c>
    </row>
    <row r="1380" spans="1:8" x14ac:dyDescent="0.25">
      <c r="A1380" t="str">
        <f t="shared" si="86"/>
        <v>Direct,USnet,40</v>
      </c>
      <c r="B1380" t="s">
        <v>33</v>
      </c>
      <c r="C1380" t="s">
        <v>7</v>
      </c>
      <c r="D1380">
        <v>40</v>
      </c>
      <c r="E1380">
        <v>1574.8019999999999</v>
      </c>
      <c r="F1380">
        <f t="shared" si="85"/>
        <v>1480</v>
      </c>
      <c r="G1380">
        <f t="shared" si="87"/>
        <v>6.4055405405405343</v>
      </c>
      <c r="H1380">
        <f t="shared" si="88"/>
        <v>6.0199313945499124</v>
      </c>
    </row>
    <row r="1381" spans="1:8" x14ac:dyDescent="0.25">
      <c r="A1381" t="str">
        <f t="shared" si="86"/>
        <v>Direct,USnet,40</v>
      </c>
      <c r="B1381" t="s">
        <v>33</v>
      </c>
      <c r="C1381" t="s">
        <v>7</v>
      </c>
      <c r="D1381">
        <v>40</v>
      </c>
      <c r="E1381">
        <v>1594.548</v>
      </c>
      <c r="F1381">
        <f t="shared" si="85"/>
        <v>1480</v>
      </c>
      <c r="G1381">
        <f t="shared" si="87"/>
        <v>7.7397297297297305</v>
      </c>
      <c r="H1381">
        <f t="shared" si="88"/>
        <v>7.1837285550513368</v>
      </c>
    </row>
    <row r="1382" spans="1:8" x14ac:dyDescent="0.25">
      <c r="A1382" t="str">
        <f t="shared" si="86"/>
        <v>Direct,USnet,40</v>
      </c>
      <c r="B1382" t="s">
        <v>33</v>
      </c>
      <c r="C1382" t="s">
        <v>7</v>
      </c>
      <c r="D1382">
        <v>40</v>
      </c>
      <c r="E1382">
        <v>1560.087</v>
      </c>
      <c r="F1382">
        <f t="shared" si="85"/>
        <v>1480</v>
      </c>
      <c r="G1382">
        <f t="shared" si="87"/>
        <v>5.4112837837837828</v>
      </c>
      <c r="H1382">
        <f t="shared" si="88"/>
        <v>5.1334957601723481</v>
      </c>
    </row>
    <row r="1383" spans="1:8" x14ac:dyDescent="0.25">
      <c r="A1383" t="str">
        <f t="shared" si="86"/>
        <v>Direct,USnet,40</v>
      </c>
      <c r="B1383" t="s">
        <v>33</v>
      </c>
      <c r="C1383" t="s">
        <v>7</v>
      </c>
      <c r="D1383">
        <v>40</v>
      </c>
      <c r="E1383">
        <v>1577.4290000000001</v>
      </c>
      <c r="F1383">
        <f t="shared" si="85"/>
        <v>1480</v>
      </c>
      <c r="G1383">
        <f t="shared" si="87"/>
        <v>6.583040540540547</v>
      </c>
      <c r="H1383">
        <f t="shared" si="88"/>
        <v>6.1764428066176089</v>
      </c>
    </row>
    <row r="1384" spans="1:8" x14ac:dyDescent="0.25">
      <c r="A1384" t="str">
        <f t="shared" si="86"/>
        <v>Direct,USnet,40</v>
      </c>
      <c r="B1384" t="s">
        <v>33</v>
      </c>
      <c r="C1384" t="s">
        <v>7</v>
      </c>
      <c r="D1384">
        <v>40</v>
      </c>
      <c r="E1384">
        <v>1597.3320000000001</v>
      </c>
      <c r="F1384">
        <f t="shared" si="85"/>
        <v>1480</v>
      </c>
      <c r="G1384">
        <f t="shared" si="87"/>
        <v>7.9278378378378447</v>
      </c>
      <c r="H1384">
        <f t="shared" si="88"/>
        <v>7.3454986189471008</v>
      </c>
    </row>
    <row r="1385" spans="1:8" x14ac:dyDescent="0.25">
      <c r="A1385" t="str">
        <f t="shared" si="86"/>
        <v>Direct,USnet,40</v>
      </c>
      <c r="B1385" t="s">
        <v>33</v>
      </c>
      <c r="C1385" t="s">
        <v>7</v>
      </c>
      <c r="D1385">
        <v>40</v>
      </c>
      <c r="E1385">
        <v>1608.769</v>
      </c>
      <c r="F1385">
        <f t="shared" si="85"/>
        <v>1480</v>
      </c>
      <c r="G1385">
        <f t="shared" si="87"/>
        <v>8.7006081081081081</v>
      </c>
      <c r="H1385">
        <f t="shared" si="88"/>
        <v>8.004194511455653</v>
      </c>
    </row>
    <row r="1386" spans="1:8" x14ac:dyDescent="0.25">
      <c r="A1386" t="str">
        <f t="shared" si="86"/>
        <v>Direct,USnet,40</v>
      </c>
      <c r="B1386" t="s">
        <v>33</v>
      </c>
      <c r="C1386" t="s">
        <v>7</v>
      </c>
      <c r="D1386">
        <v>40</v>
      </c>
      <c r="E1386">
        <v>1628.3710000000001</v>
      </c>
      <c r="F1386">
        <f t="shared" si="85"/>
        <v>1480</v>
      </c>
      <c r="G1386">
        <f t="shared" si="87"/>
        <v>10.025067567567573</v>
      </c>
      <c r="H1386">
        <f t="shared" si="88"/>
        <v>9.1116213688403995</v>
      </c>
    </row>
    <row r="1387" spans="1:8" x14ac:dyDescent="0.25">
      <c r="A1387" t="str">
        <f t="shared" si="86"/>
        <v>Direct,USnet,40</v>
      </c>
      <c r="B1387" t="s">
        <v>33</v>
      </c>
      <c r="C1387" t="s">
        <v>7</v>
      </c>
      <c r="D1387">
        <v>40</v>
      </c>
      <c r="E1387">
        <v>1579.028</v>
      </c>
      <c r="F1387">
        <f t="shared" si="85"/>
        <v>1480</v>
      </c>
      <c r="G1387">
        <f t="shared" si="87"/>
        <v>6.6910810810810819</v>
      </c>
      <c r="H1387">
        <f t="shared" si="88"/>
        <v>6.2714530711298355</v>
      </c>
    </row>
    <row r="1388" spans="1:8" x14ac:dyDescent="0.25">
      <c r="A1388" t="str">
        <f t="shared" si="86"/>
        <v>Direct,USnet,40</v>
      </c>
      <c r="B1388" t="s">
        <v>33</v>
      </c>
      <c r="C1388" t="s">
        <v>7</v>
      </c>
      <c r="D1388">
        <v>40</v>
      </c>
      <c r="E1388">
        <v>1566.837</v>
      </c>
      <c r="F1388">
        <f t="shared" si="85"/>
        <v>1480</v>
      </c>
      <c r="G1388">
        <f t="shared" si="87"/>
        <v>5.8673648648648644</v>
      </c>
      <c r="H1388">
        <f t="shared" si="88"/>
        <v>5.5421846688583427</v>
      </c>
    </row>
    <row r="1389" spans="1:8" x14ac:dyDescent="0.25">
      <c r="A1389" t="str">
        <f t="shared" si="86"/>
        <v>Direct,USnet,40</v>
      </c>
      <c r="B1389" t="s">
        <v>33</v>
      </c>
      <c r="C1389" t="s">
        <v>7</v>
      </c>
      <c r="D1389">
        <v>40</v>
      </c>
      <c r="E1389">
        <v>1629.703</v>
      </c>
      <c r="F1389">
        <f t="shared" si="85"/>
        <v>1480</v>
      </c>
      <c r="G1389">
        <f t="shared" si="87"/>
        <v>10.115067567567566</v>
      </c>
      <c r="H1389">
        <f t="shared" si="88"/>
        <v>9.1859068799652448</v>
      </c>
    </row>
    <row r="1390" spans="1:8" x14ac:dyDescent="0.25">
      <c r="A1390" t="str">
        <f t="shared" si="86"/>
        <v>Direct,USnet,40</v>
      </c>
      <c r="B1390" t="s">
        <v>33</v>
      </c>
      <c r="C1390" t="s">
        <v>7</v>
      </c>
      <c r="D1390">
        <v>40</v>
      </c>
      <c r="E1390">
        <v>1571.145</v>
      </c>
      <c r="F1390">
        <f t="shared" si="85"/>
        <v>1480</v>
      </c>
      <c r="G1390">
        <f t="shared" si="87"/>
        <v>6.1584459459459442</v>
      </c>
      <c r="H1390">
        <f t="shared" si="88"/>
        <v>5.8011832135162562</v>
      </c>
    </row>
    <row r="1391" spans="1:8" x14ac:dyDescent="0.25">
      <c r="A1391" t="str">
        <f t="shared" si="86"/>
        <v>Direct,USnet,40</v>
      </c>
      <c r="B1391" t="s">
        <v>33</v>
      </c>
      <c r="C1391" t="s">
        <v>7</v>
      </c>
      <c r="D1391">
        <v>40</v>
      </c>
      <c r="E1391">
        <v>1590.8130000000001</v>
      </c>
      <c r="F1391">
        <f t="shared" si="85"/>
        <v>1480</v>
      </c>
      <c r="G1391">
        <f t="shared" si="87"/>
        <v>7.4873648648648716</v>
      </c>
      <c r="H1391">
        <f t="shared" si="88"/>
        <v>6.9658093063106792</v>
      </c>
    </row>
    <row r="1392" spans="1:8" x14ac:dyDescent="0.25">
      <c r="A1392" t="str">
        <f t="shared" si="86"/>
        <v>Direct,USnet,40</v>
      </c>
      <c r="B1392" t="s">
        <v>33</v>
      </c>
      <c r="C1392" t="s">
        <v>7</v>
      </c>
      <c r="D1392">
        <v>40</v>
      </c>
      <c r="E1392">
        <v>1575.9259999999999</v>
      </c>
      <c r="F1392">
        <f t="shared" si="85"/>
        <v>1480</v>
      </c>
      <c r="G1392">
        <f t="shared" si="87"/>
        <v>6.4814864864864816</v>
      </c>
      <c r="H1392">
        <f t="shared" si="88"/>
        <v>6.086960935983031</v>
      </c>
    </row>
    <row r="1393" spans="1:8" x14ac:dyDescent="0.25">
      <c r="A1393" t="str">
        <f t="shared" si="86"/>
        <v>Direct,USnet,40</v>
      </c>
      <c r="B1393" t="s">
        <v>33</v>
      </c>
      <c r="C1393" t="s">
        <v>7</v>
      </c>
      <c r="D1393">
        <v>40</v>
      </c>
      <c r="E1393">
        <v>1559.6279999999999</v>
      </c>
      <c r="F1393">
        <f t="shared" si="85"/>
        <v>1480</v>
      </c>
      <c r="G1393">
        <f t="shared" si="87"/>
        <v>5.3802702702702652</v>
      </c>
      <c r="H1393">
        <f t="shared" si="88"/>
        <v>5.1055764579758716</v>
      </c>
    </row>
    <row r="1394" spans="1:8" x14ac:dyDescent="0.25">
      <c r="A1394" t="str">
        <f t="shared" si="86"/>
        <v>Direct,USnet,40</v>
      </c>
      <c r="B1394" t="s">
        <v>33</v>
      </c>
      <c r="C1394" t="s">
        <v>7</v>
      </c>
      <c r="D1394">
        <v>40</v>
      </c>
      <c r="E1394">
        <v>1573.9090000000001</v>
      </c>
      <c r="F1394">
        <f t="shared" si="85"/>
        <v>1480</v>
      </c>
      <c r="G1394">
        <f t="shared" si="87"/>
        <v>6.3452027027027098</v>
      </c>
      <c r="H1394">
        <f t="shared" si="88"/>
        <v>5.9666092512337183</v>
      </c>
    </row>
    <row r="1395" spans="1:8" x14ac:dyDescent="0.25">
      <c r="A1395" t="str">
        <f t="shared" si="86"/>
        <v>Direct,USnet,40</v>
      </c>
      <c r="B1395" t="s">
        <v>33</v>
      </c>
      <c r="C1395" t="s">
        <v>7</v>
      </c>
      <c r="D1395">
        <v>40</v>
      </c>
      <c r="E1395">
        <v>1600.7550000000001</v>
      </c>
      <c r="F1395">
        <f t="shared" si="85"/>
        <v>1480</v>
      </c>
      <c r="G1395">
        <f t="shared" si="87"/>
        <v>8.1591216216216296</v>
      </c>
      <c r="H1395">
        <f t="shared" si="88"/>
        <v>7.5436278506080008</v>
      </c>
    </row>
    <row r="1396" spans="1:8" x14ac:dyDescent="0.25">
      <c r="A1396" t="str">
        <f t="shared" si="86"/>
        <v>Direct,USnet,40</v>
      </c>
      <c r="B1396" t="s">
        <v>33</v>
      </c>
      <c r="C1396" t="s">
        <v>7</v>
      </c>
      <c r="D1396">
        <v>40</v>
      </c>
      <c r="E1396">
        <v>1591.84</v>
      </c>
      <c r="F1396">
        <f t="shared" si="85"/>
        <v>1480</v>
      </c>
      <c r="G1396">
        <f t="shared" si="87"/>
        <v>7.5567567567567506</v>
      </c>
      <c r="H1396">
        <f t="shared" si="88"/>
        <v>7.0258317418836018</v>
      </c>
    </row>
    <row r="1397" spans="1:8" x14ac:dyDescent="0.25">
      <c r="A1397" t="str">
        <f t="shared" si="86"/>
        <v>Direct,USnet,40</v>
      </c>
      <c r="B1397" t="s">
        <v>33</v>
      </c>
      <c r="C1397" t="s">
        <v>7</v>
      </c>
      <c r="D1397">
        <v>40</v>
      </c>
      <c r="E1397">
        <v>1609.577</v>
      </c>
      <c r="F1397">
        <f t="shared" si="85"/>
        <v>1480</v>
      </c>
      <c r="G1397">
        <f t="shared" si="87"/>
        <v>8.755202702702702</v>
      </c>
      <c r="H1397">
        <f t="shared" si="88"/>
        <v>8.0503759683444773</v>
      </c>
    </row>
    <row r="1398" spans="1:8" x14ac:dyDescent="0.25">
      <c r="A1398" t="str">
        <f t="shared" si="86"/>
        <v>Direct,USnet,40</v>
      </c>
      <c r="B1398" t="s">
        <v>33</v>
      </c>
      <c r="C1398" t="s">
        <v>7</v>
      </c>
      <c r="D1398">
        <v>40</v>
      </c>
      <c r="E1398">
        <v>1582.287</v>
      </c>
      <c r="F1398">
        <f t="shared" si="85"/>
        <v>1480</v>
      </c>
      <c r="G1398">
        <f t="shared" si="87"/>
        <v>6.9112837837837864</v>
      </c>
      <c r="H1398">
        <f t="shared" si="88"/>
        <v>6.4645035951126459</v>
      </c>
    </row>
    <row r="1399" spans="1:8" x14ac:dyDescent="0.25">
      <c r="A1399" t="str">
        <f t="shared" si="86"/>
        <v>Direct,USnet,40</v>
      </c>
      <c r="B1399" t="s">
        <v>33</v>
      </c>
      <c r="C1399" t="s">
        <v>7</v>
      </c>
      <c r="D1399">
        <v>40</v>
      </c>
      <c r="E1399">
        <v>1588.472</v>
      </c>
      <c r="F1399">
        <f t="shared" si="85"/>
        <v>1480</v>
      </c>
      <c r="G1399">
        <f t="shared" si="87"/>
        <v>7.3291891891891874</v>
      </c>
      <c r="H1399">
        <f t="shared" si="88"/>
        <v>6.8287007891860849</v>
      </c>
    </row>
    <row r="1400" spans="1:8" x14ac:dyDescent="0.25">
      <c r="A1400" t="str">
        <f t="shared" si="86"/>
        <v>Direct,USnet,40</v>
      </c>
      <c r="B1400" t="s">
        <v>33</v>
      </c>
      <c r="C1400" t="s">
        <v>7</v>
      </c>
      <c r="D1400">
        <v>40</v>
      </c>
      <c r="E1400">
        <v>1597.374</v>
      </c>
      <c r="F1400">
        <f t="shared" si="85"/>
        <v>1480</v>
      </c>
      <c r="G1400">
        <f t="shared" si="87"/>
        <v>7.9306756756756771</v>
      </c>
      <c r="H1400">
        <f t="shared" si="88"/>
        <v>7.3479347979871976</v>
      </c>
    </row>
    <row r="1401" spans="1:8" x14ac:dyDescent="0.25">
      <c r="A1401" t="str">
        <f t="shared" si="86"/>
        <v>Direct,USnet,40</v>
      </c>
      <c r="B1401" t="s">
        <v>33</v>
      </c>
      <c r="C1401" t="s">
        <v>7</v>
      </c>
      <c r="D1401">
        <v>40</v>
      </c>
      <c r="E1401">
        <v>1582.9649999999999</v>
      </c>
      <c r="F1401">
        <f t="shared" si="85"/>
        <v>1480</v>
      </c>
      <c r="G1401">
        <f t="shared" si="87"/>
        <v>6.9570945945945883</v>
      </c>
      <c r="H1401">
        <f t="shared" si="88"/>
        <v>6.5045657989911287</v>
      </c>
    </row>
    <row r="1402" spans="1:8" x14ac:dyDescent="0.25">
      <c r="A1402" t="str">
        <f t="shared" si="86"/>
        <v>Direct,USnet,40</v>
      </c>
      <c r="B1402" t="s">
        <v>33</v>
      </c>
      <c r="C1402" t="s">
        <v>7</v>
      </c>
      <c r="D1402">
        <v>40</v>
      </c>
      <c r="E1402">
        <v>1551.7170000000001</v>
      </c>
      <c r="F1402">
        <f t="shared" si="85"/>
        <v>1480</v>
      </c>
      <c r="G1402">
        <f t="shared" si="87"/>
        <v>4.8457432432432501</v>
      </c>
      <c r="H1402">
        <f t="shared" si="88"/>
        <v>4.621783482426248</v>
      </c>
    </row>
    <row r="1403" spans="1:8" x14ac:dyDescent="0.25">
      <c r="A1403" t="str">
        <f t="shared" si="86"/>
        <v>Direct,USnet,60</v>
      </c>
      <c r="B1403" t="s">
        <v>33</v>
      </c>
      <c r="C1403" t="s">
        <v>7</v>
      </c>
      <c r="D1403">
        <v>60</v>
      </c>
      <c r="E1403">
        <v>2219.34</v>
      </c>
      <c r="F1403">
        <f t="shared" si="85"/>
        <v>2130</v>
      </c>
      <c r="G1403">
        <f t="shared" si="87"/>
        <v>4.194366197183105</v>
      </c>
      <c r="H1403">
        <f t="shared" si="88"/>
        <v>4.0255211008678318</v>
      </c>
    </row>
    <row r="1404" spans="1:8" x14ac:dyDescent="0.25">
      <c r="A1404" t="str">
        <f t="shared" si="86"/>
        <v>Direct,USnet,60</v>
      </c>
      <c r="B1404" t="s">
        <v>33</v>
      </c>
      <c r="C1404" t="s">
        <v>7</v>
      </c>
      <c r="D1404">
        <v>60</v>
      </c>
      <c r="E1404">
        <v>2265.0369999999998</v>
      </c>
      <c r="F1404">
        <f t="shared" si="85"/>
        <v>2130</v>
      </c>
      <c r="G1404">
        <f t="shared" si="87"/>
        <v>6.3397652582159525</v>
      </c>
      <c r="H1404">
        <f t="shared" si="88"/>
        <v>5.9618010655013505</v>
      </c>
    </row>
    <row r="1405" spans="1:8" x14ac:dyDescent="0.25">
      <c r="A1405" t="str">
        <f t="shared" si="86"/>
        <v>Direct,USnet,60</v>
      </c>
      <c r="B1405" t="s">
        <v>33</v>
      </c>
      <c r="C1405" t="s">
        <v>7</v>
      </c>
      <c r="D1405">
        <v>60</v>
      </c>
      <c r="E1405">
        <v>2148.3539999999998</v>
      </c>
      <c r="F1405">
        <f t="shared" si="85"/>
        <v>2130</v>
      </c>
      <c r="G1405">
        <f t="shared" si="87"/>
        <v>0.86169014084506168</v>
      </c>
      <c r="H1405">
        <f t="shared" si="88"/>
        <v>0.85432847659183808</v>
      </c>
    </row>
    <row r="1406" spans="1:8" x14ac:dyDescent="0.25">
      <c r="A1406" t="str">
        <f t="shared" si="86"/>
        <v>Direct,USnet,60</v>
      </c>
      <c r="B1406" t="s">
        <v>33</v>
      </c>
      <c r="C1406" t="s">
        <v>7</v>
      </c>
      <c r="D1406">
        <v>60</v>
      </c>
      <c r="E1406">
        <v>2204.4989999999998</v>
      </c>
      <c r="F1406">
        <f t="shared" si="85"/>
        <v>2130</v>
      </c>
      <c r="G1406">
        <f t="shared" si="87"/>
        <v>3.4976056338028076</v>
      </c>
      <c r="H1406">
        <f t="shared" si="88"/>
        <v>3.3794072939021431</v>
      </c>
    </row>
    <row r="1407" spans="1:8" x14ac:dyDescent="0.25">
      <c r="A1407" t="str">
        <f t="shared" si="86"/>
        <v>Direct,USnet,60</v>
      </c>
      <c r="B1407" t="s">
        <v>33</v>
      </c>
      <c r="C1407" t="s">
        <v>7</v>
      </c>
      <c r="D1407">
        <v>60</v>
      </c>
      <c r="E1407">
        <v>2227.0720000000001</v>
      </c>
      <c r="F1407">
        <f t="shared" si="85"/>
        <v>2130</v>
      </c>
      <c r="G1407">
        <f t="shared" si="87"/>
        <v>4.5573708920187848</v>
      </c>
      <c r="H1407">
        <f t="shared" si="88"/>
        <v>4.3587275130754692</v>
      </c>
    </row>
    <row r="1408" spans="1:8" x14ac:dyDescent="0.25">
      <c r="A1408" t="str">
        <f t="shared" si="86"/>
        <v>Direct,USnet,60</v>
      </c>
      <c r="B1408" t="s">
        <v>33</v>
      </c>
      <c r="C1408" t="s">
        <v>7</v>
      </c>
      <c r="D1408">
        <v>60</v>
      </c>
      <c r="E1408">
        <v>2243.1950000000002</v>
      </c>
      <c r="F1408">
        <f t="shared" si="85"/>
        <v>2130</v>
      </c>
      <c r="G1408">
        <f t="shared" si="87"/>
        <v>5.3143192488262985</v>
      </c>
      <c r="H1408">
        <f t="shared" si="88"/>
        <v>5.0461506913130671</v>
      </c>
    </row>
    <row r="1409" spans="1:8" x14ac:dyDescent="0.25">
      <c r="A1409" t="str">
        <f t="shared" si="86"/>
        <v>Direct,USnet,60</v>
      </c>
      <c r="B1409" t="s">
        <v>33</v>
      </c>
      <c r="C1409" t="s">
        <v>7</v>
      </c>
      <c r="D1409">
        <v>60</v>
      </c>
      <c r="E1409">
        <v>2137.962</v>
      </c>
      <c r="F1409">
        <f t="shared" si="85"/>
        <v>2130</v>
      </c>
      <c r="G1409">
        <f t="shared" si="87"/>
        <v>0.37380281690140793</v>
      </c>
      <c r="H1409">
        <f t="shared" si="88"/>
        <v>0.37241073508322359</v>
      </c>
    </row>
    <row r="1410" spans="1:8" x14ac:dyDescent="0.25">
      <c r="A1410" t="str">
        <f t="shared" si="86"/>
        <v>Direct,USnet,60</v>
      </c>
      <c r="B1410" t="s">
        <v>33</v>
      </c>
      <c r="C1410" t="s">
        <v>7</v>
      </c>
      <c r="D1410">
        <v>60</v>
      </c>
      <c r="E1410">
        <v>2202.4699999999998</v>
      </c>
      <c r="F1410">
        <f t="shared" si="85"/>
        <v>2130</v>
      </c>
      <c r="G1410">
        <f t="shared" si="87"/>
        <v>3.4023474178403665</v>
      </c>
      <c r="H1410">
        <f t="shared" si="88"/>
        <v>3.2903966909878366</v>
      </c>
    </row>
    <row r="1411" spans="1:8" x14ac:dyDescent="0.25">
      <c r="A1411" t="str">
        <f t="shared" si="86"/>
        <v>Direct,USnet,60</v>
      </c>
      <c r="B1411" t="s">
        <v>33</v>
      </c>
      <c r="C1411" t="s">
        <v>7</v>
      </c>
      <c r="D1411">
        <v>60</v>
      </c>
      <c r="E1411">
        <v>2252.9299999999998</v>
      </c>
      <c r="F1411">
        <f t="shared" ref="F1411:F1474" si="89">_xlfn.XLOOKUP(A1411,$J$3:$J$36,$N$3:$N$36)</f>
        <v>2130</v>
      </c>
      <c r="G1411">
        <f t="shared" si="87"/>
        <v>5.7713615023474096</v>
      </c>
      <c r="H1411">
        <f t="shared" si="88"/>
        <v>5.4564500450524367</v>
      </c>
    </row>
    <row r="1412" spans="1:8" x14ac:dyDescent="0.25">
      <c r="A1412" t="str">
        <f t="shared" ref="A1412:A1475" si="90">B1412&amp;","&amp;C1412&amp;","&amp;D1412</f>
        <v>Direct,USnet,60</v>
      </c>
      <c r="B1412" t="s">
        <v>33</v>
      </c>
      <c r="C1412" t="s">
        <v>7</v>
      </c>
      <c r="D1412">
        <v>60</v>
      </c>
      <c r="E1412">
        <v>2246.6840000000002</v>
      </c>
      <c r="F1412">
        <f t="shared" si="89"/>
        <v>2130</v>
      </c>
      <c r="G1412">
        <f t="shared" ref="G1412:G1475" si="91">ABS((E1412-F1412)/F1412)*100</f>
        <v>5.4781220657277085</v>
      </c>
      <c r="H1412">
        <f t="shared" ref="H1412:H1475" si="92">ABS((F1412-E1412)/E1412)*100</f>
        <v>5.1936097822390774</v>
      </c>
    </row>
    <row r="1413" spans="1:8" x14ac:dyDescent="0.25">
      <c r="A1413" t="str">
        <f t="shared" si="90"/>
        <v>Direct,USnet,60</v>
      </c>
      <c r="B1413" t="s">
        <v>33</v>
      </c>
      <c r="C1413" t="s">
        <v>7</v>
      </c>
      <c r="D1413">
        <v>60</v>
      </c>
      <c r="E1413">
        <v>2186.13</v>
      </c>
      <c r="F1413">
        <f t="shared" si="89"/>
        <v>2130</v>
      </c>
      <c r="G1413">
        <f t="shared" si="91"/>
        <v>2.635211267605639</v>
      </c>
      <c r="H1413">
        <f t="shared" si="92"/>
        <v>2.5675508775781912</v>
      </c>
    </row>
    <row r="1414" spans="1:8" x14ac:dyDescent="0.25">
      <c r="A1414" t="str">
        <f t="shared" si="90"/>
        <v>Direct,USnet,60</v>
      </c>
      <c r="B1414" t="s">
        <v>33</v>
      </c>
      <c r="C1414" t="s">
        <v>7</v>
      </c>
      <c r="D1414">
        <v>60</v>
      </c>
      <c r="E1414">
        <v>2238.011</v>
      </c>
      <c r="F1414">
        <f t="shared" si="89"/>
        <v>2130</v>
      </c>
      <c r="G1414">
        <f t="shared" si="91"/>
        <v>5.0709389671361489</v>
      </c>
      <c r="H1414">
        <f t="shared" si="92"/>
        <v>4.8262050543987485</v>
      </c>
    </row>
    <row r="1415" spans="1:8" x14ac:dyDescent="0.25">
      <c r="A1415" t="str">
        <f t="shared" si="90"/>
        <v>Direct,USnet,60</v>
      </c>
      <c r="B1415" t="s">
        <v>33</v>
      </c>
      <c r="C1415" t="s">
        <v>7</v>
      </c>
      <c r="D1415">
        <v>60</v>
      </c>
      <c r="E1415">
        <v>2230.518</v>
      </c>
      <c r="F1415">
        <f t="shared" si="89"/>
        <v>2130</v>
      </c>
      <c r="G1415">
        <f t="shared" si="91"/>
        <v>4.7191549295774662</v>
      </c>
      <c r="H1415">
        <f t="shared" si="92"/>
        <v>4.5064868339999959</v>
      </c>
    </row>
    <row r="1416" spans="1:8" x14ac:dyDescent="0.25">
      <c r="A1416" t="str">
        <f t="shared" si="90"/>
        <v>Direct,USnet,60</v>
      </c>
      <c r="B1416" t="s">
        <v>33</v>
      </c>
      <c r="C1416" t="s">
        <v>7</v>
      </c>
      <c r="D1416">
        <v>60</v>
      </c>
      <c r="E1416">
        <v>2240.4259999999999</v>
      </c>
      <c r="F1416">
        <f t="shared" si="89"/>
        <v>2130</v>
      </c>
      <c r="G1416">
        <f t="shared" si="91"/>
        <v>5.1843192488262879</v>
      </c>
      <c r="H1416">
        <f t="shared" si="92"/>
        <v>4.9287947917047887</v>
      </c>
    </row>
    <row r="1417" spans="1:8" x14ac:dyDescent="0.25">
      <c r="A1417" t="str">
        <f t="shared" si="90"/>
        <v>Direct,USnet,60</v>
      </c>
      <c r="B1417" t="s">
        <v>33</v>
      </c>
      <c r="C1417" t="s">
        <v>7</v>
      </c>
      <c r="D1417">
        <v>60</v>
      </c>
      <c r="E1417">
        <v>2212.2730000000001</v>
      </c>
      <c r="F1417">
        <f t="shared" si="89"/>
        <v>2130</v>
      </c>
      <c r="G1417">
        <f t="shared" si="91"/>
        <v>3.8625821596244196</v>
      </c>
      <c r="H1417">
        <f t="shared" si="92"/>
        <v>3.7189352308688908</v>
      </c>
    </row>
    <row r="1418" spans="1:8" x14ac:dyDescent="0.25">
      <c r="A1418" t="str">
        <f t="shared" si="90"/>
        <v>Direct,USnet,60</v>
      </c>
      <c r="B1418" t="s">
        <v>33</v>
      </c>
      <c r="C1418" t="s">
        <v>7</v>
      </c>
      <c r="D1418">
        <v>60</v>
      </c>
      <c r="E1418">
        <v>2221.8319999999999</v>
      </c>
      <c r="F1418">
        <f t="shared" si="89"/>
        <v>2130</v>
      </c>
      <c r="G1418">
        <f t="shared" si="91"/>
        <v>4.3113615023474123</v>
      </c>
      <c r="H1418">
        <f t="shared" si="92"/>
        <v>4.1331657839116502</v>
      </c>
    </row>
    <row r="1419" spans="1:8" x14ac:dyDescent="0.25">
      <c r="A1419" t="str">
        <f t="shared" si="90"/>
        <v>Direct,USnet,60</v>
      </c>
      <c r="B1419" t="s">
        <v>33</v>
      </c>
      <c r="C1419" t="s">
        <v>7</v>
      </c>
      <c r="D1419">
        <v>60</v>
      </c>
      <c r="E1419">
        <v>2264.7950000000001</v>
      </c>
      <c r="F1419">
        <f t="shared" si="89"/>
        <v>2130</v>
      </c>
      <c r="G1419">
        <f t="shared" si="91"/>
        <v>6.3284037558685471</v>
      </c>
      <c r="H1419">
        <f t="shared" si="92"/>
        <v>5.9517528076492603</v>
      </c>
    </row>
    <row r="1420" spans="1:8" x14ac:dyDescent="0.25">
      <c r="A1420" t="str">
        <f t="shared" si="90"/>
        <v>Direct,USnet,60</v>
      </c>
      <c r="B1420" t="s">
        <v>33</v>
      </c>
      <c r="C1420" t="s">
        <v>7</v>
      </c>
      <c r="D1420">
        <v>60</v>
      </c>
      <c r="E1420">
        <v>2207.6930000000002</v>
      </c>
      <c r="F1420">
        <f t="shared" si="89"/>
        <v>2130</v>
      </c>
      <c r="G1420">
        <f t="shared" si="91"/>
        <v>3.6475586854460196</v>
      </c>
      <c r="H1420">
        <f t="shared" si="92"/>
        <v>3.5191940183712229</v>
      </c>
    </row>
    <row r="1421" spans="1:8" x14ac:dyDescent="0.25">
      <c r="A1421" t="str">
        <f t="shared" si="90"/>
        <v>Direct,USnet,60</v>
      </c>
      <c r="B1421" t="s">
        <v>33</v>
      </c>
      <c r="C1421" t="s">
        <v>7</v>
      </c>
      <c r="D1421">
        <v>60</v>
      </c>
      <c r="E1421">
        <v>2148.7020000000002</v>
      </c>
      <c r="F1421">
        <f t="shared" si="89"/>
        <v>2130</v>
      </c>
      <c r="G1421">
        <f t="shared" si="91"/>
        <v>0.87802816901409508</v>
      </c>
      <c r="H1421">
        <f t="shared" si="92"/>
        <v>0.87038593532282393</v>
      </c>
    </row>
    <row r="1422" spans="1:8" x14ac:dyDescent="0.25">
      <c r="A1422" t="str">
        <f t="shared" si="90"/>
        <v>Direct,USnet,60</v>
      </c>
      <c r="B1422" t="s">
        <v>33</v>
      </c>
      <c r="C1422" t="s">
        <v>7</v>
      </c>
      <c r="D1422">
        <v>60</v>
      </c>
      <c r="E1422">
        <v>2196.924</v>
      </c>
      <c r="F1422">
        <f t="shared" si="89"/>
        <v>2130</v>
      </c>
      <c r="G1422">
        <f t="shared" si="91"/>
        <v>3.1419718309859146</v>
      </c>
      <c r="H1422">
        <f t="shared" si="92"/>
        <v>3.0462592242608291</v>
      </c>
    </row>
    <row r="1423" spans="1:8" x14ac:dyDescent="0.25">
      <c r="A1423" t="str">
        <f t="shared" si="90"/>
        <v>Direct,USnet,60</v>
      </c>
      <c r="B1423" t="s">
        <v>33</v>
      </c>
      <c r="C1423" t="s">
        <v>7</v>
      </c>
      <c r="D1423">
        <v>60</v>
      </c>
      <c r="E1423">
        <v>2270.703</v>
      </c>
      <c r="F1423">
        <f t="shared" si="89"/>
        <v>2130</v>
      </c>
      <c r="G1423">
        <f t="shared" si="91"/>
        <v>6.6057746478873236</v>
      </c>
      <c r="H1423">
        <f t="shared" si="92"/>
        <v>6.1964510550256886</v>
      </c>
    </row>
    <row r="1424" spans="1:8" x14ac:dyDescent="0.25">
      <c r="A1424" t="str">
        <f t="shared" si="90"/>
        <v>Direct,USnet,60</v>
      </c>
      <c r="B1424" t="s">
        <v>33</v>
      </c>
      <c r="C1424" t="s">
        <v>7</v>
      </c>
      <c r="D1424">
        <v>60</v>
      </c>
      <c r="E1424">
        <v>2147.4580000000001</v>
      </c>
      <c r="F1424">
        <f t="shared" si="89"/>
        <v>2130</v>
      </c>
      <c r="G1424">
        <f t="shared" si="91"/>
        <v>0.81962441314554391</v>
      </c>
      <c r="H1424">
        <f t="shared" si="92"/>
        <v>0.81296118480548085</v>
      </c>
    </row>
    <row r="1425" spans="1:8" x14ac:dyDescent="0.25">
      <c r="A1425" t="str">
        <f t="shared" si="90"/>
        <v>Direct,USnet,60</v>
      </c>
      <c r="B1425" t="s">
        <v>33</v>
      </c>
      <c r="C1425" t="s">
        <v>7</v>
      </c>
      <c r="D1425">
        <v>60</v>
      </c>
      <c r="E1425">
        <v>2202.8910000000001</v>
      </c>
      <c r="F1425">
        <f t="shared" si="89"/>
        <v>2130</v>
      </c>
      <c r="G1425">
        <f t="shared" si="91"/>
        <v>3.4221126760563414</v>
      </c>
      <c r="H1425">
        <f t="shared" si="92"/>
        <v>3.3088791047764086</v>
      </c>
    </row>
    <row r="1426" spans="1:8" x14ac:dyDescent="0.25">
      <c r="A1426" t="str">
        <f t="shared" si="90"/>
        <v>Direct,USnet,60</v>
      </c>
      <c r="B1426" t="s">
        <v>33</v>
      </c>
      <c r="C1426" t="s">
        <v>7</v>
      </c>
      <c r="D1426">
        <v>60</v>
      </c>
      <c r="E1426">
        <v>2191.8780000000002</v>
      </c>
      <c r="F1426">
        <f t="shared" si="89"/>
        <v>2130</v>
      </c>
      <c r="G1426">
        <f t="shared" si="91"/>
        <v>2.9050704225352186</v>
      </c>
      <c r="H1426">
        <f t="shared" si="92"/>
        <v>2.8230585826400993</v>
      </c>
    </row>
    <row r="1427" spans="1:8" x14ac:dyDescent="0.25">
      <c r="A1427" t="str">
        <f t="shared" si="90"/>
        <v>Direct,USnet,60</v>
      </c>
      <c r="B1427" t="s">
        <v>33</v>
      </c>
      <c r="C1427" t="s">
        <v>7</v>
      </c>
      <c r="D1427">
        <v>60</v>
      </c>
      <c r="E1427">
        <v>2189.8690000000001</v>
      </c>
      <c r="F1427">
        <f t="shared" si="89"/>
        <v>2130</v>
      </c>
      <c r="G1427">
        <f t="shared" si="91"/>
        <v>2.810751173708927</v>
      </c>
      <c r="H1427">
        <f t="shared" si="92"/>
        <v>2.7339078273631956</v>
      </c>
    </row>
    <row r="1428" spans="1:8" x14ac:dyDescent="0.25">
      <c r="A1428" t="str">
        <f t="shared" si="90"/>
        <v>Direct,USnet,60</v>
      </c>
      <c r="B1428" t="s">
        <v>33</v>
      </c>
      <c r="C1428" t="s">
        <v>7</v>
      </c>
      <c r="D1428">
        <v>60</v>
      </c>
      <c r="E1428">
        <v>2159.636</v>
      </c>
      <c r="F1428">
        <f t="shared" si="89"/>
        <v>2130</v>
      </c>
      <c r="G1428">
        <f t="shared" si="91"/>
        <v>1.3913615023474162</v>
      </c>
      <c r="H1428">
        <f t="shared" si="92"/>
        <v>1.3722682896562184</v>
      </c>
    </row>
    <row r="1429" spans="1:8" x14ac:dyDescent="0.25">
      <c r="A1429" t="str">
        <f t="shared" si="90"/>
        <v>Direct,USnet,60</v>
      </c>
      <c r="B1429" t="s">
        <v>33</v>
      </c>
      <c r="C1429" t="s">
        <v>7</v>
      </c>
      <c r="D1429">
        <v>60</v>
      </c>
      <c r="E1429">
        <v>2225.3180000000002</v>
      </c>
      <c r="F1429">
        <f t="shared" si="89"/>
        <v>2130</v>
      </c>
      <c r="G1429">
        <f t="shared" si="91"/>
        <v>4.4750234741784132</v>
      </c>
      <c r="H1429">
        <f t="shared" si="92"/>
        <v>4.2833428750407894</v>
      </c>
    </row>
    <row r="1430" spans="1:8" x14ac:dyDescent="0.25">
      <c r="A1430" t="str">
        <f t="shared" si="90"/>
        <v>Direct,USnet,60</v>
      </c>
      <c r="B1430" t="s">
        <v>33</v>
      </c>
      <c r="C1430" t="s">
        <v>7</v>
      </c>
      <c r="D1430">
        <v>60</v>
      </c>
      <c r="E1430">
        <v>2219.5810000000001</v>
      </c>
      <c r="F1430">
        <f t="shared" si="89"/>
        <v>2130</v>
      </c>
      <c r="G1430">
        <f t="shared" si="91"/>
        <v>4.2056807511737144</v>
      </c>
      <c r="H1430">
        <f t="shared" si="92"/>
        <v>4.0359419187675574</v>
      </c>
    </row>
    <row r="1431" spans="1:8" x14ac:dyDescent="0.25">
      <c r="A1431" t="str">
        <f t="shared" si="90"/>
        <v>Direct,USnet,60</v>
      </c>
      <c r="B1431" t="s">
        <v>33</v>
      </c>
      <c r="C1431" t="s">
        <v>7</v>
      </c>
      <c r="D1431">
        <v>60</v>
      </c>
      <c r="E1431">
        <v>2194.3690000000001</v>
      </c>
      <c r="F1431">
        <f t="shared" si="89"/>
        <v>2130</v>
      </c>
      <c r="G1431">
        <f t="shared" si="91"/>
        <v>3.0220187793427296</v>
      </c>
      <c r="H1431">
        <f t="shared" si="92"/>
        <v>2.9333717346535675</v>
      </c>
    </row>
    <row r="1432" spans="1:8" x14ac:dyDescent="0.25">
      <c r="A1432" t="str">
        <f t="shared" si="90"/>
        <v>Direct,USnet,60</v>
      </c>
      <c r="B1432" t="s">
        <v>33</v>
      </c>
      <c r="C1432" t="s">
        <v>7</v>
      </c>
      <c r="D1432">
        <v>60</v>
      </c>
      <c r="E1432">
        <v>2221.8000000000002</v>
      </c>
      <c r="F1432">
        <f t="shared" si="89"/>
        <v>2130</v>
      </c>
      <c r="G1432">
        <f t="shared" si="91"/>
        <v>4.3098591549295859</v>
      </c>
      <c r="H1432">
        <f t="shared" si="92"/>
        <v>4.1317850391574478</v>
      </c>
    </row>
    <row r="1433" spans="1:8" x14ac:dyDescent="0.25">
      <c r="A1433" t="str">
        <f t="shared" si="90"/>
        <v>Direct,USnet,60</v>
      </c>
      <c r="B1433" t="s">
        <v>33</v>
      </c>
      <c r="C1433" t="s">
        <v>7</v>
      </c>
      <c r="D1433">
        <v>60</v>
      </c>
      <c r="E1433">
        <v>2150.962</v>
      </c>
      <c r="F1433">
        <f t="shared" si="89"/>
        <v>2130</v>
      </c>
      <c r="G1433">
        <f t="shared" si="91"/>
        <v>0.98413145539906055</v>
      </c>
      <c r="H1433">
        <f t="shared" si="92"/>
        <v>0.97454069388487519</v>
      </c>
    </row>
    <row r="1434" spans="1:8" x14ac:dyDescent="0.25">
      <c r="A1434" t="str">
        <f t="shared" si="90"/>
        <v>Direct,USnet,60</v>
      </c>
      <c r="B1434" t="s">
        <v>33</v>
      </c>
      <c r="C1434" t="s">
        <v>7</v>
      </c>
      <c r="D1434">
        <v>60</v>
      </c>
      <c r="E1434">
        <v>2186.096</v>
      </c>
      <c r="F1434">
        <f t="shared" si="89"/>
        <v>2130</v>
      </c>
      <c r="G1434">
        <f t="shared" si="91"/>
        <v>2.6336150234741784</v>
      </c>
      <c r="H1434">
        <f t="shared" si="92"/>
        <v>2.5660355263446806</v>
      </c>
    </row>
    <row r="1435" spans="1:8" x14ac:dyDescent="0.25">
      <c r="A1435" t="str">
        <f t="shared" si="90"/>
        <v>Direct,USnet,60</v>
      </c>
      <c r="B1435" t="s">
        <v>33</v>
      </c>
      <c r="C1435" t="s">
        <v>7</v>
      </c>
      <c r="D1435">
        <v>60</v>
      </c>
      <c r="E1435">
        <v>2168.7350000000001</v>
      </c>
      <c r="F1435">
        <f t="shared" si="89"/>
        <v>2130</v>
      </c>
      <c r="G1435">
        <f t="shared" si="91"/>
        <v>1.818544600938973</v>
      </c>
      <c r="H1435">
        <f t="shared" si="92"/>
        <v>1.7860642263808222</v>
      </c>
    </row>
    <row r="1436" spans="1:8" x14ac:dyDescent="0.25">
      <c r="A1436" t="str">
        <f t="shared" si="90"/>
        <v>Direct,USnet,60</v>
      </c>
      <c r="B1436" t="s">
        <v>33</v>
      </c>
      <c r="C1436" t="s">
        <v>7</v>
      </c>
      <c r="D1436">
        <v>60</v>
      </c>
      <c r="E1436">
        <v>2238.98</v>
      </c>
      <c r="F1436">
        <f t="shared" si="89"/>
        <v>2130</v>
      </c>
      <c r="G1436">
        <f t="shared" si="91"/>
        <v>5.1164319248826295</v>
      </c>
      <c r="H1436">
        <f t="shared" si="92"/>
        <v>4.8673949744973166</v>
      </c>
    </row>
    <row r="1437" spans="1:8" x14ac:dyDescent="0.25">
      <c r="A1437" t="str">
        <f t="shared" si="90"/>
        <v>Direct,USnet,60</v>
      </c>
      <c r="B1437" t="s">
        <v>33</v>
      </c>
      <c r="C1437" t="s">
        <v>7</v>
      </c>
      <c r="D1437">
        <v>60</v>
      </c>
      <c r="E1437">
        <v>2286.1680000000001</v>
      </c>
      <c r="F1437">
        <f t="shared" si="89"/>
        <v>2130</v>
      </c>
      <c r="G1437">
        <f t="shared" si="91"/>
        <v>7.3318309859154978</v>
      </c>
      <c r="H1437">
        <f t="shared" si="92"/>
        <v>6.8309940476815409</v>
      </c>
    </row>
    <row r="1438" spans="1:8" x14ac:dyDescent="0.25">
      <c r="A1438" t="str">
        <f t="shared" si="90"/>
        <v>Direct,USnet,60</v>
      </c>
      <c r="B1438" t="s">
        <v>33</v>
      </c>
      <c r="C1438" t="s">
        <v>7</v>
      </c>
      <c r="D1438">
        <v>60</v>
      </c>
      <c r="E1438">
        <v>2226.3270000000002</v>
      </c>
      <c r="F1438">
        <f t="shared" si="89"/>
        <v>2130</v>
      </c>
      <c r="G1438">
        <f t="shared" si="91"/>
        <v>4.5223943661971937</v>
      </c>
      <c r="H1438">
        <f t="shared" si="92"/>
        <v>4.326722893806715</v>
      </c>
    </row>
    <row r="1439" spans="1:8" x14ac:dyDescent="0.25">
      <c r="A1439" t="str">
        <f t="shared" si="90"/>
        <v>Direct,USnet,60</v>
      </c>
      <c r="B1439" t="s">
        <v>33</v>
      </c>
      <c r="C1439" t="s">
        <v>7</v>
      </c>
      <c r="D1439">
        <v>60</v>
      </c>
      <c r="E1439">
        <v>2192.7399999999998</v>
      </c>
      <c r="F1439">
        <f t="shared" si="89"/>
        <v>2130</v>
      </c>
      <c r="G1439">
        <f t="shared" si="91"/>
        <v>2.9455399061032761</v>
      </c>
      <c r="H1439">
        <f t="shared" si="92"/>
        <v>2.8612603409432849</v>
      </c>
    </row>
    <row r="1440" spans="1:8" x14ac:dyDescent="0.25">
      <c r="A1440" t="str">
        <f t="shared" si="90"/>
        <v>Direct,USnet,60</v>
      </c>
      <c r="B1440" t="s">
        <v>33</v>
      </c>
      <c r="C1440" t="s">
        <v>7</v>
      </c>
      <c r="D1440">
        <v>60</v>
      </c>
      <c r="E1440">
        <v>2078.0039999999999</v>
      </c>
      <c r="F1440">
        <f t="shared" si="89"/>
        <v>2130</v>
      </c>
      <c r="G1440">
        <f t="shared" si="91"/>
        <v>2.4411267605633844</v>
      </c>
      <c r="H1440">
        <f t="shared" si="92"/>
        <v>2.5022088504160771</v>
      </c>
    </row>
    <row r="1441" spans="1:8" x14ac:dyDescent="0.25">
      <c r="A1441" t="str">
        <f t="shared" si="90"/>
        <v>Direct,USnet,60</v>
      </c>
      <c r="B1441" t="s">
        <v>33</v>
      </c>
      <c r="C1441" t="s">
        <v>7</v>
      </c>
      <c r="D1441">
        <v>60</v>
      </c>
      <c r="E1441">
        <v>2278.1179999999999</v>
      </c>
      <c r="F1441">
        <f t="shared" si="89"/>
        <v>2130</v>
      </c>
      <c r="G1441">
        <f t="shared" si="91"/>
        <v>6.9538967136150207</v>
      </c>
      <c r="H1441">
        <f t="shared" si="92"/>
        <v>6.501770320940353</v>
      </c>
    </row>
    <row r="1442" spans="1:8" x14ac:dyDescent="0.25">
      <c r="A1442" t="str">
        <f t="shared" si="90"/>
        <v>Direct,USnet,60</v>
      </c>
      <c r="B1442" t="s">
        <v>33</v>
      </c>
      <c r="C1442" t="s">
        <v>7</v>
      </c>
      <c r="D1442">
        <v>60</v>
      </c>
      <c r="E1442">
        <v>2157.567</v>
      </c>
      <c r="F1442">
        <f t="shared" si="89"/>
        <v>2130</v>
      </c>
      <c r="G1442">
        <f t="shared" si="91"/>
        <v>1.2942253521126763</v>
      </c>
      <c r="H1442">
        <f t="shared" si="92"/>
        <v>1.2776891748900501</v>
      </c>
    </row>
    <row r="1443" spans="1:8" x14ac:dyDescent="0.25">
      <c r="A1443" t="str">
        <f t="shared" si="90"/>
        <v>Direct,USnet,60</v>
      </c>
      <c r="B1443" t="s">
        <v>33</v>
      </c>
      <c r="C1443" t="s">
        <v>7</v>
      </c>
      <c r="D1443">
        <v>60</v>
      </c>
      <c r="E1443">
        <v>2124.3429999999998</v>
      </c>
      <c r="F1443">
        <f t="shared" si="89"/>
        <v>2130</v>
      </c>
      <c r="G1443">
        <f t="shared" si="91"/>
        <v>0.26558685446010105</v>
      </c>
      <c r="H1443">
        <f t="shared" si="92"/>
        <v>0.26629409657480702</v>
      </c>
    </row>
    <row r="1444" spans="1:8" x14ac:dyDescent="0.25">
      <c r="A1444" t="str">
        <f t="shared" si="90"/>
        <v>Direct,USnet,60</v>
      </c>
      <c r="B1444" t="s">
        <v>33</v>
      </c>
      <c r="C1444" t="s">
        <v>7</v>
      </c>
      <c r="D1444">
        <v>60</v>
      </c>
      <c r="E1444">
        <v>2139.846</v>
      </c>
      <c r="F1444">
        <f t="shared" si="89"/>
        <v>2130</v>
      </c>
      <c r="G1444">
        <f t="shared" si="91"/>
        <v>0.46225352112676071</v>
      </c>
      <c r="H1444">
        <f t="shared" si="92"/>
        <v>0.46012656985596173</v>
      </c>
    </row>
    <row r="1445" spans="1:8" x14ac:dyDescent="0.25">
      <c r="A1445" t="str">
        <f t="shared" si="90"/>
        <v>Direct,USnet,60</v>
      </c>
      <c r="B1445" t="s">
        <v>33</v>
      </c>
      <c r="C1445" t="s">
        <v>7</v>
      </c>
      <c r="D1445">
        <v>60</v>
      </c>
      <c r="E1445">
        <v>2237.181</v>
      </c>
      <c r="F1445">
        <f t="shared" si="89"/>
        <v>2130</v>
      </c>
      <c r="G1445">
        <f t="shared" si="91"/>
        <v>5.0319718309859169</v>
      </c>
      <c r="H1445">
        <f t="shared" si="92"/>
        <v>4.7908953276467141</v>
      </c>
    </row>
    <row r="1446" spans="1:8" x14ac:dyDescent="0.25">
      <c r="A1446" t="str">
        <f t="shared" si="90"/>
        <v>Direct,USnet,60</v>
      </c>
      <c r="B1446" t="s">
        <v>33</v>
      </c>
      <c r="C1446" t="s">
        <v>7</v>
      </c>
      <c r="D1446">
        <v>60</v>
      </c>
      <c r="E1446">
        <v>2220.3829999999998</v>
      </c>
      <c r="F1446">
        <f t="shared" si="89"/>
        <v>2130</v>
      </c>
      <c r="G1446">
        <f t="shared" si="91"/>
        <v>4.2433333333333243</v>
      </c>
      <c r="H1446">
        <f t="shared" si="92"/>
        <v>4.0706040354299153</v>
      </c>
    </row>
    <row r="1447" spans="1:8" x14ac:dyDescent="0.25">
      <c r="A1447" t="str">
        <f t="shared" si="90"/>
        <v>Direct,USnet,60</v>
      </c>
      <c r="B1447" t="s">
        <v>33</v>
      </c>
      <c r="C1447" t="s">
        <v>7</v>
      </c>
      <c r="D1447">
        <v>60</v>
      </c>
      <c r="E1447">
        <v>2232.3910000000001</v>
      </c>
      <c r="F1447">
        <f t="shared" si="89"/>
        <v>2130</v>
      </c>
      <c r="G1447">
        <f t="shared" si="91"/>
        <v>4.8070892018779379</v>
      </c>
      <c r="H1447">
        <f t="shared" si="92"/>
        <v>4.5866069160823564</v>
      </c>
    </row>
    <row r="1448" spans="1:8" x14ac:dyDescent="0.25">
      <c r="A1448" t="str">
        <f t="shared" si="90"/>
        <v>Direct,USnet,60</v>
      </c>
      <c r="B1448" t="s">
        <v>33</v>
      </c>
      <c r="C1448" t="s">
        <v>7</v>
      </c>
      <c r="D1448">
        <v>60</v>
      </c>
      <c r="E1448">
        <v>2209.4059999999999</v>
      </c>
      <c r="F1448">
        <f t="shared" si="89"/>
        <v>2130</v>
      </c>
      <c r="G1448">
        <f t="shared" si="91"/>
        <v>3.7279812206572749</v>
      </c>
      <c r="H1448">
        <f t="shared" si="92"/>
        <v>3.5939976627202039</v>
      </c>
    </row>
    <row r="1449" spans="1:8" x14ac:dyDescent="0.25">
      <c r="A1449" t="str">
        <f t="shared" si="90"/>
        <v>Direct,USnet,60</v>
      </c>
      <c r="B1449" t="s">
        <v>33</v>
      </c>
      <c r="C1449" t="s">
        <v>7</v>
      </c>
      <c r="D1449">
        <v>60</v>
      </c>
      <c r="E1449">
        <v>2217.9189999999999</v>
      </c>
      <c r="F1449">
        <f t="shared" si="89"/>
        <v>2130</v>
      </c>
      <c r="G1449">
        <f t="shared" si="91"/>
        <v>4.1276525821596177</v>
      </c>
      <c r="H1449">
        <f t="shared" si="92"/>
        <v>3.9640311481167654</v>
      </c>
    </row>
    <row r="1450" spans="1:8" x14ac:dyDescent="0.25">
      <c r="A1450" t="str">
        <f t="shared" si="90"/>
        <v>Direct,USnet,60</v>
      </c>
      <c r="B1450" t="s">
        <v>33</v>
      </c>
      <c r="C1450" t="s">
        <v>7</v>
      </c>
      <c r="D1450">
        <v>60</v>
      </c>
      <c r="E1450">
        <v>2223.433</v>
      </c>
      <c r="F1450">
        <f t="shared" si="89"/>
        <v>2130</v>
      </c>
      <c r="G1450">
        <f t="shared" si="91"/>
        <v>4.3865258215962442</v>
      </c>
      <c r="H1450">
        <f t="shared" si="92"/>
        <v>4.2021954338178835</v>
      </c>
    </row>
    <row r="1451" spans="1:8" x14ac:dyDescent="0.25">
      <c r="A1451" t="str">
        <f t="shared" si="90"/>
        <v>Direct,USnet,60</v>
      </c>
      <c r="B1451" t="s">
        <v>33</v>
      </c>
      <c r="C1451" t="s">
        <v>7</v>
      </c>
      <c r="D1451">
        <v>60</v>
      </c>
      <c r="E1451">
        <v>2237.8649999999998</v>
      </c>
      <c r="F1451">
        <f t="shared" si="89"/>
        <v>2130</v>
      </c>
      <c r="G1451">
        <f t="shared" si="91"/>
        <v>5.064084507042244</v>
      </c>
      <c r="H1451">
        <f t="shared" si="92"/>
        <v>4.8199958442533299</v>
      </c>
    </row>
    <row r="1452" spans="1:8" x14ac:dyDescent="0.25">
      <c r="A1452" t="str">
        <f t="shared" si="90"/>
        <v>Direct,USnet,60</v>
      </c>
      <c r="B1452" t="s">
        <v>33</v>
      </c>
      <c r="C1452" t="s">
        <v>7</v>
      </c>
      <c r="D1452">
        <v>60</v>
      </c>
      <c r="E1452">
        <v>2231.77</v>
      </c>
      <c r="F1452">
        <f t="shared" si="89"/>
        <v>2130</v>
      </c>
      <c r="G1452">
        <f t="shared" si="91"/>
        <v>4.7779342723004685</v>
      </c>
      <c r="H1452">
        <f t="shared" si="92"/>
        <v>4.5600577120402184</v>
      </c>
    </row>
    <row r="1453" spans="1:8" x14ac:dyDescent="0.25">
      <c r="A1453" t="str">
        <f t="shared" si="90"/>
        <v>Direct,USnet,60</v>
      </c>
      <c r="B1453" t="s">
        <v>33</v>
      </c>
      <c r="C1453" t="s">
        <v>7</v>
      </c>
      <c r="D1453">
        <v>60</v>
      </c>
      <c r="E1453">
        <v>2197.5540000000001</v>
      </c>
      <c r="F1453">
        <f t="shared" si="89"/>
        <v>2130</v>
      </c>
      <c r="G1453">
        <f t="shared" si="91"/>
        <v>3.1715492957746521</v>
      </c>
      <c r="H1453">
        <f t="shared" si="92"/>
        <v>3.0740541529354948</v>
      </c>
    </row>
    <row r="1454" spans="1:8" x14ac:dyDescent="0.25">
      <c r="A1454" t="str">
        <f t="shared" si="90"/>
        <v>Direct,USnet,60</v>
      </c>
      <c r="B1454" t="s">
        <v>33</v>
      </c>
      <c r="C1454" t="s">
        <v>7</v>
      </c>
      <c r="D1454">
        <v>60</v>
      </c>
      <c r="E1454">
        <v>2290.9340000000002</v>
      </c>
      <c r="F1454">
        <f t="shared" si="89"/>
        <v>2130</v>
      </c>
      <c r="G1454">
        <f t="shared" si="91"/>
        <v>7.5555868544601026</v>
      </c>
      <c r="H1454">
        <f t="shared" si="92"/>
        <v>7.0248204444126356</v>
      </c>
    </row>
    <row r="1455" spans="1:8" x14ac:dyDescent="0.25">
      <c r="A1455" t="str">
        <f t="shared" si="90"/>
        <v>Direct,USnet,60</v>
      </c>
      <c r="B1455" t="s">
        <v>33</v>
      </c>
      <c r="C1455" t="s">
        <v>7</v>
      </c>
      <c r="D1455">
        <v>60</v>
      </c>
      <c r="E1455">
        <v>2138.4</v>
      </c>
      <c r="F1455">
        <f t="shared" si="89"/>
        <v>2130</v>
      </c>
      <c r="G1455">
        <f t="shared" si="91"/>
        <v>0.39436619718310284</v>
      </c>
      <c r="H1455">
        <f t="shared" si="92"/>
        <v>0.39281705948373036</v>
      </c>
    </row>
    <row r="1456" spans="1:8" x14ac:dyDescent="0.25">
      <c r="A1456" t="str">
        <f t="shared" si="90"/>
        <v>Direct,USnet,60</v>
      </c>
      <c r="B1456" t="s">
        <v>33</v>
      </c>
      <c r="C1456" t="s">
        <v>7</v>
      </c>
      <c r="D1456">
        <v>60</v>
      </c>
      <c r="E1456">
        <v>2247.9459999999999</v>
      </c>
      <c r="F1456">
        <f t="shared" si="89"/>
        <v>2130</v>
      </c>
      <c r="G1456">
        <f t="shared" si="91"/>
        <v>5.5373708920187754</v>
      </c>
      <c r="H1456">
        <f t="shared" si="92"/>
        <v>5.2468342211067309</v>
      </c>
    </row>
    <row r="1457" spans="1:8" x14ac:dyDescent="0.25">
      <c r="A1457" t="str">
        <f t="shared" si="90"/>
        <v>Direct,USnet,60</v>
      </c>
      <c r="B1457" t="s">
        <v>33</v>
      </c>
      <c r="C1457" t="s">
        <v>7</v>
      </c>
      <c r="D1457">
        <v>60</v>
      </c>
      <c r="E1457">
        <v>2226.4009999999998</v>
      </c>
      <c r="F1457">
        <f t="shared" si="89"/>
        <v>2130</v>
      </c>
      <c r="G1457">
        <f t="shared" si="91"/>
        <v>4.5258685446009315</v>
      </c>
      <c r="H1457">
        <f t="shared" si="92"/>
        <v>4.3299028342153925</v>
      </c>
    </row>
    <row r="1458" spans="1:8" x14ac:dyDescent="0.25">
      <c r="A1458" t="str">
        <f t="shared" si="90"/>
        <v>Direct,USnet,60</v>
      </c>
      <c r="B1458" t="s">
        <v>33</v>
      </c>
      <c r="C1458" t="s">
        <v>7</v>
      </c>
      <c r="D1458">
        <v>60</v>
      </c>
      <c r="E1458">
        <v>2221.0990000000002</v>
      </c>
      <c r="F1458">
        <f t="shared" si="89"/>
        <v>2130</v>
      </c>
      <c r="G1458">
        <f t="shared" si="91"/>
        <v>4.2769483568075195</v>
      </c>
      <c r="H1458">
        <f t="shared" si="92"/>
        <v>4.1015281173869402</v>
      </c>
    </row>
    <row r="1459" spans="1:8" x14ac:dyDescent="0.25">
      <c r="A1459" t="str">
        <f t="shared" si="90"/>
        <v>Direct,USnet,60</v>
      </c>
      <c r="B1459" t="s">
        <v>33</v>
      </c>
      <c r="C1459" t="s">
        <v>7</v>
      </c>
      <c r="D1459">
        <v>60</v>
      </c>
      <c r="E1459">
        <v>2120.3020000000001</v>
      </c>
      <c r="F1459">
        <f t="shared" si="89"/>
        <v>2130</v>
      </c>
      <c r="G1459">
        <f t="shared" si="91"/>
        <v>0.45530516431924251</v>
      </c>
      <c r="H1459">
        <f t="shared" si="92"/>
        <v>0.45738767402001529</v>
      </c>
    </row>
    <row r="1460" spans="1:8" x14ac:dyDescent="0.25">
      <c r="A1460" t="str">
        <f t="shared" si="90"/>
        <v>Direct,USnet,60</v>
      </c>
      <c r="B1460" t="s">
        <v>33</v>
      </c>
      <c r="C1460" t="s">
        <v>7</v>
      </c>
      <c r="D1460">
        <v>60</v>
      </c>
      <c r="E1460">
        <v>2238.9140000000002</v>
      </c>
      <c r="F1460">
        <f t="shared" si="89"/>
        <v>2130</v>
      </c>
      <c r="G1460">
        <f t="shared" si="91"/>
        <v>5.1133333333333431</v>
      </c>
      <c r="H1460">
        <f t="shared" si="92"/>
        <v>4.8645906006215611</v>
      </c>
    </row>
    <row r="1461" spans="1:8" x14ac:dyDescent="0.25">
      <c r="A1461" t="str">
        <f t="shared" si="90"/>
        <v>Direct,USnet,60</v>
      </c>
      <c r="B1461" t="s">
        <v>33</v>
      </c>
      <c r="C1461" t="s">
        <v>7</v>
      </c>
      <c r="D1461">
        <v>60</v>
      </c>
      <c r="E1461">
        <v>2234.4050000000002</v>
      </c>
      <c r="F1461">
        <f t="shared" si="89"/>
        <v>2130</v>
      </c>
      <c r="G1461">
        <f t="shared" si="91"/>
        <v>4.9016431924882724</v>
      </c>
      <c r="H1461">
        <f t="shared" si="92"/>
        <v>4.6726085915489897</v>
      </c>
    </row>
    <row r="1462" spans="1:8" x14ac:dyDescent="0.25">
      <c r="A1462" t="str">
        <f t="shared" si="90"/>
        <v>Direct,USnet,60</v>
      </c>
      <c r="B1462" t="s">
        <v>33</v>
      </c>
      <c r="C1462" t="s">
        <v>7</v>
      </c>
      <c r="D1462">
        <v>60</v>
      </c>
      <c r="E1462">
        <v>2233.9899999999998</v>
      </c>
      <c r="F1462">
        <f t="shared" si="89"/>
        <v>2130</v>
      </c>
      <c r="G1462">
        <f t="shared" si="91"/>
        <v>4.882159624413136</v>
      </c>
      <c r="H1462">
        <f t="shared" si="92"/>
        <v>4.6548999771708823</v>
      </c>
    </row>
    <row r="1463" spans="1:8" x14ac:dyDescent="0.25">
      <c r="A1463" t="str">
        <f t="shared" si="90"/>
        <v>Direct,USnet,60</v>
      </c>
      <c r="B1463" t="s">
        <v>33</v>
      </c>
      <c r="C1463" t="s">
        <v>7</v>
      </c>
      <c r="D1463">
        <v>60</v>
      </c>
      <c r="E1463">
        <v>2220.4180000000001</v>
      </c>
      <c r="F1463">
        <f t="shared" si="89"/>
        <v>2130</v>
      </c>
      <c r="G1463">
        <f t="shared" si="91"/>
        <v>4.2449765258216017</v>
      </c>
      <c r="H1463">
        <f t="shared" si="92"/>
        <v>4.0721161511030859</v>
      </c>
    </row>
    <row r="1464" spans="1:8" x14ac:dyDescent="0.25">
      <c r="A1464" t="str">
        <f t="shared" si="90"/>
        <v>Direct,USnet,60</v>
      </c>
      <c r="B1464" t="s">
        <v>33</v>
      </c>
      <c r="C1464" t="s">
        <v>7</v>
      </c>
      <c r="D1464">
        <v>60</v>
      </c>
      <c r="E1464">
        <v>2272.319</v>
      </c>
      <c r="F1464">
        <f t="shared" si="89"/>
        <v>2130</v>
      </c>
      <c r="G1464">
        <f t="shared" si="91"/>
        <v>6.6816431924882611</v>
      </c>
      <c r="H1464">
        <f t="shared" si="92"/>
        <v>6.2631611142625649</v>
      </c>
    </row>
    <row r="1465" spans="1:8" x14ac:dyDescent="0.25">
      <c r="A1465" t="str">
        <f t="shared" si="90"/>
        <v>Direct,USnet,60</v>
      </c>
      <c r="B1465" t="s">
        <v>33</v>
      </c>
      <c r="C1465" t="s">
        <v>7</v>
      </c>
      <c r="D1465">
        <v>60</v>
      </c>
      <c r="E1465">
        <v>2237.578</v>
      </c>
      <c r="F1465">
        <f t="shared" si="89"/>
        <v>2130</v>
      </c>
      <c r="G1465">
        <f t="shared" si="91"/>
        <v>5.0506103286384967</v>
      </c>
      <c r="H1465">
        <f t="shared" si="92"/>
        <v>4.8077877061715828</v>
      </c>
    </row>
    <row r="1466" spans="1:8" x14ac:dyDescent="0.25">
      <c r="A1466" t="str">
        <f t="shared" si="90"/>
        <v>Direct,USnet,60</v>
      </c>
      <c r="B1466" t="s">
        <v>33</v>
      </c>
      <c r="C1466" t="s">
        <v>7</v>
      </c>
      <c r="D1466">
        <v>60</v>
      </c>
      <c r="E1466">
        <v>2219.1309999999999</v>
      </c>
      <c r="F1466">
        <f t="shared" si="89"/>
        <v>2130</v>
      </c>
      <c r="G1466">
        <f t="shared" si="91"/>
        <v>4.184553990610322</v>
      </c>
      <c r="H1466">
        <f t="shared" si="92"/>
        <v>4.0164821274634024</v>
      </c>
    </row>
    <row r="1467" spans="1:8" x14ac:dyDescent="0.25">
      <c r="A1467" t="str">
        <f t="shared" si="90"/>
        <v>Direct,USnet,60</v>
      </c>
      <c r="B1467" t="s">
        <v>33</v>
      </c>
      <c r="C1467" t="s">
        <v>7</v>
      </c>
      <c r="D1467">
        <v>60</v>
      </c>
      <c r="E1467">
        <v>2214.0749999999998</v>
      </c>
      <c r="F1467">
        <f t="shared" si="89"/>
        <v>2130</v>
      </c>
      <c r="G1467">
        <f t="shared" si="91"/>
        <v>3.9471830985915406</v>
      </c>
      <c r="H1467">
        <f t="shared" si="92"/>
        <v>3.7972968395379483</v>
      </c>
    </row>
    <row r="1468" spans="1:8" x14ac:dyDescent="0.25">
      <c r="A1468" t="str">
        <f t="shared" si="90"/>
        <v>Direct,USnet,60</v>
      </c>
      <c r="B1468" t="s">
        <v>33</v>
      </c>
      <c r="C1468" t="s">
        <v>7</v>
      </c>
      <c r="D1468">
        <v>60</v>
      </c>
      <c r="E1468">
        <v>2216.9839999999999</v>
      </c>
      <c r="F1468">
        <f t="shared" si="89"/>
        <v>2130</v>
      </c>
      <c r="G1468">
        <f t="shared" si="91"/>
        <v>4.0837558685445972</v>
      </c>
      <c r="H1468">
        <f t="shared" si="92"/>
        <v>3.9235285414779684</v>
      </c>
    </row>
    <row r="1469" spans="1:8" x14ac:dyDescent="0.25">
      <c r="A1469" t="str">
        <f t="shared" si="90"/>
        <v>Direct,USnet,60</v>
      </c>
      <c r="B1469" t="s">
        <v>33</v>
      </c>
      <c r="C1469" t="s">
        <v>7</v>
      </c>
      <c r="D1469">
        <v>60</v>
      </c>
      <c r="E1469">
        <v>2238.06</v>
      </c>
      <c r="F1469">
        <f t="shared" si="89"/>
        <v>2130</v>
      </c>
      <c r="G1469">
        <f t="shared" si="91"/>
        <v>5.0732394366197155</v>
      </c>
      <c r="H1469">
        <f t="shared" si="92"/>
        <v>4.8282887858234345</v>
      </c>
    </row>
    <row r="1470" spans="1:8" x14ac:dyDescent="0.25">
      <c r="A1470" t="str">
        <f t="shared" si="90"/>
        <v>Direct,USnet,60</v>
      </c>
      <c r="B1470" t="s">
        <v>33</v>
      </c>
      <c r="C1470" t="s">
        <v>7</v>
      </c>
      <c r="D1470">
        <v>60</v>
      </c>
      <c r="E1470">
        <v>2199.2840000000001</v>
      </c>
      <c r="F1470">
        <f t="shared" si="89"/>
        <v>2130</v>
      </c>
      <c r="G1470">
        <f t="shared" si="91"/>
        <v>3.2527699530516476</v>
      </c>
      <c r="H1470">
        <f t="shared" si="92"/>
        <v>3.150298006078347</v>
      </c>
    </row>
    <row r="1471" spans="1:8" x14ac:dyDescent="0.25">
      <c r="A1471" t="str">
        <f t="shared" si="90"/>
        <v>Direct,USnet,60</v>
      </c>
      <c r="B1471" t="s">
        <v>33</v>
      </c>
      <c r="C1471" t="s">
        <v>7</v>
      </c>
      <c r="D1471">
        <v>60</v>
      </c>
      <c r="E1471">
        <v>2198.7179999999998</v>
      </c>
      <c r="F1471">
        <f t="shared" si="89"/>
        <v>2130</v>
      </c>
      <c r="G1471">
        <f t="shared" si="91"/>
        <v>3.2261971830985843</v>
      </c>
      <c r="H1471">
        <f t="shared" si="92"/>
        <v>3.1253666909535398</v>
      </c>
    </row>
    <row r="1472" spans="1:8" x14ac:dyDescent="0.25">
      <c r="A1472" t="str">
        <f t="shared" si="90"/>
        <v>Direct,USnet,60</v>
      </c>
      <c r="B1472" t="s">
        <v>33</v>
      </c>
      <c r="C1472" t="s">
        <v>7</v>
      </c>
      <c r="D1472">
        <v>60</v>
      </c>
      <c r="E1472">
        <v>2149.41</v>
      </c>
      <c r="F1472">
        <f t="shared" si="89"/>
        <v>2130</v>
      </c>
      <c r="G1472">
        <f t="shared" si="91"/>
        <v>0.91126760563379605</v>
      </c>
      <c r="H1472">
        <f t="shared" si="92"/>
        <v>0.90303850824178988</v>
      </c>
    </row>
    <row r="1473" spans="1:8" x14ac:dyDescent="0.25">
      <c r="A1473" t="str">
        <f t="shared" si="90"/>
        <v>Direct,USnet,60</v>
      </c>
      <c r="B1473" t="s">
        <v>33</v>
      </c>
      <c r="C1473" t="s">
        <v>7</v>
      </c>
      <c r="D1473">
        <v>60</v>
      </c>
      <c r="E1473">
        <v>2158.8130000000001</v>
      </c>
      <c r="F1473">
        <f t="shared" si="89"/>
        <v>2130</v>
      </c>
      <c r="G1473">
        <f t="shared" si="91"/>
        <v>1.3527230046948404</v>
      </c>
      <c r="H1473">
        <f t="shared" si="92"/>
        <v>1.3346686350323118</v>
      </c>
    </row>
    <row r="1474" spans="1:8" x14ac:dyDescent="0.25">
      <c r="A1474" t="str">
        <f t="shared" si="90"/>
        <v>Direct,USnet,60</v>
      </c>
      <c r="B1474" t="s">
        <v>33</v>
      </c>
      <c r="C1474" t="s">
        <v>7</v>
      </c>
      <c r="D1474">
        <v>60</v>
      </c>
      <c r="E1474">
        <v>2167.1770000000001</v>
      </c>
      <c r="F1474">
        <f t="shared" si="89"/>
        <v>2130</v>
      </c>
      <c r="G1474">
        <f t="shared" si="91"/>
        <v>1.7453990610328702</v>
      </c>
      <c r="H1474">
        <f t="shared" si="92"/>
        <v>1.7154574822453421</v>
      </c>
    </row>
    <row r="1475" spans="1:8" x14ac:dyDescent="0.25">
      <c r="A1475" t="str">
        <f t="shared" si="90"/>
        <v>Direct,USnet,60</v>
      </c>
      <c r="B1475" t="s">
        <v>33</v>
      </c>
      <c r="C1475" t="s">
        <v>7</v>
      </c>
      <c r="D1475">
        <v>60</v>
      </c>
      <c r="E1475">
        <v>2136.902</v>
      </c>
      <c r="F1475">
        <f t="shared" ref="F1475:F1538" si="93">_xlfn.XLOOKUP(A1475,$J$3:$J$36,$N$3:$N$36)</f>
        <v>2130</v>
      </c>
      <c r="G1475">
        <f t="shared" si="91"/>
        <v>0.32403755868544803</v>
      </c>
      <c r="H1475">
        <f t="shared" si="92"/>
        <v>0.32299094670696382</v>
      </c>
    </row>
    <row r="1476" spans="1:8" x14ac:dyDescent="0.25">
      <c r="A1476" t="str">
        <f t="shared" ref="A1476:A1539" si="94">B1476&amp;","&amp;C1476&amp;","&amp;D1476</f>
        <v>Direct,USnet,60</v>
      </c>
      <c r="B1476" t="s">
        <v>33</v>
      </c>
      <c r="C1476" t="s">
        <v>7</v>
      </c>
      <c r="D1476">
        <v>60</v>
      </c>
      <c r="E1476">
        <v>2144.0250000000001</v>
      </c>
      <c r="F1476">
        <f t="shared" si="93"/>
        <v>2130</v>
      </c>
      <c r="G1476">
        <f t="shared" ref="G1476:G1539" si="95">ABS((E1476-F1476)/F1476)*100</f>
        <v>0.65845070422535645</v>
      </c>
      <c r="H1476">
        <f t="shared" ref="H1476:H1539" si="96">ABS((F1476-E1476)/E1476)*100</f>
        <v>0.65414349179697484</v>
      </c>
    </row>
    <row r="1477" spans="1:8" x14ac:dyDescent="0.25">
      <c r="A1477" t="str">
        <f t="shared" si="94"/>
        <v>Direct,USnet,60</v>
      </c>
      <c r="B1477" t="s">
        <v>33</v>
      </c>
      <c r="C1477" t="s">
        <v>7</v>
      </c>
      <c r="D1477">
        <v>60</v>
      </c>
      <c r="E1477">
        <v>2080.6640000000002</v>
      </c>
      <c r="F1477">
        <f t="shared" si="93"/>
        <v>2130</v>
      </c>
      <c r="G1477">
        <f t="shared" si="95"/>
        <v>2.316244131455389</v>
      </c>
      <c r="H1477">
        <f t="shared" si="96"/>
        <v>2.3711661277361351</v>
      </c>
    </row>
    <row r="1478" spans="1:8" x14ac:dyDescent="0.25">
      <c r="A1478" t="str">
        <f t="shared" si="94"/>
        <v>Direct,USnet,60</v>
      </c>
      <c r="B1478" t="s">
        <v>33</v>
      </c>
      <c r="C1478" t="s">
        <v>7</v>
      </c>
      <c r="D1478">
        <v>60</v>
      </c>
      <c r="E1478">
        <v>2226.8960000000002</v>
      </c>
      <c r="F1478">
        <f t="shared" si="93"/>
        <v>2130</v>
      </c>
      <c r="G1478">
        <f t="shared" si="95"/>
        <v>4.5491079812206658</v>
      </c>
      <c r="H1478">
        <f t="shared" si="96"/>
        <v>4.3511686221538941</v>
      </c>
    </row>
    <row r="1479" spans="1:8" x14ac:dyDescent="0.25">
      <c r="A1479" t="str">
        <f t="shared" si="94"/>
        <v>Direct,USnet,60</v>
      </c>
      <c r="B1479" t="s">
        <v>33</v>
      </c>
      <c r="C1479" t="s">
        <v>7</v>
      </c>
      <c r="D1479">
        <v>60</v>
      </c>
      <c r="E1479">
        <v>2196.5700000000002</v>
      </c>
      <c r="F1479">
        <f t="shared" si="93"/>
        <v>2130</v>
      </c>
      <c r="G1479">
        <f t="shared" si="95"/>
        <v>3.1253521126760644</v>
      </c>
      <c r="H1479">
        <f t="shared" si="96"/>
        <v>3.0306341250222011</v>
      </c>
    </row>
    <row r="1480" spans="1:8" x14ac:dyDescent="0.25">
      <c r="A1480" t="str">
        <f t="shared" si="94"/>
        <v>Direct,USnet,60</v>
      </c>
      <c r="B1480" t="s">
        <v>33</v>
      </c>
      <c r="C1480" t="s">
        <v>7</v>
      </c>
      <c r="D1480">
        <v>60</v>
      </c>
      <c r="E1480">
        <v>2246.652</v>
      </c>
      <c r="F1480">
        <f t="shared" si="93"/>
        <v>2130</v>
      </c>
      <c r="G1480">
        <f t="shared" si="95"/>
        <v>5.4766197183098617</v>
      </c>
      <c r="H1480">
        <f t="shared" si="96"/>
        <v>5.1922594153433668</v>
      </c>
    </row>
    <row r="1481" spans="1:8" x14ac:dyDescent="0.25">
      <c r="A1481" t="str">
        <f t="shared" si="94"/>
        <v>Direct,USnet,60</v>
      </c>
      <c r="B1481" t="s">
        <v>33</v>
      </c>
      <c r="C1481" t="s">
        <v>7</v>
      </c>
      <c r="D1481">
        <v>60</v>
      </c>
      <c r="E1481">
        <v>2137.7510000000002</v>
      </c>
      <c r="F1481">
        <f t="shared" si="93"/>
        <v>2130</v>
      </c>
      <c r="G1481">
        <f t="shared" si="95"/>
        <v>0.36389671361503306</v>
      </c>
      <c r="H1481">
        <f t="shared" si="96"/>
        <v>0.36257730671159566</v>
      </c>
    </row>
    <row r="1482" spans="1:8" x14ac:dyDescent="0.25">
      <c r="A1482" t="str">
        <f t="shared" si="94"/>
        <v>Direct,USnet,60</v>
      </c>
      <c r="B1482" t="s">
        <v>33</v>
      </c>
      <c r="C1482" t="s">
        <v>7</v>
      </c>
      <c r="D1482">
        <v>60</v>
      </c>
      <c r="E1482">
        <v>2148.654</v>
      </c>
      <c r="F1482">
        <f t="shared" si="93"/>
        <v>2130</v>
      </c>
      <c r="G1482">
        <f t="shared" si="95"/>
        <v>0.87577464788732384</v>
      </c>
      <c r="H1482">
        <f t="shared" si="96"/>
        <v>0.86817142266739988</v>
      </c>
    </row>
    <row r="1483" spans="1:8" x14ac:dyDescent="0.25">
      <c r="A1483" t="str">
        <f t="shared" si="94"/>
        <v>Direct,USnet,60</v>
      </c>
      <c r="B1483" t="s">
        <v>33</v>
      </c>
      <c r="C1483" t="s">
        <v>7</v>
      </c>
      <c r="D1483">
        <v>60</v>
      </c>
      <c r="E1483">
        <v>2162.654</v>
      </c>
      <c r="F1483">
        <f t="shared" si="93"/>
        <v>2130</v>
      </c>
      <c r="G1483">
        <f t="shared" si="95"/>
        <v>1.5330516431924881</v>
      </c>
      <c r="H1483">
        <f t="shared" si="96"/>
        <v>1.5099040345797339</v>
      </c>
    </row>
    <row r="1484" spans="1:8" x14ac:dyDescent="0.25">
      <c r="A1484" t="str">
        <f t="shared" si="94"/>
        <v>Direct,USnet,60</v>
      </c>
      <c r="B1484" t="s">
        <v>33</v>
      </c>
      <c r="C1484" t="s">
        <v>7</v>
      </c>
      <c r="D1484">
        <v>60</v>
      </c>
      <c r="E1484">
        <v>2159.9259999999999</v>
      </c>
      <c r="F1484">
        <f t="shared" si="93"/>
        <v>2130</v>
      </c>
      <c r="G1484">
        <f t="shared" si="95"/>
        <v>1.4049765258215929</v>
      </c>
      <c r="H1484">
        <f t="shared" si="96"/>
        <v>1.3855104295239713</v>
      </c>
    </row>
    <row r="1485" spans="1:8" x14ac:dyDescent="0.25">
      <c r="A1485" t="str">
        <f t="shared" si="94"/>
        <v>Direct,USnet,60</v>
      </c>
      <c r="B1485" t="s">
        <v>33</v>
      </c>
      <c r="C1485" t="s">
        <v>7</v>
      </c>
      <c r="D1485">
        <v>60</v>
      </c>
      <c r="E1485">
        <v>2264.3969999999999</v>
      </c>
      <c r="F1485">
        <f t="shared" si="93"/>
        <v>2130</v>
      </c>
      <c r="G1485">
        <f t="shared" si="95"/>
        <v>6.3097183098591527</v>
      </c>
      <c r="H1485">
        <f t="shared" si="96"/>
        <v>5.9352224896959296</v>
      </c>
    </row>
    <row r="1486" spans="1:8" x14ac:dyDescent="0.25">
      <c r="A1486" t="str">
        <f t="shared" si="94"/>
        <v>Direct,USnet,60</v>
      </c>
      <c r="B1486" t="s">
        <v>33</v>
      </c>
      <c r="C1486" t="s">
        <v>7</v>
      </c>
      <c r="D1486">
        <v>60</v>
      </c>
      <c r="E1486">
        <v>2199.5639999999999</v>
      </c>
      <c r="F1486">
        <f t="shared" si="93"/>
        <v>2130</v>
      </c>
      <c r="G1486">
        <f t="shared" si="95"/>
        <v>3.2659154929577396</v>
      </c>
      <c r="H1486">
        <f t="shared" si="96"/>
        <v>3.1626267751245183</v>
      </c>
    </row>
    <row r="1487" spans="1:8" x14ac:dyDescent="0.25">
      <c r="A1487" t="str">
        <f t="shared" si="94"/>
        <v>Direct,USnet,60</v>
      </c>
      <c r="B1487" t="s">
        <v>33</v>
      </c>
      <c r="C1487" t="s">
        <v>7</v>
      </c>
      <c r="D1487">
        <v>60</v>
      </c>
      <c r="E1487">
        <v>2206.9209999999998</v>
      </c>
      <c r="F1487">
        <f t="shared" si="93"/>
        <v>2130</v>
      </c>
      <c r="G1487">
        <f t="shared" si="95"/>
        <v>3.611314553990602</v>
      </c>
      <c r="H1487">
        <f t="shared" si="96"/>
        <v>3.4854442003134603</v>
      </c>
    </row>
    <row r="1488" spans="1:8" x14ac:dyDescent="0.25">
      <c r="A1488" t="str">
        <f t="shared" si="94"/>
        <v>Direct,USnet,60</v>
      </c>
      <c r="B1488" t="s">
        <v>33</v>
      </c>
      <c r="C1488" t="s">
        <v>7</v>
      </c>
      <c r="D1488">
        <v>60</v>
      </c>
      <c r="E1488">
        <v>2173.9050000000002</v>
      </c>
      <c r="F1488">
        <f t="shared" si="93"/>
        <v>2130</v>
      </c>
      <c r="G1488">
        <f t="shared" si="95"/>
        <v>2.061267605633812</v>
      </c>
      <c r="H1488">
        <f t="shared" si="96"/>
        <v>2.0196374726586579</v>
      </c>
    </row>
    <row r="1489" spans="1:8" x14ac:dyDescent="0.25">
      <c r="A1489" t="str">
        <f t="shared" si="94"/>
        <v>Direct,USnet,60</v>
      </c>
      <c r="B1489" t="s">
        <v>33</v>
      </c>
      <c r="C1489" t="s">
        <v>7</v>
      </c>
      <c r="D1489">
        <v>60</v>
      </c>
      <c r="E1489">
        <v>2255.279</v>
      </c>
      <c r="F1489">
        <f t="shared" si="93"/>
        <v>2130</v>
      </c>
      <c r="G1489">
        <f t="shared" si="95"/>
        <v>5.8816431924882622</v>
      </c>
      <c r="H1489">
        <f t="shared" si="96"/>
        <v>5.5549224730066653</v>
      </c>
    </row>
    <row r="1490" spans="1:8" x14ac:dyDescent="0.25">
      <c r="A1490" t="str">
        <f t="shared" si="94"/>
        <v>Direct,USnet,60</v>
      </c>
      <c r="B1490" t="s">
        <v>33</v>
      </c>
      <c r="C1490" t="s">
        <v>7</v>
      </c>
      <c r="D1490">
        <v>60</v>
      </c>
      <c r="E1490">
        <v>2254.0529999999999</v>
      </c>
      <c r="F1490">
        <f t="shared" si="93"/>
        <v>2130</v>
      </c>
      <c r="G1490">
        <f t="shared" si="95"/>
        <v>5.8240845070422482</v>
      </c>
      <c r="H1490">
        <f t="shared" si="96"/>
        <v>5.5035529333161151</v>
      </c>
    </row>
    <row r="1491" spans="1:8" x14ac:dyDescent="0.25">
      <c r="A1491" t="str">
        <f t="shared" si="94"/>
        <v>Direct,USnet,60</v>
      </c>
      <c r="B1491" t="s">
        <v>33</v>
      </c>
      <c r="C1491" t="s">
        <v>7</v>
      </c>
      <c r="D1491">
        <v>60</v>
      </c>
      <c r="E1491">
        <v>2176.3180000000002</v>
      </c>
      <c r="F1491">
        <f t="shared" si="93"/>
        <v>2130</v>
      </c>
      <c r="G1491">
        <f t="shared" si="95"/>
        <v>2.1745539906103386</v>
      </c>
      <c r="H1491">
        <f t="shared" si="96"/>
        <v>2.128273533555308</v>
      </c>
    </row>
    <row r="1492" spans="1:8" x14ac:dyDescent="0.25">
      <c r="A1492" t="str">
        <f t="shared" si="94"/>
        <v>Direct,USnet,60</v>
      </c>
      <c r="B1492" t="s">
        <v>33</v>
      </c>
      <c r="C1492" t="s">
        <v>7</v>
      </c>
      <c r="D1492">
        <v>60</v>
      </c>
      <c r="E1492">
        <v>2137.6509999999998</v>
      </c>
      <c r="F1492">
        <f t="shared" si="93"/>
        <v>2130</v>
      </c>
      <c r="G1492">
        <f t="shared" si="95"/>
        <v>0.35920187793426478</v>
      </c>
      <c r="H1492">
        <f t="shared" si="96"/>
        <v>0.35791623609278789</v>
      </c>
    </row>
    <row r="1493" spans="1:8" x14ac:dyDescent="0.25">
      <c r="A1493" t="str">
        <f t="shared" si="94"/>
        <v>Direct,USnet,60</v>
      </c>
      <c r="B1493" t="s">
        <v>33</v>
      </c>
      <c r="C1493" t="s">
        <v>7</v>
      </c>
      <c r="D1493">
        <v>60</v>
      </c>
      <c r="E1493">
        <v>2172.8029999999999</v>
      </c>
      <c r="F1493">
        <f t="shared" si="93"/>
        <v>2130</v>
      </c>
      <c r="G1493">
        <f t="shared" si="95"/>
        <v>2.0095305164319193</v>
      </c>
      <c r="H1493">
        <f t="shared" si="96"/>
        <v>1.9699438927505111</v>
      </c>
    </row>
    <row r="1494" spans="1:8" x14ac:dyDescent="0.25">
      <c r="A1494" t="str">
        <f t="shared" si="94"/>
        <v>Direct,USnet,60</v>
      </c>
      <c r="B1494" t="s">
        <v>33</v>
      </c>
      <c r="C1494" t="s">
        <v>7</v>
      </c>
      <c r="D1494">
        <v>60</v>
      </c>
      <c r="E1494">
        <v>2207.5309999999999</v>
      </c>
      <c r="F1494">
        <f t="shared" si="93"/>
        <v>2130</v>
      </c>
      <c r="G1494">
        <f t="shared" si="95"/>
        <v>3.6399530516431904</v>
      </c>
      <c r="H1494">
        <f t="shared" si="96"/>
        <v>3.51211375967087</v>
      </c>
    </row>
    <row r="1495" spans="1:8" x14ac:dyDescent="0.25">
      <c r="A1495" t="str">
        <f t="shared" si="94"/>
        <v>Direct,USnet,60</v>
      </c>
      <c r="B1495" t="s">
        <v>33</v>
      </c>
      <c r="C1495" t="s">
        <v>7</v>
      </c>
      <c r="D1495">
        <v>60</v>
      </c>
      <c r="E1495">
        <v>2226.5709999999999</v>
      </c>
      <c r="F1495">
        <f t="shared" si="93"/>
        <v>2130</v>
      </c>
      <c r="G1495">
        <f t="shared" si="95"/>
        <v>4.5338497652582115</v>
      </c>
      <c r="H1495">
        <f t="shared" si="96"/>
        <v>4.3372073021700146</v>
      </c>
    </row>
    <row r="1496" spans="1:8" x14ac:dyDescent="0.25">
      <c r="A1496" t="str">
        <f t="shared" si="94"/>
        <v>Direct,USnet,60</v>
      </c>
      <c r="B1496" t="s">
        <v>33</v>
      </c>
      <c r="C1496" t="s">
        <v>7</v>
      </c>
      <c r="D1496">
        <v>60</v>
      </c>
      <c r="E1496">
        <v>2228.326</v>
      </c>
      <c r="F1496">
        <f t="shared" si="93"/>
        <v>2130</v>
      </c>
      <c r="G1496">
        <f t="shared" si="95"/>
        <v>4.6162441314554004</v>
      </c>
      <c r="H1496">
        <f t="shared" si="96"/>
        <v>4.4125500487810143</v>
      </c>
    </row>
    <row r="1497" spans="1:8" x14ac:dyDescent="0.25">
      <c r="A1497" t="str">
        <f t="shared" si="94"/>
        <v>Direct,USnet,60</v>
      </c>
      <c r="B1497" t="s">
        <v>33</v>
      </c>
      <c r="C1497" t="s">
        <v>7</v>
      </c>
      <c r="D1497">
        <v>60</v>
      </c>
      <c r="E1497">
        <v>2134.8620000000001</v>
      </c>
      <c r="F1497">
        <f t="shared" si="93"/>
        <v>2130</v>
      </c>
      <c r="G1497">
        <f t="shared" si="95"/>
        <v>0.2282629107981258</v>
      </c>
      <c r="H1497">
        <f t="shared" si="96"/>
        <v>0.22774305786510229</v>
      </c>
    </row>
    <row r="1498" spans="1:8" x14ac:dyDescent="0.25">
      <c r="A1498" t="str">
        <f t="shared" si="94"/>
        <v>Direct,USnet,60</v>
      </c>
      <c r="B1498" t="s">
        <v>33</v>
      </c>
      <c r="C1498" t="s">
        <v>7</v>
      </c>
      <c r="D1498">
        <v>60</v>
      </c>
      <c r="E1498">
        <v>2221.337</v>
      </c>
      <c r="F1498">
        <f t="shared" si="93"/>
        <v>2130</v>
      </c>
      <c r="G1498">
        <f t="shared" si="95"/>
        <v>4.2881220657276984</v>
      </c>
      <c r="H1498">
        <f t="shared" si="96"/>
        <v>4.1118029366998341</v>
      </c>
    </row>
    <row r="1499" spans="1:8" x14ac:dyDescent="0.25">
      <c r="A1499" t="str">
        <f t="shared" si="94"/>
        <v>Direct,USnet,60</v>
      </c>
      <c r="B1499" t="s">
        <v>33</v>
      </c>
      <c r="C1499" t="s">
        <v>7</v>
      </c>
      <c r="D1499">
        <v>60</v>
      </c>
      <c r="E1499">
        <v>2155.8310000000001</v>
      </c>
      <c r="F1499">
        <f t="shared" si="93"/>
        <v>2130</v>
      </c>
      <c r="G1499">
        <f t="shared" si="95"/>
        <v>1.2127230046948418</v>
      </c>
      <c r="H1499">
        <f t="shared" si="96"/>
        <v>1.1981922516189873</v>
      </c>
    </row>
    <row r="1500" spans="1:8" x14ac:dyDescent="0.25">
      <c r="A1500" t="str">
        <f t="shared" si="94"/>
        <v>Direct,USnet,60</v>
      </c>
      <c r="B1500" t="s">
        <v>33</v>
      </c>
      <c r="C1500" t="s">
        <v>7</v>
      </c>
      <c r="D1500">
        <v>60</v>
      </c>
      <c r="E1500">
        <v>2199.0459999999998</v>
      </c>
      <c r="F1500">
        <f t="shared" si="93"/>
        <v>2130</v>
      </c>
      <c r="G1500">
        <f t="shared" si="95"/>
        <v>3.241596244131447</v>
      </c>
      <c r="H1500">
        <f t="shared" si="96"/>
        <v>3.1398160838836398</v>
      </c>
    </row>
    <row r="1501" spans="1:8" x14ac:dyDescent="0.25">
      <c r="A1501" t="str">
        <f t="shared" si="94"/>
        <v>Direct,USnet,60</v>
      </c>
      <c r="B1501" t="s">
        <v>33</v>
      </c>
      <c r="C1501" t="s">
        <v>7</v>
      </c>
      <c r="D1501">
        <v>60</v>
      </c>
      <c r="E1501">
        <v>2207.9540000000002</v>
      </c>
      <c r="F1501">
        <f t="shared" si="93"/>
        <v>2130</v>
      </c>
      <c r="G1501">
        <f t="shared" si="95"/>
        <v>3.6598122065727781</v>
      </c>
      <c r="H1501">
        <f t="shared" si="96"/>
        <v>3.530598916462941</v>
      </c>
    </row>
    <row r="1502" spans="1:8" x14ac:dyDescent="0.25">
      <c r="A1502" t="str">
        <f t="shared" si="94"/>
        <v>Direct,USnet,60</v>
      </c>
      <c r="B1502" t="s">
        <v>33</v>
      </c>
      <c r="C1502" t="s">
        <v>7</v>
      </c>
      <c r="D1502">
        <v>60</v>
      </c>
      <c r="E1502">
        <v>2210.7710000000002</v>
      </c>
      <c r="F1502">
        <f t="shared" si="93"/>
        <v>2130</v>
      </c>
      <c r="G1502">
        <f t="shared" si="95"/>
        <v>3.7920657276995398</v>
      </c>
      <c r="H1502">
        <f t="shared" si="96"/>
        <v>3.6535217804105526</v>
      </c>
    </row>
    <row r="1503" spans="1:8" x14ac:dyDescent="0.25">
      <c r="A1503" t="str">
        <f t="shared" si="94"/>
        <v>Direct,USnet,80</v>
      </c>
      <c r="B1503" t="s">
        <v>33</v>
      </c>
      <c r="C1503" t="s">
        <v>7</v>
      </c>
      <c r="D1503">
        <v>80</v>
      </c>
      <c r="E1503">
        <v>2855.42</v>
      </c>
      <c r="F1503">
        <f t="shared" si="93"/>
        <v>2740</v>
      </c>
      <c r="G1503">
        <f t="shared" si="95"/>
        <v>4.2124087591240897</v>
      </c>
      <c r="H1503">
        <f t="shared" si="96"/>
        <v>4.0421374088575437</v>
      </c>
    </row>
    <row r="1504" spans="1:8" x14ac:dyDescent="0.25">
      <c r="A1504" t="str">
        <f t="shared" si="94"/>
        <v>Direct,USnet,80</v>
      </c>
      <c r="B1504" t="s">
        <v>33</v>
      </c>
      <c r="C1504" t="s">
        <v>7</v>
      </c>
      <c r="D1504">
        <v>80</v>
      </c>
      <c r="E1504">
        <v>2871.45</v>
      </c>
      <c r="F1504">
        <f t="shared" si="93"/>
        <v>2740</v>
      </c>
      <c r="G1504">
        <f t="shared" si="95"/>
        <v>4.7974452554744458</v>
      </c>
      <c r="H1504">
        <f t="shared" si="96"/>
        <v>4.5778265336328277</v>
      </c>
    </row>
    <row r="1505" spans="1:8" x14ac:dyDescent="0.25">
      <c r="A1505" t="str">
        <f t="shared" si="94"/>
        <v>Direct,USnet,80</v>
      </c>
      <c r="B1505" t="s">
        <v>33</v>
      </c>
      <c r="C1505" t="s">
        <v>7</v>
      </c>
      <c r="D1505">
        <v>80</v>
      </c>
      <c r="E1505">
        <v>2873.3850000000002</v>
      </c>
      <c r="F1505">
        <f t="shared" si="93"/>
        <v>2740</v>
      </c>
      <c r="G1505">
        <f t="shared" si="95"/>
        <v>4.8680656934306645</v>
      </c>
      <c r="H1505">
        <f t="shared" si="96"/>
        <v>4.6420859021676604</v>
      </c>
    </row>
    <row r="1506" spans="1:8" x14ac:dyDescent="0.25">
      <c r="A1506" t="str">
        <f t="shared" si="94"/>
        <v>Direct,USnet,80</v>
      </c>
      <c r="B1506" t="s">
        <v>33</v>
      </c>
      <c r="C1506" t="s">
        <v>7</v>
      </c>
      <c r="D1506">
        <v>80</v>
      </c>
      <c r="E1506">
        <v>2847.7719999999999</v>
      </c>
      <c r="F1506">
        <f t="shared" si="93"/>
        <v>2740</v>
      </c>
      <c r="G1506">
        <f t="shared" si="95"/>
        <v>3.933284671532844</v>
      </c>
      <c r="H1506">
        <f t="shared" si="96"/>
        <v>3.7844321806661467</v>
      </c>
    </row>
    <row r="1507" spans="1:8" x14ac:dyDescent="0.25">
      <c r="A1507" t="str">
        <f t="shared" si="94"/>
        <v>Direct,USnet,80</v>
      </c>
      <c r="B1507" t="s">
        <v>33</v>
      </c>
      <c r="C1507" t="s">
        <v>7</v>
      </c>
      <c r="D1507">
        <v>80</v>
      </c>
      <c r="E1507">
        <v>2780.8510000000001</v>
      </c>
      <c r="F1507">
        <f t="shared" si="93"/>
        <v>2740</v>
      </c>
      <c r="G1507">
        <f t="shared" si="95"/>
        <v>1.4909124087591283</v>
      </c>
      <c r="H1507">
        <f t="shared" si="96"/>
        <v>1.469010745271865</v>
      </c>
    </row>
    <row r="1508" spans="1:8" x14ac:dyDescent="0.25">
      <c r="A1508" t="str">
        <f t="shared" si="94"/>
        <v>Direct,USnet,80</v>
      </c>
      <c r="B1508" t="s">
        <v>33</v>
      </c>
      <c r="C1508" t="s">
        <v>7</v>
      </c>
      <c r="D1508">
        <v>80</v>
      </c>
      <c r="E1508">
        <v>2842.25</v>
      </c>
      <c r="F1508">
        <f t="shared" si="93"/>
        <v>2740</v>
      </c>
      <c r="G1508">
        <f t="shared" si="95"/>
        <v>3.7317518248175183</v>
      </c>
      <c r="H1508">
        <f t="shared" si="96"/>
        <v>3.5975019790658807</v>
      </c>
    </row>
    <row r="1509" spans="1:8" x14ac:dyDescent="0.25">
      <c r="A1509" t="str">
        <f t="shared" si="94"/>
        <v>Direct,USnet,80</v>
      </c>
      <c r="B1509" t="s">
        <v>33</v>
      </c>
      <c r="C1509" t="s">
        <v>7</v>
      </c>
      <c r="D1509">
        <v>80</v>
      </c>
      <c r="E1509">
        <v>2849.326</v>
      </c>
      <c r="F1509">
        <f t="shared" si="93"/>
        <v>2740</v>
      </c>
      <c r="G1509">
        <f t="shared" si="95"/>
        <v>3.9900000000000007</v>
      </c>
      <c r="H1509">
        <f t="shared" si="96"/>
        <v>3.836907394941822</v>
      </c>
    </row>
    <row r="1510" spans="1:8" x14ac:dyDescent="0.25">
      <c r="A1510" t="str">
        <f t="shared" si="94"/>
        <v>Direct,USnet,80</v>
      </c>
      <c r="B1510" t="s">
        <v>33</v>
      </c>
      <c r="C1510" t="s">
        <v>7</v>
      </c>
      <c r="D1510">
        <v>80</v>
      </c>
      <c r="E1510">
        <v>2782.8939999999998</v>
      </c>
      <c r="F1510">
        <f t="shared" si="93"/>
        <v>2740</v>
      </c>
      <c r="G1510">
        <f t="shared" si="95"/>
        <v>1.5654744525547364</v>
      </c>
      <c r="H1510">
        <f t="shared" si="96"/>
        <v>1.5413450889613396</v>
      </c>
    </row>
    <row r="1511" spans="1:8" x14ac:dyDescent="0.25">
      <c r="A1511" t="str">
        <f t="shared" si="94"/>
        <v>Direct,USnet,80</v>
      </c>
      <c r="B1511" t="s">
        <v>33</v>
      </c>
      <c r="C1511" t="s">
        <v>7</v>
      </c>
      <c r="D1511">
        <v>80</v>
      </c>
      <c r="E1511">
        <v>2806.944</v>
      </c>
      <c r="F1511">
        <f t="shared" si="93"/>
        <v>2740</v>
      </c>
      <c r="G1511">
        <f t="shared" si="95"/>
        <v>2.4432116788321152</v>
      </c>
      <c r="H1511">
        <f t="shared" si="96"/>
        <v>2.3849424854931187</v>
      </c>
    </row>
    <row r="1512" spans="1:8" x14ac:dyDescent="0.25">
      <c r="A1512" t="str">
        <f t="shared" si="94"/>
        <v>Direct,USnet,80</v>
      </c>
      <c r="B1512" t="s">
        <v>33</v>
      </c>
      <c r="C1512" t="s">
        <v>7</v>
      </c>
      <c r="D1512">
        <v>80</v>
      </c>
      <c r="E1512">
        <v>2913.797</v>
      </c>
      <c r="F1512">
        <f t="shared" si="93"/>
        <v>2740</v>
      </c>
      <c r="G1512">
        <f t="shared" si="95"/>
        <v>6.3429562043795631</v>
      </c>
      <c r="H1512">
        <f t="shared" si="96"/>
        <v>5.964622792871296</v>
      </c>
    </row>
    <row r="1513" spans="1:8" x14ac:dyDescent="0.25">
      <c r="A1513" t="str">
        <f t="shared" si="94"/>
        <v>Direct,USnet,80</v>
      </c>
      <c r="B1513" t="s">
        <v>33</v>
      </c>
      <c r="C1513" t="s">
        <v>7</v>
      </c>
      <c r="D1513">
        <v>80</v>
      </c>
      <c r="E1513">
        <v>2830.0920000000001</v>
      </c>
      <c r="F1513">
        <f t="shared" si="93"/>
        <v>2740</v>
      </c>
      <c r="G1513">
        <f t="shared" si="95"/>
        <v>3.288029197080296</v>
      </c>
      <c r="H1513">
        <f t="shared" si="96"/>
        <v>3.1833594102241234</v>
      </c>
    </row>
    <row r="1514" spans="1:8" x14ac:dyDescent="0.25">
      <c r="A1514" t="str">
        <f t="shared" si="94"/>
        <v>Direct,USnet,80</v>
      </c>
      <c r="B1514" t="s">
        <v>33</v>
      </c>
      <c r="C1514" t="s">
        <v>7</v>
      </c>
      <c r="D1514">
        <v>80</v>
      </c>
      <c r="E1514">
        <v>2738.221</v>
      </c>
      <c r="F1514">
        <f t="shared" si="93"/>
        <v>2740</v>
      </c>
      <c r="G1514">
        <f t="shared" si="95"/>
        <v>6.4927007299269937E-2</v>
      </c>
      <c r="H1514">
        <f t="shared" si="96"/>
        <v>6.4969189849906059E-2</v>
      </c>
    </row>
    <row r="1515" spans="1:8" x14ac:dyDescent="0.25">
      <c r="A1515" t="str">
        <f t="shared" si="94"/>
        <v>Direct,USnet,80</v>
      </c>
      <c r="B1515" t="s">
        <v>33</v>
      </c>
      <c r="C1515" t="s">
        <v>7</v>
      </c>
      <c r="D1515">
        <v>80</v>
      </c>
      <c r="E1515">
        <v>2749.1190000000001</v>
      </c>
      <c r="F1515">
        <f t="shared" si="93"/>
        <v>2740</v>
      </c>
      <c r="G1515">
        <f t="shared" si="95"/>
        <v>0.33281021897810736</v>
      </c>
      <c r="H1515">
        <f t="shared" si="96"/>
        <v>0.33170626662578601</v>
      </c>
    </row>
    <row r="1516" spans="1:8" x14ac:dyDescent="0.25">
      <c r="A1516" t="str">
        <f t="shared" si="94"/>
        <v>Direct,USnet,80</v>
      </c>
      <c r="B1516" t="s">
        <v>33</v>
      </c>
      <c r="C1516" t="s">
        <v>7</v>
      </c>
      <c r="D1516">
        <v>80</v>
      </c>
      <c r="E1516">
        <v>2725.0569999999998</v>
      </c>
      <c r="F1516">
        <f t="shared" si="93"/>
        <v>2740</v>
      </c>
      <c r="G1516">
        <f t="shared" si="95"/>
        <v>0.54536496350365737</v>
      </c>
      <c r="H1516">
        <f t="shared" si="96"/>
        <v>0.54835550228858376</v>
      </c>
    </row>
    <row r="1517" spans="1:8" x14ac:dyDescent="0.25">
      <c r="A1517" t="str">
        <f t="shared" si="94"/>
        <v>Direct,USnet,80</v>
      </c>
      <c r="B1517" t="s">
        <v>33</v>
      </c>
      <c r="C1517" t="s">
        <v>7</v>
      </c>
      <c r="D1517">
        <v>80</v>
      </c>
      <c r="E1517">
        <v>2677.5709999999999</v>
      </c>
      <c r="F1517">
        <f t="shared" si="93"/>
        <v>2740</v>
      </c>
      <c r="G1517">
        <f t="shared" si="95"/>
        <v>2.2784306569343098</v>
      </c>
      <c r="H1517">
        <f t="shared" si="96"/>
        <v>2.3315534863501317</v>
      </c>
    </row>
    <row r="1518" spans="1:8" x14ac:dyDescent="0.25">
      <c r="A1518" t="str">
        <f t="shared" si="94"/>
        <v>Direct,USnet,80</v>
      </c>
      <c r="B1518" t="s">
        <v>33</v>
      </c>
      <c r="C1518" t="s">
        <v>7</v>
      </c>
      <c r="D1518">
        <v>80</v>
      </c>
      <c r="E1518">
        <v>2805.6170000000002</v>
      </c>
      <c r="F1518">
        <f t="shared" si="93"/>
        <v>2740</v>
      </c>
      <c r="G1518">
        <f t="shared" si="95"/>
        <v>2.3947810218978174</v>
      </c>
      <c r="H1518">
        <f t="shared" si="96"/>
        <v>2.3387725409419811</v>
      </c>
    </row>
    <row r="1519" spans="1:8" x14ac:dyDescent="0.25">
      <c r="A1519" t="str">
        <f t="shared" si="94"/>
        <v>Direct,USnet,80</v>
      </c>
      <c r="B1519" t="s">
        <v>33</v>
      </c>
      <c r="C1519" t="s">
        <v>7</v>
      </c>
      <c r="D1519">
        <v>80</v>
      </c>
      <c r="E1519">
        <v>2875.6970000000001</v>
      </c>
      <c r="F1519">
        <f t="shared" si="93"/>
        <v>2740</v>
      </c>
      <c r="G1519">
        <f t="shared" si="95"/>
        <v>4.9524452554744567</v>
      </c>
      <c r="H1519">
        <f t="shared" si="96"/>
        <v>4.7187516626404005</v>
      </c>
    </row>
    <row r="1520" spans="1:8" x14ac:dyDescent="0.25">
      <c r="A1520" t="str">
        <f t="shared" si="94"/>
        <v>Direct,USnet,80</v>
      </c>
      <c r="B1520" t="s">
        <v>33</v>
      </c>
      <c r="C1520" t="s">
        <v>7</v>
      </c>
      <c r="D1520">
        <v>80</v>
      </c>
      <c r="E1520">
        <v>2855.0079999999998</v>
      </c>
      <c r="F1520">
        <f t="shared" si="93"/>
        <v>2740</v>
      </c>
      <c r="G1520">
        <f t="shared" si="95"/>
        <v>4.1973722627737162</v>
      </c>
      <c r="H1520">
        <f t="shared" si="96"/>
        <v>4.0282899382418487</v>
      </c>
    </row>
    <row r="1521" spans="1:8" x14ac:dyDescent="0.25">
      <c r="A1521" t="str">
        <f t="shared" si="94"/>
        <v>Direct,USnet,80</v>
      </c>
      <c r="B1521" t="s">
        <v>33</v>
      </c>
      <c r="C1521" t="s">
        <v>7</v>
      </c>
      <c r="D1521">
        <v>80</v>
      </c>
      <c r="E1521">
        <v>2798.08</v>
      </c>
      <c r="F1521">
        <f t="shared" si="93"/>
        <v>2740</v>
      </c>
      <c r="G1521">
        <f t="shared" si="95"/>
        <v>2.1197080291970778</v>
      </c>
      <c r="H1521">
        <f t="shared" si="96"/>
        <v>2.0757090576395218</v>
      </c>
    </row>
    <row r="1522" spans="1:8" x14ac:dyDescent="0.25">
      <c r="A1522" t="str">
        <f t="shared" si="94"/>
        <v>Direct,USnet,80</v>
      </c>
      <c r="B1522" t="s">
        <v>33</v>
      </c>
      <c r="C1522" t="s">
        <v>7</v>
      </c>
      <c r="D1522">
        <v>80</v>
      </c>
      <c r="E1522">
        <v>2840.0529999999999</v>
      </c>
      <c r="F1522">
        <f t="shared" si="93"/>
        <v>2740</v>
      </c>
      <c r="G1522">
        <f t="shared" si="95"/>
        <v>3.6515693430656895</v>
      </c>
      <c r="H1522">
        <f t="shared" si="96"/>
        <v>3.5229272129780638</v>
      </c>
    </row>
    <row r="1523" spans="1:8" x14ac:dyDescent="0.25">
      <c r="A1523" t="str">
        <f t="shared" si="94"/>
        <v>Direct,USnet,80</v>
      </c>
      <c r="B1523" t="s">
        <v>33</v>
      </c>
      <c r="C1523" t="s">
        <v>7</v>
      </c>
      <c r="D1523">
        <v>80</v>
      </c>
      <c r="E1523">
        <v>2793.12</v>
      </c>
      <c r="F1523">
        <f t="shared" si="93"/>
        <v>2740</v>
      </c>
      <c r="G1523">
        <f t="shared" si="95"/>
        <v>1.9386861313868571</v>
      </c>
      <c r="H1523">
        <f t="shared" si="96"/>
        <v>1.9018158904737317</v>
      </c>
    </row>
    <row r="1524" spans="1:8" x14ac:dyDescent="0.25">
      <c r="A1524" t="str">
        <f t="shared" si="94"/>
        <v>Direct,USnet,80</v>
      </c>
      <c r="B1524" t="s">
        <v>33</v>
      </c>
      <c r="C1524" t="s">
        <v>7</v>
      </c>
      <c r="D1524">
        <v>80</v>
      </c>
      <c r="E1524">
        <v>2768.1480000000001</v>
      </c>
      <c r="F1524">
        <f t="shared" si="93"/>
        <v>2740</v>
      </c>
      <c r="G1524">
        <f t="shared" si="95"/>
        <v>1.0272992700729977</v>
      </c>
      <c r="H1524">
        <f t="shared" si="96"/>
        <v>1.0168531451353084</v>
      </c>
    </row>
    <row r="1525" spans="1:8" x14ac:dyDescent="0.25">
      <c r="A1525" t="str">
        <f t="shared" si="94"/>
        <v>Direct,USnet,80</v>
      </c>
      <c r="B1525" t="s">
        <v>33</v>
      </c>
      <c r="C1525" t="s">
        <v>7</v>
      </c>
      <c r="D1525">
        <v>80</v>
      </c>
      <c r="E1525">
        <v>2781.6019999999999</v>
      </c>
      <c r="F1525">
        <f t="shared" si="93"/>
        <v>2740</v>
      </c>
      <c r="G1525">
        <f t="shared" si="95"/>
        <v>1.5183211678832065</v>
      </c>
      <c r="H1525">
        <f t="shared" si="96"/>
        <v>1.495612959726081</v>
      </c>
    </row>
    <row r="1526" spans="1:8" x14ac:dyDescent="0.25">
      <c r="A1526" t="str">
        <f t="shared" si="94"/>
        <v>Direct,USnet,80</v>
      </c>
      <c r="B1526" t="s">
        <v>33</v>
      </c>
      <c r="C1526" t="s">
        <v>7</v>
      </c>
      <c r="D1526">
        <v>80</v>
      </c>
      <c r="E1526">
        <v>2768.7910000000002</v>
      </c>
      <c r="F1526">
        <f t="shared" si="93"/>
        <v>2740</v>
      </c>
      <c r="G1526">
        <f t="shared" si="95"/>
        <v>1.0507664233576703</v>
      </c>
      <c r="H1526">
        <f t="shared" si="96"/>
        <v>1.0398401323899191</v>
      </c>
    </row>
    <row r="1527" spans="1:8" x14ac:dyDescent="0.25">
      <c r="A1527" t="str">
        <f t="shared" si="94"/>
        <v>Direct,USnet,80</v>
      </c>
      <c r="B1527" t="s">
        <v>33</v>
      </c>
      <c r="C1527" t="s">
        <v>7</v>
      </c>
      <c r="D1527">
        <v>80</v>
      </c>
      <c r="E1527">
        <v>2801.5</v>
      </c>
      <c r="F1527">
        <f t="shared" si="93"/>
        <v>2740</v>
      </c>
      <c r="G1527">
        <f t="shared" si="95"/>
        <v>2.2445255474452552</v>
      </c>
      <c r="H1527">
        <f t="shared" si="96"/>
        <v>2.1952525432803855</v>
      </c>
    </row>
    <row r="1528" spans="1:8" x14ac:dyDescent="0.25">
      <c r="A1528" t="str">
        <f t="shared" si="94"/>
        <v>Direct,USnet,80</v>
      </c>
      <c r="B1528" t="s">
        <v>33</v>
      </c>
      <c r="C1528" t="s">
        <v>7</v>
      </c>
      <c r="D1528">
        <v>80</v>
      </c>
      <c r="E1528">
        <v>2760.598</v>
      </c>
      <c r="F1528">
        <f t="shared" si="93"/>
        <v>2740</v>
      </c>
      <c r="G1528">
        <f t="shared" si="95"/>
        <v>0.75175182481751657</v>
      </c>
      <c r="H1528">
        <f t="shared" si="96"/>
        <v>0.74614268357797686</v>
      </c>
    </row>
    <row r="1529" spans="1:8" x14ac:dyDescent="0.25">
      <c r="A1529" t="str">
        <f t="shared" si="94"/>
        <v>Direct,USnet,80</v>
      </c>
      <c r="B1529" t="s">
        <v>33</v>
      </c>
      <c r="C1529" t="s">
        <v>7</v>
      </c>
      <c r="D1529">
        <v>80</v>
      </c>
      <c r="E1529">
        <v>2881.3670000000002</v>
      </c>
      <c r="F1529">
        <f t="shared" si="93"/>
        <v>2740</v>
      </c>
      <c r="G1529">
        <f t="shared" si="95"/>
        <v>5.1593795620438021</v>
      </c>
      <c r="H1529">
        <f t="shared" si="96"/>
        <v>4.9062476248253066</v>
      </c>
    </row>
    <row r="1530" spans="1:8" x14ac:dyDescent="0.25">
      <c r="A1530" t="str">
        <f t="shared" si="94"/>
        <v>Direct,USnet,80</v>
      </c>
      <c r="B1530" t="s">
        <v>33</v>
      </c>
      <c r="C1530" t="s">
        <v>7</v>
      </c>
      <c r="D1530">
        <v>80</v>
      </c>
      <c r="E1530">
        <v>2787.364</v>
      </c>
      <c r="F1530">
        <f t="shared" si="93"/>
        <v>2740</v>
      </c>
      <c r="G1530">
        <f t="shared" si="95"/>
        <v>1.7286131386861328</v>
      </c>
      <c r="H1530">
        <f t="shared" si="96"/>
        <v>1.6992398552898018</v>
      </c>
    </row>
    <row r="1531" spans="1:8" x14ac:dyDescent="0.25">
      <c r="A1531" t="str">
        <f t="shared" si="94"/>
        <v>Direct,USnet,80</v>
      </c>
      <c r="B1531" t="s">
        <v>33</v>
      </c>
      <c r="C1531" t="s">
        <v>7</v>
      </c>
      <c r="D1531">
        <v>80</v>
      </c>
      <c r="E1531">
        <v>2847.7640000000001</v>
      </c>
      <c r="F1531">
        <f t="shared" si="93"/>
        <v>2740</v>
      </c>
      <c r="G1531">
        <f t="shared" si="95"/>
        <v>3.9329927007299315</v>
      </c>
      <c r="H1531">
        <f t="shared" si="96"/>
        <v>3.7841618898195253</v>
      </c>
    </row>
    <row r="1532" spans="1:8" x14ac:dyDescent="0.25">
      <c r="A1532" t="str">
        <f t="shared" si="94"/>
        <v>Direct,USnet,80</v>
      </c>
      <c r="B1532" t="s">
        <v>33</v>
      </c>
      <c r="C1532" t="s">
        <v>7</v>
      </c>
      <c r="D1532">
        <v>80</v>
      </c>
      <c r="E1532">
        <v>2789.5430000000001</v>
      </c>
      <c r="F1532">
        <f t="shared" si="93"/>
        <v>2740</v>
      </c>
      <c r="G1532">
        <f t="shared" si="95"/>
        <v>1.8081386861313913</v>
      </c>
      <c r="H1532">
        <f t="shared" si="96"/>
        <v>1.7760256787581377</v>
      </c>
    </row>
    <row r="1533" spans="1:8" x14ac:dyDescent="0.25">
      <c r="A1533" t="str">
        <f t="shared" si="94"/>
        <v>Direct,USnet,80</v>
      </c>
      <c r="B1533" t="s">
        <v>33</v>
      </c>
      <c r="C1533" t="s">
        <v>7</v>
      </c>
      <c r="D1533">
        <v>80</v>
      </c>
      <c r="E1533">
        <v>2870.06</v>
      </c>
      <c r="F1533">
        <f t="shared" si="93"/>
        <v>2740</v>
      </c>
      <c r="G1533">
        <f t="shared" si="95"/>
        <v>4.7467153284671513</v>
      </c>
      <c r="H1533">
        <f t="shared" si="96"/>
        <v>4.5316125795279518</v>
      </c>
    </row>
    <row r="1534" spans="1:8" x14ac:dyDescent="0.25">
      <c r="A1534" t="str">
        <f t="shared" si="94"/>
        <v>Direct,USnet,80</v>
      </c>
      <c r="B1534" t="s">
        <v>33</v>
      </c>
      <c r="C1534" t="s">
        <v>7</v>
      </c>
      <c r="D1534">
        <v>80</v>
      </c>
      <c r="E1534">
        <v>2843.2719999999999</v>
      </c>
      <c r="F1534">
        <f t="shared" si="93"/>
        <v>2740</v>
      </c>
      <c r="G1534">
        <f t="shared" si="95"/>
        <v>3.7690510948905085</v>
      </c>
      <c r="H1534">
        <f t="shared" si="96"/>
        <v>3.632153378220583</v>
      </c>
    </row>
    <row r="1535" spans="1:8" x14ac:dyDescent="0.25">
      <c r="A1535" t="str">
        <f t="shared" si="94"/>
        <v>Direct,USnet,80</v>
      </c>
      <c r="B1535" t="s">
        <v>33</v>
      </c>
      <c r="C1535" t="s">
        <v>7</v>
      </c>
      <c r="D1535">
        <v>80</v>
      </c>
      <c r="E1535">
        <v>2935.404</v>
      </c>
      <c r="F1535">
        <f t="shared" si="93"/>
        <v>2740</v>
      </c>
      <c r="G1535">
        <f t="shared" si="95"/>
        <v>7.1315328467153289</v>
      </c>
      <c r="H1535">
        <f t="shared" si="96"/>
        <v>6.6568009037256877</v>
      </c>
    </row>
    <row r="1536" spans="1:8" x14ac:dyDescent="0.25">
      <c r="A1536" t="str">
        <f t="shared" si="94"/>
        <v>Direct,USnet,80</v>
      </c>
      <c r="B1536" t="s">
        <v>33</v>
      </c>
      <c r="C1536" t="s">
        <v>7</v>
      </c>
      <c r="D1536">
        <v>80</v>
      </c>
      <c r="E1536">
        <v>2799.931</v>
      </c>
      <c r="F1536">
        <f t="shared" si="93"/>
        <v>2740</v>
      </c>
      <c r="G1536">
        <f t="shared" si="95"/>
        <v>2.1872627737226291</v>
      </c>
      <c r="H1536">
        <f t="shared" si="96"/>
        <v>2.1404456038380961</v>
      </c>
    </row>
    <row r="1537" spans="1:8" x14ac:dyDescent="0.25">
      <c r="A1537" t="str">
        <f t="shared" si="94"/>
        <v>Direct,USnet,80</v>
      </c>
      <c r="B1537" t="s">
        <v>33</v>
      </c>
      <c r="C1537" t="s">
        <v>7</v>
      </c>
      <c r="D1537">
        <v>80</v>
      </c>
      <c r="E1537">
        <v>2782.9119999999998</v>
      </c>
      <c r="F1537">
        <f t="shared" si="93"/>
        <v>2740</v>
      </c>
      <c r="G1537">
        <f t="shared" si="95"/>
        <v>1.5661313868613069</v>
      </c>
      <c r="H1537">
        <f t="shared" si="96"/>
        <v>1.5419819239702803</v>
      </c>
    </row>
    <row r="1538" spans="1:8" x14ac:dyDescent="0.25">
      <c r="A1538" t="str">
        <f t="shared" si="94"/>
        <v>Direct,USnet,80</v>
      </c>
      <c r="B1538" t="s">
        <v>33</v>
      </c>
      <c r="C1538" t="s">
        <v>7</v>
      </c>
      <c r="D1538">
        <v>80</v>
      </c>
      <c r="E1538">
        <v>2841.0149999999999</v>
      </c>
      <c r="F1538">
        <f t="shared" si="93"/>
        <v>2740</v>
      </c>
      <c r="G1538">
        <f t="shared" si="95"/>
        <v>3.686678832116784</v>
      </c>
      <c r="H1538">
        <f t="shared" si="96"/>
        <v>3.5555954474017168</v>
      </c>
    </row>
    <row r="1539" spans="1:8" x14ac:dyDescent="0.25">
      <c r="A1539" t="str">
        <f t="shared" si="94"/>
        <v>Direct,USnet,80</v>
      </c>
      <c r="B1539" t="s">
        <v>33</v>
      </c>
      <c r="C1539" t="s">
        <v>7</v>
      </c>
      <c r="D1539">
        <v>80</v>
      </c>
      <c r="E1539">
        <v>2759.41</v>
      </c>
      <c r="F1539">
        <f t="shared" ref="F1539:F1602" si="97">_xlfn.XLOOKUP(A1539,$J$3:$J$36,$N$3:$N$36)</f>
        <v>2740</v>
      </c>
      <c r="G1539">
        <f t="shared" si="95"/>
        <v>0.70839416058393634</v>
      </c>
      <c r="H1539">
        <f t="shared" si="96"/>
        <v>0.70341123645996273</v>
      </c>
    </row>
    <row r="1540" spans="1:8" x14ac:dyDescent="0.25">
      <c r="A1540" t="str">
        <f t="shared" ref="A1540:A1603" si="98">B1540&amp;","&amp;C1540&amp;","&amp;D1540</f>
        <v>Direct,USnet,80</v>
      </c>
      <c r="B1540" t="s">
        <v>33</v>
      </c>
      <c r="C1540" t="s">
        <v>7</v>
      </c>
      <c r="D1540">
        <v>80</v>
      </c>
      <c r="E1540">
        <v>2886.6280000000002</v>
      </c>
      <c r="F1540">
        <f t="shared" si="97"/>
        <v>2740</v>
      </c>
      <c r="G1540">
        <f t="shared" ref="G1540:G1603" si="99">ABS((E1540-F1540)/F1540)*100</f>
        <v>5.3513868613138742</v>
      </c>
      <c r="H1540">
        <f t="shared" ref="H1540:H1603" si="100">ABS((F1540-E1540)/E1540)*100</f>
        <v>5.0795599571541654</v>
      </c>
    </row>
    <row r="1541" spans="1:8" x14ac:dyDescent="0.25">
      <c r="A1541" t="str">
        <f t="shared" si="98"/>
        <v>Direct,USnet,80</v>
      </c>
      <c r="B1541" t="s">
        <v>33</v>
      </c>
      <c r="C1541" t="s">
        <v>7</v>
      </c>
      <c r="D1541">
        <v>80</v>
      </c>
      <c r="E1541">
        <v>2753.855</v>
      </c>
      <c r="F1541">
        <f t="shared" si="97"/>
        <v>2740</v>
      </c>
      <c r="G1541">
        <f t="shared" si="99"/>
        <v>0.50565693430656999</v>
      </c>
      <c r="H1541">
        <f t="shared" si="100"/>
        <v>0.50311290899484606</v>
      </c>
    </row>
    <row r="1542" spans="1:8" x14ac:dyDescent="0.25">
      <c r="A1542" t="str">
        <f t="shared" si="98"/>
        <v>Direct,USnet,80</v>
      </c>
      <c r="B1542" t="s">
        <v>33</v>
      </c>
      <c r="C1542" t="s">
        <v>7</v>
      </c>
      <c r="D1542">
        <v>80</v>
      </c>
      <c r="E1542">
        <v>2862.7339999999999</v>
      </c>
      <c r="F1542">
        <f t="shared" si="97"/>
        <v>2740</v>
      </c>
      <c r="G1542">
        <f t="shared" si="99"/>
        <v>4.4793430656934277</v>
      </c>
      <c r="H1542">
        <f t="shared" si="100"/>
        <v>4.2873001822733068</v>
      </c>
    </row>
    <row r="1543" spans="1:8" x14ac:dyDescent="0.25">
      <c r="A1543" t="str">
        <f t="shared" si="98"/>
        <v>Direct,USnet,80</v>
      </c>
      <c r="B1543" t="s">
        <v>33</v>
      </c>
      <c r="C1543" t="s">
        <v>7</v>
      </c>
      <c r="D1543">
        <v>80</v>
      </c>
      <c r="E1543">
        <v>2937.59</v>
      </c>
      <c r="F1543">
        <f t="shared" si="97"/>
        <v>2740</v>
      </c>
      <c r="G1543">
        <f t="shared" si="99"/>
        <v>7.2113138686131437</v>
      </c>
      <c r="H1543">
        <f t="shared" si="100"/>
        <v>6.7262620038875456</v>
      </c>
    </row>
    <row r="1544" spans="1:8" x14ac:dyDescent="0.25">
      <c r="A1544" t="str">
        <f t="shared" si="98"/>
        <v>Direct,USnet,80</v>
      </c>
      <c r="B1544" t="s">
        <v>33</v>
      </c>
      <c r="C1544" t="s">
        <v>7</v>
      </c>
      <c r="D1544">
        <v>80</v>
      </c>
      <c r="E1544">
        <v>2761.0039999999999</v>
      </c>
      <c r="F1544">
        <f t="shared" si="97"/>
        <v>2740</v>
      </c>
      <c r="G1544">
        <f t="shared" si="99"/>
        <v>0.76656934306568991</v>
      </c>
      <c r="H1544">
        <f t="shared" si="100"/>
        <v>0.76073776061171605</v>
      </c>
    </row>
    <row r="1545" spans="1:8" x14ac:dyDescent="0.25">
      <c r="A1545" t="str">
        <f t="shared" si="98"/>
        <v>Direct,USnet,80</v>
      </c>
      <c r="B1545" t="s">
        <v>33</v>
      </c>
      <c r="C1545" t="s">
        <v>7</v>
      </c>
      <c r="D1545">
        <v>80</v>
      </c>
      <c r="E1545">
        <v>2727.1840000000002</v>
      </c>
      <c r="F1545">
        <f t="shared" si="97"/>
        <v>2740</v>
      </c>
      <c r="G1545">
        <f t="shared" si="99"/>
        <v>0.46773722627736508</v>
      </c>
      <c r="H1545">
        <f t="shared" si="100"/>
        <v>0.46993528856138067</v>
      </c>
    </row>
    <row r="1546" spans="1:8" x14ac:dyDescent="0.25">
      <c r="A1546" t="str">
        <f t="shared" si="98"/>
        <v>Direct,USnet,80</v>
      </c>
      <c r="B1546" t="s">
        <v>33</v>
      </c>
      <c r="C1546" t="s">
        <v>7</v>
      </c>
      <c r="D1546">
        <v>80</v>
      </c>
      <c r="E1546">
        <v>2830.2020000000002</v>
      </c>
      <c r="F1546">
        <f t="shared" si="97"/>
        <v>2740</v>
      </c>
      <c r="G1546">
        <f t="shared" si="99"/>
        <v>3.292043795620446</v>
      </c>
      <c r="H1546">
        <f t="shared" si="100"/>
        <v>3.1871223326108957</v>
      </c>
    </row>
    <row r="1547" spans="1:8" x14ac:dyDescent="0.25">
      <c r="A1547" t="str">
        <f t="shared" si="98"/>
        <v>Direct,USnet,80</v>
      </c>
      <c r="B1547" t="s">
        <v>33</v>
      </c>
      <c r="C1547" t="s">
        <v>7</v>
      </c>
      <c r="D1547">
        <v>80</v>
      </c>
      <c r="E1547">
        <v>2813.73</v>
      </c>
      <c r="F1547">
        <f t="shared" si="97"/>
        <v>2740</v>
      </c>
      <c r="G1547">
        <f t="shared" si="99"/>
        <v>2.6908759124087598</v>
      </c>
      <c r="H1547">
        <f t="shared" si="100"/>
        <v>2.6203651380907198</v>
      </c>
    </row>
    <row r="1548" spans="1:8" x14ac:dyDescent="0.25">
      <c r="A1548" t="str">
        <f t="shared" si="98"/>
        <v>Direct,USnet,80</v>
      </c>
      <c r="B1548" t="s">
        <v>33</v>
      </c>
      <c r="C1548" t="s">
        <v>7</v>
      </c>
      <c r="D1548">
        <v>80</v>
      </c>
      <c r="E1548">
        <v>2896.4369999999999</v>
      </c>
      <c r="F1548">
        <f t="shared" si="97"/>
        <v>2740</v>
      </c>
      <c r="G1548">
        <f t="shared" si="99"/>
        <v>5.7093795620437922</v>
      </c>
      <c r="H1548">
        <f t="shared" si="100"/>
        <v>5.4010151092531924</v>
      </c>
    </row>
    <row r="1549" spans="1:8" x14ac:dyDescent="0.25">
      <c r="A1549" t="str">
        <f t="shared" si="98"/>
        <v>Direct,USnet,80</v>
      </c>
      <c r="B1549" t="s">
        <v>33</v>
      </c>
      <c r="C1549" t="s">
        <v>7</v>
      </c>
      <c r="D1549">
        <v>80</v>
      </c>
      <c r="E1549">
        <v>2754.0329999999999</v>
      </c>
      <c r="F1549">
        <f t="shared" si="97"/>
        <v>2740</v>
      </c>
      <c r="G1549">
        <f t="shared" si="99"/>
        <v>0.51215328467152921</v>
      </c>
      <c r="H1549">
        <f t="shared" si="100"/>
        <v>0.50954364018150478</v>
      </c>
    </row>
    <row r="1550" spans="1:8" x14ac:dyDescent="0.25">
      <c r="A1550" t="str">
        <f t="shared" si="98"/>
        <v>Direct,USnet,80</v>
      </c>
      <c r="B1550" t="s">
        <v>33</v>
      </c>
      <c r="C1550" t="s">
        <v>7</v>
      </c>
      <c r="D1550">
        <v>80</v>
      </c>
      <c r="E1550">
        <v>2845.047</v>
      </c>
      <c r="F1550">
        <f t="shared" si="97"/>
        <v>2740</v>
      </c>
      <c r="G1550">
        <f t="shared" si="99"/>
        <v>3.8338321167883223</v>
      </c>
      <c r="H1550">
        <f t="shared" si="100"/>
        <v>3.6922764369094794</v>
      </c>
    </row>
    <row r="1551" spans="1:8" x14ac:dyDescent="0.25">
      <c r="A1551" t="str">
        <f t="shared" si="98"/>
        <v>Direct,USnet,80</v>
      </c>
      <c r="B1551" t="s">
        <v>33</v>
      </c>
      <c r="C1551" t="s">
        <v>7</v>
      </c>
      <c r="D1551">
        <v>80</v>
      </c>
      <c r="E1551">
        <v>2785.1190000000001</v>
      </c>
      <c r="F1551">
        <f t="shared" si="97"/>
        <v>2740</v>
      </c>
      <c r="G1551">
        <f t="shared" si="99"/>
        <v>1.6466788321167936</v>
      </c>
      <c r="H1551">
        <f t="shared" si="100"/>
        <v>1.6200025923488417</v>
      </c>
    </row>
    <row r="1552" spans="1:8" x14ac:dyDescent="0.25">
      <c r="A1552" t="str">
        <f t="shared" si="98"/>
        <v>Direct,USnet,80</v>
      </c>
      <c r="B1552" t="s">
        <v>33</v>
      </c>
      <c r="C1552" t="s">
        <v>7</v>
      </c>
      <c r="D1552">
        <v>80</v>
      </c>
      <c r="E1552">
        <v>2867.029</v>
      </c>
      <c r="F1552">
        <f t="shared" si="97"/>
        <v>2740</v>
      </c>
      <c r="G1552">
        <f t="shared" si="99"/>
        <v>4.6360948905109485</v>
      </c>
      <c r="H1552">
        <f t="shared" si="100"/>
        <v>4.4306841681754872</v>
      </c>
    </row>
    <row r="1553" spans="1:8" x14ac:dyDescent="0.25">
      <c r="A1553" t="str">
        <f t="shared" si="98"/>
        <v>Direct,USnet,80</v>
      </c>
      <c r="B1553" t="s">
        <v>33</v>
      </c>
      <c r="C1553" t="s">
        <v>7</v>
      </c>
      <c r="D1553">
        <v>80</v>
      </c>
      <c r="E1553">
        <v>2823.3939999999998</v>
      </c>
      <c r="F1553">
        <f t="shared" si="97"/>
        <v>2740</v>
      </c>
      <c r="G1553">
        <f t="shared" si="99"/>
        <v>3.0435766423357586</v>
      </c>
      <c r="H1553">
        <f t="shared" si="100"/>
        <v>2.9536791535293974</v>
      </c>
    </row>
    <row r="1554" spans="1:8" x14ac:dyDescent="0.25">
      <c r="A1554" t="str">
        <f t="shared" si="98"/>
        <v>Direct,USnet,80</v>
      </c>
      <c r="B1554" t="s">
        <v>33</v>
      </c>
      <c r="C1554" t="s">
        <v>7</v>
      </c>
      <c r="D1554">
        <v>80</v>
      </c>
      <c r="E1554">
        <v>2913.4839999999999</v>
      </c>
      <c r="F1554">
        <f t="shared" si="97"/>
        <v>2740</v>
      </c>
      <c r="G1554">
        <f t="shared" si="99"/>
        <v>6.3315328467153247</v>
      </c>
      <c r="H1554">
        <f t="shared" si="100"/>
        <v>5.9545204298358918</v>
      </c>
    </row>
    <row r="1555" spans="1:8" x14ac:dyDescent="0.25">
      <c r="A1555" t="str">
        <f t="shared" si="98"/>
        <v>Direct,USnet,80</v>
      </c>
      <c r="B1555" t="s">
        <v>33</v>
      </c>
      <c r="C1555" t="s">
        <v>7</v>
      </c>
      <c r="D1555">
        <v>80</v>
      </c>
      <c r="E1555">
        <v>2861.989</v>
      </c>
      <c r="F1555">
        <f t="shared" si="97"/>
        <v>2740</v>
      </c>
      <c r="G1555">
        <f t="shared" si="99"/>
        <v>4.4521532846715335</v>
      </c>
      <c r="H1555">
        <f t="shared" si="100"/>
        <v>4.2623853550799815</v>
      </c>
    </row>
    <row r="1556" spans="1:8" x14ac:dyDescent="0.25">
      <c r="A1556" t="str">
        <f t="shared" si="98"/>
        <v>Direct,USnet,80</v>
      </c>
      <c r="B1556" t="s">
        <v>33</v>
      </c>
      <c r="C1556" t="s">
        <v>7</v>
      </c>
      <c r="D1556">
        <v>80</v>
      </c>
      <c r="E1556">
        <v>2883.7260000000001</v>
      </c>
      <c r="F1556">
        <f t="shared" si="97"/>
        <v>2740</v>
      </c>
      <c r="G1556">
        <f t="shared" si="99"/>
        <v>5.2454744525547481</v>
      </c>
      <c r="H1556">
        <f t="shared" si="100"/>
        <v>4.9840380119331762</v>
      </c>
    </row>
    <row r="1557" spans="1:8" x14ac:dyDescent="0.25">
      <c r="A1557" t="str">
        <f t="shared" si="98"/>
        <v>Direct,USnet,80</v>
      </c>
      <c r="B1557" t="s">
        <v>33</v>
      </c>
      <c r="C1557" t="s">
        <v>7</v>
      </c>
      <c r="D1557">
        <v>80</v>
      </c>
      <c r="E1557">
        <v>2910.4479999999999</v>
      </c>
      <c r="F1557">
        <f t="shared" si="97"/>
        <v>2740</v>
      </c>
      <c r="G1557">
        <f t="shared" si="99"/>
        <v>6.2207299270072944</v>
      </c>
      <c r="H1557">
        <f t="shared" si="100"/>
        <v>5.8564179810118535</v>
      </c>
    </row>
    <row r="1558" spans="1:8" x14ac:dyDescent="0.25">
      <c r="A1558" t="str">
        <f t="shared" si="98"/>
        <v>Direct,USnet,80</v>
      </c>
      <c r="B1558" t="s">
        <v>33</v>
      </c>
      <c r="C1558" t="s">
        <v>7</v>
      </c>
      <c r="D1558">
        <v>80</v>
      </c>
      <c r="E1558">
        <v>2767.7449999999999</v>
      </c>
      <c r="F1558">
        <f t="shared" si="97"/>
        <v>2740</v>
      </c>
      <c r="G1558">
        <f t="shared" si="99"/>
        <v>1.0125912408759086</v>
      </c>
      <c r="H1558">
        <f t="shared" si="100"/>
        <v>1.0024406150133012</v>
      </c>
    </row>
    <row r="1559" spans="1:8" x14ac:dyDescent="0.25">
      <c r="A1559" t="str">
        <f t="shared" si="98"/>
        <v>Direct,USnet,80</v>
      </c>
      <c r="B1559" t="s">
        <v>33</v>
      </c>
      <c r="C1559" t="s">
        <v>7</v>
      </c>
      <c r="D1559">
        <v>80</v>
      </c>
      <c r="E1559">
        <v>2759.3159999999998</v>
      </c>
      <c r="F1559">
        <f t="shared" si="97"/>
        <v>2740</v>
      </c>
      <c r="G1559">
        <f t="shared" si="99"/>
        <v>0.7049635036496279</v>
      </c>
      <c r="H1559">
        <f t="shared" si="100"/>
        <v>0.70002855780199902</v>
      </c>
    </row>
    <row r="1560" spans="1:8" x14ac:dyDescent="0.25">
      <c r="A1560" t="str">
        <f t="shared" si="98"/>
        <v>Direct,USnet,80</v>
      </c>
      <c r="B1560" t="s">
        <v>33</v>
      </c>
      <c r="C1560" t="s">
        <v>7</v>
      </c>
      <c r="D1560">
        <v>80</v>
      </c>
      <c r="E1560">
        <v>2792.06</v>
      </c>
      <c r="F1560">
        <f t="shared" si="97"/>
        <v>2740</v>
      </c>
      <c r="G1560">
        <f t="shared" si="99"/>
        <v>1.8999999999999979</v>
      </c>
      <c r="H1560">
        <f t="shared" si="100"/>
        <v>1.8645731108930303</v>
      </c>
    </row>
    <row r="1561" spans="1:8" x14ac:dyDescent="0.25">
      <c r="A1561" t="str">
        <f t="shared" si="98"/>
        <v>Direct,USnet,80</v>
      </c>
      <c r="B1561" t="s">
        <v>33</v>
      </c>
      <c r="C1561" t="s">
        <v>7</v>
      </c>
      <c r="D1561">
        <v>80</v>
      </c>
      <c r="E1561">
        <v>2814.0920000000001</v>
      </c>
      <c r="F1561">
        <f t="shared" si="97"/>
        <v>2740</v>
      </c>
      <c r="G1561">
        <f t="shared" si="99"/>
        <v>2.7040875912408793</v>
      </c>
      <c r="H1561">
        <f t="shared" si="100"/>
        <v>2.6328918883959762</v>
      </c>
    </row>
    <row r="1562" spans="1:8" x14ac:dyDescent="0.25">
      <c r="A1562" t="str">
        <f t="shared" si="98"/>
        <v>Direct,USnet,80</v>
      </c>
      <c r="B1562" t="s">
        <v>33</v>
      </c>
      <c r="C1562" t="s">
        <v>7</v>
      </c>
      <c r="D1562">
        <v>80</v>
      </c>
      <c r="E1562">
        <v>2837.174</v>
      </c>
      <c r="F1562">
        <f t="shared" si="97"/>
        <v>2740</v>
      </c>
      <c r="G1562">
        <f t="shared" si="99"/>
        <v>3.5464963503649622</v>
      </c>
      <c r="H1562">
        <f t="shared" si="100"/>
        <v>3.4250278622319246</v>
      </c>
    </row>
    <row r="1563" spans="1:8" x14ac:dyDescent="0.25">
      <c r="A1563" t="str">
        <f t="shared" si="98"/>
        <v>Direct,USnet,80</v>
      </c>
      <c r="B1563" t="s">
        <v>33</v>
      </c>
      <c r="C1563" t="s">
        <v>7</v>
      </c>
      <c r="D1563">
        <v>80</v>
      </c>
      <c r="E1563">
        <v>2891.1149999999998</v>
      </c>
      <c r="F1563">
        <f t="shared" si="97"/>
        <v>2740</v>
      </c>
      <c r="G1563">
        <f t="shared" si="99"/>
        <v>5.5151459854014515</v>
      </c>
      <c r="H1563">
        <f t="shared" si="100"/>
        <v>5.2268761360236375</v>
      </c>
    </row>
    <row r="1564" spans="1:8" x14ac:dyDescent="0.25">
      <c r="A1564" t="str">
        <f t="shared" si="98"/>
        <v>Direct,USnet,80</v>
      </c>
      <c r="B1564" t="s">
        <v>33</v>
      </c>
      <c r="C1564" t="s">
        <v>7</v>
      </c>
      <c r="D1564">
        <v>80</v>
      </c>
      <c r="E1564">
        <v>2833.444</v>
      </c>
      <c r="F1564">
        <f t="shared" si="97"/>
        <v>2740</v>
      </c>
      <c r="G1564">
        <f t="shared" si="99"/>
        <v>3.4103649635036479</v>
      </c>
      <c r="H1564">
        <f t="shared" si="100"/>
        <v>3.2978947175239726</v>
      </c>
    </row>
    <row r="1565" spans="1:8" x14ac:dyDescent="0.25">
      <c r="A1565" t="str">
        <f t="shared" si="98"/>
        <v>Direct,USnet,80</v>
      </c>
      <c r="B1565" t="s">
        <v>33</v>
      </c>
      <c r="C1565" t="s">
        <v>7</v>
      </c>
      <c r="D1565">
        <v>80</v>
      </c>
      <c r="E1565">
        <v>2743.9879999999998</v>
      </c>
      <c r="F1565">
        <f t="shared" si="97"/>
        <v>2740</v>
      </c>
      <c r="G1565">
        <f t="shared" si="99"/>
        <v>0.1455474452554682</v>
      </c>
      <c r="H1565">
        <f t="shared" si="100"/>
        <v>0.1453359125477163</v>
      </c>
    </row>
    <row r="1566" spans="1:8" x14ac:dyDescent="0.25">
      <c r="A1566" t="str">
        <f t="shared" si="98"/>
        <v>Direct,USnet,80</v>
      </c>
      <c r="B1566" t="s">
        <v>33</v>
      </c>
      <c r="C1566" t="s">
        <v>7</v>
      </c>
      <c r="D1566">
        <v>80</v>
      </c>
      <c r="E1566">
        <v>2761.4859999999999</v>
      </c>
      <c r="F1566">
        <f t="shared" si="97"/>
        <v>2740</v>
      </c>
      <c r="G1566">
        <f t="shared" si="99"/>
        <v>0.78416058394160137</v>
      </c>
      <c r="H1566">
        <f t="shared" si="100"/>
        <v>0.7780593492054596</v>
      </c>
    </row>
    <row r="1567" spans="1:8" x14ac:dyDescent="0.25">
      <c r="A1567" t="str">
        <f t="shared" si="98"/>
        <v>Direct,USnet,80</v>
      </c>
      <c r="B1567" t="s">
        <v>33</v>
      </c>
      <c r="C1567" t="s">
        <v>7</v>
      </c>
      <c r="D1567">
        <v>80</v>
      </c>
      <c r="E1567">
        <v>2771.489</v>
      </c>
      <c r="F1567">
        <f t="shared" si="97"/>
        <v>2740</v>
      </c>
      <c r="G1567">
        <f t="shared" si="99"/>
        <v>1.1492335766423369</v>
      </c>
      <c r="H1567">
        <f t="shared" si="100"/>
        <v>1.1361762576001575</v>
      </c>
    </row>
    <row r="1568" spans="1:8" x14ac:dyDescent="0.25">
      <c r="A1568" t="str">
        <f t="shared" si="98"/>
        <v>Direct,USnet,80</v>
      </c>
      <c r="B1568" t="s">
        <v>33</v>
      </c>
      <c r="C1568" t="s">
        <v>7</v>
      </c>
      <c r="D1568">
        <v>80</v>
      </c>
      <c r="E1568">
        <v>2812.4659999999999</v>
      </c>
      <c r="F1568">
        <f t="shared" si="97"/>
        <v>2740</v>
      </c>
      <c r="G1568">
        <f t="shared" si="99"/>
        <v>2.6447445255474413</v>
      </c>
      <c r="H1568">
        <f t="shared" si="100"/>
        <v>2.5766000371204449</v>
      </c>
    </row>
    <row r="1569" spans="1:8" x14ac:dyDescent="0.25">
      <c r="A1569" t="str">
        <f t="shared" si="98"/>
        <v>Direct,USnet,80</v>
      </c>
      <c r="B1569" t="s">
        <v>33</v>
      </c>
      <c r="C1569" t="s">
        <v>7</v>
      </c>
      <c r="D1569">
        <v>80</v>
      </c>
      <c r="E1569">
        <v>2828.4169999999999</v>
      </c>
      <c r="F1569">
        <f t="shared" si="97"/>
        <v>2740</v>
      </c>
      <c r="G1569">
        <f t="shared" si="99"/>
        <v>3.2268978102189751</v>
      </c>
      <c r="H1569">
        <f t="shared" si="100"/>
        <v>3.1260242036446506</v>
      </c>
    </row>
    <row r="1570" spans="1:8" x14ac:dyDescent="0.25">
      <c r="A1570" t="str">
        <f t="shared" si="98"/>
        <v>Direct,USnet,80</v>
      </c>
      <c r="B1570" t="s">
        <v>33</v>
      </c>
      <c r="C1570" t="s">
        <v>7</v>
      </c>
      <c r="D1570">
        <v>80</v>
      </c>
      <c r="E1570">
        <v>2911.2159999999999</v>
      </c>
      <c r="F1570">
        <f t="shared" si="97"/>
        <v>2740</v>
      </c>
      <c r="G1570">
        <f t="shared" si="99"/>
        <v>6.2487591240875879</v>
      </c>
      <c r="H1570">
        <f t="shared" si="100"/>
        <v>5.8812537441399027</v>
      </c>
    </row>
    <row r="1571" spans="1:8" x14ac:dyDescent="0.25">
      <c r="A1571" t="str">
        <f t="shared" si="98"/>
        <v>Direct,USnet,80</v>
      </c>
      <c r="B1571" t="s">
        <v>33</v>
      </c>
      <c r="C1571" t="s">
        <v>7</v>
      </c>
      <c r="D1571">
        <v>80</v>
      </c>
      <c r="E1571">
        <v>2741.4470000000001</v>
      </c>
      <c r="F1571">
        <f t="shared" si="97"/>
        <v>2740</v>
      </c>
      <c r="G1571">
        <f t="shared" si="99"/>
        <v>5.2810218978106435E-2</v>
      </c>
      <c r="H1571">
        <f t="shared" si="100"/>
        <v>5.2782344506390834E-2</v>
      </c>
    </row>
    <row r="1572" spans="1:8" x14ac:dyDescent="0.25">
      <c r="A1572" t="str">
        <f t="shared" si="98"/>
        <v>Direct,USnet,80</v>
      </c>
      <c r="B1572" t="s">
        <v>33</v>
      </c>
      <c r="C1572" t="s">
        <v>7</v>
      </c>
      <c r="D1572">
        <v>80</v>
      </c>
      <c r="E1572">
        <v>2755.9960000000001</v>
      </c>
      <c r="F1572">
        <f t="shared" si="97"/>
        <v>2740</v>
      </c>
      <c r="G1572">
        <f t="shared" si="99"/>
        <v>0.58379562043795963</v>
      </c>
      <c r="H1572">
        <f t="shared" si="100"/>
        <v>0.58040722845751924</v>
      </c>
    </row>
    <row r="1573" spans="1:8" x14ac:dyDescent="0.25">
      <c r="A1573" t="str">
        <f t="shared" si="98"/>
        <v>Direct,USnet,80</v>
      </c>
      <c r="B1573" t="s">
        <v>33</v>
      </c>
      <c r="C1573" t="s">
        <v>7</v>
      </c>
      <c r="D1573">
        <v>80</v>
      </c>
      <c r="E1573">
        <v>2874.02</v>
      </c>
      <c r="F1573">
        <f t="shared" si="97"/>
        <v>2740</v>
      </c>
      <c r="G1573">
        <f t="shared" si="99"/>
        <v>4.8912408759124082</v>
      </c>
      <c r="H1573">
        <f t="shared" si="100"/>
        <v>4.6631547449217461</v>
      </c>
    </row>
    <row r="1574" spans="1:8" x14ac:dyDescent="0.25">
      <c r="A1574" t="str">
        <f t="shared" si="98"/>
        <v>Direct,USnet,80</v>
      </c>
      <c r="B1574" t="s">
        <v>33</v>
      </c>
      <c r="C1574" t="s">
        <v>7</v>
      </c>
      <c r="D1574">
        <v>80</v>
      </c>
      <c r="E1574">
        <v>2885.1089999999999</v>
      </c>
      <c r="F1574">
        <f t="shared" si="97"/>
        <v>2740</v>
      </c>
      <c r="G1574">
        <f t="shared" si="99"/>
        <v>5.2959489051094861</v>
      </c>
      <c r="H1574">
        <f t="shared" si="100"/>
        <v>5.0295846708044625</v>
      </c>
    </row>
    <row r="1575" spans="1:8" x14ac:dyDescent="0.25">
      <c r="A1575" t="str">
        <f t="shared" si="98"/>
        <v>Direct,USnet,80</v>
      </c>
      <c r="B1575" t="s">
        <v>33</v>
      </c>
      <c r="C1575" t="s">
        <v>7</v>
      </c>
      <c r="D1575">
        <v>80</v>
      </c>
      <c r="E1575">
        <v>2898.114</v>
      </c>
      <c r="F1575">
        <f t="shared" si="97"/>
        <v>2740</v>
      </c>
      <c r="G1575">
        <f t="shared" si="99"/>
        <v>5.7705839416058406</v>
      </c>
      <c r="H1575">
        <f t="shared" si="100"/>
        <v>5.4557550186086541</v>
      </c>
    </row>
    <row r="1576" spans="1:8" x14ac:dyDescent="0.25">
      <c r="A1576" t="str">
        <f t="shared" si="98"/>
        <v>Direct,USnet,80</v>
      </c>
      <c r="B1576" t="s">
        <v>33</v>
      </c>
      <c r="C1576" t="s">
        <v>7</v>
      </c>
      <c r="D1576">
        <v>80</v>
      </c>
      <c r="E1576">
        <v>2829.5259999999998</v>
      </c>
      <c r="F1576">
        <f t="shared" si="97"/>
        <v>2740</v>
      </c>
      <c r="G1576">
        <f t="shared" si="99"/>
        <v>3.267372262773717</v>
      </c>
      <c r="H1576">
        <f t="shared" si="100"/>
        <v>3.1639928383764575</v>
      </c>
    </row>
    <row r="1577" spans="1:8" x14ac:dyDescent="0.25">
      <c r="A1577" t="str">
        <f t="shared" si="98"/>
        <v>Direct,USnet,80</v>
      </c>
      <c r="B1577" t="s">
        <v>33</v>
      </c>
      <c r="C1577" t="s">
        <v>7</v>
      </c>
      <c r="D1577">
        <v>80</v>
      </c>
      <c r="E1577">
        <v>2749.0540000000001</v>
      </c>
      <c r="F1577">
        <f t="shared" si="97"/>
        <v>2740</v>
      </c>
      <c r="G1577">
        <f t="shared" si="99"/>
        <v>0.33043795620438271</v>
      </c>
      <c r="H1577">
        <f t="shared" si="100"/>
        <v>0.32934965991937909</v>
      </c>
    </row>
    <row r="1578" spans="1:8" x14ac:dyDescent="0.25">
      <c r="A1578" t="str">
        <f t="shared" si="98"/>
        <v>Direct,USnet,80</v>
      </c>
      <c r="B1578" t="s">
        <v>33</v>
      </c>
      <c r="C1578" t="s">
        <v>7</v>
      </c>
      <c r="D1578">
        <v>80</v>
      </c>
      <c r="E1578">
        <v>2815.819</v>
      </c>
      <c r="F1578">
        <f t="shared" si="97"/>
        <v>2740</v>
      </c>
      <c r="G1578">
        <f t="shared" si="99"/>
        <v>2.7671167883211663</v>
      </c>
      <c r="H1578">
        <f t="shared" si="100"/>
        <v>2.6926091485283665</v>
      </c>
    </row>
    <row r="1579" spans="1:8" x14ac:dyDescent="0.25">
      <c r="A1579" t="str">
        <f t="shared" si="98"/>
        <v>Direct,USnet,80</v>
      </c>
      <c r="B1579" t="s">
        <v>33</v>
      </c>
      <c r="C1579" t="s">
        <v>7</v>
      </c>
      <c r="D1579">
        <v>80</v>
      </c>
      <c r="E1579">
        <v>2879.4830000000002</v>
      </c>
      <c r="F1579">
        <f t="shared" si="97"/>
        <v>2740</v>
      </c>
      <c r="G1579">
        <f t="shared" si="99"/>
        <v>5.0906204379562103</v>
      </c>
      <c r="H1579">
        <f t="shared" si="100"/>
        <v>4.8440292927584627</v>
      </c>
    </row>
    <row r="1580" spans="1:8" x14ac:dyDescent="0.25">
      <c r="A1580" t="str">
        <f t="shared" si="98"/>
        <v>Direct,USnet,80</v>
      </c>
      <c r="B1580" t="s">
        <v>33</v>
      </c>
      <c r="C1580" t="s">
        <v>7</v>
      </c>
      <c r="D1580">
        <v>80</v>
      </c>
      <c r="E1580">
        <v>2869.0230000000001</v>
      </c>
      <c r="F1580">
        <f t="shared" si="97"/>
        <v>2740</v>
      </c>
      <c r="G1580">
        <f t="shared" si="99"/>
        <v>4.7088686131386917</v>
      </c>
      <c r="H1580">
        <f t="shared" si="100"/>
        <v>4.4971058091901019</v>
      </c>
    </row>
    <row r="1581" spans="1:8" x14ac:dyDescent="0.25">
      <c r="A1581" t="str">
        <f t="shared" si="98"/>
        <v>Direct,USnet,80</v>
      </c>
      <c r="B1581" t="s">
        <v>33</v>
      </c>
      <c r="C1581" t="s">
        <v>7</v>
      </c>
      <c r="D1581">
        <v>80</v>
      </c>
      <c r="E1581">
        <v>2772.95</v>
      </c>
      <c r="F1581">
        <f t="shared" si="97"/>
        <v>2740</v>
      </c>
      <c r="G1581">
        <f t="shared" si="99"/>
        <v>1.2025547445255409</v>
      </c>
      <c r="H1581">
        <f t="shared" si="100"/>
        <v>1.1882652049261553</v>
      </c>
    </row>
    <row r="1582" spans="1:8" x14ac:dyDescent="0.25">
      <c r="A1582" t="str">
        <f t="shared" si="98"/>
        <v>Direct,USnet,80</v>
      </c>
      <c r="B1582" t="s">
        <v>33</v>
      </c>
      <c r="C1582" t="s">
        <v>7</v>
      </c>
      <c r="D1582">
        <v>80</v>
      </c>
      <c r="E1582">
        <v>2857.5549999999998</v>
      </c>
      <c r="F1582">
        <f t="shared" si="97"/>
        <v>2740</v>
      </c>
      <c r="G1582">
        <f t="shared" si="99"/>
        <v>4.2903284671532784</v>
      </c>
      <c r="H1582">
        <f t="shared" si="100"/>
        <v>4.113831579794609</v>
      </c>
    </row>
    <row r="1583" spans="1:8" x14ac:dyDescent="0.25">
      <c r="A1583" t="str">
        <f t="shared" si="98"/>
        <v>Direct,USnet,80</v>
      </c>
      <c r="B1583" t="s">
        <v>33</v>
      </c>
      <c r="C1583" t="s">
        <v>7</v>
      </c>
      <c r="D1583">
        <v>80</v>
      </c>
      <c r="E1583">
        <v>2865.6469999999999</v>
      </c>
      <c r="F1583">
        <f t="shared" si="97"/>
        <v>2740</v>
      </c>
      <c r="G1583">
        <f t="shared" si="99"/>
        <v>4.5856569343065674</v>
      </c>
      <c r="H1583">
        <f t="shared" si="100"/>
        <v>4.3845944737785203</v>
      </c>
    </row>
    <row r="1584" spans="1:8" x14ac:dyDescent="0.25">
      <c r="A1584" t="str">
        <f t="shared" si="98"/>
        <v>Direct,USnet,80</v>
      </c>
      <c r="B1584" t="s">
        <v>33</v>
      </c>
      <c r="C1584" t="s">
        <v>7</v>
      </c>
      <c r="D1584">
        <v>80</v>
      </c>
      <c r="E1584">
        <v>2798.5369999999998</v>
      </c>
      <c r="F1584">
        <f t="shared" si="97"/>
        <v>2740</v>
      </c>
      <c r="G1584">
        <f t="shared" si="99"/>
        <v>2.1363868613138619</v>
      </c>
      <c r="H1584">
        <f t="shared" si="100"/>
        <v>2.0917000561364674</v>
      </c>
    </row>
    <row r="1585" spans="1:8" x14ac:dyDescent="0.25">
      <c r="A1585" t="str">
        <f t="shared" si="98"/>
        <v>Direct,USnet,80</v>
      </c>
      <c r="B1585" t="s">
        <v>33</v>
      </c>
      <c r="C1585" t="s">
        <v>7</v>
      </c>
      <c r="D1585">
        <v>80</v>
      </c>
      <c r="E1585">
        <v>2840.165</v>
      </c>
      <c r="F1585">
        <f t="shared" si="97"/>
        <v>2740</v>
      </c>
      <c r="G1585">
        <f t="shared" si="99"/>
        <v>3.6556569343065677</v>
      </c>
      <c r="H1585">
        <f t="shared" si="100"/>
        <v>3.5267317215725131</v>
      </c>
    </row>
    <row r="1586" spans="1:8" x14ac:dyDescent="0.25">
      <c r="A1586" t="str">
        <f t="shared" si="98"/>
        <v>Direct,USnet,80</v>
      </c>
      <c r="B1586" t="s">
        <v>33</v>
      </c>
      <c r="C1586" t="s">
        <v>7</v>
      </c>
      <c r="D1586">
        <v>80</v>
      </c>
      <c r="E1586">
        <v>2852.3490000000002</v>
      </c>
      <c r="F1586">
        <f t="shared" si="97"/>
        <v>2740</v>
      </c>
      <c r="G1586">
        <f t="shared" si="99"/>
        <v>4.1003284671532905</v>
      </c>
      <c r="H1586">
        <f t="shared" si="100"/>
        <v>3.9388237554380674</v>
      </c>
    </row>
    <row r="1587" spans="1:8" x14ac:dyDescent="0.25">
      <c r="A1587" t="str">
        <f t="shared" si="98"/>
        <v>Direct,USnet,80</v>
      </c>
      <c r="B1587" t="s">
        <v>33</v>
      </c>
      <c r="C1587" t="s">
        <v>7</v>
      </c>
      <c r="D1587">
        <v>80</v>
      </c>
      <c r="E1587">
        <v>2918.6990000000001</v>
      </c>
      <c r="F1587">
        <f t="shared" si="97"/>
        <v>2740</v>
      </c>
      <c r="G1587">
        <f t="shared" si="99"/>
        <v>6.5218613138686159</v>
      </c>
      <c r="H1587">
        <f t="shared" si="100"/>
        <v>6.1225566596624068</v>
      </c>
    </row>
    <row r="1588" spans="1:8" x14ac:dyDescent="0.25">
      <c r="A1588" t="str">
        <f t="shared" si="98"/>
        <v>Direct,USnet,80</v>
      </c>
      <c r="B1588" t="s">
        <v>33</v>
      </c>
      <c r="C1588" t="s">
        <v>7</v>
      </c>
      <c r="D1588">
        <v>80</v>
      </c>
      <c r="E1588">
        <v>2816.058</v>
      </c>
      <c r="F1588">
        <f t="shared" si="97"/>
        <v>2740</v>
      </c>
      <c r="G1588">
        <f t="shared" si="99"/>
        <v>2.7758394160583939</v>
      </c>
      <c r="H1588">
        <f t="shared" si="100"/>
        <v>2.7008676667881129</v>
      </c>
    </row>
    <row r="1589" spans="1:8" x14ac:dyDescent="0.25">
      <c r="A1589" t="str">
        <f t="shared" si="98"/>
        <v>Direct,USnet,80</v>
      </c>
      <c r="B1589" t="s">
        <v>33</v>
      </c>
      <c r="C1589" t="s">
        <v>7</v>
      </c>
      <c r="D1589">
        <v>80</v>
      </c>
      <c r="E1589">
        <v>2817.0929999999998</v>
      </c>
      <c r="F1589">
        <f t="shared" si="97"/>
        <v>2740</v>
      </c>
      <c r="G1589">
        <f t="shared" si="99"/>
        <v>2.8136131386861258</v>
      </c>
      <c r="H1589">
        <f t="shared" si="100"/>
        <v>2.7366153691056652</v>
      </c>
    </row>
    <row r="1590" spans="1:8" x14ac:dyDescent="0.25">
      <c r="A1590" t="str">
        <f t="shared" si="98"/>
        <v>Direct,USnet,80</v>
      </c>
      <c r="B1590" t="s">
        <v>33</v>
      </c>
      <c r="C1590" t="s">
        <v>7</v>
      </c>
      <c r="D1590">
        <v>80</v>
      </c>
      <c r="E1590">
        <v>2794.9360000000001</v>
      </c>
      <c r="F1590">
        <f t="shared" si="97"/>
        <v>2740</v>
      </c>
      <c r="G1590">
        <f t="shared" si="99"/>
        <v>2.0049635036496407</v>
      </c>
      <c r="H1590">
        <f t="shared" si="100"/>
        <v>1.9655548463363794</v>
      </c>
    </row>
    <row r="1591" spans="1:8" x14ac:dyDescent="0.25">
      <c r="A1591" t="str">
        <f t="shared" si="98"/>
        <v>Direct,USnet,80</v>
      </c>
      <c r="B1591" t="s">
        <v>33</v>
      </c>
      <c r="C1591" t="s">
        <v>7</v>
      </c>
      <c r="D1591">
        <v>80</v>
      </c>
      <c r="E1591">
        <v>2784.547</v>
      </c>
      <c r="F1591">
        <f t="shared" si="97"/>
        <v>2740</v>
      </c>
      <c r="G1591">
        <f t="shared" si="99"/>
        <v>1.6258029197080299</v>
      </c>
      <c r="H1591">
        <f t="shared" si="100"/>
        <v>1.5997934313911752</v>
      </c>
    </row>
    <row r="1592" spans="1:8" x14ac:dyDescent="0.25">
      <c r="A1592" t="str">
        <f t="shared" si="98"/>
        <v>Direct,USnet,80</v>
      </c>
      <c r="B1592" t="s">
        <v>33</v>
      </c>
      <c r="C1592" t="s">
        <v>7</v>
      </c>
      <c r="D1592">
        <v>80</v>
      </c>
      <c r="E1592">
        <v>2819.0830000000001</v>
      </c>
      <c r="F1592">
        <f t="shared" si="97"/>
        <v>2740</v>
      </c>
      <c r="G1592">
        <f t="shared" si="99"/>
        <v>2.8862408759124119</v>
      </c>
      <c r="H1592">
        <f t="shared" si="100"/>
        <v>2.8052739135385543</v>
      </c>
    </row>
    <row r="1593" spans="1:8" x14ac:dyDescent="0.25">
      <c r="A1593" t="str">
        <f t="shared" si="98"/>
        <v>Direct,USnet,80</v>
      </c>
      <c r="B1593" t="s">
        <v>33</v>
      </c>
      <c r="C1593" t="s">
        <v>7</v>
      </c>
      <c r="D1593">
        <v>80</v>
      </c>
      <c r="E1593">
        <v>2831.1559999999999</v>
      </c>
      <c r="F1593">
        <f t="shared" si="97"/>
        <v>2740</v>
      </c>
      <c r="G1593">
        <f t="shared" si="99"/>
        <v>3.3268613138686112</v>
      </c>
      <c r="H1593">
        <f t="shared" si="100"/>
        <v>3.2197448674675626</v>
      </c>
    </row>
    <row r="1594" spans="1:8" x14ac:dyDescent="0.25">
      <c r="A1594" t="str">
        <f t="shared" si="98"/>
        <v>Direct,USnet,80</v>
      </c>
      <c r="B1594" t="s">
        <v>33</v>
      </c>
      <c r="C1594" t="s">
        <v>7</v>
      </c>
      <c r="D1594">
        <v>80</v>
      </c>
      <c r="E1594">
        <v>2865.7869999999998</v>
      </c>
      <c r="F1594">
        <f t="shared" si="97"/>
        <v>2740</v>
      </c>
      <c r="G1594">
        <f t="shared" si="99"/>
        <v>4.5907664233576568</v>
      </c>
      <c r="H1594">
        <f t="shared" si="100"/>
        <v>4.3892654967029934</v>
      </c>
    </row>
    <row r="1595" spans="1:8" x14ac:dyDescent="0.25">
      <c r="A1595" t="str">
        <f t="shared" si="98"/>
        <v>Direct,USnet,80</v>
      </c>
      <c r="B1595" t="s">
        <v>33</v>
      </c>
      <c r="C1595" t="s">
        <v>7</v>
      </c>
      <c r="D1595">
        <v>80</v>
      </c>
      <c r="E1595">
        <v>2785.6610000000001</v>
      </c>
      <c r="F1595">
        <f t="shared" si="97"/>
        <v>2740</v>
      </c>
      <c r="G1595">
        <f t="shared" si="99"/>
        <v>1.6664598540146007</v>
      </c>
      <c r="H1595">
        <f t="shared" si="100"/>
        <v>1.6391441743988253</v>
      </c>
    </row>
    <row r="1596" spans="1:8" x14ac:dyDescent="0.25">
      <c r="A1596" t="str">
        <f t="shared" si="98"/>
        <v>Direct,USnet,80</v>
      </c>
      <c r="B1596" t="s">
        <v>33</v>
      </c>
      <c r="C1596" t="s">
        <v>7</v>
      </c>
      <c r="D1596">
        <v>80</v>
      </c>
      <c r="E1596">
        <v>2813.5039999999999</v>
      </c>
      <c r="F1596">
        <f t="shared" si="97"/>
        <v>2740</v>
      </c>
      <c r="G1596">
        <f t="shared" si="99"/>
        <v>2.6826277372262739</v>
      </c>
      <c r="H1596">
        <f t="shared" si="100"/>
        <v>2.6125429357839871</v>
      </c>
    </row>
    <row r="1597" spans="1:8" x14ac:dyDescent="0.25">
      <c r="A1597" t="str">
        <f t="shared" si="98"/>
        <v>Direct,USnet,80</v>
      </c>
      <c r="B1597" t="s">
        <v>33</v>
      </c>
      <c r="C1597" t="s">
        <v>7</v>
      </c>
      <c r="D1597">
        <v>80</v>
      </c>
      <c r="E1597">
        <v>2831.4969999999998</v>
      </c>
      <c r="F1597">
        <f t="shared" si="97"/>
        <v>2740</v>
      </c>
      <c r="G1597">
        <f t="shared" si="99"/>
        <v>3.3393065693430599</v>
      </c>
      <c r="H1597">
        <f t="shared" si="100"/>
        <v>3.2314002098536512</v>
      </c>
    </row>
    <row r="1598" spans="1:8" x14ac:dyDescent="0.25">
      <c r="A1598" t="str">
        <f t="shared" si="98"/>
        <v>Direct,USnet,80</v>
      </c>
      <c r="B1598" t="s">
        <v>33</v>
      </c>
      <c r="C1598" t="s">
        <v>7</v>
      </c>
      <c r="D1598">
        <v>80</v>
      </c>
      <c r="E1598">
        <v>2810.7359999999999</v>
      </c>
      <c r="F1598">
        <f t="shared" si="97"/>
        <v>2740</v>
      </c>
      <c r="G1598">
        <f t="shared" si="99"/>
        <v>2.5816058394160541</v>
      </c>
      <c r="H1598">
        <f t="shared" si="100"/>
        <v>2.5166362120099461</v>
      </c>
    </row>
    <row r="1599" spans="1:8" x14ac:dyDescent="0.25">
      <c r="A1599" t="str">
        <f t="shared" si="98"/>
        <v>Direct,USnet,80</v>
      </c>
      <c r="B1599" t="s">
        <v>33</v>
      </c>
      <c r="C1599" t="s">
        <v>7</v>
      </c>
      <c r="D1599">
        <v>80</v>
      </c>
      <c r="E1599">
        <v>2784.7130000000002</v>
      </c>
      <c r="F1599">
        <f t="shared" si="97"/>
        <v>2740</v>
      </c>
      <c r="G1599">
        <f t="shared" si="99"/>
        <v>1.63186131386862</v>
      </c>
      <c r="H1599">
        <f t="shared" si="100"/>
        <v>1.6056591828314153</v>
      </c>
    </row>
    <row r="1600" spans="1:8" x14ac:dyDescent="0.25">
      <c r="A1600" t="str">
        <f t="shared" si="98"/>
        <v>Direct,USnet,80</v>
      </c>
      <c r="B1600" t="s">
        <v>33</v>
      </c>
      <c r="C1600" t="s">
        <v>7</v>
      </c>
      <c r="D1600">
        <v>80</v>
      </c>
      <c r="E1600">
        <v>2715.982</v>
      </c>
      <c r="F1600">
        <f t="shared" si="97"/>
        <v>2740</v>
      </c>
      <c r="G1600">
        <f t="shared" si="99"/>
        <v>0.87656934306569456</v>
      </c>
      <c r="H1600">
        <f t="shared" si="100"/>
        <v>0.88432103010992091</v>
      </c>
    </row>
    <row r="1601" spans="1:8" x14ac:dyDescent="0.25">
      <c r="A1601" t="str">
        <f t="shared" si="98"/>
        <v>Direct,USnet,80</v>
      </c>
      <c r="B1601" t="s">
        <v>33</v>
      </c>
      <c r="C1601" t="s">
        <v>7</v>
      </c>
      <c r="D1601">
        <v>80</v>
      </c>
      <c r="E1601">
        <v>2810.223</v>
      </c>
      <c r="F1601">
        <f t="shared" si="97"/>
        <v>2740</v>
      </c>
      <c r="G1601">
        <f t="shared" si="99"/>
        <v>2.5628832116788307</v>
      </c>
      <c r="H1601">
        <f t="shared" si="100"/>
        <v>2.4988408393212906</v>
      </c>
    </row>
    <row r="1602" spans="1:8" x14ac:dyDescent="0.25">
      <c r="A1602" t="str">
        <f t="shared" si="98"/>
        <v>Direct,USnet,80</v>
      </c>
      <c r="B1602" t="s">
        <v>33</v>
      </c>
      <c r="C1602" t="s">
        <v>7</v>
      </c>
      <c r="D1602">
        <v>80</v>
      </c>
      <c r="E1602">
        <v>2772.2379999999998</v>
      </c>
      <c r="F1602">
        <f t="shared" si="97"/>
        <v>2740</v>
      </c>
      <c r="G1602">
        <f t="shared" si="99"/>
        <v>1.1765693430656872</v>
      </c>
      <c r="H1602">
        <f t="shared" si="100"/>
        <v>1.1628871691391516</v>
      </c>
    </row>
    <row r="1603" spans="1:8" x14ac:dyDescent="0.25">
      <c r="A1603" t="str">
        <f t="shared" si="98"/>
        <v>Direct,USnet,100</v>
      </c>
      <c r="B1603" t="s">
        <v>33</v>
      </c>
      <c r="C1603" t="s">
        <v>7</v>
      </c>
      <c r="D1603">
        <v>100</v>
      </c>
      <c r="E1603">
        <v>3490.6959999999999</v>
      </c>
      <c r="F1603">
        <f t="shared" ref="F1603:F1666" si="101">_xlfn.XLOOKUP(A1603,$J$3:$J$36,$N$3:$N$36)</f>
        <v>3350</v>
      </c>
      <c r="G1603">
        <f t="shared" si="99"/>
        <v>4.1998805970149222</v>
      </c>
      <c r="H1603">
        <f t="shared" si="100"/>
        <v>4.0306002012206141</v>
      </c>
    </row>
    <row r="1604" spans="1:8" x14ac:dyDescent="0.25">
      <c r="A1604" t="str">
        <f t="shared" ref="A1604:A1667" si="102">B1604&amp;","&amp;C1604&amp;","&amp;D1604</f>
        <v>Direct,USnet,100</v>
      </c>
      <c r="B1604" t="s">
        <v>33</v>
      </c>
      <c r="C1604" t="s">
        <v>7</v>
      </c>
      <c r="D1604">
        <v>100</v>
      </c>
      <c r="E1604">
        <v>3457.8620000000001</v>
      </c>
      <c r="F1604">
        <f t="shared" si="101"/>
        <v>3350</v>
      </c>
      <c r="G1604">
        <f t="shared" ref="G1604:G1667" si="103">ABS((E1604-F1604)/F1604)*100</f>
        <v>3.2197611940298536</v>
      </c>
      <c r="H1604">
        <f t="shared" ref="H1604:H1667" si="104">ABS((F1604-E1604)/E1604)*100</f>
        <v>3.1193263351747431</v>
      </c>
    </row>
    <row r="1605" spans="1:8" x14ac:dyDescent="0.25">
      <c r="A1605" t="str">
        <f t="shared" si="102"/>
        <v>Direct,USnet,100</v>
      </c>
      <c r="B1605" t="s">
        <v>33</v>
      </c>
      <c r="C1605" t="s">
        <v>7</v>
      </c>
      <c r="D1605">
        <v>100</v>
      </c>
      <c r="E1605">
        <v>3432.0970000000002</v>
      </c>
      <c r="F1605">
        <f t="shared" si="101"/>
        <v>3350</v>
      </c>
      <c r="G1605">
        <f t="shared" si="103"/>
        <v>2.4506567164179165</v>
      </c>
      <c r="H1605">
        <f t="shared" si="104"/>
        <v>2.392036122522184</v>
      </c>
    </row>
    <row r="1606" spans="1:8" x14ac:dyDescent="0.25">
      <c r="A1606" t="str">
        <f t="shared" si="102"/>
        <v>Direct,USnet,100</v>
      </c>
      <c r="B1606" t="s">
        <v>33</v>
      </c>
      <c r="C1606" t="s">
        <v>7</v>
      </c>
      <c r="D1606">
        <v>100</v>
      </c>
      <c r="E1606">
        <v>3483.3119999999999</v>
      </c>
      <c r="F1606">
        <f t="shared" si="101"/>
        <v>3350</v>
      </c>
      <c r="G1606">
        <f t="shared" si="103"/>
        <v>3.9794626865671612</v>
      </c>
      <c r="H1606">
        <f t="shared" si="104"/>
        <v>3.8271621950603305</v>
      </c>
    </row>
    <row r="1607" spans="1:8" x14ac:dyDescent="0.25">
      <c r="A1607" t="str">
        <f t="shared" si="102"/>
        <v>Direct,USnet,100</v>
      </c>
      <c r="B1607" t="s">
        <v>33</v>
      </c>
      <c r="C1607" t="s">
        <v>7</v>
      </c>
      <c r="D1607">
        <v>100</v>
      </c>
      <c r="E1607">
        <v>3396.3470000000002</v>
      </c>
      <c r="F1607">
        <f t="shared" si="101"/>
        <v>3350</v>
      </c>
      <c r="G1607">
        <f t="shared" si="103"/>
        <v>1.383492537313439</v>
      </c>
      <c r="H1607">
        <f t="shared" si="104"/>
        <v>1.3646132153163444</v>
      </c>
    </row>
    <row r="1608" spans="1:8" x14ac:dyDescent="0.25">
      <c r="A1608" t="str">
        <f t="shared" si="102"/>
        <v>Direct,USnet,100</v>
      </c>
      <c r="B1608" t="s">
        <v>33</v>
      </c>
      <c r="C1608" t="s">
        <v>7</v>
      </c>
      <c r="D1608">
        <v>100</v>
      </c>
      <c r="E1608">
        <v>3263.3</v>
      </c>
      <c r="F1608">
        <f t="shared" si="101"/>
        <v>3350</v>
      </c>
      <c r="G1608">
        <f t="shared" si="103"/>
        <v>2.5880597014925319</v>
      </c>
      <c r="H1608">
        <f t="shared" si="104"/>
        <v>2.6568197836545773</v>
      </c>
    </row>
    <row r="1609" spans="1:8" x14ac:dyDescent="0.25">
      <c r="A1609" t="str">
        <f t="shared" si="102"/>
        <v>Direct,USnet,100</v>
      </c>
      <c r="B1609" t="s">
        <v>33</v>
      </c>
      <c r="C1609" t="s">
        <v>7</v>
      </c>
      <c r="D1609">
        <v>100</v>
      </c>
      <c r="E1609">
        <v>3436.9609999999998</v>
      </c>
      <c r="F1609">
        <f t="shared" si="101"/>
        <v>3350</v>
      </c>
      <c r="G1609">
        <f t="shared" si="103"/>
        <v>2.5958507462686504</v>
      </c>
      <c r="H1609">
        <f t="shared" si="104"/>
        <v>2.5301712763106647</v>
      </c>
    </row>
    <row r="1610" spans="1:8" x14ac:dyDescent="0.25">
      <c r="A1610" t="str">
        <f t="shared" si="102"/>
        <v>Direct,USnet,100</v>
      </c>
      <c r="B1610" t="s">
        <v>33</v>
      </c>
      <c r="C1610" t="s">
        <v>7</v>
      </c>
      <c r="D1610">
        <v>100</v>
      </c>
      <c r="E1610">
        <v>3431.4769999999999</v>
      </c>
      <c r="F1610">
        <f t="shared" si="101"/>
        <v>3350</v>
      </c>
      <c r="G1610">
        <f t="shared" si="103"/>
        <v>2.4321492537313394</v>
      </c>
      <c r="H1610">
        <f t="shared" si="104"/>
        <v>2.3744002946835976</v>
      </c>
    </row>
    <row r="1611" spans="1:8" x14ac:dyDescent="0.25">
      <c r="A1611" t="str">
        <f t="shared" si="102"/>
        <v>Direct,USnet,100</v>
      </c>
      <c r="B1611" t="s">
        <v>33</v>
      </c>
      <c r="C1611" t="s">
        <v>7</v>
      </c>
      <c r="D1611">
        <v>100</v>
      </c>
      <c r="E1611">
        <v>3430.32</v>
      </c>
      <c r="F1611">
        <f t="shared" si="101"/>
        <v>3350</v>
      </c>
      <c r="G1611">
        <f t="shared" si="103"/>
        <v>2.3976119402985123</v>
      </c>
      <c r="H1611">
        <f t="shared" si="104"/>
        <v>2.3414725156836727</v>
      </c>
    </row>
    <row r="1612" spans="1:8" x14ac:dyDescent="0.25">
      <c r="A1612" t="str">
        <f t="shared" si="102"/>
        <v>Direct,USnet,100</v>
      </c>
      <c r="B1612" t="s">
        <v>33</v>
      </c>
      <c r="C1612" t="s">
        <v>7</v>
      </c>
      <c r="D1612">
        <v>100</v>
      </c>
      <c r="E1612">
        <v>3362.0720000000001</v>
      </c>
      <c r="F1612">
        <f t="shared" si="101"/>
        <v>3350</v>
      </c>
      <c r="G1612">
        <f t="shared" si="103"/>
        <v>0.36035820895522735</v>
      </c>
      <c r="H1612">
        <f t="shared" si="104"/>
        <v>0.35906429130607898</v>
      </c>
    </row>
    <row r="1613" spans="1:8" x14ac:dyDescent="0.25">
      <c r="A1613" t="str">
        <f t="shared" si="102"/>
        <v>Direct,USnet,100</v>
      </c>
      <c r="B1613" t="s">
        <v>33</v>
      </c>
      <c r="C1613" t="s">
        <v>7</v>
      </c>
      <c r="D1613">
        <v>100</v>
      </c>
      <c r="E1613">
        <v>3394.712</v>
      </c>
      <c r="F1613">
        <f t="shared" si="101"/>
        <v>3350</v>
      </c>
      <c r="G1613">
        <f t="shared" si="103"/>
        <v>1.3346865671641788</v>
      </c>
      <c r="H1613">
        <f t="shared" si="104"/>
        <v>1.3171073127852964</v>
      </c>
    </row>
    <row r="1614" spans="1:8" x14ac:dyDescent="0.25">
      <c r="A1614" t="str">
        <f t="shared" si="102"/>
        <v>Direct,USnet,100</v>
      </c>
      <c r="B1614" t="s">
        <v>33</v>
      </c>
      <c r="C1614" t="s">
        <v>7</v>
      </c>
      <c r="D1614">
        <v>100</v>
      </c>
      <c r="E1614">
        <v>3549.7840000000001</v>
      </c>
      <c r="F1614">
        <f t="shared" si="101"/>
        <v>3350</v>
      </c>
      <c r="G1614">
        <f t="shared" si="103"/>
        <v>5.9637014925373171</v>
      </c>
      <c r="H1614">
        <f t="shared" si="104"/>
        <v>5.6280607496118105</v>
      </c>
    </row>
    <row r="1615" spans="1:8" x14ac:dyDescent="0.25">
      <c r="A1615" t="str">
        <f t="shared" si="102"/>
        <v>Direct,USnet,100</v>
      </c>
      <c r="B1615" t="s">
        <v>33</v>
      </c>
      <c r="C1615" t="s">
        <v>7</v>
      </c>
      <c r="D1615">
        <v>100</v>
      </c>
      <c r="E1615">
        <v>3462.8820000000001</v>
      </c>
      <c r="F1615">
        <f t="shared" si="101"/>
        <v>3350</v>
      </c>
      <c r="G1615">
        <f t="shared" si="103"/>
        <v>3.3696119402985092</v>
      </c>
      <c r="H1615">
        <f t="shared" si="104"/>
        <v>3.2597703300314613</v>
      </c>
    </row>
    <row r="1616" spans="1:8" x14ac:dyDescent="0.25">
      <c r="A1616" t="str">
        <f t="shared" si="102"/>
        <v>Direct,USnet,100</v>
      </c>
      <c r="B1616" t="s">
        <v>33</v>
      </c>
      <c r="C1616" t="s">
        <v>7</v>
      </c>
      <c r="D1616">
        <v>100</v>
      </c>
      <c r="E1616">
        <v>3368.9870000000001</v>
      </c>
      <c r="F1616">
        <f t="shared" si="101"/>
        <v>3350</v>
      </c>
      <c r="G1616">
        <f t="shared" si="103"/>
        <v>0.56677611940298744</v>
      </c>
      <c r="H1616">
        <f t="shared" si="104"/>
        <v>0.56358187193954978</v>
      </c>
    </row>
    <row r="1617" spans="1:8" x14ac:dyDescent="0.25">
      <c r="A1617" t="str">
        <f t="shared" si="102"/>
        <v>Direct,USnet,100</v>
      </c>
      <c r="B1617" t="s">
        <v>33</v>
      </c>
      <c r="C1617" t="s">
        <v>7</v>
      </c>
      <c r="D1617">
        <v>100</v>
      </c>
      <c r="E1617">
        <v>3533.4969999999998</v>
      </c>
      <c r="F1617">
        <f t="shared" si="101"/>
        <v>3350</v>
      </c>
      <c r="G1617">
        <f t="shared" si="103"/>
        <v>5.4775223880596968</v>
      </c>
      <c r="H1617">
        <f t="shared" si="104"/>
        <v>5.1930707737971717</v>
      </c>
    </row>
    <row r="1618" spans="1:8" x14ac:dyDescent="0.25">
      <c r="A1618" t="str">
        <f t="shared" si="102"/>
        <v>Direct,USnet,100</v>
      </c>
      <c r="B1618" t="s">
        <v>33</v>
      </c>
      <c r="C1618" t="s">
        <v>7</v>
      </c>
      <c r="D1618">
        <v>100</v>
      </c>
      <c r="E1618">
        <v>3380.393</v>
      </c>
      <c r="F1618">
        <f t="shared" si="101"/>
        <v>3350</v>
      </c>
      <c r="G1618">
        <f t="shared" si="103"/>
        <v>0.90725373134328446</v>
      </c>
      <c r="H1618">
        <f t="shared" si="104"/>
        <v>0.89909664349677765</v>
      </c>
    </row>
    <row r="1619" spans="1:8" x14ac:dyDescent="0.25">
      <c r="A1619" t="str">
        <f t="shared" si="102"/>
        <v>Direct,USnet,100</v>
      </c>
      <c r="B1619" t="s">
        <v>33</v>
      </c>
      <c r="C1619" t="s">
        <v>7</v>
      </c>
      <c r="D1619">
        <v>100</v>
      </c>
      <c r="E1619">
        <v>3373.3409999999999</v>
      </c>
      <c r="F1619">
        <f t="shared" si="101"/>
        <v>3350</v>
      </c>
      <c r="G1619">
        <f t="shared" si="103"/>
        <v>0.6967462686567133</v>
      </c>
      <c r="H1619">
        <f t="shared" si="104"/>
        <v>0.69192530491284143</v>
      </c>
    </row>
    <row r="1620" spans="1:8" x14ac:dyDescent="0.25">
      <c r="A1620" t="str">
        <f t="shared" si="102"/>
        <v>Direct,USnet,100</v>
      </c>
      <c r="B1620" t="s">
        <v>33</v>
      </c>
      <c r="C1620" t="s">
        <v>7</v>
      </c>
      <c r="D1620">
        <v>100</v>
      </c>
      <c r="E1620">
        <v>3460.5410000000002</v>
      </c>
      <c r="F1620">
        <f t="shared" si="101"/>
        <v>3350</v>
      </c>
      <c r="G1620">
        <f t="shared" si="103"/>
        <v>3.2997313432835873</v>
      </c>
      <c r="H1620">
        <f t="shared" si="104"/>
        <v>3.1943271297753784</v>
      </c>
    </row>
    <row r="1621" spans="1:8" x14ac:dyDescent="0.25">
      <c r="A1621" t="str">
        <f t="shared" si="102"/>
        <v>Direct,USnet,100</v>
      </c>
      <c r="B1621" t="s">
        <v>33</v>
      </c>
      <c r="C1621" t="s">
        <v>7</v>
      </c>
      <c r="D1621">
        <v>100</v>
      </c>
      <c r="E1621">
        <v>3455.7069999999999</v>
      </c>
      <c r="F1621">
        <f t="shared" si="101"/>
        <v>3350</v>
      </c>
      <c r="G1621">
        <f t="shared" si="103"/>
        <v>3.1554328358208918</v>
      </c>
      <c r="H1621">
        <f t="shared" si="104"/>
        <v>3.0589109551243747</v>
      </c>
    </row>
    <row r="1622" spans="1:8" x14ac:dyDescent="0.25">
      <c r="A1622" t="str">
        <f t="shared" si="102"/>
        <v>Direct,USnet,100</v>
      </c>
      <c r="B1622" t="s">
        <v>33</v>
      </c>
      <c r="C1622" t="s">
        <v>7</v>
      </c>
      <c r="D1622">
        <v>100</v>
      </c>
      <c r="E1622">
        <v>3492.0390000000002</v>
      </c>
      <c r="F1622">
        <f t="shared" si="101"/>
        <v>3350</v>
      </c>
      <c r="G1622">
        <f t="shared" si="103"/>
        <v>4.2399701492537378</v>
      </c>
      <c r="H1622">
        <f t="shared" si="104"/>
        <v>4.0675089825743704</v>
      </c>
    </row>
    <row r="1623" spans="1:8" x14ac:dyDescent="0.25">
      <c r="A1623" t="str">
        <f t="shared" si="102"/>
        <v>Direct,USnet,100</v>
      </c>
      <c r="B1623" t="s">
        <v>33</v>
      </c>
      <c r="C1623" t="s">
        <v>7</v>
      </c>
      <c r="D1623">
        <v>100</v>
      </c>
      <c r="E1623">
        <v>3381.2649999999999</v>
      </c>
      <c r="F1623">
        <f t="shared" si="101"/>
        <v>3350</v>
      </c>
      <c r="G1623">
        <f t="shared" si="103"/>
        <v>0.93328358208954842</v>
      </c>
      <c r="H1623">
        <f t="shared" si="104"/>
        <v>0.92465393868862311</v>
      </c>
    </row>
    <row r="1624" spans="1:8" x14ac:dyDescent="0.25">
      <c r="A1624" t="str">
        <f t="shared" si="102"/>
        <v>Direct,USnet,100</v>
      </c>
      <c r="B1624" t="s">
        <v>33</v>
      </c>
      <c r="C1624" t="s">
        <v>7</v>
      </c>
      <c r="D1624">
        <v>100</v>
      </c>
      <c r="E1624">
        <v>3544.3519999999999</v>
      </c>
      <c r="F1624">
        <f t="shared" si="101"/>
        <v>3350</v>
      </c>
      <c r="G1624">
        <f t="shared" si="103"/>
        <v>5.8015522388059662</v>
      </c>
      <c r="H1624">
        <f t="shared" si="104"/>
        <v>5.4834282825182115</v>
      </c>
    </row>
    <row r="1625" spans="1:8" x14ac:dyDescent="0.25">
      <c r="A1625" t="str">
        <f t="shared" si="102"/>
        <v>Direct,USnet,100</v>
      </c>
      <c r="B1625" t="s">
        <v>33</v>
      </c>
      <c r="C1625" t="s">
        <v>7</v>
      </c>
      <c r="D1625">
        <v>100</v>
      </c>
      <c r="E1625">
        <v>3545.3969999999999</v>
      </c>
      <c r="F1625">
        <f t="shared" si="101"/>
        <v>3350</v>
      </c>
      <c r="G1625">
        <f t="shared" si="103"/>
        <v>5.8327462686567149</v>
      </c>
      <c r="H1625">
        <f t="shared" si="104"/>
        <v>5.5112868883230828</v>
      </c>
    </row>
    <row r="1626" spans="1:8" x14ac:dyDescent="0.25">
      <c r="A1626" t="str">
        <f t="shared" si="102"/>
        <v>Direct,USnet,100</v>
      </c>
      <c r="B1626" t="s">
        <v>33</v>
      </c>
      <c r="C1626" t="s">
        <v>7</v>
      </c>
      <c r="D1626">
        <v>100</v>
      </c>
      <c r="E1626">
        <v>3490.7710000000002</v>
      </c>
      <c r="F1626">
        <f t="shared" si="101"/>
        <v>3350</v>
      </c>
      <c r="G1626">
        <f t="shared" si="103"/>
        <v>4.2021194029850797</v>
      </c>
      <c r="H1626">
        <f t="shared" si="104"/>
        <v>4.0326621253585575</v>
      </c>
    </row>
    <row r="1627" spans="1:8" x14ac:dyDescent="0.25">
      <c r="A1627" t="str">
        <f t="shared" si="102"/>
        <v>Direct,USnet,100</v>
      </c>
      <c r="B1627" t="s">
        <v>33</v>
      </c>
      <c r="C1627" t="s">
        <v>7</v>
      </c>
      <c r="D1627">
        <v>100</v>
      </c>
      <c r="E1627">
        <v>3555.6010000000001</v>
      </c>
      <c r="F1627">
        <f t="shared" si="101"/>
        <v>3350</v>
      </c>
      <c r="G1627">
        <f t="shared" si="103"/>
        <v>6.1373432835820934</v>
      </c>
      <c r="H1627">
        <f t="shared" si="104"/>
        <v>5.7824542180070289</v>
      </c>
    </row>
    <row r="1628" spans="1:8" x14ac:dyDescent="0.25">
      <c r="A1628" t="str">
        <f t="shared" si="102"/>
        <v>Direct,USnet,100</v>
      </c>
      <c r="B1628" t="s">
        <v>33</v>
      </c>
      <c r="C1628" t="s">
        <v>7</v>
      </c>
      <c r="D1628">
        <v>100</v>
      </c>
      <c r="E1628">
        <v>3462.1410000000001</v>
      </c>
      <c r="F1628">
        <f t="shared" si="101"/>
        <v>3350</v>
      </c>
      <c r="G1628">
        <f t="shared" si="103"/>
        <v>3.3474925373134354</v>
      </c>
      <c r="H1628">
        <f t="shared" si="104"/>
        <v>3.2390650756280599</v>
      </c>
    </row>
    <row r="1629" spans="1:8" x14ac:dyDescent="0.25">
      <c r="A1629" t="str">
        <f t="shared" si="102"/>
        <v>Direct,USnet,100</v>
      </c>
      <c r="B1629" t="s">
        <v>33</v>
      </c>
      <c r="C1629" t="s">
        <v>7</v>
      </c>
      <c r="D1629">
        <v>100</v>
      </c>
      <c r="E1629">
        <v>3351.9850000000001</v>
      </c>
      <c r="F1629">
        <f t="shared" si="101"/>
        <v>3350</v>
      </c>
      <c r="G1629">
        <f t="shared" si="103"/>
        <v>5.9253731343287382E-2</v>
      </c>
      <c r="H1629">
        <f t="shared" si="104"/>
        <v>5.9218642088199297E-2</v>
      </c>
    </row>
    <row r="1630" spans="1:8" x14ac:dyDescent="0.25">
      <c r="A1630" t="str">
        <f t="shared" si="102"/>
        <v>Direct,USnet,100</v>
      </c>
      <c r="B1630" t="s">
        <v>33</v>
      </c>
      <c r="C1630" t="s">
        <v>7</v>
      </c>
      <c r="D1630">
        <v>100</v>
      </c>
      <c r="E1630">
        <v>3356.058</v>
      </c>
      <c r="F1630">
        <f t="shared" si="101"/>
        <v>3350</v>
      </c>
      <c r="G1630">
        <f t="shared" si="103"/>
        <v>0.18083582089552216</v>
      </c>
      <c r="H1630">
        <f t="shared" si="104"/>
        <v>0.18050939524883039</v>
      </c>
    </row>
    <row r="1631" spans="1:8" x14ac:dyDescent="0.25">
      <c r="A1631" t="str">
        <f t="shared" si="102"/>
        <v>Direct,USnet,100</v>
      </c>
      <c r="B1631" t="s">
        <v>33</v>
      </c>
      <c r="C1631" t="s">
        <v>7</v>
      </c>
      <c r="D1631">
        <v>100</v>
      </c>
      <c r="E1631">
        <v>3358.1030000000001</v>
      </c>
      <c r="F1631">
        <f t="shared" si="101"/>
        <v>3350</v>
      </c>
      <c r="G1631">
        <f t="shared" si="103"/>
        <v>0.24188059701492734</v>
      </c>
      <c r="H1631">
        <f t="shared" si="104"/>
        <v>0.24129694652010569</v>
      </c>
    </row>
    <row r="1632" spans="1:8" x14ac:dyDescent="0.25">
      <c r="A1632" t="str">
        <f t="shared" si="102"/>
        <v>Direct,USnet,100</v>
      </c>
      <c r="B1632" t="s">
        <v>33</v>
      </c>
      <c r="C1632" t="s">
        <v>7</v>
      </c>
      <c r="D1632">
        <v>100</v>
      </c>
      <c r="E1632">
        <v>3369.8519999999999</v>
      </c>
      <c r="F1632">
        <f t="shared" si="101"/>
        <v>3350</v>
      </c>
      <c r="G1632">
        <f t="shared" si="103"/>
        <v>0.59259701492536898</v>
      </c>
      <c r="H1632">
        <f t="shared" si="104"/>
        <v>0.58910599041144429</v>
      </c>
    </row>
    <row r="1633" spans="1:8" x14ac:dyDescent="0.25">
      <c r="A1633" t="str">
        <f t="shared" si="102"/>
        <v>Direct,USnet,100</v>
      </c>
      <c r="B1633" t="s">
        <v>33</v>
      </c>
      <c r="C1633" t="s">
        <v>7</v>
      </c>
      <c r="D1633">
        <v>100</v>
      </c>
      <c r="E1633">
        <v>3272.5369999999998</v>
      </c>
      <c r="F1633">
        <f t="shared" si="101"/>
        <v>3350</v>
      </c>
      <c r="G1633">
        <f t="shared" si="103"/>
        <v>2.3123283582089611</v>
      </c>
      <c r="H1633">
        <f t="shared" si="104"/>
        <v>2.3670626183905696</v>
      </c>
    </row>
    <row r="1634" spans="1:8" x14ac:dyDescent="0.25">
      <c r="A1634" t="str">
        <f t="shared" si="102"/>
        <v>Direct,USnet,100</v>
      </c>
      <c r="B1634" t="s">
        <v>33</v>
      </c>
      <c r="C1634" t="s">
        <v>7</v>
      </c>
      <c r="D1634">
        <v>100</v>
      </c>
      <c r="E1634">
        <v>3483.7350000000001</v>
      </c>
      <c r="F1634">
        <f t="shared" si="101"/>
        <v>3350</v>
      </c>
      <c r="G1634">
        <f t="shared" si="103"/>
        <v>3.9920895522388098</v>
      </c>
      <c r="H1634">
        <f t="shared" si="104"/>
        <v>3.8388396361950643</v>
      </c>
    </row>
    <row r="1635" spans="1:8" x14ac:dyDescent="0.25">
      <c r="A1635" t="str">
        <f t="shared" si="102"/>
        <v>Direct,USnet,100</v>
      </c>
      <c r="B1635" t="s">
        <v>33</v>
      </c>
      <c r="C1635" t="s">
        <v>7</v>
      </c>
      <c r="D1635">
        <v>100</v>
      </c>
      <c r="E1635">
        <v>3520.8150000000001</v>
      </c>
      <c r="F1635">
        <f t="shared" si="101"/>
        <v>3350</v>
      </c>
      <c r="G1635">
        <f t="shared" si="103"/>
        <v>5.0989552238805986</v>
      </c>
      <c r="H1635">
        <f t="shared" si="104"/>
        <v>4.8515755584999507</v>
      </c>
    </row>
    <row r="1636" spans="1:8" x14ac:dyDescent="0.25">
      <c r="A1636" t="str">
        <f t="shared" si="102"/>
        <v>Direct,USnet,100</v>
      </c>
      <c r="B1636" t="s">
        <v>33</v>
      </c>
      <c r="C1636" t="s">
        <v>7</v>
      </c>
      <c r="D1636">
        <v>100</v>
      </c>
      <c r="E1636">
        <v>3425.335</v>
      </c>
      <c r="F1636">
        <f t="shared" si="101"/>
        <v>3350</v>
      </c>
      <c r="G1636">
        <f t="shared" si="103"/>
        <v>2.2488059701492551</v>
      </c>
      <c r="H1636">
        <f t="shared" si="104"/>
        <v>2.1993469251912598</v>
      </c>
    </row>
    <row r="1637" spans="1:8" x14ac:dyDescent="0.25">
      <c r="A1637" t="str">
        <f t="shared" si="102"/>
        <v>Direct,USnet,100</v>
      </c>
      <c r="B1637" t="s">
        <v>33</v>
      </c>
      <c r="C1637" t="s">
        <v>7</v>
      </c>
      <c r="D1637">
        <v>100</v>
      </c>
      <c r="E1637">
        <v>3300.873</v>
      </c>
      <c r="F1637">
        <f t="shared" si="101"/>
        <v>3350</v>
      </c>
      <c r="G1637">
        <f t="shared" si="103"/>
        <v>1.4664776119402971</v>
      </c>
      <c r="H1637">
        <f t="shared" si="104"/>
        <v>1.4883032458382965</v>
      </c>
    </row>
    <row r="1638" spans="1:8" x14ac:dyDescent="0.25">
      <c r="A1638" t="str">
        <f t="shared" si="102"/>
        <v>Direct,USnet,100</v>
      </c>
      <c r="B1638" t="s">
        <v>33</v>
      </c>
      <c r="C1638" t="s">
        <v>7</v>
      </c>
      <c r="D1638">
        <v>100</v>
      </c>
      <c r="E1638">
        <v>3489.96</v>
      </c>
      <c r="F1638">
        <f t="shared" si="101"/>
        <v>3350</v>
      </c>
      <c r="G1638">
        <f t="shared" si="103"/>
        <v>4.177910447761195</v>
      </c>
      <c r="H1638">
        <f t="shared" si="104"/>
        <v>4.0103611502710645</v>
      </c>
    </row>
    <row r="1639" spans="1:8" x14ac:dyDescent="0.25">
      <c r="A1639" t="str">
        <f t="shared" si="102"/>
        <v>Direct,USnet,100</v>
      </c>
      <c r="B1639" t="s">
        <v>33</v>
      </c>
      <c r="C1639" t="s">
        <v>7</v>
      </c>
      <c r="D1639">
        <v>100</v>
      </c>
      <c r="E1639">
        <v>3311.9659999999999</v>
      </c>
      <c r="F1639">
        <f t="shared" si="101"/>
        <v>3350</v>
      </c>
      <c r="G1639">
        <f t="shared" si="103"/>
        <v>1.1353432835820927</v>
      </c>
      <c r="H1639">
        <f t="shared" si="104"/>
        <v>1.1483813541564167</v>
      </c>
    </row>
    <row r="1640" spans="1:8" x14ac:dyDescent="0.25">
      <c r="A1640" t="str">
        <f t="shared" si="102"/>
        <v>Direct,USnet,100</v>
      </c>
      <c r="B1640" t="s">
        <v>33</v>
      </c>
      <c r="C1640" t="s">
        <v>7</v>
      </c>
      <c r="D1640">
        <v>100</v>
      </c>
      <c r="E1640">
        <v>3500.5360000000001</v>
      </c>
      <c r="F1640">
        <f t="shared" si="101"/>
        <v>3350</v>
      </c>
      <c r="G1640">
        <f t="shared" si="103"/>
        <v>4.4936119402985097</v>
      </c>
      <c r="H1640">
        <f t="shared" si="104"/>
        <v>4.3003700004799281</v>
      </c>
    </row>
    <row r="1641" spans="1:8" x14ac:dyDescent="0.25">
      <c r="A1641" t="str">
        <f t="shared" si="102"/>
        <v>Direct,USnet,100</v>
      </c>
      <c r="B1641" t="s">
        <v>33</v>
      </c>
      <c r="C1641" t="s">
        <v>7</v>
      </c>
      <c r="D1641">
        <v>100</v>
      </c>
      <c r="E1641">
        <v>3218.5749999999998</v>
      </c>
      <c r="F1641">
        <f t="shared" si="101"/>
        <v>3350</v>
      </c>
      <c r="G1641">
        <f t="shared" si="103"/>
        <v>3.9231343283582145</v>
      </c>
      <c r="H1641">
        <f t="shared" si="104"/>
        <v>4.0833288023426579</v>
      </c>
    </row>
    <row r="1642" spans="1:8" x14ac:dyDescent="0.25">
      <c r="A1642" t="str">
        <f t="shared" si="102"/>
        <v>Direct,USnet,100</v>
      </c>
      <c r="B1642" t="s">
        <v>33</v>
      </c>
      <c r="C1642" t="s">
        <v>7</v>
      </c>
      <c r="D1642">
        <v>100</v>
      </c>
      <c r="E1642">
        <v>3562.808</v>
      </c>
      <c r="F1642">
        <f t="shared" si="101"/>
        <v>3350</v>
      </c>
      <c r="G1642">
        <f t="shared" si="103"/>
        <v>6.3524776119402979</v>
      </c>
      <c r="H1642">
        <f t="shared" si="104"/>
        <v>5.9730414886235792</v>
      </c>
    </row>
    <row r="1643" spans="1:8" x14ac:dyDescent="0.25">
      <c r="A1643" t="str">
        <f t="shared" si="102"/>
        <v>Direct,USnet,100</v>
      </c>
      <c r="B1643" t="s">
        <v>33</v>
      </c>
      <c r="C1643" t="s">
        <v>7</v>
      </c>
      <c r="D1643">
        <v>100</v>
      </c>
      <c r="E1643">
        <v>3377.4630000000002</v>
      </c>
      <c r="F1643">
        <f t="shared" si="101"/>
        <v>3350</v>
      </c>
      <c r="G1643">
        <f t="shared" si="103"/>
        <v>0.81979104477612508</v>
      </c>
      <c r="H1643">
        <f t="shared" si="104"/>
        <v>0.81312511787694464</v>
      </c>
    </row>
    <row r="1644" spans="1:8" x14ac:dyDescent="0.25">
      <c r="A1644" t="str">
        <f t="shared" si="102"/>
        <v>Direct,USnet,100</v>
      </c>
      <c r="B1644" t="s">
        <v>33</v>
      </c>
      <c r="C1644" t="s">
        <v>7</v>
      </c>
      <c r="D1644">
        <v>100</v>
      </c>
      <c r="E1644">
        <v>3400.6930000000002</v>
      </c>
      <c r="F1644">
        <f t="shared" si="101"/>
        <v>3350</v>
      </c>
      <c r="G1644">
        <f t="shared" si="103"/>
        <v>1.5132238805970211</v>
      </c>
      <c r="H1644">
        <f t="shared" si="104"/>
        <v>1.4906667552760631</v>
      </c>
    </row>
    <row r="1645" spans="1:8" x14ac:dyDescent="0.25">
      <c r="A1645" t="str">
        <f t="shared" si="102"/>
        <v>Direct,USnet,100</v>
      </c>
      <c r="B1645" t="s">
        <v>33</v>
      </c>
      <c r="C1645" t="s">
        <v>7</v>
      </c>
      <c r="D1645">
        <v>100</v>
      </c>
      <c r="E1645">
        <v>3455.8139999999999</v>
      </c>
      <c r="F1645">
        <f t="shared" si="101"/>
        <v>3350</v>
      </c>
      <c r="G1645">
        <f t="shared" si="103"/>
        <v>3.1586268656716374</v>
      </c>
      <c r="H1645">
        <f t="shared" si="104"/>
        <v>3.0619124756135561</v>
      </c>
    </row>
    <row r="1646" spans="1:8" x14ac:dyDescent="0.25">
      <c r="A1646" t="str">
        <f t="shared" si="102"/>
        <v>Direct,USnet,100</v>
      </c>
      <c r="B1646" t="s">
        <v>33</v>
      </c>
      <c r="C1646" t="s">
        <v>7</v>
      </c>
      <c r="D1646">
        <v>100</v>
      </c>
      <c r="E1646">
        <v>3493.663</v>
      </c>
      <c r="F1646">
        <f t="shared" si="101"/>
        <v>3350</v>
      </c>
      <c r="G1646">
        <f t="shared" si="103"/>
        <v>4.2884477611940302</v>
      </c>
      <c r="H1646">
        <f t="shared" si="104"/>
        <v>4.1121023979702676</v>
      </c>
    </row>
    <row r="1647" spans="1:8" x14ac:dyDescent="0.25">
      <c r="A1647" t="str">
        <f t="shared" si="102"/>
        <v>Direct,USnet,100</v>
      </c>
      <c r="B1647" t="s">
        <v>33</v>
      </c>
      <c r="C1647" t="s">
        <v>7</v>
      </c>
      <c r="D1647">
        <v>100</v>
      </c>
      <c r="E1647">
        <v>3392.7750000000001</v>
      </c>
      <c r="F1647">
        <f t="shared" si="101"/>
        <v>3350</v>
      </c>
      <c r="G1647">
        <f t="shared" si="103"/>
        <v>1.2768656716417937</v>
      </c>
      <c r="H1647">
        <f t="shared" si="104"/>
        <v>1.2607673659467571</v>
      </c>
    </row>
    <row r="1648" spans="1:8" x14ac:dyDescent="0.25">
      <c r="A1648" t="str">
        <f t="shared" si="102"/>
        <v>Direct,USnet,100</v>
      </c>
      <c r="B1648" t="s">
        <v>33</v>
      </c>
      <c r="C1648" t="s">
        <v>7</v>
      </c>
      <c r="D1648">
        <v>100</v>
      </c>
      <c r="E1648">
        <v>3544.2710000000002</v>
      </c>
      <c r="F1648">
        <f t="shared" si="101"/>
        <v>3350</v>
      </c>
      <c r="G1648">
        <f t="shared" si="103"/>
        <v>5.7991343283582149</v>
      </c>
      <c r="H1648">
        <f t="shared" si="104"/>
        <v>5.4812682213070101</v>
      </c>
    </row>
    <row r="1649" spans="1:8" x14ac:dyDescent="0.25">
      <c r="A1649" t="str">
        <f t="shared" si="102"/>
        <v>Direct,USnet,100</v>
      </c>
      <c r="B1649" t="s">
        <v>33</v>
      </c>
      <c r="C1649" t="s">
        <v>7</v>
      </c>
      <c r="D1649">
        <v>100</v>
      </c>
      <c r="E1649">
        <v>3532.489</v>
      </c>
      <c r="F1649">
        <f t="shared" si="101"/>
        <v>3350</v>
      </c>
      <c r="G1649">
        <f t="shared" si="103"/>
        <v>5.4474328358208961</v>
      </c>
      <c r="H1649">
        <f t="shared" si="104"/>
        <v>5.1660175021068726</v>
      </c>
    </row>
    <row r="1650" spans="1:8" x14ac:dyDescent="0.25">
      <c r="A1650" t="str">
        <f t="shared" si="102"/>
        <v>Direct,USnet,100</v>
      </c>
      <c r="B1650" t="s">
        <v>33</v>
      </c>
      <c r="C1650" t="s">
        <v>7</v>
      </c>
      <c r="D1650">
        <v>100</v>
      </c>
      <c r="E1650">
        <v>3458.8389999999999</v>
      </c>
      <c r="F1650">
        <f t="shared" si="101"/>
        <v>3350</v>
      </c>
      <c r="G1650">
        <f t="shared" si="103"/>
        <v>3.2489253731343268</v>
      </c>
      <c r="H1650">
        <f t="shared" si="104"/>
        <v>3.1466917078245027</v>
      </c>
    </row>
    <row r="1651" spans="1:8" x14ac:dyDescent="0.25">
      <c r="A1651" t="str">
        <f t="shared" si="102"/>
        <v>Direct,USnet,100</v>
      </c>
      <c r="B1651" t="s">
        <v>33</v>
      </c>
      <c r="C1651" t="s">
        <v>7</v>
      </c>
      <c r="D1651">
        <v>100</v>
      </c>
      <c r="E1651">
        <v>3329.4780000000001</v>
      </c>
      <c r="F1651">
        <f t="shared" si="101"/>
        <v>3350</v>
      </c>
      <c r="G1651">
        <f t="shared" si="103"/>
        <v>0.61259701492537111</v>
      </c>
      <c r="H1651">
        <f t="shared" si="104"/>
        <v>0.61637289689254393</v>
      </c>
    </row>
    <row r="1652" spans="1:8" x14ac:dyDescent="0.25">
      <c r="A1652" t="str">
        <f t="shared" si="102"/>
        <v>Direct,USnet,100</v>
      </c>
      <c r="B1652" t="s">
        <v>33</v>
      </c>
      <c r="C1652" t="s">
        <v>7</v>
      </c>
      <c r="D1652">
        <v>100</v>
      </c>
      <c r="E1652">
        <v>3398.5639999999999</v>
      </c>
      <c r="F1652">
        <f t="shared" si="101"/>
        <v>3350</v>
      </c>
      <c r="G1652">
        <f t="shared" si="103"/>
        <v>1.4496716417910405</v>
      </c>
      <c r="H1652">
        <f t="shared" si="104"/>
        <v>1.4289564651423323</v>
      </c>
    </row>
    <row r="1653" spans="1:8" x14ac:dyDescent="0.25">
      <c r="A1653" t="str">
        <f t="shared" si="102"/>
        <v>Direct,USnet,100</v>
      </c>
      <c r="B1653" t="s">
        <v>33</v>
      </c>
      <c r="C1653" t="s">
        <v>7</v>
      </c>
      <c r="D1653">
        <v>100</v>
      </c>
      <c r="E1653">
        <v>3506.6590000000001</v>
      </c>
      <c r="F1653">
        <f t="shared" si="101"/>
        <v>3350</v>
      </c>
      <c r="G1653">
        <f t="shared" si="103"/>
        <v>4.6763880597014955</v>
      </c>
      <c r="H1653">
        <f t="shared" si="104"/>
        <v>4.4674717444724479</v>
      </c>
    </row>
    <row r="1654" spans="1:8" x14ac:dyDescent="0.25">
      <c r="A1654" t="str">
        <f t="shared" si="102"/>
        <v>Direct,USnet,100</v>
      </c>
      <c r="B1654" t="s">
        <v>33</v>
      </c>
      <c r="C1654" t="s">
        <v>7</v>
      </c>
      <c r="D1654">
        <v>100</v>
      </c>
      <c r="E1654">
        <v>3300.8710000000001</v>
      </c>
      <c r="F1654">
        <f t="shared" si="101"/>
        <v>3350</v>
      </c>
      <c r="G1654">
        <f t="shared" si="103"/>
        <v>1.466537313432833</v>
      </c>
      <c r="H1654">
        <f t="shared" si="104"/>
        <v>1.4883647376707512</v>
      </c>
    </row>
    <row r="1655" spans="1:8" x14ac:dyDescent="0.25">
      <c r="A1655" t="str">
        <f t="shared" si="102"/>
        <v>Direct,USnet,100</v>
      </c>
      <c r="B1655" t="s">
        <v>33</v>
      </c>
      <c r="C1655" t="s">
        <v>7</v>
      </c>
      <c r="D1655">
        <v>100</v>
      </c>
      <c r="E1655">
        <v>3464.875</v>
      </c>
      <c r="F1655">
        <f t="shared" si="101"/>
        <v>3350</v>
      </c>
      <c r="G1655">
        <f t="shared" si="103"/>
        <v>3.4291044776119404</v>
      </c>
      <c r="H1655">
        <f t="shared" si="104"/>
        <v>3.3154154190266607</v>
      </c>
    </row>
    <row r="1656" spans="1:8" x14ac:dyDescent="0.25">
      <c r="A1656" t="str">
        <f t="shared" si="102"/>
        <v>Direct,USnet,100</v>
      </c>
      <c r="B1656" t="s">
        <v>33</v>
      </c>
      <c r="C1656" t="s">
        <v>7</v>
      </c>
      <c r="D1656">
        <v>100</v>
      </c>
      <c r="E1656">
        <v>3517.5929999999998</v>
      </c>
      <c r="F1656">
        <f t="shared" si="101"/>
        <v>3350</v>
      </c>
      <c r="G1656">
        <f t="shared" si="103"/>
        <v>5.0027761194029807</v>
      </c>
      <c r="H1656">
        <f t="shared" si="104"/>
        <v>4.7644227174661724</v>
      </c>
    </row>
    <row r="1657" spans="1:8" x14ac:dyDescent="0.25">
      <c r="A1657" t="str">
        <f t="shared" si="102"/>
        <v>Direct,USnet,100</v>
      </c>
      <c r="B1657" t="s">
        <v>33</v>
      </c>
      <c r="C1657" t="s">
        <v>7</v>
      </c>
      <c r="D1657">
        <v>100</v>
      </c>
      <c r="E1657">
        <v>3342.6909999999998</v>
      </c>
      <c r="F1657">
        <f t="shared" si="101"/>
        <v>3350</v>
      </c>
      <c r="G1657">
        <f t="shared" si="103"/>
        <v>0.21817910447761782</v>
      </c>
      <c r="H1657">
        <f t="shared" si="104"/>
        <v>0.21865616654366785</v>
      </c>
    </row>
    <row r="1658" spans="1:8" x14ac:dyDescent="0.25">
      <c r="A1658" t="str">
        <f t="shared" si="102"/>
        <v>Direct,USnet,100</v>
      </c>
      <c r="B1658" t="s">
        <v>33</v>
      </c>
      <c r="C1658" t="s">
        <v>7</v>
      </c>
      <c r="D1658">
        <v>100</v>
      </c>
      <c r="E1658">
        <v>3461.2530000000002</v>
      </c>
      <c r="F1658">
        <f t="shared" si="101"/>
        <v>3350</v>
      </c>
      <c r="G1658">
        <f t="shared" si="103"/>
        <v>3.3209850746268708</v>
      </c>
      <c r="H1658">
        <f t="shared" si="104"/>
        <v>3.2142406232656255</v>
      </c>
    </row>
    <row r="1659" spans="1:8" x14ac:dyDescent="0.25">
      <c r="A1659" t="str">
        <f t="shared" si="102"/>
        <v>Direct,USnet,100</v>
      </c>
      <c r="B1659" t="s">
        <v>33</v>
      </c>
      <c r="C1659" t="s">
        <v>7</v>
      </c>
      <c r="D1659">
        <v>100</v>
      </c>
      <c r="E1659">
        <v>3441.4079999999999</v>
      </c>
      <c r="F1659">
        <f t="shared" si="101"/>
        <v>3350</v>
      </c>
      <c r="G1659">
        <f t="shared" si="103"/>
        <v>2.7285970149253704</v>
      </c>
      <c r="H1659">
        <f t="shared" si="104"/>
        <v>2.6561221453544568</v>
      </c>
    </row>
    <row r="1660" spans="1:8" x14ac:dyDescent="0.25">
      <c r="A1660" t="str">
        <f t="shared" si="102"/>
        <v>Direct,USnet,100</v>
      </c>
      <c r="B1660" t="s">
        <v>33</v>
      </c>
      <c r="C1660" t="s">
        <v>7</v>
      </c>
      <c r="D1660">
        <v>100</v>
      </c>
      <c r="E1660">
        <v>3398.7020000000002</v>
      </c>
      <c r="F1660">
        <f t="shared" si="101"/>
        <v>3350</v>
      </c>
      <c r="G1660">
        <f t="shared" si="103"/>
        <v>1.4537910447761262</v>
      </c>
      <c r="H1660">
        <f t="shared" si="104"/>
        <v>1.4329588178075108</v>
      </c>
    </row>
    <row r="1661" spans="1:8" x14ac:dyDescent="0.25">
      <c r="A1661" t="str">
        <f t="shared" si="102"/>
        <v>Direct,USnet,100</v>
      </c>
      <c r="B1661" t="s">
        <v>33</v>
      </c>
      <c r="C1661" t="s">
        <v>7</v>
      </c>
      <c r="D1661">
        <v>100</v>
      </c>
      <c r="E1661">
        <v>3410.2869999999998</v>
      </c>
      <c r="F1661">
        <f t="shared" si="101"/>
        <v>3350</v>
      </c>
      <c r="G1661">
        <f t="shared" si="103"/>
        <v>1.7996119402985018</v>
      </c>
      <c r="H1661">
        <f t="shared" si="104"/>
        <v>1.7677984286952921</v>
      </c>
    </row>
    <row r="1662" spans="1:8" x14ac:dyDescent="0.25">
      <c r="A1662" t="str">
        <f t="shared" si="102"/>
        <v>Direct,USnet,100</v>
      </c>
      <c r="B1662" t="s">
        <v>33</v>
      </c>
      <c r="C1662" t="s">
        <v>7</v>
      </c>
      <c r="D1662">
        <v>100</v>
      </c>
      <c r="E1662">
        <v>3446.4479999999999</v>
      </c>
      <c r="F1662">
        <f t="shared" si="101"/>
        <v>3350</v>
      </c>
      <c r="G1662">
        <f t="shared" si="103"/>
        <v>2.8790447761193989</v>
      </c>
      <c r="H1662">
        <f t="shared" si="104"/>
        <v>2.7984754158484293</v>
      </c>
    </row>
    <row r="1663" spans="1:8" x14ac:dyDescent="0.25">
      <c r="A1663" t="str">
        <f t="shared" si="102"/>
        <v>Direct,USnet,100</v>
      </c>
      <c r="B1663" t="s">
        <v>33</v>
      </c>
      <c r="C1663" t="s">
        <v>7</v>
      </c>
      <c r="D1663">
        <v>100</v>
      </c>
      <c r="E1663">
        <v>3472.3890000000001</v>
      </c>
      <c r="F1663">
        <f t="shared" si="101"/>
        <v>3350</v>
      </c>
      <c r="G1663">
        <f t="shared" si="103"/>
        <v>3.6534029850746301</v>
      </c>
      <c r="H1663">
        <f t="shared" si="104"/>
        <v>3.524633904784289</v>
      </c>
    </row>
    <row r="1664" spans="1:8" x14ac:dyDescent="0.25">
      <c r="A1664" t="str">
        <f t="shared" si="102"/>
        <v>Direct,USnet,100</v>
      </c>
      <c r="B1664" t="s">
        <v>33</v>
      </c>
      <c r="C1664" t="s">
        <v>7</v>
      </c>
      <c r="D1664">
        <v>100</v>
      </c>
      <c r="E1664">
        <v>3387.1819999999998</v>
      </c>
      <c r="F1664">
        <f t="shared" si="101"/>
        <v>3350</v>
      </c>
      <c r="G1664">
        <f t="shared" si="103"/>
        <v>1.1099104477611876</v>
      </c>
      <c r="H1664">
        <f t="shared" si="104"/>
        <v>1.0977266648204846</v>
      </c>
    </row>
    <row r="1665" spans="1:8" x14ac:dyDescent="0.25">
      <c r="A1665" t="str">
        <f t="shared" si="102"/>
        <v>Direct,USnet,100</v>
      </c>
      <c r="B1665" t="s">
        <v>33</v>
      </c>
      <c r="C1665" t="s">
        <v>7</v>
      </c>
      <c r="D1665">
        <v>100</v>
      </c>
      <c r="E1665">
        <v>3471.1750000000002</v>
      </c>
      <c r="F1665">
        <f t="shared" si="101"/>
        <v>3350</v>
      </c>
      <c r="G1665">
        <f t="shared" si="103"/>
        <v>3.6171641791044831</v>
      </c>
      <c r="H1665">
        <f t="shared" si="104"/>
        <v>3.490892853284556</v>
      </c>
    </row>
    <row r="1666" spans="1:8" x14ac:dyDescent="0.25">
      <c r="A1666" t="str">
        <f t="shared" si="102"/>
        <v>Direct,USnet,100</v>
      </c>
      <c r="B1666" t="s">
        <v>33</v>
      </c>
      <c r="C1666" t="s">
        <v>7</v>
      </c>
      <c r="D1666">
        <v>100</v>
      </c>
      <c r="E1666">
        <v>3427.9830000000002</v>
      </c>
      <c r="F1666">
        <f t="shared" si="101"/>
        <v>3350</v>
      </c>
      <c r="G1666">
        <f t="shared" si="103"/>
        <v>2.3278507462686617</v>
      </c>
      <c r="H1666">
        <f t="shared" si="104"/>
        <v>2.2748945954516162</v>
      </c>
    </row>
    <row r="1667" spans="1:8" x14ac:dyDescent="0.25">
      <c r="A1667" t="str">
        <f t="shared" si="102"/>
        <v>Direct,USnet,100</v>
      </c>
      <c r="B1667" t="s">
        <v>33</v>
      </c>
      <c r="C1667" t="s">
        <v>7</v>
      </c>
      <c r="D1667">
        <v>100</v>
      </c>
      <c r="E1667">
        <v>3472.6179999999999</v>
      </c>
      <c r="F1667">
        <f t="shared" ref="F1667:F1730" si="105">_xlfn.XLOOKUP(A1667,$J$3:$J$36,$N$3:$N$36)</f>
        <v>3350</v>
      </c>
      <c r="G1667">
        <f t="shared" si="103"/>
        <v>3.6602388059701472</v>
      </c>
      <c r="H1667">
        <f t="shared" si="104"/>
        <v>3.5309959229607153</v>
      </c>
    </row>
    <row r="1668" spans="1:8" x14ac:dyDescent="0.25">
      <c r="A1668" t="str">
        <f t="shared" ref="A1668:A1731" si="106">B1668&amp;","&amp;C1668&amp;","&amp;D1668</f>
        <v>Direct,USnet,100</v>
      </c>
      <c r="B1668" t="s">
        <v>33</v>
      </c>
      <c r="C1668" t="s">
        <v>7</v>
      </c>
      <c r="D1668">
        <v>100</v>
      </c>
      <c r="E1668">
        <v>3388.7190000000001</v>
      </c>
      <c r="F1668">
        <f t="shared" si="105"/>
        <v>3350</v>
      </c>
      <c r="G1668">
        <f t="shared" ref="G1668:G1731" si="107">ABS((E1668-F1668)/F1668)*100</f>
        <v>1.155791044776121</v>
      </c>
      <c r="H1668">
        <f t="shared" ref="H1668:H1731" si="108">ABS((F1668-E1668)/E1668)*100</f>
        <v>1.1425851479570908</v>
      </c>
    </row>
    <row r="1669" spans="1:8" x14ac:dyDescent="0.25">
      <c r="A1669" t="str">
        <f t="shared" si="106"/>
        <v>Direct,USnet,100</v>
      </c>
      <c r="B1669" t="s">
        <v>33</v>
      </c>
      <c r="C1669" t="s">
        <v>7</v>
      </c>
      <c r="D1669">
        <v>100</v>
      </c>
      <c r="E1669">
        <v>3517.4409999999998</v>
      </c>
      <c r="F1669">
        <f t="shared" si="105"/>
        <v>3350</v>
      </c>
      <c r="G1669">
        <f t="shared" si="107"/>
        <v>4.9982388059701437</v>
      </c>
      <c r="H1669">
        <f t="shared" si="108"/>
        <v>4.7603072802073951</v>
      </c>
    </row>
    <row r="1670" spans="1:8" x14ac:dyDescent="0.25">
      <c r="A1670" t="str">
        <f t="shared" si="106"/>
        <v>Direct,USnet,100</v>
      </c>
      <c r="B1670" t="s">
        <v>33</v>
      </c>
      <c r="C1670" t="s">
        <v>7</v>
      </c>
      <c r="D1670">
        <v>100</v>
      </c>
      <c r="E1670">
        <v>3500.1550000000002</v>
      </c>
      <c r="F1670">
        <f t="shared" si="105"/>
        <v>3350</v>
      </c>
      <c r="G1670">
        <f t="shared" si="107"/>
        <v>4.4822388059701552</v>
      </c>
      <c r="H1670">
        <f t="shared" si="108"/>
        <v>4.2899528735156069</v>
      </c>
    </row>
    <row r="1671" spans="1:8" x14ac:dyDescent="0.25">
      <c r="A1671" t="str">
        <f t="shared" si="106"/>
        <v>Direct,USnet,100</v>
      </c>
      <c r="B1671" t="s">
        <v>33</v>
      </c>
      <c r="C1671" t="s">
        <v>7</v>
      </c>
      <c r="D1671">
        <v>100</v>
      </c>
      <c r="E1671">
        <v>3347.9630000000002</v>
      </c>
      <c r="F1671">
        <f t="shared" si="105"/>
        <v>3350</v>
      </c>
      <c r="G1671">
        <f t="shared" si="107"/>
        <v>6.0805970149247976E-2</v>
      </c>
      <c r="H1671">
        <f t="shared" si="108"/>
        <v>6.0842966305177416E-2</v>
      </c>
    </row>
    <row r="1672" spans="1:8" x14ac:dyDescent="0.25">
      <c r="A1672" t="str">
        <f t="shared" si="106"/>
        <v>Direct,USnet,100</v>
      </c>
      <c r="B1672" t="s">
        <v>33</v>
      </c>
      <c r="C1672" t="s">
        <v>7</v>
      </c>
      <c r="D1672">
        <v>100</v>
      </c>
      <c r="E1672">
        <v>3422.404</v>
      </c>
      <c r="F1672">
        <f t="shared" si="105"/>
        <v>3350</v>
      </c>
      <c r="G1672">
        <f t="shared" si="107"/>
        <v>2.1613134328358208</v>
      </c>
      <c r="H1672">
        <f t="shared" si="108"/>
        <v>2.1155889252116351</v>
      </c>
    </row>
    <row r="1673" spans="1:8" x14ac:dyDescent="0.25">
      <c r="A1673" t="str">
        <f t="shared" si="106"/>
        <v>Direct,USnet,100</v>
      </c>
      <c r="B1673" t="s">
        <v>33</v>
      </c>
      <c r="C1673" t="s">
        <v>7</v>
      </c>
      <c r="D1673">
        <v>100</v>
      </c>
      <c r="E1673">
        <v>3382.1570000000002</v>
      </c>
      <c r="F1673">
        <f t="shared" si="105"/>
        <v>3350</v>
      </c>
      <c r="G1673">
        <f t="shared" si="107"/>
        <v>0.95991044776119849</v>
      </c>
      <c r="H1673">
        <f t="shared" si="108"/>
        <v>0.95078377496964661</v>
      </c>
    </row>
    <row r="1674" spans="1:8" x14ac:dyDescent="0.25">
      <c r="A1674" t="str">
        <f t="shared" si="106"/>
        <v>Direct,USnet,100</v>
      </c>
      <c r="B1674" t="s">
        <v>33</v>
      </c>
      <c r="C1674" t="s">
        <v>7</v>
      </c>
      <c r="D1674">
        <v>100</v>
      </c>
      <c r="E1674">
        <v>3429.9229999999998</v>
      </c>
      <c r="F1674">
        <f t="shared" si="105"/>
        <v>3350</v>
      </c>
      <c r="G1674">
        <f t="shared" si="107"/>
        <v>2.3857611940298442</v>
      </c>
      <c r="H1674">
        <f t="shared" si="108"/>
        <v>2.3301689279905053</v>
      </c>
    </row>
    <row r="1675" spans="1:8" x14ac:dyDescent="0.25">
      <c r="A1675" t="str">
        <f t="shared" si="106"/>
        <v>Direct,USnet,100</v>
      </c>
      <c r="B1675" t="s">
        <v>33</v>
      </c>
      <c r="C1675" t="s">
        <v>7</v>
      </c>
      <c r="D1675">
        <v>100</v>
      </c>
      <c r="E1675">
        <v>3412.3560000000002</v>
      </c>
      <c r="F1675">
        <f t="shared" si="105"/>
        <v>3350</v>
      </c>
      <c r="G1675">
        <f t="shared" si="107"/>
        <v>1.861373134328365</v>
      </c>
      <c r="H1675">
        <f t="shared" si="108"/>
        <v>1.8273591618225127</v>
      </c>
    </row>
    <row r="1676" spans="1:8" x14ac:dyDescent="0.25">
      <c r="A1676" t="str">
        <f t="shared" si="106"/>
        <v>Direct,USnet,100</v>
      </c>
      <c r="B1676" t="s">
        <v>33</v>
      </c>
      <c r="C1676" t="s">
        <v>7</v>
      </c>
      <c r="D1676">
        <v>100</v>
      </c>
      <c r="E1676">
        <v>3463.8760000000002</v>
      </c>
      <c r="F1676">
        <f t="shared" si="105"/>
        <v>3350</v>
      </c>
      <c r="G1676">
        <f t="shared" si="107"/>
        <v>3.3992835820895588</v>
      </c>
      <c r="H1676">
        <f t="shared" si="108"/>
        <v>3.2875310779023321</v>
      </c>
    </row>
    <row r="1677" spans="1:8" x14ac:dyDescent="0.25">
      <c r="A1677" t="str">
        <f t="shared" si="106"/>
        <v>Direct,USnet,100</v>
      </c>
      <c r="B1677" t="s">
        <v>33</v>
      </c>
      <c r="C1677" t="s">
        <v>7</v>
      </c>
      <c r="D1677">
        <v>100</v>
      </c>
      <c r="E1677">
        <v>3458.4839999999999</v>
      </c>
      <c r="F1677">
        <f t="shared" si="105"/>
        <v>3350</v>
      </c>
      <c r="G1677">
        <f t="shared" si="107"/>
        <v>3.2383283582089528</v>
      </c>
      <c r="H1677">
        <f t="shared" si="108"/>
        <v>3.1367500905020793</v>
      </c>
    </row>
    <row r="1678" spans="1:8" x14ac:dyDescent="0.25">
      <c r="A1678" t="str">
        <f t="shared" si="106"/>
        <v>Direct,USnet,100</v>
      </c>
      <c r="B1678" t="s">
        <v>33</v>
      </c>
      <c r="C1678" t="s">
        <v>7</v>
      </c>
      <c r="D1678">
        <v>100</v>
      </c>
      <c r="E1678">
        <v>3456.8389999999999</v>
      </c>
      <c r="F1678">
        <f t="shared" si="105"/>
        <v>3350</v>
      </c>
      <c r="G1678">
        <f t="shared" si="107"/>
        <v>3.1892238805970132</v>
      </c>
      <c r="H1678">
        <f t="shared" si="108"/>
        <v>3.090655943189716</v>
      </c>
    </row>
    <row r="1679" spans="1:8" x14ac:dyDescent="0.25">
      <c r="A1679" t="str">
        <f t="shared" si="106"/>
        <v>Direct,USnet,100</v>
      </c>
      <c r="B1679" t="s">
        <v>33</v>
      </c>
      <c r="C1679" t="s">
        <v>7</v>
      </c>
      <c r="D1679">
        <v>100</v>
      </c>
      <c r="E1679">
        <v>3413.84</v>
      </c>
      <c r="F1679">
        <f t="shared" si="105"/>
        <v>3350</v>
      </c>
      <c r="G1679">
        <f t="shared" si="107"/>
        <v>1.9056716417910493</v>
      </c>
      <c r="H1679">
        <f t="shared" si="108"/>
        <v>1.8700349166920576</v>
      </c>
    </row>
    <row r="1680" spans="1:8" x14ac:dyDescent="0.25">
      <c r="A1680" t="str">
        <f t="shared" si="106"/>
        <v>Direct,USnet,100</v>
      </c>
      <c r="B1680" t="s">
        <v>33</v>
      </c>
      <c r="C1680" t="s">
        <v>7</v>
      </c>
      <c r="D1680">
        <v>100</v>
      </c>
      <c r="E1680">
        <v>3405.83</v>
      </c>
      <c r="F1680">
        <f t="shared" si="105"/>
        <v>3350</v>
      </c>
      <c r="G1680">
        <f t="shared" si="107"/>
        <v>1.6665671641791022</v>
      </c>
      <c r="H1680">
        <f t="shared" si="108"/>
        <v>1.6392479953491492</v>
      </c>
    </row>
    <row r="1681" spans="1:8" x14ac:dyDescent="0.25">
      <c r="A1681" t="str">
        <f t="shared" si="106"/>
        <v>Direct,USnet,100</v>
      </c>
      <c r="B1681" t="s">
        <v>33</v>
      </c>
      <c r="C1681" t="s">
        <v>7</v>
      </c>
      <c r="D1681">
        <v>100</v>
      </c>
      <c r="E1681">
        <v>3508.6030000000001</v>
      </c>
      <c r="F1681">
        <f t="shared" si="105"/>
        <v>3350</v>
      </c>
      <c r="G1681">
        <f t="shared" si="107"/>
        <v>4.7344179104477631</v>
      </c>
      <c r="H1681">
        <f t="shared" si="108"/>
        <v>4.5204031348089275</v>
      </c>
    </row>
    <row r="1682" spans="1:8" x14ac:dyDescent="0.25">
      <c r="A1682" t="str">
        <f t="shared" si="106"/>
        <v>Direct,USnet,100</v>
      </c>
      <c r="B1682" t="s">
        <v>33</v>
      </c>
      <c r="C1682" t="s">
        <v>7</v>
      </c>
      <c r="D1682">
        <v>100</v>
      </c>
      <c r="E1682">
        <v>3514.3969999999999</v>
      </c>
      <c r="F1682">
        <f t="shared" si="105"/>
        <v>3350</v>
      </c>
      <c r="G1682">
        <f t="shared" si="107"/>
        <v>4.9073731343283562</v>
      </c>
      <c r="H1682">
        <f t="shared" si="108"/>
        <v>4.6778152838168241</v>
      </c>
    </row>
    <row r="1683" spans="1:8" x14ac:dyDescent="0.25">
      <c r="A1683" t="str">
        <f t="shared" si="106"/>
        <v>Direct,USnet,100</v>
      </c>
      <c r="B1683" t="s">
        <v>33</v>
      </c>
      <c r="C1683" t="s">
        <v>7</v>
      </c>
      <c r="D1683">
        <v>100</v>
      </c>
      <c r="E1683">
        <v>3420.7159999999999</v>
      </c>
      <c r="F1683">
        <f t="shared" si="105"/>
        <v>3350</v>
      </c>
      <c r="G1683">
        <f t="shared" si="107"/>
        <v>2.1109253731343252</v>
      </c>
      <c r="H1683">
        <f t="shared" si="108"/>
        <v>2.0672864979144689</v>
      </c>
    </row>
    <row r="1684" spans="1:8" x14ac:dyDescent="0.25">
      <c r="A1684" t="str">
        <f t="shared" si="106"/>
        <v>Direct,USnet,100</v>
      </c>
      <c r="B1684" t="s">
        <v>33</v>
      </c>
      <c r="C1684" t="s">
        <v>7</v>
      </c>
      <c r="D1684">
        <v>100</v>
      </c>
      <c r="E1684">
        <v>3518.5259999999998</v>
      </c>
      <c r="F1684">
        <f t="shared" si="105"/>
        <v>3350</v>
      </c>
      <c r="G1684">
        <f t="shared" si="107"/>
        <v>5.0306268656716373</v>
      </c>
      <c r="H1684">
        <f t="shared" si="108"/>
        <v>4.7896761314254848</v>
      </c>
    </row>
    <row r="1685" spans="1:8" x14ac:dyDescent="0.25">
      <c r="A1685" t="str">
        <f t="shared" si="106"/>
        <v>Direct,USnet,100</v>
      </c>
      <c r="B1685" t="s">
        <v>33</v>
      </c>
      <c r="C1685" t="s">
        <v>7</v>
      </c>
      <c r="D1685">
        <v>100</v>
      </c>
      <c r="E1685">
        <v>3466.6660000000002</v>
      </c>
      <c r="F1685">
        <f t="shared" si="105"/>
        <v>3350</v>
      </c>
      <c r="G1685">
        <f t="shared" si="107"/>
        <v>3.4825671641791094</v>
      </c>
      <c r="H1685">
        <f t="shared" si="108"/>
        <v>3.3653660318011647</v>
      </c>
    </row>
    <row r="1686" spans="1:8" x14ac:dyDescent="0.25">
      <c r="A1686" t="str">
        <f t="shared" si="106"/>
        <v>Direct,USnet,100</v>
      </c>
      <c r="B1686" t="s">
        <v>33</v>
      </c>
      <c r="C1686" t="s">
        <v>7</v>
      </c>
      <c r="D1686">
        <v>100</v>
      </c>
      <c r="E1686">
        <v>3476.0360000000001</v>
      </c>
      <c r="F1686">
        <f t="shared" si="105"/>
        <v>3350</v>
      </c>
      <c r="G1686">
        <f t="shared" si="107"/>
        <v>3.7622686567164192</v>
      </c>
      <c r="H1686">
        <f t="shared" si="108"/>
        <v>3.6258542776887253</v>
      </c>
    </row>
    <row r="1687" spans="1:8" x14ac:dyDescent="0.25">
      <c r="A1687" t="str">
        <f t="shared" si="106"/>
        <v>Direct,USnet,100</v>
      </c>
      <c r="B1687" t="s">
        <v>33</v>
      </c>
      <c r="C1687" t="s">
        <v>7</v>
      </c>
      <c r="D1687">
        <v>100</v>
      </c>
      <c r="E1687">
        <v>3507.2779999999998</v>
      </c>
      <c r="F1687">
        <f t="shared" si="105"/>
        <v>3350</v>
      </c>
      <c r="G1687">
        <f t="shared" si="107"/>
        <v>4.6948656716417849</v>
      </c>
      <c r="H1687">
        <f t="shared" si="108"/>
        <v>4.484332294160879</v>
      </c>
    </row>
    <row r="1688" spans="1:8" x14ac:dyDescent="0.25">
      <c r="A1688" t="str">
        <f t="shared" si="106"/>
        <v>Direct,USnet,100</v>
      </c>
      <c r="B1688" t="s">
        <v>33</v>
      </c>
      <c r="C1688" t="s">
        <v>7</v>
      </c>
      <c r="D1688">
        <v>100</v>
      </c>
      <c r="E1688">
        <v>3401.8290000000002</v>
      </c>
      <c r="F1688">
        <f t="shared" si="105"/>
        <v>3350</v>
      </c>
      <c r="G1688">
        <f t="shared" si="107"/>
        <v>1.5471343283582142</v>
      </c>
      <c r="H1688">
        <f t="shared" si="108"/>
        <v>1.5235627657945232</v>
      </c>
    </row>
    <row r="1689" spans="1:8" x14ac:dyDescent="0.25">
      <c r="A1689" t="str">
        <f t="shared" si="106"/>
        <v>Direct,USnet,100</v>
      </c>
      <c r="B1689" t="s">
        <v>33</v>
      </c>
      <c r="C1689" t="s">
        <v>7</v>
      </c>
      <c r="D1689">
        <v>100</v>
      </c>
      <c r="E1689">
        <v>3433.8029999999999</v>
      </c>
      <c r="F1689">
        <f t="shared" si="105"/>
        <v>3350</v>
      </c>
      <c r="G1689">
        <f t="shared" si="107"/>
        <v>2.5015820895522354</v>
      </c>
      <c r="H1689">
        <f t="shared" si="108"/>
        <v>2.4405302226132335</v>
      </c>
    </row>
    <row r="1690" spans="1:8" x14ac:dyDescent="0.25">
      <c r="A1690" t="str">
        <f t="shared" si="106"/>
        <v>Direct,USnet,100</v>
      </c>
      <c r="B1690" t="s">
        <v>33</v>
      </c>
      <c r="C1690" t="s">
        <v>7</v>
      </c>
      <c r="D1690">
        <v>100</v>
      </c>
      <c r="E1690">
        <v>3335.3589999999999</v>
      </c>
      <c r="F1690">
        <f t="shared" si="105"/>
        <v>3350</v>
      </c>
      <c r="G1690">
        <f t="shared" si="107"/>
        <v>0.43704477611940529</v>
      </c>
      <c r="H1690">
        <f t="shared" si="108"/>
        <v>0.43896324203781595</v>
      </c>
    </row>
    <row r="1691" spans="1:8" x14ac:dyDescent="0.25">
      <c r="A1691" t="str">
        <f t="shared" si="106"/>
        <v>Direct,USnet,100</v>
      </c>
      <c r="B1691" t="s">
        <v>33</v>
      </c>
      <c r="C1691" t="s">
        <v>7</v>
      </c>
      <c r="D1691">
        <v>100</v>
      </c>
      <c r="E1691">
        <v>3411.0450000000001</v>
      </c>
      <c r="F1691">
        <f t="shared" si="105"/>
        <v>3350</v>
      </c>
      <c r="G1691">
        <f t="shared" si="107"/>
        <v>1.8222388059701513</v>
      </c>
      <c r="H1691">
        <f t="shared" si="108"/>
        <v>1.7896275188395365</v>
      </c>
    </row>
    <row r="1692" spans="1:8" x14ac:dyDescent="0.25">
      <c r="A1692" t="str">
        <f t="shared" si="106"/>
        <v>Direct,USnet,100</v>
      </c>
      <c r="B1692" t="s">
        <v>33</v>
      </c>
      <c r="C1692" t="s">
        <v>7</v>
      </c>
      <c r="D1692">
        <v>100</v>
      </c>
      <c r="E1692">
        <v>3499.7710000000002</v>
      </c>
      <c r="F1692">
        <f t="shared" si="105"/>
        <v>3350</v>
      </c>
      <c r="G1692">
        <f t="shared" si="107"/>
        <v>4.4707761194029905</v>
      </c>
      <c r="H1692">
        <f t="shared" si="108"/>
        <v>4.2794514269647976</v>
      </c>
    </row>
    <row r="1693" spans="1:8" x14ac:dyDescent="0.25">
      <c r="A1693" t="str">
        <f t="shared" si="106"/>
        <v>Direct,USnet,100</v>
      </c>
      <c r="B1693" t="s">
        <v>33</v>
      </c>
      <c r="C1693" t="s">
        <v>7</v>
      </c>
      <c r="D1693">
        <v>100</v>
      </c>
      <c r="E1693">
        <v>3435.4639999999999</v>
      </c>
      <c r="F1693">
        <f t="shared" si="105"/>
        <v>3350</v>
      </c>
      <c r="G1693">
        <f t="shared" si="107"/>
        <v>2.5511641791044761</v>
      </c>
      <c r="H1693">
        <f t="shared" si="108"/>
        <v>2.4876988959861008</v>
      </c>
    </row>
    <row r="1694" spans="1:8" x14ac:dyDescent="0.25">
      <c r="A1694" t="str">
        <f t="shared" si="106"/>
        <v>Direct,USnet,100</v>
      </c>
      <c r="B1694" t="s">
        <v>33</v>
      </c>
      <c r="C1694" t="s">
        <v>7</v>
      </c>
      <c r="D1694">
        <v>100</v>
      </c>
      <c r="E1694">
        <v>3403.3989999999999</v>
      </c>
      <c r="F1694">
        <f t="shared" si="105"/>
        <v>3350</v>
      </c>
      <c r="G1694">
        <f t="shared" si="107"/>
        <v>1.5939999999999965</v>
      </c>
      <c r="H1694">
        <f t="shared" si="108"/>
        <v>1.5689902947024399</v>
      </c>
    </row>
    <row r="1695" spans="1:8" x14ac:dyDescent="0.25">
      <c r="A1695" t="str">
        <f t="shared" si="106"/>
        <v>Direct,USnet,100</v>
      </c>
      <c r="B1695" t="s">
        <v>33</v>
      </c>
      <c r="C1695" t="s">
        <v>7</v>
      </c>
      <c r="D1695">
        <v>100</v>
      </c>
      <c r="E1695">
        <v>3499.2060000000001</v>
      </c>
      <c r="F1695">
        <f t="shared" si="105"/>
        <v>3350</v>
      </c>
      <c r="G1695">
        <f t="shared" si="107"/>
        <v>4.4539104477611984</v>
      </c>
      <c r="H1695">
        <f t="shared" si="108"/>
        <v>4.2639958893531889</v>
      </c>
    </row>
    <row r="1696" spans="1:8" x14ac:dyDescent="0.25">
      <c r="A1696" t="str">
        <f t="shared" si="106"/>
        <v>Direct,USnet,100</v>
      </c>
      <c r="B1696" t="s">
        <v>33</v>
      </c>
      <c r="C1696" t="s">
        <v>7</v>
      </c>
      <c r="D1696">
        <v>100</v>
      </c>
      <c r="E1696">
        <v>3523.8029999999999</v>
      </c>
      <c r="F1696">
        <f t="shared" si="105"/>
        <v>3350</v>
      </c>
      <c r="G1696">
        <f t="shared" si="107"/>
        <v>5.1881492537313401</v>
      </c>
      <c r="H1696">
        <f t="shared" si="108"/>
        <v>4.9322564286368982</v>
      </c>
    </row>
    <row r="1697" spans="1:8" x14ac:dyDescent="0.25">
      <c r="A1697" t="str">
        <f t="shared" si="106"/>
        <v>Direct,USnet,100</v>
      </c>
      <c r="B1697" t="s">
        <v>33</v>
      </c>
      <c r="C1697" t="s">
        <v>7</v>
      </c>
      <c r="D1697">
        <v>100</v>
      </c>
      <c r="E1697">
        <v>3478.2449999999999</v>
      </c>
      <c r="F1697">
        <f t="shared" si="105"/>
        <v>3350</v>
      </c>
      <c r="G1697">
        <f t="shared" si="107"/>
        <v>3.8282089552238774</v>
      </c>
      <c r="H1697">
        <f t="shared" si="108"/>
        <v>3.6870605722138579</v>
      </c>
    </row>
    <row r="1698" spans="1:8" x14ac:dyDescent="0.25">
      <c r="A1698" t="str">
        <f t="shared" si="106"/>
        <v>Direct,USnet,100</v>
      </c>
      <c r="B1698" t="s">
        <v>33</v>
      </c>
      <c r="C1698" t="s">
        <v>7</v>
      </c>
      <c r="D1698">
        <v>100</v>
      </c>
      <c r="E1698">
        <v>3461.7069999999999</v>
      </c>
      <c r="F1698">
        <f t="shared" si="105"/>
        <v>3350</v>
      </c>
      <c r="G1698">
        <f t="shared" si="107"/>
        <v>3.3345373134328322</v>
      </c>
      <c r="H1698">
        <f t="shared" si="108"/>
        <v>3.2269339952803602</v>
      </c>
    </row>
    <row r="1699" spans="1:8" x14ac:dyDescent="0.25">
      <c r="A1699" t="str">
        <f t="shared" si="106"/>
        <v>Direct,USnet,100</v>
      </c>
      <c r="B1699" t="s">
        <v>33</v>
      </c>
      <c r="C1699" t="s">
        <v>7</v>
      </c>
      <c r="D1699">
        <v>100</v>
      </c>
      <c r="E1699">
        <v>3526.64</v>
      </c>
      <c r="F1699">
        <f t="shared" si="105"/>
        <v>3350</v>
      </c>
      <c r="G1699">
        <f t="shared" si="107"/>
        <v>5.2728358208955184</v>
      </c>
      <c r="H1699">
        <f t="shared" si="108"/>
        <v>5.0087335253952734</v>
      </c>
    </row>
    <row r="1700" spans="1:8" x14ac:dyDescent="0.25">
      <c r="A1700" t="str">
        <f t="shared" si="106"/>
        <v>Direct,USnet,100</v>
      </c>
      <c r="B1700" t="s">
        <v>33</v>
      </c>
      <c r="C1700" t="s">
        <v>7</v>
      </c>
      <c r="D1700">
        <v>100</v>
      </c>
      <c r="E1700">
        <v>3517.308</v>
      </c>
      <c r="F1700">
        <f t="shared" si="105"/>
        <v>3350</v>
      </c>
      <c r="G1700">
        <f t="shared" si="107"/>
        <v>4.9942686567164181</v>
      </c>
      <c r="H1700">
        <f t="shared" si="108"/>
        <v>4.7567059808239707</v>
      </c>
    </row>
    <row r="1701" spans="1:8" x14ac:dyDescent="0.25">
      <c r="A1701" t="str">
        <f t="shared" si="106"/>
        <v>Direct,USnet,100</v>
      </c>
      <c r="B1701" t="s">
        <v>33</v>
      </c>
      <c r="C1701" t="s">
        <v>7</v>
      </c>
      <c r="D1701">
        <v>100</v>
      </c>
      <c r="E1701">
        <v>3476.5239999999999</v>
      </c>
      <c r="F1701">
        <f t="shared" si="105"/>
        <v>3350</v>
      </c>
      <c r="G1701">
        <f t="shared" si="107"/>
        <v>3.7768358208955188</v>
      </c>
      <c r="H1701">
        <f t="shared" si="108"/>
        <v>3.6393823255642674</v>
      </c>
    </row>
    <row r="1702" spans="1:8" x14ac:dyDescent="0.25">
      <c r="A1702" t="str">
        <f t="shared" si="106"/>
        <v>Direct,USnet,100</v>
      </c>
      <c r="B1702" t="s">
        <v>33</v>
      </c>
      <c r="C1702" t="s">
        <v>7</v>
      </c>
      <c r="D1702">
        <v>100</v>
      </c>
      <c r="E1702">
        <v>3419.2919999999999</v>
      </c>
      <c r="F1702">
        <f t="shared" si="105"/>
        <v>3350</v>
      </c>
      <c r="G1702">
        <f t="shared" si="107"/>
        <v>2.0684179104477587</v>
      </c>
      <c r="H1702">
        <f t="shared" si="108"/>
        <v>2.0265013926859687</v>
      </c>
    </row>
    <row r="1703" spans="1:8" x14ac:dyDescent="0.25">
      <c r="A1703" t="str">
        <f t="shared" si="106"/>
        <v>Direct,USnet,120</v>
      </c>
      <c r="B1703" t="s">
        <v>33</v>
      </c>
      <c r="C1703" t="s">
        <v>7</v>
      </c>
      <c r="D1703">
        <v>120</v>
      </c>
      <c r="E1703">
        <v>4096.0929999999998</v>
      </c>
      <c r="F1703">
        <f t="shared" si="105"/>
        <v>4010</v>
      </c>
      <c r="G1703">
        <f t="shared" si="107"/>
        <v>2.1469576059850337</v>
      </c>
      <c r="H1703">
        <f t="shared" si="108"/>
        <v>2.1018321605490855</v>
      </c>
    </row>
    <row r="1704" spans="1:8" x14ac:dyDescent="0.25">
      <c r="A1704" t="str">
        <f t="shared" si="106"/>
        <v>Direct,USnet,120</v>
      </c>
      <c r="B1704" t="s">
        <v>33</v>
      </c>
      <c r="C1704" t="s">
        <v>7</v>
      </c>
      <c r="D1704">
        <v>120</v>
      </c>
      <c r="E1704">
        <v>3984.415</v>
      </c>
      <c r="F1704">
        <f t="shared" si="105"/>
        <v>4010</v>
      </c>
      <c r="G1704">
        <f t="shared" si="107"/>
        <v>0.63802992518703339</v>
      </c>
      <c r="H1704">
        <f t="shared" si="108"/>
        <v>0.64212688688301889</v>
      </c>
    </row>
    <row r="1705" spans="1:8" x14ac:dyDescent="0.25">
      <c r="A1705" t="str">
        <f t="shared" si="106"/>
        <v>Direct,USnet,120</v>
      </c>
      <c r="B1705" t="s">
        <v>33</v>
      </c>
      <c r="C1705" t="s">
        <v>7</v>
      </c>
      <c r="D1705">
        <v>120</v>
      </c>
      <c r="E1705">
        <v>4040.0949999999998</v>
      </c>
      <c r="F1705">
        <f t="shared" si="105"/>
        <v>4010</v>
      </c>
      <c r="G1705">
        <f t="shared" si="107"/>
        <v>0.75049875311720193</v>
      </c>
      <c r="H1705">
        <f t="shared" si="108"/>
        <v>0.74490822616794417</v>
      </c>
    </row>
    <row r="1706" spans="1:8" x14ac:dyDescent="0.25">
      <c r="A1706" t="str">
        <f t="shared" si="106"/>
        <v>Direct,USnet,120</v>
      </c>
      <c r="B1706" t="s">
        <v>33</v>
      </c>
      <c r="C1706" t="s">
        <v>7</v>
      </c>
      <c r="D1706">
        <v>120</v>
      </c>
      <c r="E1706">
        <v>4080.1410000000001</v>
      </c>
      <c r="F1706">
        <f t="shared" si="105"/>
        <v>4010</v>
      </c>
      <c r="G1706">
        <f t="shared" si="107"/>
        <v>1.74915211970075</v>
      </c>
      <c r="H1706">
        <f t="shared" si="108"/>
        <v>1.7190827473854475</v>
      </c>
    </row>
    <row r="1707" spans="1:8" x14ac:dyDescent="0.25">
      <c r="A1707" t="str">
        <f t="shared" si="106"/>
        <v>Direct,USnet,120</v>
      </c>
      <c r="B1707" t="s">
        <v>33</v>
      </c>
      <c r="C1707" t="s">
        <v>7</v>
      </c>
      <c r="D1707">
        <v>120</v>
      </c>
      <c r="E1707">
        <v>3941.93</v>
      </c>
      <c r="F1707">
        <f t="shared" si="105"/>
        <v>4010</v>
      </c>
      <c r="G1707">
        <f t="shared" si="107"/>
        <v>1.6975062344139691</v>
      </c>
      <c r="H1707">
        <f t="shared" si="108"/>
        <v>1.7268190962295162</v>
      </c>
    </row>
    <row r="1708" spans="1:8" x14ac:dyDescent="0.25">
      <c r="A1708" t="str">
        <f t="shared" si="106"/>
        <v>Direct,USnet,120</v>
      </c>
      <c r="B1708" t="s">
        <v>33</v>
      </c>
      <c r="C1708" t="s">
        <v>7</v>
      </c>
      <c r="D1708">
        <v>120</v>
      </c>
      <c r="E1708">
        <v>4124.3969999999999</v>
      </c>
      <c r="F1708">
        <f t="shared" si="105"/>
        <v>4010</v>
      </c>
      <c r="G1708">
        <f t="shared" si="107"/>
        <v>2.8527930174563574</v>
      </c>
      <c r="H1708">
        <f t="shared" si="108"/>
        <v>2.7736660656091048</v>
      </c>
    </row>
    <row r="1709" spans="1:8" x14ac:dyDescent="0.25">
      <c r="A1709" t="str">
        <f t="shared" si="106"/>
        <v>Direct,USnet,120</v>
      </c>
      <c r="B1709" t="s">
        <v>33</v>
      </c>
      <c r="C1709" t="s">
        <v>7</v>
      </c>
      <c r="D1709">
        <v>120</v>
      </c>
      <c r="E1709">
        <v>3993.1909999999998</v>
      </c>
      <c r="F1709">
        <f t="shared" si="105"/>
        <v>4010</v>
      </c>
      <c r="G1709">
        <f t="shared" si="107"/>
        <v>0.41917705735661337</v>
      </c>
      <c r="H1709">
        <f t="shared" si="108"/>
        <v>0.4209415477496618</v>
      </c>
    </row>
    <row r="1710" spans="1:8" x14ac:dyDescent="0.25">
      <c r="A1710" t="str">
        <f t="shared" si="106"/>
        <v>Direct,USnet,120</v>
      </c>
      <c r="B1710" t="s">
        <v>33</v>
      </c>
      <c r="C1710" t="s">
        <v>7</v>
      </c>
      <c r="D1710">
        <v>120</v>
      </c>
      <c r="E1710">
        <v>4080.4650000000001</v>
      </c>
      <c r="F1710">
        <f t="shared" si="105"/>
        <v>4010</v>
      </c>
      <c r="G1710">
        <f t="shared" si="107"/>
        <v>1.7572319201995048</v>
      </c>
      <c r="H1710">
        <f t="shared" si="108"/>
        <v>1.7268865190609439</v>
      </c>
    </row>
    <row r="1711" spans="1:8" x14ac:dyDescent="0.25">
      <c r="A1711" t="str">
        <f t="shared" si="106"/>
        <v>Direct,USnet,120</v>
      </c>
      <c r="B1711" t="s">
        <v>33</v>
      </c>
      <c r="C1711" t="s">
        <v>7</v>
      </c>
      <c r="D1711">
        <v>120</v>
      </c>
      <c r="E1711">
        <v>4149.3549999999996</v>
      </c>
      <c r="F1711">
        <f t="shared" si="105"/>
        <v>4010</v>
      </c>
      <c r="G1711">
        <f t="shared" si="107"/>
        <v>3.4751870324189413</v>
      </c>
      <c r="H1711">
        <f t="shared" si="108"/>
        <v>3.3584737868897596</v>
      </c>
    </row>
    <row r="1712" spans="1:8" x14ac:dyDescent="0.25">
      <c r="A1712" t="str">
        <f t="shared" si="106"/>
        <v>Direct,USnet,120</v>
      </c>
      <c r="B1712" t="s">
        <v>33</v>
      </c>
      <c r="C1712" t="s">
        <v>7</v>
      </c>
      <c r="D1712">
        <v>120</v>
      </c>
      <c r="E1712">
        <v>4098.9679999999998</v>
      </c>
      <c r="F1712">
        <f t="shared" si="105"/>
        <v>4010</v>
      </c>
      <c r="G1712">
        <f t="shared" si="107"/>
        <v>2.2186533665835375</v>
      </c>
      <c r="H1712">
        <f t="shared" si="108"/>
        <v>2.1704975496271222</v>
      </c>
    </row>
    <row r="1713" spans="1:8" x14ac:dyDescent="0.25">
      <c r="A1713" t="str">
        <f t="shared" si="106"/>
        <v>Direct,USnet,120</v>
      </c>
      <c r="B1713" t="s">
        <v>33</v>
      </c>
      <c r="C1713" t="s">
        <v>7</v>
      </c>
      <c r="D1713">
        <v>120</v>
      </c>
      <c r="E1713">
        <v>3992.5369999999998</v>
      </c>
      <c r="F1713">
        <f t="shared" si="105"/>
        <v>4010</v>
      </c>
      <c r="G1713">
        <f t="shared" si="107"/>
        <v>0.43548628428928166</v>
      </c>
      <c r="H1713">
        <f t="shared" si="108"/>
        <v>0.43739106237463027</v>
      </c>
    </row>
    <row r="1714" spans="1:8" x14ac:dyDescent="0.25">
      <c r="A1714" t="str">
        <f t="shared" si="106"/>
        <v>Direct,USnet,120</v>
      </c>
      <c r="B1714" t="s">
        <v>33</v>
      </c>
      <c r="C1714" t="s">
        <v>7</v>
      </c>
      <c r="D1714">
        <v>120</v>
      </c>
      <c r="E1714">
        <v>3973.6509999999998</v>
      </c>
      <c r="F1714">
        <f t="shared" si="105"/>
        <v>4010</v>
      </c>
      <c r="G1714">
        <f t="shared" si="107"/>
        <v>0.90645885286783445</v>
      </c>
      <c r="H1714">
        <f t="shared" si="108"/>
        <v>0.91475069149253829</v>
      </c>
    </row>
    <row r="1715" spans="1:8" x14ac:dyDescent="0.25">
      <c r="A1715" t="str">
        <f t="shared" si="106"/>
        <v>Direct,USnet,120</v>
      </c>
      <c r="B1715" t="s">
        <v>33</v>
      </c>
      <c r="C1715" t="s">
        <v>7</v>
      </c>
      <c r="D1715">
        <v>120</v>
      </c>
      <c r="E1715">
        <v>3940.6680000000001</v>
      </c>
      <c r="F1715">
        <f t="shared" si="105"/>
        <v>4010</v>
      </c>
      <c r="G1715">
        <f t="shared" si="107"/>
        <v>1.7289775561097227</v>
      </c>
      <c r="H1715">
        <f t="shared" si="108"/>
        <v>1.759397137744156</v>
      </c>
    </row>
    <row r="1716" spans="1:8" x14ac:dyDescent="0.25">
      <c r="A1716" t="str">
        <f t="shared" si="106"/>
        <v>Direct,USnet,120</v>
      </c>
      <c r="B1716" t="s">
        <v>33</v>
      </c>
      <c r="C1716" t="s">
        <v>7</v>
      </c>
      <c r="D1716">
        <v>120</v>
      </c>
      <c r="E1716">
        <v>4148.5789999999997</v>
      </c>
      <c r="F1716">
        <f t="shared" si="105"/>
        <v>4010</v>
      </c>
      <c r="G1716">
        <f t="shared" si="107"/>
        <v>3.4558354114713148</v>
      </c>
      <c r="H1716">
        <f t="shared" si="108"/>
        <v>3.3403967961077687</v>
      </c>
    </row>
    <row r="1717" spans="1:8" x14ac:dyDescent="0.25">
      <c r="A1717" t="str">
        <f t="shared" si="106"/>
        <v>Direct,USnet,120</v>
      </c>
      <c r="B1717" t="s">
        <v>33</v>
      </c>
      <c r="C1717" t="s">
        <v>7</v>
      </c>
      <c r="D1717">
        <v>120</v>
      </c>
      <c r="E1717">
        <v>4110.1540000000005</v>
      </c>
      <c r="F1717">
        <f t="shared" si="105"/>
        <v>4010</v>
      </c>
      <c r="G1717">
        <f t="shared" si="107"/>
        <v>2.4976059850374175</v>
      </c>
      <c r="H1717">
        <f t="shared" si="108"/>
        <v>2.4367456791156838</v>
      </c>
    </row>
    <row r="1718" spans="1:8" x14ac:dyDescent="0.25">
      <c r="A1718" t="str">
        <f t="shared" si="106"/>
        <v>Direct,USnet,120</v>
      </c>
      <c r="B1718" t="s">
        <v>33</v>
      </c>
      <c r="C1718" t="s">
        <v>7</v>
      </c>
      <c r="D1718">
        <v>120</v>
      </c>
      <c r="E1718">
        <v>4003.6819999999998</v>
      </c>
      <c r="F1718">
        <f t="shared" si="105"/>
        <v>4010</v>
      </c>
      <c r="G1718">
        <f t="shared" si="107"/>
        <v>0.15755610972569106</v>
      </c>
      <c r="H1718">
        <f t="shared" si="108"/>
        <v>0.15780474073615766</v>
      </c>
    </row>
    <row r="1719" spans="1:8" x14ac:dyDescent="0.25">
      <c r="A1719" t="str">
        <f t="shared" si="106"/>
        <v>Direct,USnet,120</v>
      </c>
      <c r="B1719" t="s">
        <v>33</v>
      </c>
      <c r="C1719" t="s">
        <v>7</v>
      </c>
      <c r="D1719">
        <v>120</v>
      </c>
      <c r="E1719">
        <v>4141.942</v>
      </c>
      <c r="F1719">
        <f t="shared" si="105"/>
        <v>4010</v>
      </c>
      <c r="G1719">
        <f t="shared" si="107"/>
        <v>3.290324189526185</v>
      </c>
      <c r="H1719">
        <f t="shared" si="108"/>
        <v>3.1855105648509809</v>
      </c>
    </row>
    <row r="1720" spans="1:8" x14ac:dyDescent="0.25">
      <c r="A1720" t="str">
        <f t="shared" si="106"/>
        <v>Direct,USnet,120</v>
      </c>
      <c r="B1720" t="s">
        <v>33</v>
      </c>
      <c r="C1720" t="s">
        <v>7</v>
      </c>
      <c r="D1720">
        <v>120</v>
      </c>
      <c r="E1720">
        <v>4052.7429999999999</v>
      </c>
      <c r="F1720">
        <f t="shared" si="105"/>
        <v>4010</v>
      </c>
      <c r="G1720">
        <f t="shared" si="107"/>
        <v>1.0659102244389014</v>
      </c>
      <c r="H1720">
        <f t="shared" si="108"/>
        <v>1.0546684060647304</v>
      </c>
    </row>
    <row r="1721" spans="1:8" x14ac:dyDescent="0.25">
      <c r="A1721" t="str">
        <f t="shared" si="106"/>
        <v>Direct,USnet,120</v>
      </c>
      <c r="B1721" t="s">
        <v>33</v>
      </c>
      <c r="C1721" t="s">
        <v>7</v>
      </c>
      <c r="D1721">
        <v>120</v>
      </c>
      <c r="E1721">
        <v>4122.268</v>
      </c>
      <c r="F1721">
        <f t="shared" si="105"/>
        <v>4010</v>
      </c>
      <c r="G1721">
        <f t="shared" si="107"/>
        <v>2.7997007481296765</v>
      </c>
      <c r="H1721">
        <f t="shared" si="108"/>
        <v>2.7234522355169539</v>
      </c>
    </row>
    <row r="1722" spans="1:8" x14ac:dyDescent="0.25">
      <c r="A1722" t="str">
        <f t="shared" si="106"/>
        <v>Direct,USnet,120</v>
      </c>
      <c r="B1722" t="s">
        <v>33</v>
      </c>
      <c r="C1722" t="s">
        <v>7</v>
      </c>
      <c r="D1722">
        <v>120</v>
      </c>
      <c r="E1722">
        <v>3958.8209999999999</v>
      </c>
      <c r="F1722">
        <f t="shared" si="105"/>
        <v>4010</v>
      </c>
      <c r="G1722">
        <f t="shared" si="107"/>
        <v>1.2762842892768103</v>
      </c>
      <c r="H1722">
        <f t="shared" si="108"/>
        <v>1.2927838869198705</v>
      </c>
    </row>
    <row r="1723" spans="1:8" x14ac:dyDescent="0.25">
      <c r="A1723" t="str">
        <f t="shared" si="106"/>
        <v>Direct,USnet,120</v>
      </c>
      <c r="B1723" t="s">
        <v>33</v>
      </c>
      <c r="C1723" t="s">
        <v>7</v>
      </c>
      <c r="D1723">
        <v>120</v>
      </c>
      <c r="E1723">
        <v>3996.576</v>
      </c>
      <c r="F1723">
        <f t="shared" si="105"/>
        <v>4010</v>
      </c>
      <c r="G1723">
        <f t="shared" si="107"/>
        <v>0.33476309226932616</v>
      </c>
      <c r="H1723">
        <f t="shared" si="108"/>
        <v>0.33588751971687714</v>
      </c>
    </row>
    <row r="1724" spans="1:8" x14ac:dyDescent="0.25">
      <c r="A1724" t="str">
        <f t="shared" si="106"/>
        <v>Direct,USnet,120</v>
      </c>
      <c r="B1724" t="s">
        <v>33</v>
      </c>
      <c r="C1724" t="s">
        <v>7</v>
      </c>
      <c r="D1724">
        <v>120</v>
      </c>
      <c r="E1724">
        <v>4073.2130000000002</v>
      </c>
      <c r="F1724">
        <f t="shared" si="105"/>
        <v>4010</v>
      </c>
      <c r="G1724">
        <f t="shared" si="107"/>
        <v>1.576384039900254</v>
      </c>
      <c r="H1724">
        <f t="shared" si="108"/>
        <v>1.5519198234906986</v>
      </c>
    </row>
    <row r="1725" spans="1:8" x14ac:dyDescent="0.25">
      <c r="A1725" t="str">
        <f t="shared" si="106"/>
        <v>Direct,USnet,120</v>
      </c>
      <c r="B1725" t="s">
        <v>33</v>
      </c>
      <c r="C1725" t="s">
        <v>7</v>
      </c>
      <c r="D1725">
        <v>120</v>
      </c>
      <c r="E1725">
        <v>4088.828</v>
      </c>
      <c r="F1725">
        <f t="shared" si="105"/>
        <v>4010</v>
      </c>
      <c r="G1725">
        <f t="shared" si="107"/>
        <v>1.9657855361596006</v>
      </c>
      <c r="H1725">
        <f t="shared" si="108"/>
        <v>1.9278874044102607</v>
      </c>
    </row>
    <row r="1726" spans="1:8" x14ac:dyDescent="0.25">
      <c r="A1726" t="str">
        <f t="shared" si="106"/>
        <v>Direct,USnet,120</v>
      </c>
      <c r="B1726" t="s">
        <v>33</v>
      </c>
      <c r="C1726" t="s">
        <v>7</v>
      </c>
      <c r="D1726">
        <v>120</v>
      </c>
      <c r="E1726">
        <v>4010.9409999999998</v>
      </c>
      <c r="F1726">
        <f t="shared" si="105"/>
        <v>4010</v>
      </c>
      <c r="G1726">
        <f t="shared" si="107"/>
        <v>2.346633416458363E-2</v>
      </c>
      <c r="H1726">
        <f t="shared" si="108"/>
        <v>2.3460828768107123E-2</v>
      </c>
    </row>
    <row r="1727" spans="1:8" x14ac:dyDescent="0.25">
      <c r="A1727" t="str">
        <f t="shared" si="106"/>
        <v>Direct,USnet,120</v>
      </c>
      <c r="B1727" t="s">
        <v>33</v>
      </c>
      <c r="C1727" t="s">
        <v>7</v>
      </c>
      <c r="D1727">
        <v>120</v>
      </c>
      <c r="E1727">
        <v>4007.9380000000001</v>
      </c>
      <c r="F1727">
        <f t="shared" si="105"/>
        <v>4010</v>
      </c>
      <c r="G1727">
        <f t="shared" si="107"/>
        <v>5.142144638403736E-2</v>
      </c>
      <c r="H1727">
        <f t="shared" si="108"/>
        <v>5.1447901639194472E-2</v>
      </c>
    </row>
    <row r="1728" spans="1:8" x14ac:dyDescent="0.25">
      <c r="A1728" t="str">
        <f t="shared" si="106"/>
        <v>Direct,USnet,120</v>
      </c>
      <c r="B1728" t="s">
        <v>33</v>
      </c>
      <c r="C1728" t="s">
        <v>7</v>
      </c>
      <c r="D1728">
        <v>120</v>
      </c>
      <c r="E1728">
        <v>4113.442</v>
      </c>
      <c r="F1728">
        <f t="shared" si="105"/>
        <v>4010</v>
      </c>
      <c r="G1728">
        <f t="shared" si="107"/>
        <v>2.5796009975062346</v>
      </c>
      <c r="H1728">
        <f t="shared" si="108"/>
        <v>2.5147309722611868</v>
      </c>
    </row>
    <row r="1729" spans="1:8" x14ac:dyDescent="0.25">
      <c r="A1729" t="str">
        <f t="shared" si="106"/>
        <v>Direct,USnet,120</v>
      </c>
      <c r="B1729" t="s">
        <v>33</v>
      </c>
      <c r="C1729" t="s">
        <v>7</v>
      </c>
      <c r="D1729">
        <v>120</v>
      </c>
      <c r="E1729">
        <v>4050.5990000000002</v>
      </c>
      <c r="F1729">
        <f t="shared" si="105"/>
        <v>4010</v>
      </c>
      <c r="G1729">
        <f t="shared" si="107"/>
        <v>1.0124438902743182</v>
      </c>
      <c r="H1729">
        <f t="shared" si="108"/>
        <v>1.0022962035985334</v>
      </c>
    </row>
    <row r="1730" spans="1:8" x14ac:dyDescent="0.25">
      <c r="A1730" t="str">
        <f t="shared" si="106"/>
        <v>Direct,USnet,120</v>
      </c>
      <c r="B1730" t="s">
        <v>33</v>
      </c>
      <c r="C1730" t="s">
        <v>7</v>
      </c>
      <c r="D1730">
        <v>120</v>
      </c>
      <c r="E1730">
        <v>4211.6210000000001</v>
      </c>
      <c r="F1730">
        <f t="shared" si="105"/>
        <v>4010</v>
      </c>
      <c r="G1730">
        <f t="shared" si="107"/>
        <v>5.0279551122194537</v>
      </c>
      <c r="H1730">
        <f t="shared" si="108"/>
        <v>4.7872541237684985</v>
      </c>
    </row>
    <row r="1731" spans="1:8" x14ac:dyDescent="0.25">
      <c r="A1731" t="str">
        <f t="shared" si="106"/>
        <v>Direct,USnet,120</v>
      </c>
      <c r="B1731" t="s">
        <v>33</v>
      </c>
      <c r="C1731" t="s">
        <v>7</v>
      </c>
      <c r="D1731">
        <v>120</v>
      </c>
      <c r="E1731">
        <v>3982.9879999999998</v>
      </c>
      <c r="F1731">
        <f t="shared" ref="F1731:F1794" si="109">_xlfn.XLOOKUP(A1731,$J$3:$J$36,$N$3:$N$36)</f>
        <v>4010</v>
      </c>
      <c r="G1731">
        <f t="shared" si="107"/>
        <v>0.67361596009975488</v>
      </c>
      <c r="H1731">
        <f t="shared" si="108"/>
        <v>0.6781843179040502</v>
      </c>
    </row>
    <row r="1732" spans="1:8" x14ac:dyDescent="0.25">
      <c r="A1732" t="str">
        <f t="shared" ref="A1732:A1795" si="110">B1732&amp;","&amp;C1732&amp;","&amp;D1732</f>
        <v>Direct,USnet,120</v>
      </c>
      <c r="B1732" t="s">
        <v>33</v>
      </c>
      <c r="C1732" t="s">
        <v>7</v>
      </c>
      <c r="D1732">
        <v>120</v>
      </c>
      <c r="E1732">
        <v>3906.5590000000002</v>
      </c>
      <c r="F1732">
        <f t="shared" si="109"/>
        <v>4010</v>
      </c>
      <c r="G1732">
        <f t="shared" ref="G1732:G1795" si="111">ABS((E1732-F1732)/F1732)*100</f>
        <v>2.5795760598503694</v>
      </c>
      <c r="H1732">
        <f t="shared" ref="H1732:H1795" si="112">ABS((F1732-E1732)/E1732)*100</f>
        <v>2.6478801420892348</v>
      </c>
    </row>
    <row r="1733" spans="1:8" x14ac:dyDescent="0.25">
      <c r="A1733" t="str">
        <f t="shared" si="110"/>
        <v>Direct,USnet,120</v>
      </c>
      <c r="B1733" t="s">
        <v>33</v>
      </c>
      <c r="C1733" t="s">
        <v>7</v>
      </c>
      <c r="D1733">
        <v>120</v>
      </c>
      <c r="E1733">
        <v>4223.28</v>
      </c>
      <c r="F1733">
        <f t="shared" si="109"/>
        <v>4010</v>
      </c>
      <c r="G1733">
        <f t="shared" si="111"/>
        <v>5.3187032418952551</v>
      </c>
      <c r="H1733">
        <f t="shared" si="112"/>
        <v>5.0501032372942305</v>
      </c>
    </row>
    <row r="1734" spans="1:8" x14ac:dyDescent="0.25">
      <c r="A1734" t="str">
        <f t="shared" si="110"/>
        <v>Direct,USnet,120</v>
      </c>
      <c r="B1734" t="s">
        <v>33</v>
      </c>
      <c r="C1734" t="s">
        <v>7</v>
      </c>
      <c r="D1734">
        <v>120</v>
      </c>
      <c r="E1734">
        <v>4010.3850000000002</v>
      </c>
      <c r="F1734">
        <f t="shared" si="109"/>
        <v>4010</v>
      </c>
      <c r="G1734">
        <f t="shared" si="111"/>
        <v>9.6009975062398573E-3</v>
      </c>
      <c r="H1734">
        <f t="shared" si="112"/>
        <v>9.6000758032013956E-3</v>
      </c>
    </row>
    <row r="1735" spans="1:8" x14ac:dyDescent="0.25">
      <c r="A1735" t="str">
        <f t="shared" si="110"/>
        <v>Direct,USnet,120</v>
      </c>
      <c r="B1735" t="s">
        <v>33</v>
      </c>
      <c r="C1735" t="s">
        <v>7</v>
      </c>
      <c r="D1735">
        <v>120</v>
      </c>
      <c r="E1735">
        <v>4024.52</v>
      </c>
      <c r="F1735">
        <f t="shared" si="109"/>
        <v>4010</v>
      </c>
      <c r="G1735">
        <f t="shared" si="111"/>
        <v>0.3620947630922689</v>
      </c>
      <c r="H1735">
        <f t="shared" si="112"/>
        <v>0.36078836730839903</v>
      </c>
    </row>
    <row r="1736" spans="1:8" x14ac:dyDescent="0.25">
      <c r="A1736" t="str">
        <f t="shared" si="110"/>
        <v>Direct,USnet,120</v>
      </c>
      <c r="B1736" t="s">
        <v>33</v>
      </c>
      <c r="C1736" t="s">
        <v>7</v>
      </c>
      <c r="D1736">
        <v>120</v>
      </c>
      <c r="E1736">
        <v>4051.33</v>
      </c>
      <c r="F1736">
        <f t="shared" si="109"/>
        <v>4010</v>
      </c>
      <c r="G1736">
        <f t="shared" si="111"/>
        <v>1.0306733167082276</v>
      </c>
      <c r="H1736">
        <f t="shared" si="112"/>
        <v>1.020158812044438</v>
      </c>
    </row>
    <row r="1737" spans="1:8" x14ac:dyDescent="0.25">
      <c r="A1737" t="str">
        <f t="shared" si="110"/>
        <v>Direct,USnet,120</v>
      </c>
      <c r="B1737" t="s">
        <v>33</v>
      </c>
      <c r="C1737" t="s">
        <v>7</v>
      </c>
      <c r="D1737">
        <v>120</v>
      </c>
      <c r="E1737">
        <v>4134.8490000000002</v>
      </c>
      <c r="F1737">
        <f t="shared" si="109"/>
        <v>4010</v>
      </c>
      <c r="G1737">
        <f t="shared" si="111"/>
        <v>3.1134413965087324</v>
      </c>
      <c r="H1737">
        <f t="shared" si="112"/>
        <v>3.0194331159372485</v>
      </c>
    </row>
    <row r="1738" spans="1:8" x14ac:dyDescent="0.25">
      <c r="A1738" t="str">
        <f t="shared" si="110"/>
        <v>Direct,USnet,120</v>
      </c>
      <c r="B1738" t="s">
        <v>33</v>
      </c>
      <c r="C1738" t="s">
        <v>7</v>
      </c>
      <c r="D1738">
        <v>120</v>
      </c>
      <c r="E1738">
        <v>4108.4889999999996</v>
      </c>
      <c r="F1738">
        <f t="shared" si="109"/>
        <v>4010</v>
      </c>
      <c r="G1738">
        <f t="shared" si="111"/>
        <v>2.4560847880299148</v>
      </c>
      <c r="H1738">
        <f t="shared" si="112"/>
        <v>2.3972073431375764</v>
      </c>
    </row>
    <row r="1739" spans="1:8" x14ac:dyDescent="0.25">
      <c r="A1739" t="str">
        <f t="shared" si="110"/>
        <v>Direct,USnet,120</v>
      </c>
      <c r="B1739" t="s">
        <v>33</v>
      </c>
      <c r="C1739" t="s">
        <v>7</v>
      </c>
      <c r="D1739">
        <v>120</v>
      </c>
      <c r="E1739">
        <v>3945.1860000000001</v>
      </c>
      <c r="F1739">
        <f t="shared" si="109"/>
        <v>4010</v>
      </c>
      <c r="G1739">
        <f t="shared" si="111"/>
        <v>1.6163092269326644</v>
      </c>
      <c r="H1739">
        <f t="shared" si="112"/>
        <v>1.6428629727470352</v>
      </c>
    </row>
    <row r="1740" spans="1:8" x14ac:dyDescent="0.25">
      <c r="A1740" t="str">
        <f t="shared" si="110"/>
        <v>Direct,USnet,120</v>
      </c>
      <c r="B1740" t="s">
        <v>33</v>
      </c>
      <c r="C1740" t="s">
        <v>7</v>
      </c>
      <c r="D1740">
        <v>120</v>
      </c>
      <c r="E1740">
        <v>4068.1880000000001</v>
      </c>
      <c r="F1740">
        <f t="shared" si="109"/>
        <v>4010</v>
      </c>
      <c r="G1740">
        <f t="shared" si="111"/>
        <v>1.4510723192019976</v>
      </c>
      <c r="H1740">
        <f t="shared" si="112"/>
        <v>1.4303173796294593</v>
      </c>
    </row>
    <row r="1741" spans="1:8" x14ac:dyDescent="0.25">
      <c r="A1741" t="str">
        <f t="shared" si="110"/>
        <v>Direct,USnet,120</v>
      </c>
      <c r="B1741" t="s">
        <v>33</v>
      </c>
      <c r="C1741" t="s">
        <v>7</v>
      </c>
      <c r="D1741">
        <v>120</v>
      </c>
      <c r="E1741">
        <v>4001.703</v>
      </c>
      <c r="F1741">
        <f t="shared" si="109"/>
        <v>4010</v>
      </c>
      <c r="G1741">
        <f t="shared" si="111"/>
        <v>0.20690773067331736</v>
      </c>
      <c r="H1741">
        <f t="shared" si="112"/>
        <v>0.20733672638874062</v>
      </c>
    </row>
    <row r="1742" spans="1:8" x14ac:dyDescent="0.25">
      <c r="A1742" t="str">
        <f t="shared" si="110"/>
        <v>Direct,USnet,120</v>
      </c>
      <c r="B1742" t="s">
        <v>33</v>
      </c>
      <c r="C1742" t="s">
        <v>7</v>
      </c>
      <c r="D1742">
        <v>120</v>
      </c>
      <c r="E1742">
        <v>4312.8999999999996</v>
      </c>
      <c r="F1742">
        <f t="shared" si="109"/>
        <v>4010</v>
      </c>
      <c r="G1742">
        <f t="shared" si="111"/>
        <v>7.5536159600997408</v>
      </c>
      <c r="H1742">
        <f t="shared" si="112"/>
        <v>7.0231166964223535</v>
      </c>
    </row>
    <row r="1743" spans="1:8" x14ac:dyDescent="0.25">
      <c r="A1743" t="str">
        <f t="shared" si="110"/>
        <v>Direct,USnet,120</v>
      </c>
      <c r="B1743" t="s">
        <v>33</v>
      </c>
      <c r="C1743" t="s">
        <v>7</v>
      </c>
      <c r="D1743">
        <v>120</v>
      </c>
      <c r="E1743">
        <v>3930.4409999999998</v>
      </c>
      <c r="F1743">
        <f t="shared" si="109"/>
        <v>4010</v>
      </c>
      <c r="G1743">
        <f t="shared" si="111"/>
        <v>1.9840149625935211</v>
      </c>
      <c r="H1743">
        <f t="shared" si="112"/>
        <v>2.0241748953870622</v>
      </c>
    </row>
    <row r="1744" spans="1:8" x14ac:dyDescent="0.25">
      <c r="A1744" t="str">
        <f t="shared" si="110"/>
        <v>Direct,USnet,120</v>
      </c>
      <c r="B1744" t="s">
        <v>33</v>
      </c>
      <c r="C1744" t="s">
        <v>7</v>
      </c>
      <c r="D1744">
        <v>120</v>
      </c>
      <c r="E1744">
        <v>4008.8290000000002</v>
      </c>
      <c r="F1744">
        <f t="shared" si="109"/>
        <v>4010</v>
      </c>
      <c r="G1744">
        <f t="shared" si="111"/>
        <v>2.9201995012464382E-2</v>
      </c>
      <c r="H1744">
        <f t="shared" si="112"/>
        <v>2.9210525068538013E-2</v>
      </c>
    </row>
    <row r="1745" spans="1:8" x14ac:dyDescent="0.25">
      <c r="A1745" t="str">
        <f t="shared" si="110"/>
        <v>Direct,USnet,120</v>
      </c>
      <c r="B1745" t="s">
        <v>33</v>
      </c>
      <c r="C1745" t="s">
        <v>7</v>
      </c>
      <c r="D1745">
        <v>120</v>
      </c>
      <c r="E1745">
        <v>4045.52</v>
      </c>
      <c r="F1745">
        <f t="shared" si="109"/>
        <v>4010</v>
      </c>
      <c r="G1745">
        <f t="shared" si="111"/>
        <v>0.88578553615960065</v>
      </c>
      <c r="H1745">
        <f t="shared" si="112"/>
        <v>0.87800826593367431</v>
      </c>
    </row>
    <row r="1746" spans="1:8" x14ac:dyDescent="0.25">
      <c r="A1746" t="str">
        <f t="shared" si="110"/>
        <v>Direct,USnet,120</v>
      </c>
      <c r="B1746" t="s">
        <v>33</v>
      </c>
      <c r="C1746" t="s">
        <v>7</v>
      </c>
      <c r="D1746">
        <v>120</v>
      </c>
      <c r="E1746">
        <v>4065.3159999999998</v>
      </c>
      <c r="F1746">
        <f t="shared" si="109"/>
        <v>4010</v>
      </c>
      <c r="G1746">
        <f t="shared" si="111"/>
        <v>1.3794513715710675</v>
      </c>
      <c r="H1746">
        <f t="shared" si="112"/>
        <v>1.3606814328824575</v>
      </c>
    </row>
    <row r="1747" spans="1:8" x14ac:dyDescent="0.25">
      <c r="A1747" t="str">
        <f t="shared" si="110"/>
        <v>Direct,USnet,120</v>
      </c>
      <c r="B1747" t="s">
        <v>33</v>
      </c>
      <c r="C1747" t="s">
        <v>7</v>
      </c>
      <c r="D1747">
        <v>120</v>
      </c>
      <c r="E1747">
        <v>3908.5509999999999</v>
      </c>
      <c r="F1747">
        <f t="shared" si="109"/>
        <v>4010</v>
      </c>
      <c r="G1747">
        <f t="shared" si="111"/>
        <v>2.5299002493765603</v>
      </c>
      <c r="H1747">
        <f t="shared" si="112"/>
        <v>2.5955654665885151</v>
      </c>
    </row>
    <row r="1748" spans="1:8" x14ac:dyDescent="0.25">
      <c r="A1748" t="str">
        <f t="shared" si="110"/>
        <v>Direct,USnet,120</v>
      </c>
      <c r="B1748" t="s">
        <v>33</v>
      </c>
      <c r="C1748" t="s">
        <v>7</v>
      </c>
      <c r="D1748">
        <v>120</v>
      </c>
      <c r="E1748">
        <v>4105.8410000000003</v>
      </c>
      <c r="F1748">
        <f t="shared" si="109"/>
        <v>4010</v>
      </c>
      <c r="G1748">
        <f t="shared" si="111"/>
        <v>2.3900498753117292</v>
      </c>
      <c r="H1748">
        <f t="shared" si="112"/>
        <v>2.3342598994944117</v>
      </c>
    </row>
    <row r="1749" spans="1:8" x14ac:dyDescent="0.25">
      <c r="A1749" t="str">
        <f t="shared" si="110"/>
        <v>Direct,USnet,120</v>
      </c>
      <c r="B1749" t="s">
        <v>33</v>
      </c>
      <c r="C1749" t="s">
        <v>7</v>
      </c>
      <c r="D1749">
        <v>120</v>
      </c>
      <c r="E1749">
        <v>4081.7829999999999</v>
      </c>
      <c r="F1749">
        <f t="shared" si="109"/>
        <v>4010</v>
      </c>
      <c r="G1749">
        <f t="shared" si="111"/>
        <v>1.7900997506234391</v>
      </c>
      <c r="H1749">
        <f t="shared" si="112"/>
        <v>1.7586187212793993</v>
      </c>
    </row>
    <row r="1750" spans="1:8" x14ac:dyDescent="0.25">
      <c r="A1750" t="str">
        <f t="shared" si="110"/>
        <v>Direct,USnet,120</v>
      </c>
      <c r="B1750" t="s">
        <v>33</v>
      </c>
      <c r="C1750" t="s">
        <v>7</v>
      </c>
      <c r="D1750">
        <v>120</v>
      </c>
      <c r="E1750">
        <v>4014.3710000000001</v>
      </c>
      <c r="F1750">
        <f t="shared" si="109"/>
        <v>4010</v>
      </c>
      <c r="G1750">
        <f t="shared" si="111"/>
        <v>0.10900249376558839</v>
      </c>
      <c r="H1750">
        <f t="shared" si="112"/>
        <v>0.10888380769988859</v>
      </c>
    </row>
    <row r="1751" spans="1:8" x14ac:dyDescent="0.25">
      <c r="A1751" t="str">
        <f t="shared" si="110"/>
        <v>Direct,USnet,120</v>
      </c>
      <c r="B1751" t="s">
        <v>33</v>
      </c>
      <c r="C1751" t="s">
        <v>7</v>
      </c>
      <c r="D1751">
        <v>120</v>
      </c>
      <c r="E1751">
        <v>4111.9780000000001</v>
      </c>
      <c r="F1751">
        <f t="shared" si="109"/>
        <v>4010</v>
      </c>
      <c r="G1751">
        <f t="shared" si="111"/>
        <v>2.5430922693266846</v>
      </c>
      <c r="H1751">
        <f t="shared" si="112"/>
        <v>2.4800229962319853</v>
      </c>
    </row>
    <row r="1752" spans="1:8" x14ac:dyDescent="0.25">
      <c r="A1752" t="str">
        <f t="shared" si="110"/>
        <v>Direct,USnet,120</v>
      </c>
      <c r="B1752" t="s">
        <v>33</v>
      </c>
      <c r="C1752" t="s">
        <v>7</v>
      </c>
      <c r="D1752">
        <v>120</v>
      </c>
      <c r="E1752">
        <v>4144.5540000000001</v>
      </c>
      <c r="F1752">
        <f t="shared" si="109"/>
        <v>4010</v>
      </c>
      <c r="G1752">
        <f t="shared" si="111"/>
        <v>3.3554613466334184</v>
      </c>
      <c r="H1752">
        <f t="shared" si="112"/>
        <v>3.2465254403730799</v>
      </c>
    </row>
    <row r="1753" spans="1:8" x14ac:dyDescent="0.25">
      <c r="A1753" t="str">
        <f t="shared" si="110"/>
        <v>Direct,USnet,120</v>
      </c>
      <c r="B1753" t="s">
        <v>33</v>
      </c>
      <c r="C1753" t="s">
        <v>7</v>
      </c>
      <c r="D1753">
        <v>120</v>
      </c>
      <c r="E1753">
        <v>4168.9380000000001</v>
      </c>
      <c r="F1753">
        <f t="shared" si="109"/>
        <v>4010</v>
      </c>
      <c r="G1753">
        <f t="shared" si="111"/>
        <v>3.963541147132172</v>
      </c>
      <c r="H1753">
        <f t="shared" si="112"/>
        <v>3.8124337661054226</v>
      </c>
    </row>
    <row r="1754" spans="1:8" x14ac:dyDescent="0.25">
      <c r="A1754" t="str">
        <f t="shared" si="110"/>
        <v>Direct,USnet,120</v>
      </c>
      <c r="B1754" t="s">
        <v>33</v>
      </c>
      <c r="C1754" t="s">
        <v>7</v>
      </c>
      <c r="D1754">
        <v>120</v>
      </c>
      <c r="E1754">
        <v>4219.1819999999998</v>
      </c>
      <c r="F1754">
        <f t="shared" si="109"/>
        <v>4010</v>
      </c>
      <c r="G1754">
        <f t="shared" si="111"/>
        <v>5.2165087281795461</v>
      </c>
      <c r="H1754">
        <f t="shared" si="112"/>
        <v>4.9578804611889176</v>
      </c>
    </row>
    <row r="1755" spans="1:8" x14ac:dyDescent="0.25">
      <c r="A1755" t="str">
        <f t="shared" si="110"/>
        <v>Direct,USnet,120</v>
      </c>
      <c r="B1755" t="s">
        <v>33</v>
      </c>
      <c r="C1755" t="s">
        <v>7</v>
      </c>
      <c r="D1755">
        <v>120</v>
      </c>
      <c r="E1755">
        <v>3942.596</v>
      </c>
      <c r="F1755">
        <f t="shared" si="109"/>
        <v>4010</v>
      </c>
      <c r="G1755">
        <f t="shared" si="111"/>
        <v>1.6808977556109723</v>
      </c>
      <c r="H1755">
        <f t="shared" si="112"/>
        <v>1.7096349714756469</v>
      </c>
    </row>
    <row r="1756" spans="1:8" x14ac:dyDescent="0.25">
      <c r="A1756" t="str">
        <f t="shared" si="110"/>
        <v>Direct,USnet,120</v>
      </c>
      <c r="B1756" t="s">
        <v>33</v>
      </c>
      <c r="C1756" t="s">
        <v>7</v>
      </c>
      <c r="D1756">
        <v>120</v>
      </c>
      <c r="E1756">
        <v>4130.9480000000003</v>
      </c>
      <c r="F1756">
        <f t="shared" si="109"/>
        <v>4010</v>
      </c>
      <c r="G1756">
        <f t="shared" si="111"/>
        <v>3.016159600997514</v>
      </c>
      <c r="H1756">
        <f t="shared" si="112"/>
        <v>2.9278509436574924</v>
      </c>
    </row>
    <row r="1757" spans="1:8" x14ac:dyDescent="0.25">
      <c r="A1757" t="str">
        <f t="shared" si="110"/>
        <v>Direct,USnet,120</v>
      </c>
      <c r="B1757" t="s">
        <v>33</v>
      </c>
      <c r="C1757" t="s">
        <v>7</v>
      </c>
      <c r="D1757">
        <v>120</v>
      </c>
      <c r="E1757">
        <v>4089.7069999999999</v>
      </c>
      <c r="F1757">
        <f t="shared" si="109"/>
        <v>4010</v>
      </c>
      <c r="G1757">
        <f t="shared" si="111"/>
        <v>1.9877057356608447</v>
      </c>
      <c r="H1757">
        <f t="shared" si="112"/>
        <v>1.9489660261725321</v>
      </c>
    </row>
    <row r="1758" spans="1:8" x14ac:dyDescent="0.25">
      <c r="A1758" t="str">
        <f t="shared" si="110"/>
        <v>Direct,USnet,120</v>
      </c>
      <c r="B1758" t="s">
        <v>33</v>
      </c>
      <c r="C1758" t="s">
        <v>7</v>
      </c>
      <c r="D1758">
        <v>120</v>
      </c>
      <c r="E1758">
        <v>4118.5360000000001</v>
      </c>
      <c r="F1758">
        <f t="shared" si="109"/>
        <v>4010</v>
      </c>
      <c r="G1758">
        <f t="shared" si="111"/>
        <v>2.7066334164588541</v>
      </c>
      <c r="H1758">
        <f t="shared" si="112"/>
        <v>2.6353053609340806</v>
      </c>
    </row>
    <row r="1759" spans="1:8" x14ac:dyDescent="0.25">
      <c r="A1759" t="str">
        <f t="shared" si="110"/>
        <v>Direct,USnet,120</v>
      </c>
      <c r="B1759" t="s">
        <v>33</v>
      </c>
      <c r="C1759" t="s">
        <v>7</v>
      </c>
      <c r="D1759">
        <v>120</v>
      </c>
      <c r="E1759">
        <v>4016.1170000000002</v>
      </c>
      <c r="F1759">
        <f t="shared" si="109"/>
        <v>4010</v>
      </c>
      <c r="G1759">
        <f t="shared" si="111"/>
        <v>0.15254364089776035</v>
      </c>
      <c r="H1759">
        <f t="shared" si="112"/>
        <v>0.15231129969570581</v>
      </c>
    </row>
    <row r="1760" spans="1:8" x14ac:dyDescent="0.25">
      <c r="A1760" t="str">
        <f t="shared" si="110"/>
        <v>Direct,USnet,120</v>
      </c>
      <c r="B1760" t="s">
        <v>33</v>
      </c>
      <c r="C1760" t="s">
        <v>7</v>
      </c>
      <c r="D1760">
        <v>120</v>
      </c>
      <c r="E1760">
        <v>4018.0079999999998</v>
      </c>
      <c r="F1760">
        <f t="shared" si="109"/>
        <v>4010</v>
      </c>
      <c r="G1760">
        <f t="shared" si="111"/>
        <v>0.19970074812967112</v>
      </c>
      <c r="H1760">
        <f t="shared" si="112"/>
        <v>0.19930273906870796</v>
      </c>
    </row>
    <row r="1761" spans="1:8" x14ac:dyDescent="0.25">
      <c r="A1761" t="str">
        <f t="shared" si="110"/>
        <v>Direct,USnet,120</v>
      </c>
      <c r="B1761" t="s">
        <v>33</v>
      </c>
      <c r="C1761" t="s">
        <v>7</v>
      </c>
      <c r="D1761">
        <v>120</v>
      </c>
      <c r="E1761">
        <v>3992.3780000000002</v>
      </c>
      <c r="F1761">
        <f t="shared" si="109"/>
        <v>4010</v>
      </c>
      <c r="G1761">
        <f t="shared" si="111"/>
        <v>0.43945137157106845</v>
      </c>
      <c r="H1761">
        <f t="shared" si="112"/>
        <v>0.44139107068518668</v>
      </c>
    </row>
    <row r="1762" spans="1:8" x14ac:dyDescent="0.25">
      <c r="A1762" t="str">
        <f t="shared" si="110"/>
        <v>Direct,USnet,120</v>
      </c>
      <c r="B1762" t="s">
        <v>33</v>
      </c>
      <c r="C1762" t="s">
        <v>7</v>
      </c>
      <c r="D1762">
        <v>120</v>
      </c>
      <c r="E1762">
        <v>4142.5569999999998</v>
      </c>
      <c r="F1762">
        <f t="shared" si="109"/>
        <v>4010</v>
      </c>
      <c r="G1762">
        <f t="shared" si="111"/>
        <v>3.3056608478802945</v>
      </c>
      <c r="H1762">
        <f t="shared" si="112"/>
        <v>3.1998835501840963</v>
      </c>
    </row>
    <row r="1763" spans="1:8" x14ac:dyDescent="0.25">
      <c r="A1763" t="str">
        <f t="shared" si="110"/>
        <v>Direct,USnet,120</v>
      </c>
      <c r="B1763" t="s">
        <v>33</v>
      </c>
      <c r="C1763" t="s">
        <v>7</v>
      </c>
      <c r="D1763">
        <v>120</v>
      </c>
      <c r="E1763">
        <v>3858.7959999999998</v>
      </c>
      <c r="F1763">
        <f t="shared" si="109"/>
        <v>4010</v>
      </c>
      <c r="G1763">
        <f t="shared" si="111"/>
        <v>3.7706733167082342</v>
      </c>
      <c r="H1763">
        <f t="shared" si="112"/>
        <v>3.9184242960757758</v>
      </c>
    </row>
    <row r="1764" spans="1:8" x14ac:dyDescent="0.25">
      <c r="A1764" t="str">
        <f t="shared" si="110"/>
        <v>Direct,USnet,120</v>
      </c>
      <c r="B1764" t="s">
        <v>33</v>
      </c>
      <c r="C1764" t="s">
        <v>7</v>
      </c>
      <c r="D1764">
        <v>120</v>
      </c>
      <c r="E1764">
        <v>4090.3</v>
      </c>
      <c r="F1764">
        <f t="shared" si="109"/>
        <v>4010</v>
      </c>
      <c r="G1764">
        <f t="shared" si="111"/>
        <v>2.0024937655860393</v>
      </c>
      <c r="H1764">
        <f t="shared" si="112"/>
        <v>1.9631811847541789</v>
      </c>
    </row>
    <row r="1765" spans="1:8" x14ac:dyDescent="0.25">
      <c r="A1765" t="str">
        <f t="shared" si="110"/>
        <v>Direct,USnet,120</v>
      </c>
      <c r="B1765" t="s">
        <v>33</v>
      </c>
      <c r="C1765" t="s">
        <v>7</v>
      </c>
      <c r="D1765">
        <v>120</v>
      </c>
      <c r="E1765">
        <v>4029.759</v>
      </c>
      <c r="F1765">
        <f t="shared" si="109"/>
        <v>4010</v>
      </c>
      <c r="G1765">
        <f t="shared" si="111"/>
        <v>0.49274314214463877</v>
      </c>
      <c r="H1765">
        <f t="shared" si="112"/>
        <v>0.49032708903932004</v>
      </c>
    </row>
    <row r="1766" spans="1:8" x14ac:dyDescent="0.25">
      <c r="A1766" t="str">
        <f t="shared" si="110"/>
        <v>Direct,USnet,120</v>
      </c>
      <c r="B1766" t="s">
        <v>33</v>
      </c>
      <c r="C1766" t="s">
        <v>7</v>
      </c>
      <c r="D1766">
        <v>120</v>
      </c>
      <c r="E1766">
        <v>4001.221</v>
      </c>
      <c r="F1766">
        <f t="shared" si="109"/>
        <v>4010</v>
      </c>
      <c r="G1766">
        <f t="shared" si="111"/>
        <v>0.21892768079800493</v>
      </c>
      <c r="H1766">
        <f t="shared" si="112"/>
        <v>0.21940802570015494</v>
      </c>
    </row>
    <row r="1767" spans="1:8" x14ac:dyDescent="0.25">
      <c r="A1767" t="str">
        <f t="shared" si="110"/>
        <v>Direct,USnet,120</v>
      </c>
      <c r="B1767" t="s">
        <v>33</v>
      </c>
      <c r="C1767" t="s">
        <v>7</v>
      </c>
      <c r="D1767">
        <v>120</v>
      </c>
      <c r="E1767">
        <v>4012.7559999999999</v>
      </c>
      <c r="F1767">
        <f t="shared" si="109"/>
        <v>4010</v>
      </c>
      <c r="G1767">
        <f t="shared" si="111"/>
        <v>6.8728179551118651E-2</v>
      </c>
      <c r="H1767">
        <f t="shared" si="112"/>
        <v>6.8680976366364124E-2</v>
      </c>
    </row>
    <row r="1768" spans="1:8" x14ac:dyDescent="0.25">
      <c r="A1768" t="str">
        <f t="shared" si="110"/>
        <v>Direct,USnet,120</v>
      </c>
      <c r="B1768" t="s">
        <v>33</v>
      </c>
      <c r="C1768" t="s">
        <v>7</v>
      </c>
      <c r="D1768">
        <v>120</v>
      </c>
      <c r="E1768">
        <v>3915.8130000000001</v>
      </c>
      <c r="F1768">
        <f t="shared" si="109"/>
        <v>4010</v>
      </c>
      <c r="G1768">
        <f t="shared" si="111"/>
        <v>2.3488029925187006</v>
      </c>
      <c r="H1768">
        <f t="shared" si="112"/>
        <v>2.4052987208531129</v>
      </c>
    </row>
    <row r="1769" spans="1:8" x14ac:dyDescent="0.25">
      <c r="A1769" t="str">
        <f t="shared" si="110"/>
        <v>Direct,USnet,120</v>
      </c>
      <c r="B1769" t="s">
        <v>33</v>
      </c>
      <c r="C1769" t="s">
        <v>7</v>
      </c>
      <c r="D1769">
        <v>120</v>
      </c>
      <c r="E1769">
        <v>4088.922</v>
      </c>
      <c r="F1769">
        <f t="shared" si="109"/>
        <v>4010</v>
      </c>
      <c r="G1769">
        <f t="shared" si="111"/>
        <v>1.9681296758104743</v>
      </c>
      <c r="H1769">
        <f t="shared" si="112"/>
        <v>1.9301419787415859</v>
      </c>
    </row>
    <row r="1770" spans="1:8" x14ac:dyDescent="0.25">
      <c r="A1770" t="str">
        <f t="shared" si="110"/>
        <v>Direct,USnet,120</v>
      </c>
      <c r="B1770" t="s">
        <v>33</v>
      </c>
      <c r="C1770" t="s">
        <v>7</v>
      </c>
      <c r="D1770">
        <v>120</v>
      </c>
      <c r="E1770">
        <v>3927.66</v>
      </c>
      <c r="F1770">
        <f t="shared" si="109"/>
        <v>4010</v>
      </c>
      <c r="G1770">
        <f t="shared" si="111"/>
        <v>2.0533665835411505</v>
      </c>
      <c r="H1770">
        <f t="shared" si="112"/>
        <v>2.0964136406919169</v>
      </c>
    </row>
    <row r="1771" spans="1:8" x14ac:dyDescent="0.25">
      <c r="A1771" t="str">
        <f t="shared" si="110"/>
        <v>Direct,USnet,120</v>
      </c>
      <c r="B1771" t="s">
        <v>33</v>
      </c>
      <c r="C1771" t="s">
        <v>7</v>
      </c>
      <c r="D1771">
        <v>120</v>
      </c>
      <c r="E1771">
        <v>3983.3820000000001</v>
      </c>
      <c r="F1771">
        <f t="shared" si="109"/>
        <v>4010</v>
      </c>
      <c r="G1771">
        <f t="shared" si="111"/>
        <v>0.66379052369077152</v>
      </c>
      <c r="H1771">
        <f t="shared" si="112"/>
        <v>0.66822614552156778</v>
      </c>
    </row>
    <row r="1772" spans="1:8" x14ac:dyDescent="0.25">
      <c r="A1772" t="str">
        <f t="shared" si="110"/>
        <v>Direct,USnet,120</v>
      </c>
      <c r="B1772" t="s">
        <v>33</v>
      </c>
      <c r="C1772" t="s">
        <v>7</v>
      </c>
      <c r="D1772">
        <v>120</v>
      </c>
      <c r="E1772">
        <v>3999.0250000000001</v>
      </c>
      <c r="F1772">
        <f t="shared" si="109"/>
        <v>4010</v>
      </c>
      <c r="G1772">
        <f t="shared" si="111"/>
        <v>0.27369077306732942</v>
      </c>
      <c r="H1772">
        <f t="shared" si="112"/>
        <v>0.27444189521195561</v>
      </c>
    </row>
    <row r="1773" spans="1:8" x14ac:dyDescent="0.25">
      <c r="A1773" t="str">
        <f t="shared" si="110"/>
        <v>Direct,USnet,120</v>
      </c>
      <c r="B1773" t="s">
        <v>33</v>
      </c>
      <c r="C1773" t="s">
        <v>7</v>
      </c>
      <c r="D1773">
        <v>120</v>
      </c>
      <c r="E1773">
        <v>4043.9279999999999</v>
      </c>
      <c r="F1773">
        <f t="shared" si="109"/>
        <v>4010</v>
      </c>
      <c r="G1773">
        <f t="shared" si="111"/>
        <v>0.84608478802992226</v>
      </c>
      <c r="H1773">
        <f t="shared" si="112"/>
        <v>0.83898625296988194</v>
      </c>
    </row>
    <row r="1774" spans="1:8" x14ac:dyDescent="0.25">
      <c r="A1774" t="str">
        <f t="shared" si="110"/>
        <v>Direct,USnet,120</v>
      </c>
      <c r="B1774" t="s">
        <v>33</v>
      </c>
      <c r="C1774" t="s">
        <v>7</v>
      </c>
      <c r="D1774">
        <v>120</v>
      </c>
      <c r="E1774">
        <v>4005.6239999999998</v>
      </c>
      <c r="F1774">
        <f t="shared" si="109"/>
        <v>4010</v>
      </c>
      <c r="G1774">
        <f t="shared" si="111"/>
        <v>0.10912718204489286</v>
      </c>
      <c r="H1774">
        <f t="shared" si="112"/>
        <v>0.10924639956222061</v>
      </c>
    </row>
    <row r="1775" spans="1:8" x14ac:dyDescent="0.25">
      <c r="A1775" t="str">
        <f t="shared" si="110"/>
        <v>Direct,USnet,120</v>
      </c>
      <c r="B1775" t="s">
        <v>33</v>
      </c>
      <c r="C1775" t="s">
        <v>7</v>
      </c>
      <c r="D1775">
        <v>120</v>
      </c>
      <c r="E1775">
        <v>4073.9960000000001</v>
      </c>
      <c r="F1775">
        <f t="shared" si="109"/>
        <v>4010</v>
      </c>
      <c r="G1775">
        <f t="shared" si="111"/>
        <v>1.595910224438905</v>
      </c>
      <c r="H1775">
        <f t="shared" si="112"/>
        <v>1.5708410121168526</v>
      </c>
    </row>
    <row r="1776" spans="1:8" x14ac:dyDescent="0.25">
      <c r="A1776" t="str">
        <f t="shared" si="110"/>
        <v>Direct,USnet,120</v>
      </c>
      <c r="B1776" t="s">
        <v>33</v>
      </c>
      <c r="C1776" t="s">
        <v>7</v>
      </c>
      <c r="D1776">
        <v>120</v>
      </c>
      <c r="E1776">
        <v>4121.1120000000001</v>
      </c>
      <c r="F1776">
        <f t="shared" si="109"/>
        <v>4010</v>
      </c>
      <c r="G1776">
        <f t="shared" si="111"/>
        <v>2.7708728179551145</v>
      </c>
      <c r="H1776">
        <f t="shared" si="112"/>
        <v>2.6961655009618783</v>
      </c>
    </row>
    <row r="1777" spans="1:8" x14ac:dyDescent="0.25">
      <c r="A1777" t="str">
        <f t="shared" si="110"/>
        <v>Direct,USnet,120</v>
      </c>
      <c r="B1777" t="s">
        <v>33</v>
      </c>
      <c r="C1777" t="s">
        <v>7</v>
      </c>
      <c r="D1777">
        <v>120</v>
      </c>
      <c r="E1777">
        <v>4052.9290000000001</v>
      </c>
      <c r="F1777">
        <f t="shared" si="109"/>
        <v>4010</v>
      </c>
      <c r="G1777">
        <f t="shared" si="111"/>
        <v>1.0705486284289298</v>
      </c>
      <c r="H1777">
        <f t="shared" si="112"/>
        <v>1.0592092780307794</v>
      </c>
    </row>
    <row r="1778" spans="1:8" x14ac:dyDescent="0.25">
      <c r="A1778" t="str">
        <f t="shared" si="110"/>
        <v>Direct,USnet,120</v>
      </c>
      <c r="B1778" t="s">
        <v>33</v>
      </c>
      <c r="C1778" t="s">
        <v>7</v>
      </c>
      <c r="D1778">
        <v>120</v>
      </c>
      <c r="E1778">
        <v>4002.373</v>
      </c>
      <c r="F1778">
        <f t="shared" si="109"/>
        <v>4010</v>
      </c>
      <c r="G1778">
        <f t="shared" si="111"/>
        <v>0.19019950124688162</v>
      </c>
      <c r="H1778">
        <f t="shared" si="112"/>
        <v>0.19056194912368118</v>
      </c>
    </row>
    <row r="1779" spans="1:8" x14ac:dyDescent="0.25">
      <c r="A1779" t="str">
        <f t="shared" si="110"/>
        <v>Direct,USnet,120</v>
      </c>
      <c r="B1779" t="s">
        <v>33</v>
      </c>
      <c r="C1779" t="s">
        <v>7</v>
      </c>
      <c r="D1779">
        <v>120</v>
      </c>
      <c r="E1779">
        <v>4071.2579999999998</v>
      </c>
      <c r="F1779">
        <f t="shared" si="109"/>
        <v>4010</v>
      </c>
      <c r="G1779">
        <f t="shared" si="111"/>
        <v>1.5276309226932621</v>
      </c>
      <c r="H1779">
        <f t="shared" si="112"/>
        <v>1.5046454928673105</v>
      </c>
    </row>
    <row r="1780" spans="1:8" x14ac:dyDescent="0.25">
      <c r="A1780" t="str">
        <f t="shared" si="110"/>
        <v>Direct,USnet,120</v>
      </c>
      <c r="B1780" t="s">
        <v>33</v>
      </c>
      <c r="C1780" t="s">
        <v>7</v>
      </c>
      <c r="D1780">
        <v>120</v>
      </c>
      <c r="E1780">
        <v>3968.9969999999998</v>
      </c>
      <c r="F1780">
        <f t="shared" si="109"/>
        <v>4010</v>
      </c>
      <c r="G1780">
        <f t="shared" si="111"/>
        <v>1.0225187032418992</v>
      </c>
      <c r="H1780">
        <f t="shared" si="112"/>
        <v>1.033082161563744</v>
      </c>
    </row>
    <row r="1781" spans="1:8" x14ac:dyDescent="0.25">
      <c r="A1781" t="str">
        <f t="shared" si="110"/>
        <v>Direct,USnet,120</v>
      </c>
      <c r="B1781" t="s">
        <v>33</v>
      </c>
      <c r="C1781" t="s">
        <v>7</v>
      </c>
      <c r="D1781">
        <v>120</v>
      </c>
      <c r="E1781">
        <v>4059.5720000000001</v>
      </c>
      <c r="F1781">
        <f t="shared" si="109"/>
        <v>4010</v>
      </c>
      <c r="G1781">
        <f t="shared" si="111"/>
        <v>1.2362094763092297</v>
      </c>
      <c r="H1781">
        <f t="shared" si="112"/>
        <v>1.2211139499434944</v>
      </c>
    </row>
    <row r="1782" spans="1:8" x14ac:dyDescent="0.25">
      <c r="A1782" t="str">
        <f t="shared" si="110"/>
        <v>Direct,USnet,120</v>
      </c>
      <c r="B1782" t="s">
        <v>33</v>
      </c>
      <c r="C1782" t="s">
        <v>7</v>
      </c>
      <c r="D1782">
        <v>120</v>
      </c>
      <c r="E1782">
        <v>4029.2820000000002</v>
      </c>
      <c r="F1782">
        <f t="shared" si="109"/>
        <v>4010</v>
      </c>
      <c r="G1782">
        <f t="shared" si="111"/>
        <v>0.48084788029925568</v>
      </c>
      <c r="H1782">
        <f t="shared" si="112"/>
        <v>0.47854679816404389</v>
      </c>
    </row>
    <row r="1783" spans="1:8" x14ac:dyDescent="0.25">
      <c r="A1783" t="str">
        <f t="shared" si="110"/>
        <v>Direct,USnet,120</v>
      </c>
      <c r="B1783" t="s">
        <v>33</v>
      </c>
      <c r="C1783" t="s">
        <v>7</v>
      </c>
      <c r="D1783">
        <v>120</v>
      </c>
      <c r="E1783">
        <v>4096.8990000000003</v>
      </c>
      <c r="F1783">
        <f t="shared" si="109"/>
        <v>4010</v>
      </c>
      <c r="G1783">
        <f t="shared" si="111"/>
        <v>2.1670573566084874</v>
      </c>
      <c r="H1783">
        <f t="shared" si="112"/>
        <v>2.1210920747619197</v>
      </c>
    </row>
    <row r="1784" spans="1:8" x14ac:dyDescent="0.25">
      <c r="A1784" t="str">
        <f t="shared" si="110"/>
        <v>Direct,USnet,120</v>
      </c>
      <c r="B1784" t="s">
        <v>33</v>
      </c>
      <c r="C1784" t="s">
        <v>7</v>
      </c>
      <c r="D1784">
        <v>120</v>
      </c>
      <c r="E1784">
        <v>4151.9530000000004</v>
      </c>
      <c r="F1784">
        <f t="shared" si="109"/>
        <v>4010</v>
      </c>
      <c r="G1784">
        <f t="shared" si="111"/>
        <v>3.5399750623441499</v>
      </c>
      <c r="H1784">
        <f t="shared" si="112"/>
        <v>3.4189452529929989</v>
      </c>
    </row>
    <row r="1785" spans="1:8" x14ac:dyDescent="0.25">
      <c r="A1785" t="str">
        <f t="shared" si="110"/>
        <v>Direct,USnet,120</v>
      </c>
      <c r="B1785" t="s">
        <v>33</v>
      </c>
      <c r="C1785" t="s">
        <v>7</v>
      </c>
      <c r="D1785">
        <v>120</v>
      </c>
      <c r="E1785">
        <v>4167.2430000000004</v>
      </c>
      <c r="F1785">
        <f t="shared" si="109"/>
        <v>4010</v>
      </c>
      <c r="G1785">
        <f t="shared" si="111"/>
        <v>3.9212718204488879</v>
      </c>
      <c r="H1785">
        <f t="shared" si="112"/>
        <v>3.7733100757503317</v>
      </c>
    </row>
    <row r="1786" spans="1:8" x14ac:dyDescent="0.25">
      <c r="A1786" t="str">
        <f t="shared" si="110"/>
        <v>Direct,USnet,120</v>
      </c>
      <c r="B1786" t="s">
        <v>33</v>
      </c>
      <c r="C1786" t="s">
        <v>7</v>
      </c>
      <c r="D1786">
        <v>120</v>
      </c>
      <c r="E1786">
        <v>4163.5820000000003</v>
      </c>
      <c r="F1786">
        <f t="shared" si="109"/>
        <v>4010</v>
      </c>
      <c r="G1786">
        <f t="shared" si="111"/>
        <v>3.8299750623441478</v>
      </c>
      <c r="H1786">
        <f t="shared" si="112"/>
        <v>3.6886988175085857</v>
      </c>
    </row>
    <row r="1787" spans="1:8" x14ac:dyDescent="0.25">
      <c r="A1787" t="str">
        <f t="shared" si="110"/>
        <v>Direct,USnet,120</v>
      </c>
      <c r="B1787" t="s">
        <v>33</v>
      </c>
      <c r="C1787" t="s">
        <v>7</v>
      </c>
      <c r="D1787">
        <v>120</v>
      </c>
      <c r="E1787">
        <v>3994.0790000000002</v>
      </c>
      <c r="F1787">
        <f t="shared" si="109"/>
        <v>4010</v>
      </c>
      <c r="G1787">
        <f t="shared" si="111"/>
        <v>0.39703241895261404</v>
      </c>
      <c r="H1787">
        <f t="shared" si="112"/>
        <v>0.3986150499276509</v>
      </c>
    </row>
    <row r="1788" spans="1:8" x14ac:dyDescent="0.25">
      <c r="A1788" t="str">
        <f t="shared" si="110"/>
        <v>Direct,USnet,120</v>
      </c>
      <c r="B1788" t="s">
        <v>33</v>
      </c>
      <c r="C1788" t="s">
        <v>7</v>
      </c>
      <c r="D1788">
        <v>120</v>
      </c>
      <c r="E1788">
        <v>4028.183</v>
      </c>
      <c r="F1788">
        <f t="shared" si="109"/>
        <v>4010</v>
      </c>
      <c r="G1788">
        <f t="shared" si="111"/>
        <v>0.453441396508728</v>
      </c>
      <c r="H1788">
        <f t="shared" si="112"/>
        <v>0.4513945865915226</v>
      </c>
    </row>
    <row r="1789" spans="1:8" x14ac:dyDescent="0.25">
      <c r="A1789" t="str">
        <f t="shared" si="110"/>
        <v>Direct,USnet,120</v>
      </c>
      <c r="B1789" t="s">
        <v>33</v>
      </c>
      <c r="C1789" t="s">
        <v>7</v>
      </c>
      <c r="D1789">
        <v>120</v>
      </c>
      <c r="E1789">
        <v>4073.297</v>
      </c>
      <c r="F1789">
        <f t="shared" si="109"/>
        <v>4010</v>
      </c>
      <c r="G1789">
        <f t="shared" si="111"/>
        <v>1.5784788029925192</v>
      </c>
      <c r="H1789">
        <f t="shared" si="112"/>
        <v>1.5539500311418497</v>
      </c>
    </row>
    <row r="1790" spans="1:8" x14ac:dyDescent="0.25">
      <c r="A1790" t="str">
        <f t="shared" si="110"/>
        <v>Direct,USnet,120</v>
      </c>
      <c r="B1790" t="s">
        <v>33</v>
      </c>
      <c r="C1790" t="s">
        <v>7</v>
      </c>
      <c r="D1790">
        <v>120</v>
      </c>
      <c r="E1790">
        <v>3886.3090000000002</v>
      </c>
      <c r="F1790">
        <f t="shared" si="109"/>
        <v>4010</v>
      </c>
      <c r="G1790">
        <f t="shared" si="111"/>
        <v>3.0845635910224387</v>
      </c>
      <c r="H1790">
        <f t="shared" si="112"/>
        <v>3.1827371421057822</v>
      </c>
    </row>
    <row r="1791" spans="1:8" x14ac:dyDescent="0.25">
      <c r="A1791" t="str">
        <f t="shared" si="110"/>
        <v>Direct,USnet,120</v>
      </c>
      <c r="B1791" t="s">
        <v>33</v>
      </c>
      <c r="C1791" t="s">
        <v>7</v>
      </c>
      <c r="D1791">
        <v>120</v>
      </c>
      <c r="E1791">
        <v>3946.86</v>
      </c>
      <c r="F1791">
        <f t="shared" si="109"/>
        <v>4010</v>
      </c>
      <c r="G1791">
        <f t="shared" si="111"/>
        <v>1.5745635910224407</v>
      </c>
      <c r="H1791">
        <f t="shared" si="112"/>
        <v>1.5997527148163315</v>
      </c>
    </row>
    <row r="1792" spans="1:8" x14ac:dyDescent="0.25">
      <c r="A1792" t="str">
        <f t="shared" si="110"/>
        <v>Direct,USnet,120</v>
      </c>
      <c r="B1792" t="s">
        <v>33</v>
      </c>
      <c r="C1792" t="s">
        <v>7</v>
      </c>
      <c r="D1792">
        <v>120</v>
      </c>
      <c r="E1792">
        <v>4168.2120000000004</v>
      </c>
      <c r="F1792">
        <f t="shared" si="109"/>
        <v>4010</v>
      </c>
      <c r="G1792">
        <f t="shared" si="111"/>
        <v>3.9454364089775673</v>
      </c>
      <c r="H1792">
        <f t="shared" si="112"/>
        <v>3.7956802581058837</v>
      </c>
    </row>
    <row r="1793" spans="1:8" x14ac:dyDescent="0.25">
      <c r="A1793" t="str">
        <f t="shared" si="110"/>
        <v>Direct,USnet,120</v>
      </c>
      <c r="B1793" t="s">
        <v>33</v>
      </c>
      <c r="C1793" t="s">
        <v>7</v>
      </c>
      <c r="D1793">
        <v>120</v>
      </c>
      <c r="E1793">
        <v>4035.5680000000002</v>
      </c>
      <c r="F1793">
        <f t="shared" si="109"/>
        <v>4010</v>
      </c>
      <c r="G1793">
        <f t="shared" si="111"/>
        <v>0.63760598503741173</v>
      </c>
      <c r="H1793">
        <f t="shared" si="112"/>
        <v>0.63356632820956582</v>
      </c>
    </row>
    <row r="1794" spans="1:8" x14ac:dyDescent="0.25">
      <c r="A1794" t="str">
        <f t="shared" si="110"/>
        <v>Direct,USnet,120</v>
      </c>
      <c r="B1794" t="s">
        <v>33</v>
      </c>
      <c r="C1794" t="s">
        <v>7</v>
      </c>
      <c r="D1794">
        <v>120</v>
      </c>
      <c r="E1794">
        <v>4159.4170000000004</v>
      </c>
      <c r="F1794">
        <f t="shared" si="109"/>
        <v>4010</v>
      </c>
      <c r="G1794">
        <f t="shared" si="111"/>
        <v>3.7261097256857942</v>
      </c>
      <c r="H1794">
        <f t="shared" si="112"/>
        <v>3.5922582419603604</v>
      </c>
    </row>
    <row r="1795" spans="1:8" x14ac:dyDescent="0.25">
      <c r="A1795" t="str">
        <f t="shared" si="110"/>
        <v>Direct,USnet,120</v>
      </c>
      <c r="B1795" t="s">
        <v>33</v>
      </c>
      <c r="C1795" t="s">
        <v>7</v>
      </c>
      <c r="D1795">
        <v>120</v>
      </c>
      <c r="E1795">
        <v>3961.643</v>
      </c>
      <c r="F1795">
        <f t="shared" ref="F1795:F1858" si="113">_xlfn.XLOOKUP(A1795,$J$3:$J$36,$N$3:$N$36)</f>
        <v>4010</v>
      </c>
      <c r="G1795">
        <f t="shared" si="111"/>
        <v>1.2059102244389019</v>
      </c>
      <c r="H1795">
        <f t="shared" si="112"/>
        <v>1.2206299255132269</v>
      </c>
    </row>
    <row r="1796" spans="1:8" x14ac:dyDescent="0.25">
      <c r="A1796" t="str">
        <f t="shared" ref="A1796:A1859" si="114">B1796&amp;","&amp;C1796&amp;","&amp;D1796</f>
        <v>Direct,USnet,120</v>
      </c>
      <c r="B1796" t="s">
        <v>33</v>
      </c>
      <c r="C1796" t="s">
        <v>7</v>
      </c>
      <c r="D1796">
        <v>120</v>
      </c>
      <c r="E1796">
        <v>4153.8209999999999</v>
      </c>
      <c r="F1796">
        <f t="shared" si="113"/>
        <v>4010</v>
      </c>
      <c r="G1796">
        <f t="shared" ref="G1796:G1859" si="115">ABS((E1796-F1796)/F1796)*100</f>
        <v>3.5865586034912695</v>
      </c>
      <c r="H1796">
        <f t="shared" ref="H1796:H1859" si="116">ABS((F1796-E1796)/E1796)*100</f>
        <v>3.4623783740320038</v>
      </c>
    </row>
    <row r="1797" spans="1:8" x14ac:dyDescent="0.25">
      <c r="A1797" t="str">
        <f t="shared" si="114"/>
        <v>Direct,USnet,120</v>
      </c>
      <c r="B1797" t="s">
        <v>33</v>
      </c>
      <c r="C1797" t="s">
        <v>7</v>
      </c>
      <c r="D1797">
        <v>120</v>
      </c>
      <c r="E1797">
        <v>4008.4850000000001</v>
      </c>
      <c r="F1797">
        <f t="shared" si="113"/>
        <v>4010</v>
      </c>
      <c r="G1797">
        <f t="shared" si="115"/>
        <v>3.7780548628425753E-2</v>
      </c>
      <c r="H1797">
        <f t="shared" si="116"/>
        <v>3.7794827721692174E-2</v>
      </c>
    </row>
    <row r="1798" spans="1:8" x14ac:dyDescent="0.25">
      <c r="A1798" t="str">
        <f t="shared" si="114"/>
        <v>Direct,USnet,120</v>
      </c>
      <c r="B1798" t="s">
        <v>33</v>
      </c>
      <c r="C1798" t="s">
        <v>7</v>
      </c>
      <c r="D1798">
        <v>120</v>
      </c>
      <c r="E1798">
        <v>4094.2579999999998</v>
      </c>
      <c r="F1798">
        <f t="shared" si="113"/>
        <v>4010</v>
      </c>
      <c r="G1798">
        <f t="shared" si="115"/>
        <v>2.101197007481292</v>
      </c>
      <c r="H1798">
        <f t="shared" si="116"/>
        <v>2.0579553120492116</v>
      </c>
    </row>
    <row r="1799" spans="1:8" x14ac:dyDescent="0.25">
      <c r="A1799" t="str">
        <f t="shared" si="114"/>
        <v>Direct,USnet,120</v>
      </c>
      <c r="B1799" t="s">
        <v>33</v>
      </c>
      <c r="C1799" t="s">
        <v>7</v>
      </c>
      <c r="D1799">
        <v>120</v>
      </c>
      <c r="E1799">
        <v>4223.7820000000002</v>
      </c>
      <c r="F1799">
        <f t="shared" si="113"/>
        <v>4010</v>
      </c>
      <c r="G1799">
        <f t="shared" si="115"/>
        <v>5.3312219451371607</v>
      </c>
      <c r="H1799">
        <f t="shared" si="116"/>
        <v>5.06138811141295</v>
      </c>
    </row>
    <row r="1800" spans="1:8" x14ac:dyDescent="0.25">
      <c r="A1800" t="str">
        <f t="shared" si="114"/>
        <v>Direct,USnet,120</v>
      </c>
      <c r="B1800" t="s">
        <v>33</v>
      </c>
      <c r="C1800" t="s">
        <v>7</v>
      </c>
      <c r="D1800">
        <v>120</v>
      </c>
      <c r="E1800">
        <v>4070.9580000000001</v>
      </c>
      <c r="F1800">
        <f t="shared" si="113"/>
        <v>4010</v>
      </c>
      <c r="G1800">
        <f t="shared" si="115"/>
        <v>1.5201496259351641</v>
      </c>
      <c r="H1800">
        <f t="shared" si="116"/>
        <v>1.4973871015127171</v>
      </c>
    </row>
    <row r="1801" spans="1:8" x14ac:dyDescent="0.25">
      <c r="A1801" t="str">
        <f t="shared" si="114"/>
        <v>Direct,USnet,120</v>
      </c>
      <c r="B1801" t="s">
        <v>33</v>
      </c>
      <c r="C1801" t="s">
        <v>7</v>
      </c>
      <c r="D1801">
        <v>120</v>
      </c>
      <c r="E1801">
        <v>4123.5950000000003</v>
      </c>
      <c r="F1801">
        <f t="shared" si="113"/>
        <v>4010</v>
      </c>
      <c r="G1801">
        <f t="shared" si="115"/>
        <v>2.8327930174563654</v>
      </c>
      <c r="H1801">
        <f t="shared" si="116"/>
        <v>2.7547564685668755</v>
      </c>
    </row>
    <row r="1802" spans="1:8" x14ac:dyDescent="0.25">
      <c r="A1802" t="str">
        <f t="shared" si="114"/>
        <v>Direct,USnet,120</v>
      </c>
      <c r="B1802" t="s">
        <v>33</v>
      </c>
      <c r="C1802" t="s">
        <v>7</v>
      </c>
      <c r="D1802">
        <v>120</v>
      </c>
      <c r="E1802">
        <v>3979.7420000000002</v>
      </c>
      <c r="F1802">
        <f t="shared" si="113"/>
        <v>4010</v>
      </c>
      <c r="G1802">
        <f t="shared" si="115"/>
        <v>0.7545635910224392</v>
      </c>
      <c r="H1802">
        <f t="shared" si="116"/>
        <v>0.76030054209543763</v>
      </c>
    </row>
    <row r="1803" spans="1:8" x14ac:dyDescent="0.25">
      <c r="A1803" t="str">
        <f t="shared" si="114"/>
        <v>Multihop,NSFnet,20</v>
      </c>
      <c r="B1803" t="s">
        <v>34</v>
      </c>
      <c r="C1803" t="s">
        <v>6</v>
      </c>
      <c r="D1803">
        <v>20</v>
      </c>
      <c r="E1803">
        <v>270.70600000000002</v>
      </c>
      <c r="F1803">
        <f t="shared" si="113"/>
        <v>260</v>
      </c>
      <c r="G1803">
        <f t="shared" si="115"/>
        <v>4.1176923076923142</v>
      </c>
      <c r="H1803">
        <f t="shared" si="116"/>
        <v>3.9548440005023964</v>
      </c>
    </row>
    <row r="1804" spans="1:8" x14ac:dyDescent="0.25">
      <c r="A1804" t="str">
        <f t="shared" si="114"/>
        <v>Multihop,NSFnet,20</v>
      </c>
      <c r="B1804" t="s">
        <v>34</v>
      </c>
      <c r="C1804" t="s">
        <v>6</v>
      </c>
      <c r="D1804">
        <v>20</v>
      </c>
      <c r="E1804">
        <v>270.25599999999997</v>
      </c>
      <c r="F1804">
        <f t="shared" si="113"/>
        <v>260</v>
      </c>
      <c r="G1804">
        <f t="shared" si="115"/>
        <v>3.9446153846153735</v>
      </c>
      <c r="H1804">
        <f t="shared" si="116"/>
        <v>3.7949203717956208</v>
      </c>
    </row>
    <row r="1805" spans="1:8" x14ac:dyDescent="0.25">
      <c r="A1805" t="str">
        <f t="shared" si="114"/>
        <v>Multihop,NSFnet,20</v>
      </c>
      <c r="B1805" t="s">
        <v>34</v>
      </c>
      <c r="C1805" t="s">
        <v>6</v>
      </c>
      <c r="D1805">
        <v>20</v>
      </c>
      <c r="E1805">
        <v>263.11500000000001</v>
      </c>
      <c r="F1805">
        <f t="shared" si="113"/>
        <v>260</v>
      </c>
      <c r="G1805">
        <f t="shared" si="115"/>
        <v>1.1980769230769266</v>
      </c>
      <c r="H1805">
        <f t="shared" si="116"/>
        <v>1.1838929745548559</v>
      </c>
    </row>
    <row r="1806" spans="1:8" x14ac:dyDescent="0.25">
      <c r="A1806" t="str">
        <f t="shared" si="114"/>
        <v>Multihop,NSFnet,20</v>
      </c>
      <c r="B1806" t="s">
        <v>34</v>
      </c>
      <c r="C1806" t="s">
        <v>6</v>
      </c>
      <c r="D1806">
        <v>20</v>
      </c>
      <c r="E1806">
        <v>272.99799999999999</v>
      </c>
      <c r="F1806">
        <f t="shared" si="113"/>
        <v>260</v>
      </c>
      <c r="G1806">
        <f t="shared" si="115"/>
        <v>4.9992307692307651</v>
      </c>
      <c r="H1806">
        <f t="shared" si="116"/>
        <v>4.7612070418098273</v>
      </c>
    </row>
    <row r="1807" spans="1:8" x14ac:dyDescent="0.25">
      <c r="A1807" t="str">
        <f t="shared" si="114"/>
        <v>Multihop,NSFnet,20</v>
      </c>
      <c r="B1807" t="s">
        <v>34</v>
      </c>
      <c r="C1807" t="s">
        <v>6</v>
      </c>
      <c r="D1807">
        <v>20</v>
      </c>
      <c r="E1807">
        <v>265.04899999999998</v>
      </c>
      <c r="F1807">
        <f t="shared" si="113"/>
        <v>260</v>
      </c>
      <c r="G1807">
        <f t="shared" si="115"/>
        <v>1.9419230769230684</v>
      </c>
      <c r="H1807">
        <f t="shared" si="116"/>
        <v>1.904930786382887</v>
      </c>
    </row>
    <row r="1808" spans="1:8" x14ac:dyDescent="0.25">
      <c r="A1808" t="str">
        <f t="shared" si="114"/>
        <v>Multihop,NSFnet,20</v>
      </c>
      <c r="B1808" t="s">
        <v>34</v>
      </c>
      <c r="C1808" t="s">
        <v>6</v>
      </c>
      <c r="D1808">
        <v>20</v>
      </c>
      <c r="E1808">
        <v>273.50200000000001</v>
      </c>
      <c r="F1808">
        <f t="shared" si="113"/>
        <v>260</v>
      </c>
      <c r="G1808">
        <f t="shared" si="115"/>
        <v>5.1930769230769265</v>
      </c>
      <c r="H1808">
        <f t="shared" si="116"/>
        <v>4.9367097864001028</v>
      </c>
    </row>
    <row r="1809" spans="1:8" x14ac:dyDescent="0.25">
      <c r="A1809" t="str">
        <f t="shared" si="114"/>
        <v>Multihop,NSFnet,20</v>
      </c>
      <c r="B1809" t="s">
        <v>34</v>
      </c>
      <c r="C1809" t="s">
        <v>6</v>
      </c>
      <c r="D1809">
        <v>20</v>
      </c>
      <c r="E1809">
        <v>265.90300000000002</v>
      </c>
      <c r="F1809">
        <f t="shared" si="113"/>
        <v>260</v>
      </c>
      <c r="G1809">
        <f t="shared" si="115"/>
        <v>2.2703846153846232</v>
      </c>
      <c r="H1809">
        <f t="shared" si="116"/>
        <v>2.2199824748122508</v>
      </c>
    </row>
    <row r="1810" spans="1:8" x14ac:dyDescent="0.25">
      <c r="A1810" t="str">
        <f t="shared" si="114"/>
        <v>Multihop,NSFnet,20</v>
      </c>
      <c r="B1810" t="s">
        <v>34</v>
      </c>
      <c r="C1810" t="s">
        <v>6</v>
      </c>
      <c r="D1810">
        <v>20</v>
      </c>
      <c r="E1810">
        <v>273.65499999999997</v>
      </c>
      <c r="F1810">
        <f t="shared" si="113"/>
        <v>260</v>
      </c>
      <c r="G1810">
        <f t="shared" si="115"/>
        <v>5.2519230769230667</v>
      </c>
      <c r="H1810">
        <f t="shared" si="116"/>
        <v>4.9898594946191279</v>
      </c>
    </row>
    <row r="1811" spans="1:8" x14ac:dyDescent="0.25">
      <c r="A1811" t="str">
        <f t="shared" si="114"/>
        <v>Multihop,NSFnet,20</v>
      </c>
      <c r="B1811" t="s">
        <v>34</v>
      </c>
      <c r="C1811" t="s">
        <v>6</v>
      </c>
      <c r="D1811">
        <v>20</v>
      </c>
      <c r="E1811">
        <v>262.30799999999999</v>
      </c>
      <c r="F1811">
        <f t="shared" si="113"/>
        <v>260</v>
      </c>
      <c r="G1811">
        <f t="shared" si="115"/>
        <v>0.887692307692305</v>
      </c>
      <c r="H1811">
        <f t="shared" si="116"/>
        <v>0.87988166582795513</v>
      </c>
    </row>
    <row r="1812" spans="1:8" x14ac:dyDescent="0.25">
      <c r="A1812" t="str">
        <f t="shared" si="114"/>
        <v>Multihop,NSFnet,20</v>
      </c>
      <c r="B1812" t="s">
        <v>34</v>
      </c>
      <c r="C1812" t="s">
        <v>6</v>
      </c>
      <c r="D1812">
        <v>20</v>
      </c>
      <c r="E1812">
        <v>266.34100000000001</v>
      </c>
      <c r="F1812">
        <f t="shared" si="113"/>
        <v>260</v>
      </c>
      <c r="G1812">
        <f t="shared" si="115"/>
        <v>2.438846153846157</v>
      </c>
      <c r="H1812">
        <f t="shared" si="116"/>
        <v>2.3807825306655781</v>
      </c>
    </row>
    <row r="1813" spans="1:8" x14ac:dyDescent="0.25">
      <c r="A1813" t="str">
        <f t="shared" si="114"/>
        <v>Multihop,NSFnet,20</v>
      </c>
      <c r="B1813" t="s">
        <v>34</v>
      </c>
      <c r="C1813" t="s">
        <v>6</v>
      </c>
      <c r="D1813">
        <v>20</v>
      </c>
      <c r="E1813">
        <v>262.41399999999999</v>
      </c>
      <c r="F1813">
        <f t="shared" si="113"/>
        <v>260</v>
      </c>
      <c r="G1813">
        <f t="shared" si="115"/>
        <v>0.92846153846153356</v>
      </c>
      <c r="H1813">
        <f t="shared" si="116"/>
        <v>0.91992043107455668</v>
      </c>
    </row>
    <row r="1814" spans="1:8" x14ac:dyDescent="0.25">
      <c r="A1814" t="str">
        <f t="shared" si="114"/>
        <v>Multihop,NSFnet,20</v>
      </c>
      <c r="B1814" t="s">
        <v>34</v>
      </c>
      <c r="C1814" t="s">
        <v>6</v>
      </c>
      <c r="D1814">
        <v>20</v>
      </c>
      <c r="E1814">
        <v>270.23899999999998</v>
      </c>
      <c r="F1814">
        <f t="shared" si="113"/>
        <v>260</v>
      </c>
      <c r="G1814">
        <f t="shared" si="115"/>
        <v>3.9380769230769137</v>
      </c>
      <c r="H1814">
        <f t="shared" si="116"/>
        <v>3.7888683720706395</v>
      </c>
    </row>
    <row r="1815" spans="1:8" x14ac:dyDescent="0.25">
      <c r="A1815" t="str">
        <f t="shared" si="114"/>
        <v>Multihop,NSFnet,20</v>
      </c>
      <c r="B1815" t="s">
        <v>34</v>
      </c>
      <c r="C1815" t="s">
        <v>6</v>
      </c>
      <c r="D1815">
        <v>20</v>
      </c>
      <c r="E1815">
        <v>264.23899999999998</v>
      </c>
      <c r="F1815">
        <f t="shared" si="113"/>
        <v>260</v>
      </c>
      <c r="G1815">
        <f t="shared" si="115"/>
        <v>1.6303846153846062</v>
      </c>
      <c r="H1815">
        <f t="shared" si="116"/>
        <v>1.6042295043502193</v>
      </c>
    </row>
    <row r="1816" spans="1:8" x14ac:dyDescent="0.25">
      <c r="A1816" t="str">
        <f t="shared" si="114"/>
        <v>Multihop,NSFnet,20</v>
      </c>
      <c r="B1816" t="s">
        <v>34</v>
      </c>
      <c r="C1816" t="s">
        <v>6</v>
      </c>
      <c r="D1816">
        <v>20</v>
      </c>
      <c r="E1816">
        <v>257.61500000000001</v>
      </c>
      <c r="F1816">
        <f t="shared" si="113"/>
        <v>260</v>
      </c>
      <c r="G1816">
        <f t="shared" si="115"/>
        <v>0.91730769230768883</v>
      </c>
      <c r="H1816">
        <f t="shared" si="116"/>
        <v>0.92580012809812728</v>
      </c>
    </row>
    <row r="1817" spans="1:8" x14ac:dyDescent="0.25">
      <c r="A1817" t="str">
        <f t="shared" si="114"/>
        <v>Multihop,NSFnet,20</v>
      </c>
      <c r="B1817" t="s">
        <v>34</v>
      </c>
      <c r="C1817" t="s">
        <v>6</v>
      </c>
      <c r="D1817">
        <v>20</v>
      </c>
      <c r="E1817">
        <v>262.08499999999998</v>
      </c>
      <c r="F1817">
        <f t="shared" si="113"/>
        <v>260</v>
      </c>
      <c r="G1817">
        <f t="shared" si="115"/>
        <v>0.80192307692306897</v>
      </c>
      <c r="H1817">
        <f t="shared" si="116"/>
        <v>0.79554343056641141</v>
      </c>
    </row>
    <row r="1818" spans="1:8" x14ac:dyDescent="0.25">
      <c r="A1818" t="str">
        <f t="shared" si="114"/>
        <v>Multihop,NSFnet,20</v>
      </c>
      <c r="B1818" t="s">
        <v>34</v>
      </c>
      <c r="C1818" t="s">
        <v>6</v>
      </c>
      <c r="D1818">
        <v>20</v>
      </c>
      <c r="E1818">
        <v>262.41800000000001</v>
      </c>
      <c r="F1818">
        <f t="shared" si="113"/>
        <v>260</v>
      </c>
      <c r="G1818">
        <f t="shared" si="115"/>
        <v>0.93000000000000249</v>
      </c>
      <c r="H1818">
        <f t="shared" si="116"/>
        <v>0.9214306945407732</v>
      </c>
    </row>
    <row r="1819" spans="1:8" x14ac:dyDescent="0.25">
      <c r="A1819" t="str">
        <f t="shared" si="114"/>
        <v>Multihop,NSFnet,20</v>
      </c>
      <c r="B1819" t="s">
        <v>34</v>
      </c>
      <c r="C1819" t="s">
        <v>6</v>
      </c>
      <c r="D1819">
        <v>20</v>
      </c>
      <c r="E1819">
        <v>267.41399999999999</v>
      </c>
      <c r="F1819">
        <f t="shared" si="113"/>
        <v>260</v>
      </c>
      <c r="G1819">
        <f t="shared" si="115"/>
        <v>2.8515384615384569</v>
      </c>
      <c r="H1819">
        <f t="shared" si="116"/>
        <v>2.7724801244512207</v>
      </c>
    </row>
    <row r="1820" spans="1:8" x14ac:dyDescent="0.25">
      <c r="A1820" t="str">
        <f t="shared" si="114"/>
        <v>Multihop,NSFnet,20</v>
      </c>
      <c r="B1820" t="s">
        <v>34</v>
      </c>
      <c r="C1820" t="s">
        <v>6</v>
      </c>
      <c r="D1820">
        <v>20</v>
      </c>
      <c r="E1820">
        <v>266.77199999999999</v>
      </c>
      <c r="F1820">
        <f t="shared" si="113"/>
        <v>260</v>
      </c>
      <c r="G1820">
        <f t="shared" si="115"/>
        <v>2.6046153846153812</v>
      </c>
      <c r="H1820">
        <f t="shared" si="116"/>
        <v>2.5384972935690371</v>
      </c>
    </row>
    <row r="1821" spans="1:8" x14ac:dyDescent="0.25">
      <c r="A1821" t="str">
        <f t="shared" si="114"/>
        <v>Multihop,NSFnet,20</v>
      </c>
      <c r="B1821" t="s">
        <v>34</v>
      </c>
      <c r="C1821" t="s">
        <v>6</v>
      </c>
      <c r="D1821">
        <v>20</v>
      </c>
      <c r="E1821">
        <v>260.483</v>
      </c>
      <c r="F1821">
        <f t="shared" si="113"/>
        <v>260</v>
      </c>
      <c r="G1821">
        <f t="shared" si="115"/>
        <v>0.18576923076923235</v>
      </c>
      <c r="H1821">
        <f t="shared" si="116"/>
        <v>0.18542476860294305</v>
      </c>
    </row>
    <row r="1822" spans="1:8" x14ac:dyDescent="0.25">
      <c r="A1822" t="str">
        <f t="shared" si="114"/>
        <v>Multihop,NSFnet,20</v>
      </c>
      <c r="B1822" t="s">
        <v>34</v>
      </c>
      <c r="C1822" t="s">
        <v>6</v>
      </c>
      <c r="D1822">
        <v>20</v>
      </c>
      <c r="E1822">
        <v>267.09300000000002</v>
      </c>
      <c r="F1822">
        <f t="shared" si="113"/>
        <v>260</v>
      </c>
      <c r="G1822">
        <f t="shared" si="115"/>
        <v>2.7280769230769297</v>
      </c>
      <c r="H1822">
        <f t="shared" si="116"/>
        <v>2.655629312636429</v>
      </c>
    </row>
    <row r="1823" spans="1:8" x14ac:dyDescent="0.25">
      <c r="A1823" t="str">
        <f t="shared" si="114"/>
        <v>Multihop,NSFnet,20</v>
      </c>
      <c r="B1823" t="s">
        <v>34</v>
      </c>
      <c r="C1823" t="s">
        <v>6</v>
      </c>
      <c r="D1823">
        <v>20</v>
      </c>
      <c r="E1823">
        <v>264.56</v>
      </c>
      <c r="F1823">
        <f t="shared" si="113"/>
        <v>260</v>
      </c>
      <c r="G1823">
        <f t="shared" si="115"/>
        <v>1.7538461538461547</v>
      </c>
      <c r="H1823">
        <f t="shared" si="116"/>
        <v>1.7236165709101914</v>
      </c>
    </row>
    <row r="1824" spans="1:8" x14ac:dyDescent="0.25">
      <c r="A1824" t="str">
        <f t="shared" si="114"/>
        <v>Multihop,NSFnet,20</v>
      </c>
      <c r="B1824" t="s">
        <v>34</v>
      </c>
      <c r="C1824" t="s">
        <v>6</v>
      </c>
      <c r="D1824">
        <v>20</v>
      </c>
      <c r="E1824">
        <v>262.68799999999999</v>
      </c>
      <c r="F1824">
        <f t="shared" si="113"/>
        <v>260</v>
      </c>
      <c r="G1824">
        <f t="shared" si="115"/>
        <v>1.0338461538461492</v>
      </c>
      <c r="H1824">
        <f t="shared" si="116"/>
        <v>1.023267145815564</v>
      </c>
    </row>
    <row r="1825" spans="1:8" x14ac:dyDescent="0.25">
      <c r="A1825" t="str">
        <f t="shared" si="114"/>
        <v>Multihop,NSFnet,20</v>
      </c>
      <c r="B1825" t="s">
        <v>34</v>
      </c>
      <c r="C1825" t="s">
        <v>6</v>
      </c>
      <c r="D1825">
        <v>20</v>
      </c>
      <c r="E1825">
        <v>268.07100000000003</v>
      </c>
      <c r="F1825">
        <f t="shared" si="113"/>
        <v>260</v>
      </c>
      <c r="G1825">
        <f t="shared" si="115"/>
        <v>3.1042307692307793</v>
      </c>
      <c r="H1825">
        <f t="shared" si="116"/>
        <v>3.0107695349366494</v>
      </c>
    </row>
    <row r="1826" spans="1:8" x14ac:dyDescent="0.25">
      <c r="A1826" t="str">
        <f t="shared" si="114"/>
        <v>Multihop,NSFnet,20</v>
      </c>
      <c r="B1826" t="s">
        <v>34</v>
      </c>
      <c r="C1826" t="s">
        <v>6</v>
      </c>
      <c r="D1826">
        <v>20</v>
      </c>
      <c r="E1826">
        <v>263.48700000000002</v>
      </c>
      <c r="F1826">
        <f t="shared" si="113"/>
        <v>260</v>
      </c>
      <c r="G1826">
        <f t="shared" si="115"/>
        <v>1.341153846153855</v>
      </c>
      <c r="H1826">
        <f t="shared" si="116"/>
        <v>1.3234049497698266</v>
      </c>
    </row>
    <row r="1827" spans="1:8" x14ac:dyDescent="0.25">
      <c r="A1827" t="str">
        <f t="shared" si="114"/>
        <v>Multihop,NSFnet,20</v>
      </c>
      <c r="B1827" t="s">
        <v>34</v>
      </c>
      <c r="C1827" t="s">
        <v>6</v>
      </c>
      <c r="D1827">
        <v>20</v>
      </c>
      <c r="E1827">
        <v>265.553</v>
      </c>
      <c r="F1827">
        <f t="shared" si="113"/>
        <v>260</v>
      </c>
      <c r="G1827">
        <f t="shared" si="115"/>
        <v>2.1357692307692298</v>
      </c>
      <c r="H1827">
        <f t="shared" si="116"/>
        <v>2.0911079897421598</v>
      </c>
    </row>
    <row r="1828" spans="1:8" x14ac:dyDescent="0.25">
      <c r="A1828" t="str">
        <f t="shared" si="114"/>
        <v>Multihop,NSFnet,20</v>
      </c>
      <c r="B1828" t="s">
        <v>34</v>
      </c>
      <c r="C1828" t="s">
        <v>6</v>
      </c>
      <c r="D1828">
        <v>20</v>
      </c>
      <c r="E1828">
        <v>264.98700000000002</v>
      </c>
      <c r="F1828">
        <f t="shared" si="113"/>
        <v>260</v>
      </c>
      <c r="G1828">
        <f t="shared" si="115"/>
        <v>1.9180769230769321</v>
      </c>
      <c r="H1828">
        <f t="shared" si="116"/>
        <v>1.8819791159566404</v>
      </c>
    </row>
    <row r="1829" spans="1:8" x14ac:dyDescent="0.25">
      <c r="A1829" t="str">
        <f t="shared" si="114"/>
        <v>Multihop,NSFnet,20</v>
      </c>
      <c r="B1829" t="s">
        <v>34</v>
      </c>
      <c r="C1829" t="s">
        <v>6</v>
      </c>
      <c r="D1829">
        <v>20</v>
      </c>
      <c r="E1829">
        <v>263.35599999999999</v>
      </c>
      <c r="F1829">
        <f t="shared" si="113"/>
        <v>260</v>
      </c>
      <c r="G1829">
        <f t="shared" si="115"/>
        <v>1.2907692307692287</v>
      </c>
      <c r="H1829">
        <f t="shared" si="116"/>
        <v>1.2743206913835243</v>
      </c>
    </row>
    <row r="1830" spans="1:8" x14ac:dyDescent="0.25">
      <c r="A1830" t="str">
        <f t="shared" si="114"/>
        <v>Multihop,NSFnet,20</v>
      </c>
      <c r="B1830" t="s">
        <v>34</v>
      </c>
      <c r="C1830" t="s">
        <v>6</v>
      </c>
      <c r="D1830">
        <v>20</v>
      </c>
      <c r="E1830">
        <v>272.50900000000001</v>
      </c>
      <c r="F1830">
        <f t="shared" si="113"/>
        <v>260</v>
      </c>
      <c r="G1830">
        <f t="shared" si="115"/>
        <v>4.8111538461538519</v>
      </c>
      <c r="H1830">
        <f t="shared" si="116"/>
        <v>4.5903071091230068</v>
      </c>
    </row>
    <row r="1831" spans="1:8" x14ac:dyDescent="0.25">
      <c r="A1831" t="str">
        <f t="shared" si="114"/>
        <v>Multihop,NSFnet,20</v>
      </c>
      <c r="B1831" t="s">
        <v>34</v>
      </c>
      <c r="C1831" t="s">
        <v>6</v>
      </c>
      <c r="D1831">
        <v>20</v>
      </c>
      <c r="E1831">
        <v>261.60399999999998</v>
      </c>
      <c r="F1831">
        <f t="shared" si="113"/>
        <v>260</v>
      </c>
      <c r="G1831">
        <f t="shared" si="115"/>
        <v>0.61692307692307113</v>
      </c>
      <c r="H1831">
        <f t="shared" si="116"/>
        <v>0.61314047185822274</v>
      </c>
    </row>
    <row r="1832" spans="1:8" x14ac:dyDescent="0.25">
      <c r="A1832" t="str">
        <f t="shared" si="114"/>
        <v>Multihop,NSFnet,20</v>
      </c>
      <c r="B1832" t="s">
        <v>34</v>
      </c>
      <c r="C1832" t="s">
        <v>6</v>
      </c>
      <c r="D1832">
        <v>20</v>
      </c>
      <c r="E1832">
        <v>259.15499999999997</v>
      </c>
      <c r="F1832">
        <f t="shared" si="113"/>
        <v>260</v>
      </c>
      <c r="G1832">
        <f t="shared" si="115"/>
        <v>0.3250000000000105</v>
      </c>
      <c r="H1832">
        <f t="shared" si="116"/>
        <v>0.32605969400552853</v>
      </c>
    </row>
    <row r="1833" spans="1:8" x14ac:dyDescent="0.25">
      <c r="A1833" t="str">
        <f t="shared" si="114"/>
        <v>Multihop,NSFnet,20</v>
      </c>
      <c r="B1833" t="s">
        <v>34</v>
      </c>
      <c r="C1833" t="s">
        <v>6</v>
      </c>
      <c r="D1833">
        <v>20</v>
      </c>
      <c r="E1833">
        <v>261.40699999999998</v>
      </c>
      <c r="F1833">
        <f t="shared" si="113"/>
        <v>260</v>
      </c>
      <c r="G1833">
        <f t="shared" si="115"/>
        <v>0.54115384615383932</v>
      </c>
      <c r="H1833">
        <f t="shared" si="116"/>
        <v>0.53824113355800818</v>
      </c>
    </row>
    <row r="1834" spans="1:8" x14ac:dyDescent="0.25">
      <c r="A1834" t="str">
        <f t="shared" si="114"/>
        <v>Multihop,NSFnet,20</v>
      </c>
      <c r="B1834" t="s">
        <v>34</v>
      </c>
      <c r="C1834" t="s">
        <v>6</v>
      </c>
      <c r="D1834">
        <v>20</v>
      </c>
      <c r="E1834">
        <v>263.89100000000002</v>
      </c>
      <c r="F1834">
        <f t="shared" si="113"/>
        <v>260</v>
      </c>
      <c r="G1834">
        <f t="shared" si="115"/>
        <v>1.4965384615384691</v>
      </c>
      <c r="H1834">
        <f t="shared" si="116"/>
        <v>1.4744724147470052</v>
      </c>
    </row>
    <row r="1835" spans="1:8" x14ac:dyDescent="0.25">
      <c r="A1835" t="str">
        <f t="shared" si="114"/>
        <v>Multihop,NSFnet,20</v>
      </c>
      <c r="B1835" t="s">
        <v>34</v>
      </c>
      <c r="C1835" t="s">
        <v>6</v>
      </c>
      <c r="D1835">
        <v>20</v>
      </c>
      <c r="E1835">
        <v>266.70600000000002</v>
      </c>
      <c r="F1835">
        <f t="shared" si="113"/>
        <v>260</v>
      </c>
      <c r="G1835">
        <f t="shared" si="115"/>
        <v>2.5792307692307759</v>
      </c>
      <c r="H1835">
        <f t="shared" si="116"/>
        <v>2.5143791290784674</v>
      </c>
    </row>
    <row r="1836" spans="1:8" x14ac:dyDescent="0.25">
      <c r="A1836" t="str">
        <f t="shared" si="114"/>
        <v>Multihop,NSFnet,20</v>
      </c>
      <c r="B1836" t="s">
        <v>34</v>
      </c>
      <c r="C1836" t="s">
        <v>6</v>
      </c>
      <c r="D1836">
        <v>20</v>
      </c>
      <c r="E1836">
        <v>278.64299999999997</v>
      </c>
      <c r="F1836">
        <f t="shared" si="113"/>
        <v>260</v>
      </c>
      <c r="G1836">
        <f t="shared" si="115"/>
        <v>7.1703846153846049</v>
      </c>
      <c r="H1836">
        <f t="shared" si="116"/>
        <v>6.6906399945449824</v>
      </c>
    </row>
    <row r="1837" spans="1:8" x14ac:dyDescent="0.25">
      <c r="A1837" t="str">
        <f t="shared" si="114"/>
        <v>Multihop,NSFnet,20</v>
      </c>
      <c r="B1837" t="s">
        <v>34</v>
      </c>
      <c r="C1837" t="s">
        <v>6</v>
      </c>
      <c r="D1837">
        <v>20</v>
      </c>
      <c r="E1837">
        <v>269.95</v>
      </c>
      <c r="F1837">
        <f t="shared" si="113"/>
        <v>260</v>
      </c>
      <c r="G1837">
        <f t="shared" si="115"/>
        <v>3.8269230769230722</v>
      </c>
      <c r="H1837">
        <f t="shared" si="116"/>
        <v>3.6858677532876416</v>
      </c>
    </row>
    <row r="1838" spans="1:8" x14ac:dyDescent="0.25">
      <c r="A1838" t="str">
        <f t="shared" si="114"/>
        <v>Multihop,NSFnet,20</v>
      </c>
      <c r="B1838" t="s">
        <v>34</v>
      </c>
      <c r="C1838" t="s">
        <v>6</v>
      </c>
      <c r="D1838">
        <v>20</v>
      </c>
      <c r="E1838">
        <v>263.82299999999998</v>
      </c>
      <c r="F1838">
        <f t="shared" si="113"/>
        <v>260</v>
      </c>
      <c r="G1838">
        <f t="shared" si="115"/>
        <v>1.4703846153846072</v>
      </c>
      <c r="H1838">
        <f t="shared" si="116"/>
        <v>1.4490776012705411</v>
      </c>
    </row>
    <row r="1839" spans="1:8" x14ac:dyDescent="0.25">
      <c r="A1839" t="str">
        <f t="shared" si="114"/>
        <v>Multihop,NSFnet,20</v>
      </c>
      <c r="B1839" t="s">
        <v>34</v>
      </c>
      <c r="C1839" t="s">
        <v>6</v>
      </c>
      <c r="D1839">
        <v>20</v>
      </c>
      <c r="E1839">
        <v>268.25700000000001</v>
      </c>
      <c r="F1839">
        <f t="shared" si="113"/>
        <v>260</v>
      </c>
      <c r="G1839">
        <f t="shared" si="115"/>
        <v>3.1757692307692329</v>
      </c>
      <c r="H1839">
        <f t="shared" si="116"/>
        <v>3.078018467365252</v>
      </c>
    </row>
    <row r="1840" spans="1:8" x14ac:dyDescent="0.25">
      <c r="A1840" t="str">
        <f t="shared" si="114"/>
        <v>Multihop,NSFnet,20</v>
      </c>
      <c r="B1840" t="s">
        <v>34</v>
      </c>
      <c r="C1840" t="s">
        <v>6</v>
      </c>
      <c r="D1840">
        <v>20</v>
      </c>
      <c r="E1840">
        <v>275.19799999999998</v>
      </c>
      <c r="F1840">
        <f t="shared" si="113"/>
        <v>260</v>
      </c>
      <c r="G1840">
        <f t="shared" si="115"/>
        <v>5.8453846153846074</v>
      </c>
      <c r="H1840">
        <f t="shared" si="116"/>
        <v>5.5225692047180504</v>
      </c>
    </row>
    <row r="1841" spans="1:8" x14ac:dyDescent="0.25">
      <c r="A1841" t="str">
        <f t="shared" si="114"/>
        <v>Multihop,NSFnet,20</v>
      </c>
      <c r="B1841" t="s">
        <v>34</v>
      </c>
      <c r="C1841" t="s">
        <v>6</v>
      </c>
      <c r="D1841">
        <v>20</v>
      </c>
      <c r="E1841">
        <v>268.43599999999998</v>
      </c>
      <c r="F1841">
        <f t="shared" si="113"/>
        <v>260</v>
      </c>
      <c r="G1841">
        <f t="shared" si="115"/>
        <v>3.2446153846153765</v>
      </c>
      <c r="H1841">
        <f t="shared" si="116"/>
        <v>3.142648527023193</v>
      </c>
    </row>
    <row r="1842" spans="1:8" x14ac:dyDescent="0.25">
      <c r="A1842" t="str">
        <f t="shared" si="114"/>
        <v>Multihop,NSFnet,20</v>
      </c>
      <c r="B1842" t="s">
        <v>34</v>
      </c>
      <c r="C1842" t="s">
        <v>6</v>
      </c>
      <c r="D1842">
        <v>20</v>
      </c>
      <c r="E1842">
        <v>270.06400000000002</v>
      </c>
      <c r="F1842">
        <f t="shared" si="113"/>
        <v>260</v>
      </c>
      <c r="G1842">
        <f t="shared" si="115"/>
        <v>3.8707692307692385</v>
      </c>
      <c r="H1842">
        <f t="shared" si="116"/>
        <v>3.726524083180291</v>
      </c>
    </row>
    <row r="1843" spans="1:8" x14ac:dyDescent="0.25">
      <c r="A1843" t="str">
        <f t="shared" si="114"/>
        <v>Multihop,NSFnet,20</v>
      </c>
      <c r="B1843" t="s">
        <v>34</v>
      </c>
      <c r="C1843" t="s">
        <v>6</v>
      </c>
      <c r="D1843">
        <v>20</v>
      </c>
      <c r="E1843">
        <v>261.80200000000002</v>
      </c>
      <c r="F1843">
        <f t="shared" si="113"/>
        <v>260</v>
      </c>
      <c r="G1843">
        <f t="shared" si="115"/>
        <v>0.69307692307693114</v>
      </c>
      <c r="H1843">
        <f t="shared" si="116"/>
        <v>0.68830643005019854</v>
      </c>
    </row>
    <row r="1844" spans="1:8" x14ac:dyDescent="0.25">
      <c r="A1844" t="str">
        <f t="shared" si="114"/>
        <v>Multihop,NSFnet,20</v>
      </c>
      <c r="B1844" t="s">
        <v>34</v>
      </c>
      <c r="C1844" t="s">
        <v>6</v>
      </c>
      <c r="D1844">
        <v>20</v>
      </c>
      <c r="E1844">
        <v>266.21699999999998</v>
      </c>
      <c r="F1844">
        <f t="shared" si="113"/>
        <v>260</v>
      </c>
      <c r="G1844">
        <f t="shared" si="115"/>
        <v>2.39115384615384</v>
      </c>
      <c r="H1844">
        <f t="shared" si="116"/>
        <v>2.335312921413728</v>
      </c>
    </row>
    <row r="1845" spans="1:8" x14ac:dyDescent="0.25">
      <c r="A1845" t="str">
        <f t="shared" si="114"/>
        <v>Multihop,NSFnet,20</v>
      </c>
      <c r="B1845" t="s">
        <v>34</v>
      </c>
      <c r="C1845" t="s">
        <v>6</v>
      </c>
      <c r="D1845">
        <v>20</v>
      </c>
      <c r="E1845">
        <v>261.11500000000001</v>
      </c>
      <c r="F1845">
        <f t="shared" si="113"/>
        <v>260</v>
      </c>
      <c r="G1845">
        <f t="shared" si="115"/>
        <v>0.42884615384615732</v>
      </c>
      <c r="H1845">
        <f t="shared" si="116"/>
        <v>0.42701491679911496</v>
      </c>
    </row>
    <row r="1846" spans="1:8" x14ac:dyDescent="0.25">
      <c r="A1846" t="str">
        <f t="shared" si="114"/>
        <v>Multihop,NSFnet,20</v>
      </c>
      <c r="B1846" t="s">
        <v>34</v>
      </c>
      <c r="C1846" t="s">
        <v>6</v>
      </c>
      <c r="D1846">
        <v>20</v>
      </c>
      <c r="E1846">
        <v>263.35199999999998</v>
      </c>
      <c r="F1846">
        <f t="shared" si="113"/>
        <v>260</v>
      </c>
      <c r="G1846">
        <f t="shared" si="115"/>
        <v>1.2892307692307596</v>
      </c>
      <c r="H1846">
        <f t="shared" si="116"/>
        <v>1.2728211671071326</v>
      </c>
    </row>
    <row r="1847" spans="1:8" x14ac:dyDescent="0.25">
      <c r="A1847" t="str">
        <f t="shared" si="114"/>
        <v>Multihop,NSFnet,20</v>
      </c>
      <c r="B1847" t="s">
        <v>34</v>
      </c>
      <c r="C1847" t="s">
        <v>6</v>
      </c>
      <c r="D1847">
        <v>20</v>
      </c>
      <c r="E1847">
        <v>262.85500000000002</v>
      </c>
      <c r="F1847">
        <f t="shared" si="113"/>
        <v>260</v>
      </c>
      <c r="G1847">
        <f t="shared" si="115"/>
        <v>1.0980769230769301</v>
      </c>
      <c r="H1847">
        <f t="shared" si="116"/>
        <v>1.0861501588328235</v>
      </c>
    </row>
    <row r="1848" spans="1:8" x14ac:dyDescent="0.25">
      <c r="A1848" t="str">
        <f t="shared" si="114"/>
        <v>Multihop,NSFnet,20</v>
      </c>
      <c r="B1848" t="s">
        <v>34</v>
      </c>
      <c r="C1848" t="s">
        <v>6</v>
      </c>
      <c r="D1848">
        <v>20</v>
      </c>
      <c r="E1848">
        <v>266.48700000000002</v>
      </c>
      <c r="F1848">
        <f t="shared" si="113"/>
        <v>260</v>
      </c>
      <c r="G1848">
        <f t="shared" si="115"/>
        <v>2.495000000000009</v>
      </c>
      <c r="H1848">
        <f t="shared" si="116"/>
        <v>2.4342650861017696</v>
      </c>
    </row>
    <row r="1849" spans="1:8" x14ac:dyDescent="0.25">
      <c r="A1849" t="str">
        <f t="shared" si="114"/>
        <v>Multihop,NSFnet,20</v>
      </c>
      <c r="B1849" t="s">
        <v>34</v>
      </c>
      <c r="C1849" t="s">
        <v>6</v>
      </c>
      <c r="D1849">
        <v>20</v>
      </c>
      <c r="E1849">
        <v>271.87400000000002</v>
      </c>
      <c r="F1849">
        <f t="shared" si="113"/>
        <v>260</v>
      </c>
      <c r="G1849">
        <f t="shared" si="115"/>
        <v>4.5669230769230857</v>
      </c>
      <c r="H1849">
        <f t="shared" si="116"/>
        <v>4.3674643400987305</v>
      </c>
    </row>
    <row r="1850" spans="1:8" x14ac:dyDescent="0.25">
      <c r="A1850" t="str">
        <f t="shared" si="114"/>
        <v>Multihop,NSFnet,20</v>
      </c>
      <c r="B1850" t="s">
        <v>34</v>
      </c>
      <c r="C1850" t="s">
        <v>6</v>
      </c>
      <c r="D1850">
        <v>20</v>
      </c>
      <c r="E1850">
        <v>265.40699999999998</v>
      </c>
      <c r="F1850">
        <f t="shared" si="113"/>
        <v>260</v>
      </c>
      <c r="G1850">
        <f t="shared" si="115"/>
        <v>2.0796153846153778</v>
      </c>
      <c r="H1850">
        <f t="shared" si="116"/>
        <v>2.0372484523769092</v>
      </c>
    </row>
    <row r="1851" spans="1:8" x14ac:dyDescent="0.25">
      <c r="A1851" t="str">
        <f t="shared" si="114"/>
        <v>Multihop,NSFnet,20</v>
      </c>
      <c r="B1851" t="s">
        <v>34</v>
      </c>
      <c r="C1851" t="s">
        <v>6</v>
      </c>
      <c r="D1851">
        <v>20</v>
      </c>
      <c r="E1851">
        <v>266.70600000000002</v>
      </c>
      <c r="F1851">
        <f t="shared" si="113"/>
        <v>260</v>
      </c>
      <c r="G1851">
        <f t="shared" si="115"/>
        <v>2.5792307692307759</v>
      </c>
      <c r="H1851">
        <f t="shared" si="116"/>
        <v>2.5143791290784674</v>
      </c>
    </row>
    <row r="1852" spans="1:8" x14ac:dyDescent="0.25">
      <c r="A1852" t="str">
        <f t="shared" si="114"/>
        <v>Multihop,NSFnet,20</v>
      </c>
      <c r="B1852" t="s">
        <v>34</v>
      </c>
      <c r="C1852" t="s">
        <v>6</v>
      </c>
      <c r="D1852">
        <v>20</v>
      </c>
      <c r="E1852">
        <v>261.48700000000002</v>
      </c>
      <c r="F1852">
        <f t="shared" si="113"/>
        <v>260</v>
      </c>
      <c r="G1852">
        <f t="shared" si="115"/>
        <v>0.57192307692308586</v>
      </c>
      <c r="H1852">
        <f t="shared" si="116"/>
        <v>0.56867071785596346</v>
      </c>
    </row>
    <row r="1853" spans="1:8" x14ac:dyDescent="0.25">
      <c r="A1853" t="str">
        <f t="shared" si="114"/>
        <v>Multihop,NSFnet,20</v>
      </c>
      <c r="B1853" t="s">
        <v>34</v>
      </c>
      <c r="C1853" t="s">
        <v>6</v>
      </c>
      <c r="D1853">
        <v>20</v>
      </c>
      <c r="E1853">
        <v>260.56400000000002</v>
      </c>
      <c r="F1853">
        <f t="shared" si="113"/>
        <v>260</v>
      </c>
      <c r="G1853">
        <f t="shared" si="115"/>
        <v>0.21692307692308516</v>
      </c>
      <c r="H1853">
        <f t="shared" si="116"/>
        <v>0.21645353924564459</v>
      </c>
    </row>
    <row r="1854" spans="1:8" x14ac:dyDescent="0.25">
      <c r="A1854" t="str">
        <f t="shared" si="114"/>
        <v>Multihop,NSFnet,20</v>
      </c>
      <c r="B1854" t="s">
        <v>34</v>
      </c>
      <c r="C1854" t="s">
        <v>6</v>
      </c>
      <c r="D1854">
        <v>20</v>
      </c>
      <c r="E1854">
        <v>265.43599999999998</v>
      </c>
      <c r="F1854">
        <f t="shared" si="113"/>
        <v>260</v>
      </c>
      <c r="G1854">
        <f t="shared" si="115"/>
        <v>2.0907692307692223</v>
      </c>
      <c r="H1854">
        <f t="shared" si="116"/>
        <v>2.0479512952274672</v>
      </c>
    </row>
    <row r="1855" spans="1:8" x14ac:dyDescent="0.25">
      <c r="A1855" t="str">
        <f t="shared" si="114"/>
        <v>Multihop,NSFnet,20</v>
      </c>
      <c r="B1855" t="s">
        <v>34</v>
      </c>
      <c r="C1855" t="s">
        <v>6</v>
      </c>
      <c r="D1855">
        <v>20</v>
      </c>
      <c r="E1855">
        <v>264.541</v>
      </c>
      <c r="F1855">
        <f t="shared" si="113"/>
        <v>260</v>
      </c>
      <c r="G1855">
        <f t="shared" si="115"/>
        <v>1.7465384615384605</v>
      </c>
      <c r="H1855">
        <f t="shared" si="116"/>
        <v>1.7165581138651465</v>
      </c>
    </row>
    <row r="1856" spans="1:8" x14ac:dyDescent="0.25">
      <c r="A1856" t="str">
        <f t="shared" si="114"/>
        <v>Multihop,NSFnet,20</v>
      </c>
      <c r="B1856" t="s">
        <v>34</v>
      </c>
      <c r="C1856" t="s">
        <v>6</v>
      </c>
      <c r="D1856">
        <v>20</v>
      </c>
      <c r="E1856">
        <v>263.42500000000001</v>
      </c>
      <c r="F1856">
        <f t="shared" si="113"/>
        <v>260</v>
      </c>
      <c r="G1856">
        <f t="shared" si="115"/>
        <v>1.3173076923076965</v>
      </c>
      <c r="H1856">
        <f t="shared" si="116"/>
        <v>1.3001803169782713</v>
      </c>
    </row>
    <row r="1857" spans="1:8" x14ac:dyDescent="0.25">
      <c r="A1857" t="str">
        <f t="shared" si="114"/>
        <v>Multihop,NSFnet,20</v>
      </c>
      <c r="B1857" t="s">
        <v>34</v>
      </c>
      <c r="C1857" t="s">
        <v>6</v>
      </c>
      <c r="D1857">
        <v>20</v>
      </c>
      <c r="E1857">
        <v>264.19499999999999</v>
      </c>
      <c r="F1857">
        <f t="shared" si="113"/>
        <v>260</v>
      </c>
      <c r="G1857">
        <f t="shared" si="115"/>
        <v>1.6134615384615358</v>
      </c>
      <c r="H1857">
        <f t="shared" si="116"/>
        <v>1.5878423134427198</v>
      </c>
    </row>
    <row r="1858" spans="1:8" x14ac:dyDescent="0.25">
      <c r="A1858" t="str">
        <f t="shared" si="114"/>
        <v>Multihop,NSFnet,20</v>
      </c>
      <c r="B1858" t="s">
        <v>34</v>
      </c>
      <c r="C1858" t="s">
        <v>6</v>
      </c>
      <c r="D1858">
        <v>20</v>
      </c>
      <c r="E1858">
        <v>271.84500000000003</v>
      </c>
      <c r="F1858">
        <f t="shared" si="113"/>
        <v>260</v>
      </c>
      <c r="G1858">
        <f t="shared" si="115"/>
        <v>4.5557692307692408</v>
      </c>
      <c r="H1858">
        <f t="shared" si="116"/>
        <v>4.3572624105648536</v>
      </c>
    </row>
    <row r="1859" spans="1:8" x14ac:dyDescent="0.25">
      <c r="A1859" t="str">
        <f t="shared" si="114"/>
        <v>Multihop,NSFnet,20</v>
      </c>
      <c r="B1859" t="s">
        <v>34</v>
      </c>
      <c r="C1859" t="s">
        <v>6</v>
      </c>
      <c r="D1859">
        <v>20</v>
      </c>
      <c r="E1859">
        <v>260.40699999999998</v>
      </c>
      <c r="F1859">
        <f t="shared" ref="F1859:F1922" si="117">_xlfn.XLOOKUP(A1859,$J$3:$J$36,$N$3:$N$36)</f>
        <v>260</v>
      </c>
      <c r="G1859">
        <f t="shared" si="115"/>
        <v>0.15653846153845472</v>
      </c>
      <c r="H1859">
        <f t="shared" si="116"/>
        <v>0.15629380162590956</v>
      </c>
    </row>
    <row r="1860" spans="1:8" x14ac:dyDescent="0.25">
      <c r="A1860" t="str">
        <f t="shared" ref="A1860:A1923" si="118">B1860&amp;","&amp;C1860&amp;","&amp;D1860</f>
        <v>Multihop,NSFnet,20</v>
      </c>
      <c r="B1860" t="s">
        <v>34</v>
      </c>
      <c r="C1860" t="s">
        <v>6</v>
      </c>
      <c r="D1860">
        <v>20</v>
      </c>
      <c r="E1860">
        <v>264.99799999999999</v>
      </c>
      <c r="F1860">
        <f t="shared" si="117"/>
        <v>260</v>
      </c>
      <c r="G1860">
        <f t="shared" ref="G1860:G1923" si="119">ABS((E1860-F1860)/F1860)*100</f>
        <v>1.9223076923076887</v>
      </c>
      <c r="H1860">
        <f t="shared" ref="H1860:H1923" si="120">ABS((F1860-E1860)/E1860)*100</f>
        <v>1.8860519702035454</v>
      </c>
    </row>
    <row r="1861" spans="1:8" x14ac:dyDescent="0.25">
      <c r="A1861" t="str">
        <f t="shared" si="118"/>
        <v>Multihop,NSFnet,20</v>
      </c>
      <c r="B1861" t="s">
        <v>34</v>
      </c>
      <c r="C1861" t="s">
        <v>6</v>
      </c>
      <c r="D1861">
        <v>20</v>
      </c>
      <c r="E1861">
        <v>267.63299999999998</v>
      </c>
      <c r="F1861">
        <f t="shared" si="117"/>
        <v>260</v>
      </c>
      <c r="G1861">
        <f t="shared" si="119"/>
        <v>2.9357692307692238</v>
      </c>
      <c r="H1861">
        <f t="shared" si="120"/>
        <v>2.8520399203386662</v>
      </c>
    </row>
    <row r="1862" spans="1:8" x14ac:dyDescent="0.25">
      <c r="A1862" t="str">
        <f t="shared" si="118"/>
        <v>Multihop,NSFnet,20</v>
      </c>
      <c r="B1862" t="s">
        <v>34</v>
      </c>
      <c r="C1862" t="s">
        <v>6</v>
      </c>
      <c r="D1862">
        <v>20</v>
      </c>
      <c r="E1862">
        <v>264.41000000000003</v>
      </c>
      <c r="F1862">
        <f t="shared" si="117"/>
        <v>260</v>
      </c>
      <c r="G1862">
        <f t="shared" si="119"/>
        <v>1.6961538461538559</v>
      </c>
      <c r="H1862">
        <f t="shared" si="120"/>
        <v>1.6678643016527457</v>
      </c>
    </row>
    <row r="1863" spans="1:8" x14ac:dyDescent="0.25">
      <c r="A1863" t="str">
        <f t="shared" si="118"/>
        <v>Multihop,NSFnet,20</v>
      </c>
      <c r="B1863" t="s">
        <v>34</v>
      </c>
      <c r="C1863" t="s">
        <v>6</v>
      </c>
      <c r="D1863">
        <v>20</v>
      </c>
      <c r="E1863">
        <v>267.80399999999997</v>
      </c>
      <c r="F1863">
        <f t="shared" si="117"/>
        <v>260</v>
      </c>
      <c r="G1863">
        <f t="shared" si="119"/>
        <v>3.0015384615384515</v>
      </c>
      <c r="H1863">
        <f t="shared" si="120"/>
        <v>2.9140714851159708</v>
      </c>
    </row>
    <row r="1864" spans="1:8" x14ac:dyDescent="0.25">
      <c r="A1864" t="str">
        <f t="shared" si="118"/>
        <v>Multihop,NSFnet,20</v>
      </c>
      <c r="B1864" t="s">
        <v>34</v>
      </c>
      <c r="C1864" t="s">
        <v>6</v>
      </c>
      <c r="D1864">
        <v>20</v>
      </c>
      <c r="E1864">
        <v>256.53100000000001</v>
      </c>
      <c r="F1864">
        <f t="shared" si="117"/>
        <v>260</v>
      </c>
      <c r="G1864">
        <f t="shared" si="119"/>
        <v>1.3342307692307669</v>
      </c>
      <c r="H1864">
        <f t="shared" si="120"/>
        <v>1.3522732145432692</v>
      </c>
    </row>
    <row r="1865" spans="1:8" x14ac:dyDescent="0.25">
      <c r="A1865" t="str">
        <f t="shared" si="118"/>
        <v>Multihop,NSFnet,20</v>
      </c>
      <c r="B1865" t="s">
        <v>34</v>
      </c>
      <c r="C1865" t="s">
        <v>6</v>
      </c>
      <c r="D1865">
        <v>20</v>
      </c>
      <c r="E1865">
        <v>265.553</v>
      </c>
      <c r="F1865">
        <f t="shared" si="117"/>
        <v>260</v>
      </c>
      <c r="G1865">
        <f t="shared" si="119"/>
        <v>2.1357692307692298</v>
      </c>
      <c r="H1865">
        <f t="shared" si="120"/>
        <v>2.0911079897421598</v>
      </c>
    </row>
    <row r="1866" spans="1:8" x14ac:dyDescent="0.25">
      <c r="A1866" t="str">
        <f t="shared" si="118"/>
        <v>Multihop,NSFnet,20</v>
      </c>
      <c r="B1866" t="s">
        <v>34</v>
      </c>
      <c r="C1866" t="s">
        <v>6</v>
      </c>
      <c r="D1866">
        <v>20</v>
      </c>
      <c r="E1866">
        <v>256.34100000000001</v>
      </c>
      <c r="F1866">
        <f t="shared" si="117"/>
        <v>260</v>
      </c>
      <c r="G1866">
        <f t="shared" si="119"/>
        <v>1.407307692307689</v>
      </c>
      <c r="H1866">
        <f t="shared" si="120"/>
        <v>1.4273955395352251</v>
      </c>
    </row>
    <row r="1867" spans="1:8" x14ac:dyDescent="0.25">
      <c r="A1867" t="str">
        <f t="shared" si="118"/>
        <v>Multihop,NSFnet,20</v>
      </c>
      <c r="B1867" t="s">
        <v>34</v>
      </c>
      <c r="C1867" t="s">
        <v>6</v>
      </c>
      <c r="D1867">
        <v>20</v>
      </c>
      <c r="E1867">
        <v>266.50900000000001</v>
      </c>
      <c r="F1867">
        <f t="shared" si="117"/>
        <v>260</v>
      </c>
      <c r="G1867">
        <f t="shared" si="119"/>
        <v>2.503461538461544</v>
      </c>
      <c r="H1867">
        <f t="shared" si="120"/>
        <v>2.4423190211212433</v>
      </c>
    </row>
    <row r="1868" spans="1:8" x14ac:dyDescent="0.25">
      <c r="A1868" t="str">
        <f t="shared" si="118"/>
        <v>Multihop,NSFnet,20</v>
      </c>
      <c r="B1868" t="s">
        <v>34</v>
      </c>
      <c r="C1868" t="s">
        <v>6</v>
      </c>
      <c r="D1868">
        <v>20</v>
      </c>
      <c r="E1868">
        <v>271.06400000000002</v>
      </c>
      <c r="F1868">
        <f t="shared" si="117"/>
        <v>260</v>
      </c>
      <c r="G1868">
        <f t="shared" si="119"/>
        <v>4.2553846153846235</v>
      </c>
      <c r="H1868">
        <f t="shared" si="120"/>
        <v>4.0816928843372864</v>
      </c>
    </row>
    <row r="1869" spans="1:8" x14ac:dyDescent="0.25">
      <c r="A1869" t="str">
        <f t="shared" si="118"/>
        <v>Multihop,NSFnet,20</v>
      </c>
      <c r="B1869" t="s">
        <v>34</v>
      </c>
      <c r="C1869" t="s">
        <v>6</v>
      </c>
      <c r="D1869">
        <v>20</v>
      </c>
      <c r="E1869">
        <v>268.85199999999998</v>
      </c>
      <c r="F1869">
        <f t="shared" si="117"/>
        <v>260</v>
      </c>
      <c r="G1869">
        <f t="shared" si="119"/>
        <v>3.4046153846153753</v>
      </c>
      <c r="H1869">
        <f t="shared" si="120"/>
        <v>3.2925178164938242</v>
      </c>
    </row>
    <row r="1870" spans="1:8" x14ac:dyDescent="0.25">
      <c r="A1870" t="str">
        <f t="shared" si="118"/>
        <v>Multihop,NSFnet,20</v>
      </c>
      <c r="B1870" t="s">
        <v>34</v>
      </c>
      <c r="C1870" t="s">
        <v>6</v>
      </c>
      <c r="D1870">
        <v>20</v>
      </c>
      <c r="E1870">
        <v>276.09300000000002</v>
      </c>
      <c r="F1870">
        <f t="shared" si="117"/>
        <v>260</v>
      </c>
      <c r="G1870">
        <f t="shared" si="119"/>
        <v>6.189615384615391</v>
      </c>
      <c r="H1870">
        <f t="shared" si="120"/>
        <v>5.8288330381429505</v>
      </c>
    </row>
    <row r="1871" spans="1:8" x14ac:dyDescent="0.25">
      <c r="A1871" t="str">
        <f t="shared" si="118"/>
        <v>Multihop,NSFnet,20</v>
      </c>
      <c r="B1871" t="s">
        <v>34</v>
      </c>
      <c r="C1871" t="s">
        <v>6</v>
      </c>
      <c r="D1871">
        <v>20</v>
      </c>
      <c r="E1871">
        <v>271.11</v>
      </c>
      <c r="F1871">
        <f t="shared" si="117"/>
        <v>260</v>
      </c>
      <c r="G1871">
        <f t="shared" si="119"/>
        <v>4.2730769230769283</v>
      </c>
      <c r="H1871">
        <f t="shared" si="120"/>
        <v>4.0979676146213766</v>
      </c>
    </row>
    <row r="1872" spans="1:8" x14ac:dyDescent="0.25">
      <c r="A1872" t="str">
        <f t="shared" si="118"/>
        <v>Multihop,NSFnet,20</v>
      </c>
      <c r="B1872" t="s">
        <v>34</v>
      </c>
      <c r="C1872" t="s">
        <v>6</v>
      </c>
      <c r="D1872">
        <v>20</v>
      </c>
      <c r="E1872">
        <v>263.18799999999999</v>
      </c>
      <c r="F1872">
        <f t="shared" si="117"/>
        <v>260</v>
      </c>
      <c r="G1872">
        <f t="shared" si="119"/>
        <v>1.2261538461538415</v>
      </c>
      <c r="H1872">
        <f t="shared" si="120"/>
        <v>1.2113014271167333</v>
      </c>
    </row>
    <row r="1873" spans="1:8" x14ac:dyDescent="0.25">
      <c r="A1873" t="str">
        <f t="shared" si="118"/>
        <v>Multihop,NSFnet,20</v>
      </c>
      <c r="B1873" t="s">
        <v>34</v>
      </c>
      <c r="C1873" t="s">
        <v>6</v>
      </c>
      <c r="D1873">
        <v>20</v>
      </c>
      <c r="E1873">
        <v>261.04899999999998</v>
      </c>
      <c r="F1873">
        <f t="shared" si="117"/>
        <v>260</v>
      </c>
      <c r="G1873">
        <f t="shared" si="119"/>
        <v>0.40346153846153004</v>
      </c>
      <c r="H1873">
        <f t="shared" si="120"/>
        <v>0.40184026753597152</v>
      </c>
    </row>
    <row r="1874" spans="1:8" x14ac:dyDescent="0.25">
      <c r="A1874" t="str">
        <f t="shared" si="118"/>
        <v>Multihop,NSFnet,20</v>
      </c>
      <c r="B1874" t="s">
        <v>34</v>
      </c>
      <c r="C1874" t="s">
        <v>6</v>
      </c>
      <c r="D1874">
        <v>20</v>
      </c>
      <c r="E1874">
        <v>265.70600000000002</v>
      </c>
      <c r="F1874">
        <f t="shared" si="117"/>
        <v>260</v>
      </c>
      <c r="G1874">
        <f t="shared" si="119"/>
        <v>2.1946153846153913</v>
      </c>
      <c r="H1874">
        <f t="shared" si="120"/>
        <v>2.147486319465882</v>
      </c>
    </row>
    <row r="1875" spans="1:8" x14ac:dyDescent="0.25">
      <c r="A1875" t="str">
        <f t="shared" si="118"/>
        <v>Multihop,NSFnet,20</v>
      </c>
      <c r="B1875" t="s">
        <v>34</v>
      </c>
      <c r="C1875" t="s">
        <v>6</v>
      </c>
      <c r="D1875">
        <v>20</v>
      </c>
      <c r="E1875">
        <v>257.04899999999998</v>
      </c>
      <c r="F1875">
        <f t="shared" si="117"/>
        <v>260</v>
      </c>
      <c r="G1875">
        <f t="shared" si="119"/>
        <v>1.1350000000000084</v>
      </c>
      <c r="H1875">
        <f t="shared" si="120"/>
        <v>1.1480301421129908</v>
      </c>
    </row>
    <row r="1876" spans="1:8" x14ac:dyDescent="0.25">
      <c r="A1876" t="str">
        <f t="shared" si="118"/>
        <v>Multihop,NSFnet,20</v>
      </c>
      <c r="B1876" t="s">
        <v>34</v>
      </c>
      <c r="C1876" t="s">
        <v>6</v>
      </c>
      <c r="D1876">
        <v>20</v>
      </c>
      <c r="E1876">
        <v>262.83</v>
      </c>
      <c r="F1876">
        <f t="shared" si="117"/>
        <v>260</v>
      </c>
      <c r="G1876">
        <f t="shared" si="119"/>
        <v>1.0884615384615324</v>
      </c>
      <c r="H1876">
        <f t="shared" si="120"/>
        <v>1.0767416200585871</v>
      </c>
    </row>
    <row r="1877" spans="1:8" x14ac:dyDescent="0.25">
      <c r="A1877" t="str">
        <f t="shared" si="118"/>
        <v>Multihop,NSFnet,20</v>
      </c>
      <c r="B1877" t="s">
        <v>34</v>
      </c>
      <c r="C1877" t="s">
        <v>6</v>
      </c>
      <c r="D1877">
        <v>20</v>
      </c>
      <c r="E1877">
        <v>270.06400000000002</v>
      </c>
      <c r="F1877">
        <f t="shared" si="117"/>
        <v>260</v>
      </c>
      <c r="G1877">
        <f t="shared" si="119"/>
        <v>3.8707692307692385</v>
      </c>
      <c r="H1877">
        <f t="shared" si="120"/>
        <v>3.726524083180291</v>
      </c>
    </row>
    <row r="1878" spans="1:8" x14ac:dyDescent="0.25">
      <c r="A1878" t="str">
        <f t="shared" si="118"/>
        <v>Multihop,NSFnet,20</v>
      </c>
      <c r="B1878" t="s">
        <v>34</v>
      </c>
      <c r="C1878" t="s">
        <v>6</v>
      </c>
      <c r="D1878">
        <v>20</v>
      </c>
      <c r="E1878">
        <v>266.69900000000001</v>
      </c>
      <c r="F1878">
        <f t="shared" si="117"/>
        <v>260</v>
      </c>
      <c r="G1878">
        <f t="shared" si="119"/>
        <v>2.5765384615384663</v>
      </c>
      <c r="H1878">
        <f t="shared" si="120"/>
        <v>2.5118204417714396</v>
      </c>
    </row>
    <row r="1879" spans="1:8" x14ac:dyDescent="0.25">
      <c r="A1879" t="str">
        <f t="shared" si="118"/>
        <v>Multihop,NSFnet,20</v>
      </c>
      <c r="B1879" t="s">
        <v>34</v>
      </c>
      <c r="C1879" t="s">
        <v>6</v>
      </c>
      <c r="D1879">
        <v>20</v>
      </c>
      <c r="E1879">
        <v>264.70600000000002</v>
      </c>
      <c r="F1879">
        <f t="shared" si="117"/>
        <v>260</v>
      </c>
      <c r="G1879">
        <f t="shared" si="119"/>
        <v>1.8100000000000067</v>
      </c>
      <c r="H1879">
        <f t="shared" si="120"/>
        <v>1.7778214320793697</v>
      </c>
    </row>
    <row r="1880" spans="1:8" x14ac:dyDescent="0.25">
      <c r="A1880" t="str">
        <f t="shared" si="118"/>
        <v>Multihop,NSFnet,20</v>
      </c>
      <c r="B1880" t="s">
        <v>34</v>
      </c>
      <c r="C1880" t="s">
        <v>6</v>
      </c>
      <c r="D1880">
        <v>20</v>
      </c>
      <c r="E1880">
        <v>277.947</v>
      </c>
      <c r="F1880">
        <f t="shared" si="117"/>
        <v>260</v>
      </c>
      <c r="G1880">
        <f t="shared" si="119"/>
        <v>6.9026923076923081</v>
      </c>
      <c r="H1880">
        <f t="shared" si="120"/>
        <v>6.4569864038827554</v>
      </c>
    </row>
    <row r="1881" spans="1:8" x14ac:dyDescent="0.25">
      <c r="A1881" t="str">
        <f t="shared" si="118"/>
        <v>Multihop,NSFnet,20</v>
      </c>
      <c r="B1881" t="s">
        <v>34</v>
      </c>
      <c r="C1881" t="s">
        <v>6</v>
      </c>
      <c r="D1881">
        <v>20</v>
      </c>
      <c r="E1881">
        <v>267.88400000000001</v>
      </c>
      <c r="F1881">
        <f t="shared" si="117"/>
        <v>260</v>
      </c>
      <c r="G1881">
        <f t="shared" si="119"/>
        <v>3.0323076923076981</v>
      </c>
      <c r="H1881">
        <f t="shared" si="120"/>
        <v>2.9430649086918272</v>
      </c>
    </row>
    <row r="1882" spans="1:8" x14ac:dyDescent="0.25">
      <c r="A1882" t="str">
        <f t="shared" si="118"/>
        <v>Multihop,NSFnet,20</v>
      </c>
      <c r="B1882" t="s">
        <v>34</v>
      </c>
      <c r="C1882" t="s">
        <v>6</v>
      </c>
      <c r="D1882">
        <v>20</v>
      </c>
      <c r="E1882">
        <v>266.58199999999999</v>
      </c>
      <c r="F1882">
        <f t="shared" si="117"/>
        <v>260</v>
      </c>
      <c r="G1882">
        <f t="shared" si="119"/>
        <v>2.5315384615384589</v>
      </c>
      <c r="H1882">
        <f t="shared" si="120"/>
        <v>2.4690339182690479</v>
      </c>
    </row>
    <row r="1883" spans="1:8" x14ac:dyDescent="0.25">
      <c r="A1883" t="str">
        <f t="shared" si="118"/>
        <v>Multihop,NSFnet,20</v>
      </c>
      <c r="B1883" t="s">
        <v>34</v>
      </c>
      <c r="C1883" t="s">
        <v>6</v>
      </c>
      <c r="D1883">
        <v>20</v>
      </c>
      <c r="E1883">
        <v>258.63299999999998</v>
      </c>
      <c r="F1883">
        <f t="shared" si="117"/>
        <v>260</v>
      </c>
      <c r="G1883">
        <f t="shared" si="119"/>
        <v>0.52576923076923798</v>
      </c>
      <c r="H1883">
        <f t="shared" si="120"/>
        <v>0.52854817444023716</v>
      </c>
    </row>
    <row r="1884" spans="1:8" x14ac:dyDescent="0.25">
      <c r="A1884" t="str">
        <f t="shared" si="118"/>
        <v>Multihop,NSFnet,20</v>
      </c>
      <c r="B1884" t="s">
        <v>34</v>
      </c>
      <c r="C1884" t="s">
        <v>6</v>
      </c>
      <c r="D1884">
        <v>20</v>
      </c>
      <c r="E1884">
        <v>262.83</v>
      </c>
      <c r="F1884">
        <f t="shared" si="117"/>
        <v>260</v>
      </c>
      <c r="G1884">
        <f t="shared" si="119"/>
        <v>1.0884615384615324</v>
      </c>
      <c r="H1884">
        <f t="shared" si="120"/>
        <v>1.0767416200585871</v>
      </c>
    </row>
    <row r="1885" spans="1:8" x14ac:dyDescent="0.25">
      <c r="A1885" t="str">
        <f t="shared" si="118"/>
        <v>Multihop,NSFnet,20</v>
      </c>
      <c r="B1885" t="s">
        <v>34</v>
      </c>
      <c r="C1885" t="s">
        <v>6</v>
      </c>
      <c r="D1885">
        <v>20</v>
      </c>
      <c r="E1885">
        <v>265.89600000000002</v>
      </c>
      <c r="F1885">
        <f t="shared" si="117"/>
        <v>260</v>
      </c>
      <c r="G1885">
        <f t="shared" si="119"/>
        <v>2.2676923076923137</v>
      </c>
      <c r="H1885">
        <f t="shared" si="120"/>
        <v>2.2174083100159518</v>
      </c>
    </row>
    <row r="1886" spans="1:8" x14ac:dyDescent="0.25">
      <c r="A1886" t="str">
        <f t="shared" si="118"/>
        <v>Multihop,NSFnet,20</v>
      </c>
      <c r="B1886" t="s">
        <v>34</v>
      </c>
      <c r="C1886" t="s">
        <v>6</v>
      </c>
      <c r="D1886">
        <v>20</v>
      </c>
      <c r="E1886">
        <v>268.92399999999998</v>
      </c>
      <c r="F1886">
        <f t="shared" si="117"/>
        <v>260</v>
      </c>
      <c r="G1886">
        <f t="shared" si="119"/>
        <v>3.4323076923076838</v>
      </c>
      <c r="H1886">
        <f t="shared" si="120"/>
        <v>3.3184096622093895</v>
      </c>
    </row>
    <row r="1887" spans="1:8" x14ac:dyDescent="0.25">
      <c r="A1887" t="str">
        <f t="shared" si="118"/>
        <v>Multihop,NSFnet,20</v>
      </c>
      <c r="B1887" t="s">
        <v>34</v>
      </c>
      <c r="C1887" t="s">
        <v>6</v>
      </c>
      <c r="D1887">
        <v>20</v>
      </c>
      <c r="E1887">
        <v>270.68</v>
      </c>
      <c r="F1887">
        <f t="shared" si="117"/>
        <v>260</v>
      </c>
      <c r="G1887">
        <f t="shared" si="119"/>
        <v>4.10769230769231</v>
      </c>
      <c r="H1887">
        <f t="shared" si="120"/>
        <v>3.9456184424412615</v>
      </c>
    </row>
    <row r="1888" spans="1:8" x14ac:dyDescent="0.25">
      <c r="A1888" t="str">
        <f t="shared" si="118"/>
        <v>Multihop,NSFnet,20</v>
      </c>
      <c r="B1888" t="s">
        <v>34</v>
      </c>
      <c r="C1888" t="s">
        <v>6</v>
      </c>
      <c r="D1888">
        <v>20</v>
      </c>
      <c r="E1888">
        <v>257.96899999999999</v>
      </c>
      <c r="F1888">
        <f t="shared" si="117"/>
        <v>260</v>
      </c>
      <c r="G1888">
        <f t="shared" si="119"/>
        <v>0.78115384615384842</v>
      </c>
      <c r="H1888">
        <f t="shared" si="120"/>
        <v>0.78730390085630675</v>
      </c>
    </row>
    <row r="1889" spans="1:8" x14ac:dyDescent="0.25">
      <c r="A1889" t="str">
        <f t="shared" si="118"/>
        <v>Multihop,NSFnet,20</v>
      </c>
      <c r="B1889" t="s">
        <v>34</v>
      </c>
      <c r="C1889" t="s">
        <v>6</v>
      </c>
      <c r="D1889">
        <v>20</v>
      </c>
      <c r="E1889">
        <v>262.29300000000001</v>
      </c>
      <c r="F1889">
        <f t="shared" si="117"/>
        <v>260</v>
      </c>
      <c r="G1889">
        <f t="shared" si="119"/>
        <v>0.88192307692307947</v>
      </c>
      <c r="H1889">
        <f t="shared" si="120"/>
        <v>0.87421318906719059</v>
      </c>
    </row>
    <row r="1890" spans="1:8" x14ac:dyDescent="0.25">
      <c r="A1890" t="str">
        <f t="shared" si="118"/>
        <v>Multihop,NSFnet,20</v>
      </c>
      <c r="B1890" t="s">
        <v>34</v>
      </c>
      <c r="C1890" t="s">
        <v>6</v>
      </c>
      <c r="D1890">
        <v>20</v>
      </c>
      <c r="E1890">
        <v>265.81200000000001</v>
      </c>
      <c r="F1890">
        <f t="shared" si="117"/>
        <v>260</v>
      </c>
      <c r="G1890">
        <f t="shared" si="119"/>
        <v>2.23538461538462</v>
      </c>
      <c r="H1890">
        <f t="shared" si="120"/>
        <v>2.1865077573623508</v>
      </c>
    </row>
    <row r="1891" spans="1:8" x14ac:dyDescent="0.25">
      <c r="A1891" t="str">
        <f t="shared" si="118"/>
        <v>Multihop,NSFnet,20</v>
      </c>
      <c r="B1891" t="s">
        <v>34</v>
      </c>
      <c r="C1891" t="s">
        <v>6</v>
      </c>
      <c r="D1891">
        <v>20</v>
      </c>
      <c r="E1891">
        <v>273.79399999999998</v>
      </c>
      <c r="F1891">
        <f t="shared" si="117"/>
        <v>260</v>
      </c>
      <c r="G1891">
        <f t="shared" si="119"/>
        <v>5.3053846153846091</v>
      </c>
      <c r="H1891">
        <f t="shared" si="120"/>
        <v>5.0380943336961304</v>
      </c>
    </row>
    <row r="1892" spans="1:8" x14ac:dyDescent="0.25">
      <c r="A1892" t="str">
        <f t="shared" si="118"/>
        <v>Multihop,NSFnet,20</v>
      </c>
      <c r="B1892" t="s">
        <v>34</v>
      </c>
      <c r="C1892" t="s">
        <v>6</v>
      </c>
      <c r="D1892">
        <v>20</v>
      </c>
      <c r="E1892">
        <v>265.48700000000002</v>
      </c>
      <c r="F1892">
        <f t="shared" si="117"/>
        <v>260</v>
      </c>
      <c r="G1892">
        <f t="shared" si="119"/>
        <v>2.1103846153846244</v>
      </c>
      <c r="H1892">
        <f t="shared" si="120"/>
        <v>2.0667678643398824</v>
      </c>
    </row>
    <row r="1893" spans="1:8" x14ac:dyDescent="0.25">
      <c r="A1893" t="str">
        <f t="shared" si="118"/>
        <v>Multihop,NSFnet,20</v>
      </c>
      <c r="B1893" t="s">
        <v>34</v>
      </c>
      <c r="C1893" t="s">
        <v>6</v>
      </c>
      <c r="D1893">
        <v>20</v>
      </c>
      <c r="E1893">
        <v>274.29000000000002</v>
      </c>
      <c r="F1893">
        <f t="shared" si="117"/>
        <v>260</v>
      </c>
      <c r="G1893">
        <f t="shared" si="119"/>
        <v>5.4961538461538542</v>
      </c>
      <c r="H1893">
        <f t="shared" si="120"/>
        <v>5.2098144299828713</v>
      </c>
    </row>
    <row r="1894" spans="1:8" x14ac:dyDescent="0.25">
      <c r="A1894" t="str">
        <f t="shared" si="118"/>
        <v>Multihop,NSFnet,20</v>
      </c>
      <c r="B1894" t="s">
        <v>34</v>
      </c>
      <c r="C1894" t="s">
        <v>6</v>
      </c>
      <c r="D1894">
        <v>20</v>
      </c>
      <c r="E1894">
        <v>262.334</v>
      </c>
      <c r="F1894">
        <f t="shared" si="117"/>
        <v>260</v>
      </c>
      <c r="G1894">
        <f t="shared" si="119"/>
        <v>0.8976923076923089</v>
      </c>
      <c r="H1894">
        <f t="shared" si="120"/>
        <v>0.88970548994793019</v>
      </c>
    </row>
    <row r="1895" spans="1:8" x14ac:dyDescent="0.25">
      <c r="A1895" t="str">
        <f t="shared" si="118"/>
        <v>Multihop,NSFnet,20</v>
      </c>
      <c r="B1895" t="s">
        <v>34</v>
      </c>
      <c r="C1895" t="s">
        <v>6</v>
      </c>
      <c r="D1895">
        <v>20</v>
      </c>
      <c r="E1895">
        <v>262.60399999999998</v>
      </c>
      <c r="F1895">
        <f t="shared" si="117"/>
        <v>260</v>
      </c>
      <c r="G1895">
        <f t="shared" si="119"/>
        <v>1.0015384615384557</v>
      </c>
      <c r="H1895">
        <f t="shared" si="120"/>
        <v>0.99160713469710471</v>
      </c>
    </row>
    <row r="1896" spans="1:8" x14ac:dyDescent="0.25">
      <c r="A1896" t="str">
        <f t="shared" si="118"/>
        <v>Multihop,NSFnet,20</v>
      </c>
      <c r="B1896" t="s">
        <v>34</v>
      </c>
      <c r="C1896" t="s">
        <v>6</v>
      </c>
      <c r="D1896">
        <v>20</v>
      </c>
      <c r="E1896">
        <v>263.56</v>
      </c>
      <c r="F1896">
        <f t="shared" si="117"/>
        <v>260</v>
      </c>
      <c r="G1896">
        <f t="shared" si="119"/>
        <v>1.3692307692307701</v>
      </c>
      <c r="H1896">
        <f t="shared" si="120"/>
        <v>1.3507360752769777</v>
      </c>
    </row>
    <row r="1897" spans="1:8" x14ac:dyDescent="0.25">
      <c r="A1897" t="str">
        <f t="shared" si="118"/>
        <v>Multihop,NSFnet,20</v>
      </c>
      <c r="B1897" t="s">
        <v>34</v>
      </c>
      <c r="C1897" t="s">
        <v>6</v>
      </c>
      <c r="D1897">
        <v>20</v>
      </c>
      <c r="E1897">
        <v>262.18799999999999</v>
      </c>
      <c r="F1897">
        <f t="shared" si="117"/>
        <v>260</v>
      </c>
      <c r="G1897">
        <f t="shared" si="119"/>
        <v>0.84153846153845691</v>
      </c>
      <c r="H1897">
        <f t="shared" si="120"/>
        <v>0.83451569103085887</v>
      </c>
    </row>
    <row r="1898" spans="1:8" x14ac:dyDescent="0.25">
      <c r="A1898" t="str">
        <f t="shared" si="118"/>
        <v>Multihop,NSFnet,20</v>
      </c>
      <c r="B1898" t="s">
        <v>34</v>
      </c>
      <c r="C1898" t="s">
        <v>6</v>
      </c>
      <c r="D1898">
        <v>20</v>
      </c>
      <c r="E1898">
        <v>264.42500000000001</v>
      </c>
      <c r="F1898">
        <f t="shared" si="117"/>
        <v>260</v>
      </c>
      <c r="G1898">
        <f t="shared" si="119"/>
        <v>1.7019230769230815</v>
      </c>
      <c r="H1898">
        <f t="shared" si="120"/>
        <v>1.67344237496455</v>
      </c>
    </row>
    <row r="1899" spans="1:8" x14ac:dyDescent="0.25">
      <c r="A1899" t="str">
        <f t="shared" si="118"/>
        <v>Multihop,NSFnet,20</v>
      </c>
      <c r="B1899" t="s">
        <v>34</v>
      </c>
      <c r="C1899" t="s">
        <v>6</v>
      </c>
      <c r="D1899">
        <v>20</v>
      </c>
      <c r="E1899">
        <v>264.41399999999999</v>
      </c>
      <c r="F1899">
        <f t="shared" si="117"/>
        <v>260</v>
      </c>
      <c r="G1899">
        <f t="shared" si="119"/>
        <v>1.6976923076923027</v>
      </c>
      <c r="H1899">
        <f t="shared" si="120"/>
        <v>1.6693518497507651</v>
      </c>
    </row>
    <row r="1900" spans="1:8" x14ac:dyDescent="0.25">
      <c r="A1900" t="str">
        <f t="shared" si="118"/>
        <v>Multihop,NSFnet,20</v>
      </c>
      <c r="B1900" t="s">
        <v>34</v>
      </c>
      <c r="C1900" t="s">
        <v>6</v>
      </c>
      <c r="D1900">
        <v>20</v>
      </c>
      <c r="E1900">
        <v>264.62599999999998</v>
      </c>
      <c r="F1900">
        <f t="shared" si="117"/>
        <v>260</v>
      </c>
      <c r="G1900">
        <f t="shared" si="119"/>
        <v>1.7792307692307601</v>
      </c>
      <c r="H1900">
        <f t="shared" si="120"/>
        <v>1.748127546046109</v>
      </c>
    </row>
    <row r="1901" spans="1:8" x14ac:dyDescent="0.25">
      <c r="A1901" t="str">
        <f t="shared" si="118"/>
        <v>Multihop,NSFnet,20</v>
      </c>
      <c r="B1901" t="s">
        <v>34</v>
      </c>
      <c r="C1901" t="s">
        <v>6</v>
      </c>
      <c r="D1901">
        <v>20</v>
      </c>
      <c r="E1901">
        <v>265.56</v>
      </c>
      <c r="F1901">
        <f t="shared" si="117"/>
        <v>260</v>
      </c>
      <c r="G1901">
        <f t="shared" si="119"/>
        <v>2.1384615384615393</v>
      </c>
      <c r="H1901">
        <f t="shared" si="120"/>
        <v>2.0936888085555059</v>
      </c>
    </row>
    <row r="1902" spans="1:8" x14ac:dyDescent="0.25">
      <c r="A1902" t="str">
        <f t="shared" si="118"/>
        <v>Multihop,NSFnet,20</v>
      </c>
      <c r="B1902" t="s">
        <v>34</v>
      </c>
      <c r="C1902" t="s">
        <v>6</v>
      </c>
      <c r="D1902">
        <v>20</v>
      </c>
      <c r="E1902">
        <v>262.90699999999998</v>
      </c>
      <c r="F1902">
        <f t="shared" si="117"/>
        <v>260</v>
      </c>
      <c r="G1902">
        <f t="shared" si="119"/>
        <v>1.1180769230769163</v>
      </c>
      <c r="H1902">
        <f t="shared" si="120"/>
        <v>1.1057141879067436</v>
      </c>
    </row>
    <row r="1903" spans="1:8" x14ac:dyDescent="0.25">
      <c r="A1903" t="str">
        <f t="shared" si="118"/>
        <v>Multihop,NSFnet,40</v>
      </c>
      <c r="B1903" t="s">
        <v>34</v>
      </c>
      <c r="C1903" t="s">
        <v>6</v>
      </c>
      <c r="D1903">
        <v>40</v>
      </c>
      <c r="E1903">
        <v>458.56799999999998</v>
      </c>
      <c r="F1903">
        <f t="shared" si="117"/>
        <v>458</v>
      </c>
      <c r="G1903">
        <f t="shared" si="119"/>
        <v>0.12401746724890472</v>
      </c>
      <c r="H1903">
        <f t="shared" si="120"/>
        <v>0.12386385443379905</v>
      </c>
    </row>
    <row r="1904" spans="1:8" x14ac:dyDescent="0.25">
      <c r="A1904" t="str">
        <f t="shared" si="118"/>
        <v>Multihop,NSFnet,40</v>
      </c>
      <c r="B1904" t="s">
        <v>34</v>
      </c>
      <c r="C1904" t="s">
        <v>6</v>
      </c>
      <c r="D1904">
        <v>40</v>
      </c>
      <c r="E1904">
        <v>464.88499999999999</v>
      </c>
      <c r="F1904">
        <f t="shared" si="117"/>
        <v>458</v>
      </c>
      <c r="G1904">
        <f t="shared" si="119"/>
        <v>1.5032751091703036</v>
      </c>
      <c r="H1904">
        <f t="shared" si="120"/>
        <v>1.481011432935025</v>
      </c>
    </row>
    <row r="1905" spans="1:8" x14ac:dyDescent="0.25">
      <c r="A1905" t="str">
        <f t="shared" si="118"/>
        <v>Multihop,NSFnet,40</v>
      </c>
      <c r="B1905" t="s">
        <v>34</v>
      </c>
      <c r="C1905" t="s">
        <v>6</v>
      </c>
      <c r="D1905">
        <v>40</v>
      </c>
      <c r="E1905">
        <v>464.83</v>
      </c>
      <c r="F1905">
        <f t="shared" si="117"/>
        <v>458</v>
      </c>
      <c r="G1905">
        <f t="shared" si="119"/>
        <v>1.491266375545848</v>
      </c>
      <c r="H1905">
        <f t="shared" si="120"/>
        <v>1.4693543876255801</v>
      </c>
    </row>
    <row r="1906" spans="1:8" x14ac:dyDescent="0.25">
      <c r="A1906" t="str">
        <f t="shared" si="118"/>
        <v>Multihop,NSFnet,40</v>
      </c>
      <c r="B1906" t="s">
        <v>34</v>
      </c>
      <c r="C1906" t="s">
        <v>6</v>
      </c>
      <c r="D1906">
        <v>40</v>
      </c>
      <c r="E1906">
        <v>455.85</v>
      </c>
      <c r="F1906">
        <f t="shared" si="117"/>
        <v>458</v>
      </c>
      <c r="G1906">
        <f t="shared" si="119"/>
        <v>0.46943231441047534</v>
      </c>
      <c r="H1906">
        <f t="shared" si="120"/>
        <v>0.47164637490402045</v>
      </c>
    </row>
    <row r="1907" spans="1:8" x14ac:dyDescent="0.25">
      <c r="A1907" t="str">
        <f t="shared" si="118"/>
        <v>Multihop,NSFnet,40</v>
      </c>
      <c r="B1907" t="s">
        <v>34</v>
      </c>
      <c r="C1907" t="s">
        <v>6</v>
      </c>
      <c r="D1907">
        <v>40</v>
      </c>
      <c r="E1907">
        <v>470.86</v>
      </c>
      <c r="F1907">
        <f t="shared" si="117"/>
        <v>458</v>
      </c>
      <c r="G1907">
        <f t="shared" si="119"/>
        <v>2.8078602620087363</v>
      </c>
      <c r="H1907">
        <f t="shared" si="120"/>
        <v>2.7311727477381842</v>
      </c>
    </row>
    <row r="1908" spans="1:8" x14ac:dyDescent="0.25">
      <c r="A1908" t="str">
        <f t="shared" si="118"/>
        <v>Multihop,NSFnet,40</v>
      </c>
      <c r="B1908" t="s">
        <v>34</v>
      </c>
      <c r="C1908" t="s">
        <v>6</v>
      </c>
      <c r="D1908">
        <v>40</v>
      </c>
      <c r="E1908">
        <v>452.93599999999998</v>
      </c>
      <c r="F1908">
        <f t="shared" si="117"/>
        <v>458</v>
      </c>
      <c r="G1908">
        <f t="shared" si="119"/>
        <v>1.105676855895201</v>
      </c>
      <c r="H1908">
        <f t="shared" si="120"/>
        <v>1.1180387516117114</v>
      </c>
    </row>
    <row r="1909" spans="1:8" x14ac:dyDescent="0.25">
      <c r="A1909" t="str">
        <f t="shared" si="118"/>
        <v>Multihop,NSFnet,40</v>
      </c>
      <c r="B1909" t="s">
        <v>34</v>
      </c>
      <c r="C1909" t="s">
        <v>6</v>
      </c>
      <c r="D1909">
        <v>40</v>
      </c>
      <c r="E1909">
        <v>472.00599999999997</v>
      </c>
      <c r="F1909">
        <f t="shared" si="117"/>
        <v>458</v>
      </c>
      <c r="G1909">
        <f t="shared" si="119"/>
        <v>3.058078602620081</v>
      </c>
      <c r="H1909">
        <f t="shared" si="120"/>
        <v>2.9673351609937106</v>
      </c>
    </row>
    <row r="1910" spans="1:8" x14ac:dyDescent="0.25">
      <c r="A1910" t="str">
        <f t="shared" si="118"/>
        <v>Multihop,NSFnet,40</v>
      </c>
      <c r="B1910" t="s">
        <v>34</v>
      </c>
      <c r="C1910" t="s">
        <v>6</v>
      </c>
      <c r="D1910">
        <v>40</v>
      </c>
      <c r="E1910">
        <v>455.38299999999998</v>
      </c>
      <c r="F1910">
        <f t="shared" si="117"/>
        <v>458</v>
      </c>
      <c r="G1910">
        <f t="shared" si="119"/>
        <v>0.57139737991266792</v>
      </c>
      <c r="H1910">
        <f t="shared" si="120"/>
        <v>0.57468109261874489</v>
      </c>
    </row>
    <row r="1911" spans="1:8" x14ac:dyDescent="0.25">
      <c r="A1911" t="str">
        <f t="shared" si="118"/>
        <v>Multihop,NSFnet,40</v>
      </c>
      <c r="B1911" t="s">
        <v>34</v>
      </c>
      <c r="C1911" t="s">
        <v>6</v>
      </c>
      <c r="D1911">
        <v>40</v>
      </c>
      <c r="E1911">
        <v>455.31900000000002</v>
      </c>
      <c r="F1911">
        <f t="shared" si="117"/>
        <v>458</v>
      </c>
      <c r="G1911">
        <f t="shared" si="119"/>
        <v>0.58537117903929758</v>
      </c>
      <c r="H1911">
        <f t="shared" si="120"/>
        <v>0.58881794961334433</v>
      </c>
    </row>
    <row r="1912" spans="1:8" x14ac:dyDescent="0.25">
      <c r="A1912" t="str">
        <f t="shared" si="118"/>
        <v>Multihop,NSFnet,40</v>
      </c>
      <c r="B1912" t="s">
        <v>34</v>
      </c>
      <c r="C1912" t="s">
        <v>6</v>
      </c>
      <c r="D1912">
        <v>40</v>
      </c>
      <c r="E1912">
        <v>433.98</v>
      </c>
      <c r="F1912">
        <f t="shared" si="117"/>
        <v>458</v>
      </c>
      <c r="G1912">
        <f t="shared" si="119"/>
        <v>5.2445414847161533</v>
      </c>
      <c r="H1912">
        <f t="shared" si="120"/>
        <v>5.5348172726853733</v>
      </c>
    </row>
    <row r="1913" spans="1:8" x14ac:dyDescent="0.25">
      <c r="A1913" t="str">
        <f t="shared" si="118"/>
        <v>Multihop,NSFnet,40</v>
      </c>
      <c r="B1913" t="s">
        <v>34</v>
      </c>
      <c r="C1913" t="s">
        <v>6</v>
      </c>
      <c r="D1913">
        <v>40</v>
      </c>
      <c r="E1913">
        <v>469.78699999999998</v>
      </c>
      <c r="F1913">
        <f t="shared" si="117"/>
        <v>458</v>
      </c>
      <c r="G1913">
        <f t="shared" si="119"/>
        <v>2.5735807860261963</v>
      </c>
      <c r="H1913">
        <f t="shared" si="120"/>
        <v>2.5090094021333025</v>
      </c>
    </row>
    <row r="1914" spans="1:8" x14ac:dyDescent="0.25">
      <c r="A1914" t="str">
        <f t="shared" si="118"/>
        <v>Multihop,NSFnet,40</v>
      </c>
      <c r="B1914" t="s">
        <v>34</v>
      </c>
      <c r="C1914" t="s">
        <v>6</v>
      </c>
      <c r="D1914">
        <v>40</v>
      </c>
      <c r="E1914">
        <v>460.08800000000002</v>
      </c>
      <c r="F1914">
        <f t="shared" si="117"/>
        <v>458</v>
      </c>
      <c r="G1914">
        <f t="shared" si="119"/>
        <v>0.45589519650655513</v>
      </c>
      <c r="H1914">
        <f t="shared" si="120"/>
        <v>0.45382622454835209</v>
      </c>
    </row>
    <row r="1915" spans="1:8" x14ac:dyDescent="0.25">
      <c r="A1915" t="str">
        <f t="shared" si="118"/>
        <v>Multihop,NSFnet,40</v>
      </c>
      <c r="B1915" t="s">
        <v>34</v>
      </c>
      <c r="C1915" t="s">
        <v>6</v>
      </c>
      <c r="D1915">
        <v>40</v>
      </c>
      <c r="E1915">
        <v>453.35700000000003</v>
      </c>
      <c r="F1915">
        <f t="shared" si="117"/>
        <v>458</v>
      </c>
      <c r="G1915">
        <f t="shared" si="119"/>
        <v>1.0137554585152779</v>
      </c>
      <c r="H1915">
        <f t="shared" si="120"/>
        <v>1.0241377104577567</v>
      </c>
    </row>
    <row r="1916" spans="1:8" x14ac:dyDescent="0.25">
      <c r="A1916" t="str">
        <f t="shared" si="118"/>
        <v>Multihop,NSFnet,40</v>
      </c>
      <c r="B1916" t="s">
        <v>34</v>
      </c>
      <c r="C1916" t="s">
        <v>6</v>
      </c>
      <c r="D1916">
        <v>40</v>
      </c>
      <c r="E1916">
        <v>494.50599999999997</v>
      </c>
      <c r="F1916">
        <f t="shared" si="117"/>
        <v>458</v>
      </c>
      <c r="G1916">
        <f t="shared" si="119"/>
        <v>7.9707423580785957</v>
      </c>
      <c r="H1916">
        <f t="shared" si="120"/>
        <v>7.3823168980760547</v>
      </c>
    </row>
    <row r="1917" spans="1:8" x14ac:dyDescent="0.25">
      <c r="A1917" t="str">
        <f t="shared" si="118"/>
        <v>Multihop,NSFnet,40</v>
      </c>
      <c r="B1917" t="s">
        <v>34</v>
      </c>
      <c r="C1917" t="s">
        <v>6</v>
      </c>
      <c r="D1917">
        <v>40</v>
      </c>
      <c r="E1917">
        <v>454.67200000000003</v>
      </c>
      <c r="F1917">
        <f t="shared" si="117"/>
        <v>458</v>
      </c>
      <c r="G1917">
        <f t="shared" si="119"/>
        <v>0.72663755458514723</v>
      </c>
      <c r="H1917">
        <f t="shared" si="120"/>
        <v>0.73195622338740329</v>
      </c>
    </row>
    <row r="1918" spans="1:8" x14ac:dyDescent="0.25">
      <c r="A1918" t="str">
        <f t="shared" si="118"/>
        <v>Multihop,NSFnet,40</v>
      </c>
      <c r="B1918" t="s">
        <v>34</v>
      </c>
      <c r="C1918" t="s">
        <v>6</v>
      </c>
      <c r="D1918">
        <v>40</v>
      </c>
      <c r="E1918">
        <v>460.73899999999998</v>
      </c>
      <c r="F1918">
        <f t="shared" si="117"/>
        <v>458</v>
      </c>
      <c r="G1918">
        <f t="shared" si="119"/>
        <v>0.59803493449781131</v>
      </c>
      <c r="H1918">
        <f t="shared" si="120"/>
        <v>0.59447973798614318</v>
      </c>
    </row>
    <row r="1919" spans="1:8" x14ac:dyDescent="0.25">
      <c r="A1919" t="str">
        <f t="shared" si="118"/>
        <v>Multihop,NSFnet,40</v>
      </c>
      <c r="B1919" t="s">
        <v>34</v>
      </c>
      <c r="C1919" t="s">
        <v>6</v>
      </c>
      <c r="D1919">
        <v>40</v>
      </c>
      <c r="E1919">
        <v>452.58699999999999</v>
      </c>
      <c r="F1919">
        <f t="shared" si="117"/>
        <v>458</v>
      </c>
      <c r="G1919">
        <f t="shared" si="119"/>
        <v>1.1818777292576443</v>
      </c>
      <c r="H1919">
        <f t="shared" si="120"/>
        <v>1.1960131422245912</v>
      </c>
    </row>
    <row r="1920" spans="1:8" x14ac:dyDescent="0.25">
      <c r="A1920" t="str">
        <f t="shared" si="118"/>
        <v>Multihop,NSFnet,40</v>
      </c>
      <c r="B1920" t="s">
        <v>34</v>
      </c>
      <c r="C1920" t="s">
        <v>6</v>
      </c>
      <c r="D1920">
        <v>40</v>
      </c>
      <c r="E1920">
        <v>473.87200000000001</v>
      </c>
      <c r="F1920">
        <f t="shared" si="117"/>
        <v>458</v>
      </c>
      <c r="G1920">
        <f t="shared" si="119"/>
        <v>3.4655021834061168</v>
      </c>
      <c r="H1920">
        <f t="shared" si="120"/>
        <v>3.3494276935543805</v>
      </c>
    </row>
    <row r="1921" spans="1:8" x14ac:dyDescent="0.25">
      <c r="A1921" t="str">
        <f t="shared" si="118"/>
        <v>Multihop,NSFnet,40</v>
      </c>
      <c r="B1921" t="s">
        <v>34</v>
      </c>
      <c r="C1921" t="s">
        <v>6</v>
      </c>
      <c r="D1921">
        <v>40</v>
      </c>
      <c r="E1921">
        <v>447.80399999999997</v>
      </c>
      <c r="F1921">
        <f t="shared" si="117"/>
        <v>458</v>
      </c>
      <c r="G1921">
        <f t="shared" si="119"/>
        <v>2.2262008733624512</v>
      </c>
      <c r="H1921">
        <f t="shared" si="120"/>
        <v>2.2768889960786476</v>
      </c>
    </row>
    <row r="1922" spans="1:8" x14ac:dyDescent="0.25">
      <c r="A1922" t="str">
        <f t="shared" si="118"/>
        <v>Multihop,NSFnet,40</v>
      </c>
      <c r="B1922" t="s">
        <v>34</v>
      </c>
      <c r="C1922" t="s">
        <v>6</v>
      </c>
      <c r="D1922">
        <v>40</v>
      </c>
      <c r="E1922">
        <v>468.43</v>
      </c>
      <c r="F1922">
        <f t="shared" si="117"/>
        <v>458</v>
      </c>
      <c r="G1922">
        <f t="shared" si="119"/>
        <v>2.2772925764192156</v>
      </c>
      <c r="H1922">
        <f t="shared" si="120"/>
        <v>2.2265866831757162</v>
      </c>
    </row>
    <row r="1923" spans="1:8" x14ac:dyDescent="0.25">
      <c r="A1923" t="str">
        <f t="shared" si="118"/>
        <v>Multihop,NSFnet,40</v>
      </c>
      <c r="B1923" t="s">
        <v>34</v>
      </c>
      <c r="C1923" t="s">
        <v>6</v>
      </c>
      <c r="D1923">
        <v>40</v>
      </c>
      <c r="E1923">
        <v>471.49200000000002</v>
      </c>
      <c r="F1923">
        <f t="shared" ref="F1923:F1986" si="121">_xlfn.XLOOKUP(A1923,$J$3:$J$36,$N$3:$N$36)</f>
        <v>458</v>
      </c>
      <c r="G1923">
        <f t="shared" si="119"/>
        <v>2.9458515283842837</v>
      </c>
      <c r="H1923">
        <f t="shared" si="120"/>
        <v>2.8615543848039877</v>
      </c>
    </row>
    <row r="1924" spans="1:8" x14ac:dyDescent="0.25">
      <c r="A1924" t="str">
        <f t="shared" ref="A1924:A1987" si="122">B1924&amp;","&amp;C1924&amp;","&amp;D1924</f>
        <v>Multihop,NSFnet,40</v>
      </c>
      <c r="B1924" t="s">
        <v>34</v>
      </c>
      <c r="C1924" t="s">
        <v>6</v>
      </c>
      <c r="D1924">
        <v>40</v>
      </c>
      <c r="E1924">
        <v>456.29199999999997</v>
      </c>
      <c r="F1924">
        <f t="shared" si="121"/>
        <v>458</v>
      </c>
      <c r="G1924">
        <f t="shared" ref="G1924:G1987" si="123">ABS((E1924-F1924)/F1924)*100</f>
        <v>0.37292576419214557</v>
      </c>
      <c r="H1924">
        <f t="shared" ref="H1924:H1987" si="124">ABS((F1924-E1924)/E1924)*100</f>
        <v>0.37432170627581174</v>
      </c>
    </row>
    <row r="1925" spans="1:8" x14ac:dyDescent="0.25">
      <c r="A1925" t="str">
        <f t="shared" si="122"/>
        <v>Multihop,NSFnet,40</v>
      </c>
      <c r="B1925" t="s">
        <v>34</v>
      </c>
      <c r="C1925" t="s">
        <v>6</v>
      </c>
      <c r="D1925">
        <v>40</v>
      </c>
      <c r="E1925">
        <v>448.85</v>
      </c>
      <c r="F1925">
        <f t="shared" si="121"/>
        <v>458</v>
      </c>
      <c r="G1925">
        <f t="shared" si="123"/>
        <v>1.9978165938864578</v>
      </c>
      <c r="H1925">
        <f t="shared" si="124"/>
        <v>2.0385429430767465</v>
      </c>
    </row>
    <row r="1926" spans="1:8" x14ac:dyDescent="0.25">
      <c r="A1926" t="str">
        <f t="shared" si="122"/>
        <v>Multihop,NSFnet,40</v>
      </c>
      <c r="B1926" t="s">
        <v>34</v>
      </c>
      <c r="C1926" t="s">
        <v>6</v>
      </c>
      <c r="D1926">
        <v>40</v>
      </c>
      <c r="E1926">
        <v>454.28800000000001</v>
      </c>
      <c r="F1926">
        <f t="shared" si="121"/>
        <v>458</v>
      </c>
      <c r="G1926">
        <f t="shared" si="123"/>
        <v>0.8104803493449757</v>
      </c>
      <c r="H1926">
        <f t="shared" si="124"/>
        <v>0.81710280702989924</v>
      </c>
    </row>
    <row r="1927" spans="1:8" x14ac:dyDescent="0.25">
      <c r="A1927" t="str">
        <f t="shared" si="122"/>
        <v>Multihop,NSFnet,40</v>
      </c>
      <c r="B1927" t="s">
        <v>34</v>
      </c>
      <c r="C1927" t="s">
        <v>6</v>
      </c>
      <c r="D1927">
        <v>40</v>
      </c>
      <c r="E1927">
        <v>476.22899999999998</v>
      </c>
      <c r="F1927">
        <f t="shared" si="121"/>
        <v>458</v>
      </c>
      <c r="G1927">
        <f t="shared" si="123"/>
        <v>3.9801310043668088</v>
      </c>
      <c r="H1927">
        <f t="shared" si="124"/>
        <v>3.8277803325710922</v>
      </c>
    </row>
    <row r="1928" spans="1:8" x14ac:dyDescent="0.25">
      <c r="A1928" t="str">
        <f t="shared" si="122"/>
        <v>Multihop,NSFnet,40</v>
      </c>
      <c r="B1928" t="s">
        <v>34</v>
      </c>
      <c r="C1928" t="s">
        <v>6</v>
      </c>
      <c r="D1928">
        <v>40</v>
      </c>
      <c r="E1928">
        <v>436.791</v>
      </c>
      <c r="F1928">
        <f t="shared" si="121"/>
        <v>458</v>
      </c>
      <c r="G1928">
        <f t="shared" si="123"/>
        <v>4.630786026200874</v>
      </c>
      <c r="H1928">
        <f t="shared" si="124"/>
        <v>4.8556403405747837</v>
      </c>
    </row>
    <row r="1929" spans="1:8" x14ac:dyDescent="0.25">
      <c r="A1929" t="str">
        <f t="shared" si="122"/>
        <v>Multihop,NSFnet,40</v>
      </c>
      <c r="B1929" t="s">
        <v>34</v>
      </c>
      <c r="C1929" t="s">
        <v>6</v>
      </c>
      <c r="D1929">
        <v>40</v>
      </c>
      <c r="E1929">
        <v>478.7</v>
      </c>
      <c r="F1929">
        <f t="shared" si="121"/>
        <v>458</v>
      </c>
      <c r="G1929">
        <f t="shared" si="123"/>
        <v>4.5196506550218309</v>
      </c>
      <c r="H1929">
        <f t="shared" si="124"/>
        <v>4.324211405890952</v>
      </c>
    </row>
    <row r="1930" spans="1:8" x14ac:dyDescent="0.25">
      <c r="A1930" t="str">
        <f t="shared" si="122"/>
        <v>Multihop,NSFnet,40</v>
      </c>
      <c r="B1930" t="s">
        <v>34</v>
      </c>
      <c r="C1930" t="s">
        <v>6</v>
      </c>
      <c r="D1930">
        <v>40</v>
      </c>
      <c r="E1930">
        <v>457.49299999999999</v>
      </c>
      <c r="F1930">
        <f t="shared" si="121"/>
        <v>458</v>
      </c>
      <c r="G1930">
        <f t="shared" si="123"/>
        <v>0.11069868995633297</v>
      </c>
      <c r="H1930">
        <f t="shared" si="124"/>
        <v>0.11082136775863348</v>
      </c>
    </row>
    <row r="1931" spans="1:8" x14ac:dyDescent="0.25">
      <c r="A1931" t="str">
        <f t="shared" si="122"/>
        <v>Multihop,NSFnet,40</v>
      </c>
      <c r="B1931" t="s">
        <v>34</v>
      </c>
      <c r="C1931" t="s">
        <v>6</v>
      </c>
      <c r="D1931">
        <v>40</v>
      </c>
      <c r="E1931">
        <v>460.88499999999999</v>
      </c>
      <c r="F1931">
        <f t="shared" si="121"/>
        <v>458</v>
      </c>
      <c r="G1931">
        <f t="shared" si="123"/>
        <v>0.62991266375545651</v>
      </c>
      <c r="H1931">
        <f t="shared" si="124"/>
        <v>0.6259696019614418</v>
      </c>
    </row>
    <row r="1932" spans="1:8" x14ac:dyDescent="0.25">
      <c r="A1932" t="str">
        <f t="shared" si="122"/>
        <v>Multihop,NSFnet,40</v>
      </c>
      <c r="B1932" t="s">
        <v>34</v>
      </c>
      <c r="C1932" t="s">
        <v>6</v>
      </c>
      <c r="D1932">
        <v>40</v>
      </c>
      <c r="E1932">
        <v>456.923</v>
      </c>
      <c r="F1932">
        <f t="shared" si="121"/>
        <v>458</v>
      </c>
      <c r="G1932">
        <f t="shared" si="123"/>
        <v>0.23515283842794718</v>
      </c>
      <c r="H1932">
        <f t="shared" si="124"/>
        <v>0.23570711038840203</v>
      </c>
    </row>
    <row r="1933" spans="1:8" x14ac:dyDescent="0.25">
      <c r="A1933" t="str">
        <f t="shared" si="122"/>
        <v>Multihop,NSFnet,40</v>
      </c>
      <c r="B1933" t="s">
        <v>34</v>
      </c>
      <c r="C1933" t="s">
        <v>6</v>
      </c>
      <c r="D1933">
        <v>40</v>
      </c>
      <c r="E1933">
        <v>463.221</v>
      </c>
      <c r="F1933">
        <f t="shared" si="121"/>
        <v>458</v>
      </c>
      <c r="G1933">
        <f t="shared" si="123"/>
        <v>1.1399563318777302</v>
      </c>
      <c r="H1933">
        <f t="shared" si="124"/>
        <v>1.1271077951992685</v>
      </c>
    </row>
    <row r="1934" spans="1:8" x14ac:dyDescent="0.25">
      <c r="A1934" t="str">
        <f t="shared" si="122"/>
        <v>Multihop,NSFnet,40</v>
      </c>
      <c r="B1934" t="s">
        <v>34</v>
      </c>
      <c r="C1934" t="s">
        <v>6</v>
      </c>
      <c r="D1934">
        <v>40</v>
      </c>
      <c r="E1934">
        <v>462.46300000000002</v>
      </c>
      <c r="F1934">
        <f t="shared" si="121"/>
        <v>458</v>
      </c>
      <c r="G1934">
        <f t="shared" si="123"/>
        <v>0.97445414847162048</v>
      </c>
      <c r="H1934">
        <f t="shared" si="124"/>
        <v>0.96505017698713669</v>
      </c>
    </row>
    <row r="1935" spans="1:8" x14ac:dyDescent="0.25">
      <c r="A1935" t="str">
        <f t="shared" si="122"/>
        <v>Multihop,NSFnet,40</v>
      </c>
      <c r="B1935" t="s">
        <v>34</v>
      </c>
      <c r="C1935" t="s">
        <v>6</v>
      </c>
      <c r="D1935">
        <v>40</v>
      </c>
      <c r="E1935">
        <v>457.44</v>
      </c>
      <c r="F1935">
        <f t="shared" si="121"/>
        <v>458</v>
      </c>
      <c r="G1935">
        <f t="shared" si="123"/>
        <v>0.12227074235807911</v>
      </c>
      <c r="H1935">
        <f t="shared" si="124"/>
        <v>0.12242042672263079</v>
      </c>
    </row>
    <row r="1936" spans="1:8" x14ac:dyDescent="0.25">
      <c r="A1936" t="str">
        <f t="shared" si="122"/>
        <v>Multihop,NSFnet,40</v>
      </c>
      <c r="B1936" t="s">
        <v>34</v>
      </c>
      <c r="C1936" t="s">
        <v>6</v>
      </c>
      <c r="D1936">
        <v>40</v>
      </c>
      <c r="E1936">
        <v>468.86</v>
      </c>
      <c r="F1936">
        <f t="shared" si="121"/>
        <v>458</v>
      </c>
      <c r="G1936">
        <f t="shared" si="123"/>
        <v>2.371179039301313</v>
      </c>
      <c r="H1936">
        <f t="shared" si="124"/>
        <v>2.3162564518193092</v>
      </c>
    </row>
    <row r="1937" spans="1:8" x14ac:dyDescent="0.25">
      <c r="A1937" t="str">
        <f t="shared" si="122"/>
        <v>Multihop,NSFnet,40</v>
      </c>
      <c r="B1937" t="s">
        <v>34</v>
      </c>
      <c r="C1937" t="s">
        <v>6</v>
      </c>
      <c r="D1937">
        <v>40</v>
      </c>
      <c r="E1937">
        <v>470.34100000000001</v>
      </c>
      <c r="F1937">
        <f t="shared" si="121"/>
        <v>458</v>
      </c>
      <c r="G1937">
        <f t="shared" si="123"/>
        <v>2.6945414847161588</v>
      </c>
      <c r="H1937">
        <f t="shared" si="124"/>
        <v>2.6238410004656214</v>
      </c>
    </row>
    <row r="1938" spans="1:8" x14ac:dyDescent="0.25">
      <c r="A1938" t="str">
        <f t="shared" si="122"/>
        <v>Multihop,NSFnet,40</v>
      </c>
      <c r="B1938" t="s">
        <v>34</v>
      </c>
      <c r="C1938" t="s">
        <v>6</v>
      </c>
      <c r="D1938">
        <v>40</v>
      </c>
      <c r="E1938">
        <v>463.30099999999999</v>
      </c>
      <c r="F1938">
        <f t="shared" si="121"/>
        <v>458</v>
      </c>
      <c r="G1938">
        <f t="shared" si="123"/>
        <v>1.1574235807860236</v>
      </c>
      <c r="H1938">
        <f t="shared" si="124"/>
        <v>1.1441805651185704</v>
      </c>
    </row>
    <row r="1939" spans="1:8" x14ac:dyDescent="0.25">
      <c r="A1939" t="str">
        <f t="shared" si="122"/>
        <v>Multihop,NSFnet,40</v>
      </c>
      <c r="B1939" t="s">
        <v>34</v>
      </c>
      <c r="C1939" t="s">
        <v>6</v>
      </c>
      <c r="D1939">
        <v>40</v>
      </c>
      <c r="E1939">
        <v>461.28800000000001</v>
      </c>
      <c r="F1939">
        <f t="shared" si="121"/>
        <v>458</v>
      </c>
      <c r="G1939">
        <f t="shared" si="123"/>
        <v>0.71790393013100673</v>
      </c>
      <c r="H1939">
        <f t="shared" si="124"/>
        <v>0.71278680563986296</v>
      </c>
    </row>
    <row r="1940" spans="1:8" x14ac:dyDescent="0.25">
      <c r="A1940" t="str">
        <f t="shared" si="122"/>
        <v>Multihop,NSFnet,40</v>
      </c>
      <c r="B1940" t="s">
        <v>34</v>
      </c>
      <c r="C1940" t="s">
        <v>6</v>
      </c>
      <c r="D1940">
        <v>40</v>
      </c>
      <c r="E1940">
        <v>474.61200000000002</v>
      </c>
      <c r="F1940">
        <f t="shared" si="121"/>
        <v>458</v>
      </c>
      <c r="G1940">
        <f t="shared" si="123"/>
        <v>3.6270742358078651</v>
      </c>
      <c r="H1940">
        <f t="shared" si="124"/>
        <v>3.5001222050854217</v>
      </c>
    </row>
    <row r="1941" spans="1:8" x14ac:dyDescent="0.25">
      <c r="A1941" t="str">
        <f t="shared" si="122"/>
        <v>Multihop,NSFnet,40</v>
      </c>
      <c r="B1941" t="s">
        <v>34</v>
      </c>
      <c r="C1941" t="s">
        <v>6</v>
      </c>
      <c r="D1941">
        <v>40</v>
      </c>
      <c r="E1941">
        <v>476.36700000000002</v>
      </c>
      <c r="F1941">
        <f t="shared" si="121"/>
        <v>458</v>
      </c>
      <c r="G1941">
        <f t="shared" si="123"/>
        <v>4.010262008733628</v>
      </c>
      <c r="H1941">
        <f t="shared" si="124"/>
        <v>3.8556407139873285</v>
      </c>
    </row>
    <row r="1942" spans="1:8" x14ac:dyDescent="0.25">
      <c r="A1942" t="str">
        <f t="shared" si="122"/>
        <v>Multihop,NSFnet,40</v>
      </c>
      <c r="B1942" t="s">
        <v>34</v>
      </c>
      <c r="C1942" t="s">
        <v>6</v>
      </c>
      <c r="D1942">
        <v>40</v>
      </c>
      <c r="E1942">
        <v>436.75</v>
      </c>
      <c r="F1942">
        <f t="shared" si="121"/>
        <v>458</v>
      </c>
      <c r="G1942">
        <f t="shared" si="123"/>
        <v>4.639737991266375</v>
      </c>
      <c r="H1942">
        <f t="shared" si="124"/>
        <v>4.8654836863194042</v>
      </c>
    </row>
    <row r="1943" spans="1:8" x14ac:dyDescent="0.25">
      <c r="A1943" t="str">
        <f t="shared" si="122"/>
        <v>Multihop,NSFnet,40</v>
      </c>
      <c r="B1943" t="s">
        <v>34</v>
      </c>
      <c r="C1943" t="s">
        <v>6</v>
      </c>
      <c r="D1943">
        <v>40</v>
      </c>
      <c r="E1943">
        <v>455.64100000000002</v>
      </c>
      <c r="F1943">
        <f t="shared" si="121"/>
        <v>458</v>
      </c>
      <c r="G1943">
        <f t="shared" si="123"/>
        <v>0.51506550218340186</v>
      </c>
      <c r="H1943">
        <f t="shared" si="124"/>
        <v>0.51773216194327998</v>
      </c>
    </row>
    <row r="1944" spans="1:8" x14ac:dyDescent="0.25">
      <c r="A1944" t="str">
        <f t="shared" si="122"/>
        <v>Multihop,NSFnet,40</v>
      </c>
      <c r="B1944" t="s">
        <v>34</v>
      </c>
      <c r="C1944" t="s">
        <v>6</v>
      </c>
      <c r="D1944">
        <v>40</v>
      </c>
      <c r="E1944">
        <v>465.48500000000001</v>
      </c>
      <c r="F1944">
        <f t="shared" si="121"/>
        <v>458</v>
      </c>
      <c r="G1944">
        <f t="shared" si="123"/>
        <v>1.6342794759825356</v>
      </c>
      <c r="H1944">
        <f t="shared" si="124"/>
        <v>1.6080002577956352</v>
      </c>
    </row>
    <row r="1945" spans="1:8" x14ac:dyDescent="0.25">
      <c r="A1945" t="str">
        <f t="shared" si="122"/>
        <v>Multihop,NSFnet,40</v>
      </c>
      <c r="B1945" t="s">
        <v>34</v>
      </c>
      <c r="C1945" t="s">
        <v>6</v>
      </c>
      <c r="D1945">
        <v>40</v>
      </c>
      <c r="E1945">
        <v>466.113</v>
      </c>
      <c r="F1945">
        <f t="shared" si="121"/>
        <v>458</v>
      </c>
      <c r="G1945">
        <f t="shared" si="123"/>
        <v>1.7713973799126637</v>
      </c>
      <c r="H1945">
        <f t="shared" si="124"/>
        <v>1.7405650561130026</v>
      </c>
    </row>
    <row r="1946" spans="1:8" x14ac:dyDescent="0.25">
      <c r="A1946" t="str">
        <f t="shared" si="122"/>
        <v>Multihop,NSFnet,40</v>
      </c>
      <c r="B1946" t="s">
        <v>34</v>
      </c>
      <c r="C1946" t="s">
        <v>6</v>
      </c>
      <c r="D1946">
        <v>40</v>
      </c>
      <c r="E1946">
        <v>445.32600000000002</v>
      </c>
      <c r="F1946">
        <f t="shared" si="121"/>
        <v>458</v>
      </c>
      <c r="G1946">
        <f t="shared" si="123"/>
        <v>2.7672489082969385</v>
      </c>
      <c r="H1946">
        <f t="shared" si="124"/>
        <v>2.8460049491832899</v>
      </c>
    </row>
    <row r="1947" spans="1:8" x14ac:dyDescent="0.25">
      <c r="A1947" t="str">
        <f t="shared" si="122"/>
        <v>Multihop,NSFnet,40</v>
      </c>
      <c r="B1947" t="s">
        <v>34</v>
      </c>
      <c r="C1947" t="s">
        <v>6</v>
      </c>
      <c r="D1947">
        <v>40</v>
      </c>
      <c r="E1947">
        <v>464.32499999999999</v>
      </c>
      <c r="F1947">
        <f t="shared" si="121"/>
        <v>458</v>
      </c>
      <c r="G1947">
        <f t="shared" si="123"/>
        <v>1.3810043668122245</v>
      </c>
      <c r="H1947">
        <f t="shared" si="124"/>
        <v>1.3621924298713162</v>
      </c>
    </row>
    <row r="1948" spans="1:8" x14ac:dyDescent="0.25">
      <c r="A1948" t="str">
        <f t="shared" si="122"/>
        <v>Multihop,NSFnet,40</v>
      </c>
      <c r="B1948" t="s">
        <v>34</v>
      </c>
      <c r="C1948" t="s">
        <v>6</v>
      </c>
      <c r="D1948">
        <v>40</v>
      </c>
      <c r="E1948">
        <v>485.488</v>
      </c>
      <c r="F1948">
        <f t="shared" si="121"/>
        <v>458</v>
      </c>
      <c r="G1948">
        <f t="shared" si="123"/>
        <v>6.0017467248908298</v>
      </c>
      <c r="H1948">
        <f t="shared" si="124"/>
        <v>5.6619319118083249</v>
      </c>
    </row>
    <row r="1949" spans="1:8" x14ac:dyDescent="0.25">
      <c r="A1949" t="str">
        <f t="shared" si="122"/>
        <v>Multihop,NSFnet,40</v>
      </c>
      <c r="B1949" t="s">
        <v>34</v>
      </c>
      <c r="C1949" t="s">
        <v>6</v>
      </c>
      <c r="D1949">
        <v>40</v>
      </c>
      <c r="E1949">
        <v>463.97300000000001</v>
      </c>
      <c r="F1949">
        <f t="shared" si="121"/>
        <v>458</v>
      </c>
      <c r="G1949">
        <f t="shared" si="123"/>
        <v>1.3041484716157232</v>
      </c>
      <c r="H1949">
        <f t="shared" si="124"/>
        <v>1.2873593937578292</v>
      </c>
    </row>
    <row r="1950" spans="1:8" x14ac:dyDescent="0.25">
      <c r="A1950" t="str">
        <f t="shared" si="122"/>
        <v>Multihop,NSFnet,40</v>
      </c>
      <c r="B1950" t="s">
        <v>34</v>
      </c>
      <c r="C1950" t="s">
        <v>6</v>
      </c>
      <c r="D1950">
        <v>40</v>
      </c>
      <c r="E1950">
        <v>441.92500000000001</v>
      </c>
      <c r="F1950">
        <f t="shared" si="121"/>
        <v>458</v>
      </c>
      <c r="G1950">
        <f t="shared" si="123"/>
        <v>3.5098253275109146</v>
      </c>
      <c r="H1950">
        <f t="shared" si="124"/>
        <v>3.6374950500650538</v>
      </c>
    </row>
    <row r="1951" spans="1:8" x14ac:dyDescent="0.25">
      <c r="A1951" t="str">
        <f t="shared" si="122"/>
        <v>Multihop,NSFnet,40</v>
      </c>
      <c r="B1951" t="s">
        <v>34</v>
      </c>
      <c r="C1951" t="s">
        <v>6</v>
      </c>
      <c r="D1951">
        <v>40</v>
      </c>
      <c r="E1951">
        <v>443.29700000000003</v>
      </c>
      <c r="F1951">
        <f t="shared" si="121"/>
        <v>458</v>
      </c>
      <c r="G1951">
        <f t="shared" si="123"/>
        <v>3.2102620087336193</v>
      </c>
      <c r="H1951">
        <f t="shared" si="124"/>
        <v>3.3167379883012909</v>
      </c>
    </row>
    <row r="1952" spans="1:8" x14ac:dyDescent="0.25">
      <c r="A1952" t="str">
        <f t="shared" si="122"/>
        <v>Multihop,NSFnet,40</v>
      </c>
      <c r="B1952" t="s">
        <v>34</v>
      </c>
      <c r="C1952" t="s">
        <v>6</v>
      </c>
      <c r="D1952">
        <v>40</v>
      </c>
      <c r="E1952">
        <v>457.71899999999999</v>
      </c>
      <c r="F1952">
        <f t="shared" si="121"/>
        <v>458</v>
      </c>
      <c r="G1952">
        <f t="shared" si="123"/>
        <v>6.1353711790394304E-2</v>
      </c>
      <c r="H1952">
        <f t="shared" si="124"/>
        <v>6.1391377679319827E-2</v>
      </c>
    </row>
    <row r="1953" spans="1:8" x14ac:dyDescent="0.25">
      <c r="A1953" t="str">
        <f t="shared" si="122"/>
        <v>Multihop,NSFnet,40</v>
      </c>
      <c r="B1953" t="s">
        <v>34</v>
      </c>
      <c r="C1953" t="s">
        <v>6</v>
      </c>
      <c r="D1953">
        <v>40</v>
      </c>
      <c r="E1953">
        <v>452.22899999999998</v>
      </c>
      <c r="F1953">
        <f t="shared" si="121"/>
        <v>458</v>
      </c>
      <c r="G1953">
        <f t="shared" si="123"/>
        <v>1.2600436681222742</v>
      </c>
      <c r="H1953">
        <f t="shared" si="124"/>
        <v>1.2761233799690015</v>
      </c>
    </row>
    <row r="1954" spans="1:8" x14ac:dyDescent="0.25">
      <c r="A1954" t="str">
        <f t="shared" si="122"/>
        <v>Multihop,NSFnet,40</v>
      </c>
      <c r="B1954" t="s">
        <v>34</v>
      </c>
      <c r="C1954" t="s">
        <v>6</v>
      </c>
      <c r="D1954">
        <v>40</v>
      </c>
      <c r="E1954">
        <v>465.55099999999999</v>
      </c>
      <c r="F1954">
        <f t="shared" si="121"/>
        <v>458</v>
      </c>
      <c r="G1954">
        <f t="shared" si="123"/>
        <v>1.6486899563318751</v>
      </c>
      <c r="H1954">
        <f t="shared" si="124"/>
        <v>1.6219490453247845</v>
      </c>
    </row>
    <row r="1955" spans="1:8" x14ac:dyDescent="0.25">
      <c r="A1955" t="str">
        <f t="shared" si="122"/>
        <v>Multihop,NSFnet,40</v>
      </c>
      <c r="B1955" t="s">
        <v>34</v>
      </c>
      <c r="C1955" t="s">
        <v>6</v>
      </c>
      <c r="D1955">
        <v>40</v>
      </c>
      <c r="E1955">
        <v>463.66</v>
      </c>
      <c r="F1955">
        <f t="shared" si="121"/>
        <v>458</v>
      </c>
      <c r="G1955">
        <f t="shared" si="123"/>
        <v>1.2358078602620144</v>
      </c>
      <c r="H1955">
        <f t="shared" si="124"/>
        <v>1.2207220808351</v>
      </c>
    </row>
    <row r="1956" spans="1:8" x14ac:dyDescent="0.25">
      <c r="A1956" t="str">
        <f t="shared" si="122"/>
        <v>Multihop,NSFnet,40</v>
      </c>
      <c r="B1956" t="s">
        <v>34</v>
      </c>
      <c r="C1956" t="s">
        <v>6</v>
      </c>
      <c r="D1956">
        <v>40</v>
      </c>
      <c r="E1956">
        <v>463.488</v>
      </c>
      <c r="F1956">
        <f t="shared" si="121"/>
        <v>458</v>
      </c>
      <c r="G1956">
        <f t="shared" si="123"/>
        <v>1.1982532751091701</v>
      </c>
      <c r="H1956">
        <f t="shared" si="124"/>
        <v>1.1840651753659208</v>
      </c>
    </row>
    <row r="1957" spans="1:8" x14ac:dyDescent="0.25">
      <c r="A1957" t="str">
        <f t="shared" si="122"/>
        <v>Multihop,NSFnet,40</v>
      </c>
      <c r="B1957" t="s">
        <v>34</v>
      </c>
      <c r="C1957" t="s">
        <v>6</v>
      </c>
      <c r="D1957">
        <v>40</v>
      </c>
      <c r="E1957">
        <v>466.86</v>
      </c>
      <c r="F1957">
        <f t="shared" si="121"/>
        <v>458</v>
      </c>
      <c r="G1957">
        <f t="shared" si="123"/>
        <v>1.9344978165938893</v>
      </c>
      <c r="H1957">
        <f t="shared" si="124"/>
        <v>1.8977852032729325</v>
      </c>
    </row>
    <row r="1958" spans="1:8" x14ac:dyDescent="0.25">
      <c r="A1958" t="str">
        <f t="shared" si="122"/>
        <v>Multihop,NSFnet,40</v>
      </c>
      <c r="B1958" t="s">
        <v>34</v>
      </c>
      <c r="C1958" t="s">
        <v>6</v>
      </c>
      <c r="D1958">
        <v>40</v>
      </c>
      <c r="E1958">
        <v>457.846</v>
      </c>
      <c r="F1958">
        <f t="shared" si="121"/>
        <v>458</v>
      </c>
      <c r="G1958">
        <f t="shared" si="123"/>
        <v>3.3624454148470824E-2</v>
      </c>
      <c r="H1958">
        <f t="shared" si="124"/>
        <v>3.3635763990511297E-2</v>
      </c>
    </row>
    <row r="1959" spans="1:8" x14ac:dyDescent="0.25">
      <c r="A1959" t="str">
        <f t="shared" si="122"/>
        <v>Multihop,NSFnet,40</v>
      </c>
      <c r="B1959" t="s">
        <v>34</v>
      </c>
      <c r="C1959" t="s">
        <v>6</v>
      </c>
      <c r="D1959">
        <v>40</v>
      </c>
      <c r="E1959">
        <v>468.32</v>
      </c>
      <c r="F1959">
        <f t="shared" si="121"/>
        <v>458</v>
      </c>
      <c r="G1959">
        <f t="shared" si="123"/>
        <v>2.2532751091703043</v>
      </c>
      <c r="H1959">
        <f t="shared" si="124"/>
        <v>2.2036214554150995</v>
      </c>
    </row>
    <row r="1960" spans="1:8" x14ac:dyDescent="0.25">
      <c r="A1960" t="str">
        <f t="shared" si="122"/>
        <v>Multihop,NSFnet,40</v>
      </c>
      <c r="B1960" t="s">
        <v>34</v>
      </c>
      <c r="C1960" t="s">
        <v>6</v>
      </c>
      <c r="D1960">
        <v>40</v>
      </c>
      <c r="E1960">
        <v>487.82400000000001</v>
      </c>
      <c r="F1960">
        <f t="shared" si="121"/>
        <v>458</v>
      </c>
      <c r="G1960">
        <f t="shared" si="123"/>
        <v>6.5117903930131034</v>
      </c>
      <c r="H1960">
        <f t="shared" si="124"/>
        <v>6.113680343730528</v>
      </c>
    </row>
    <row r="1961" spans="1:8" x14ac:dyDescent="0.25">
      <c r="A1961" t="str">
        <f t="shared" si="122"/>
        <v>Multihop,NSFnet,40</v>
      </c>
      <c r="B1961" t="s">
        <v>34</v>
      </c>
      <c r="C1961" t="s">
        <v>6</v>
      </c>
      <c r="D1961">
        <v>40</v>
      </c>
      <c r="E1961">
        <v>466.19799999999998</v>
      </c>
      <c r="F1961">
        <f t="shared" si="121"/>
        <v>458</v>
      </c>
      <c r="G1961">
        <f t="shared" si="123"/>
        <v>1.7899563318777247</v>
      </c>
      <c r="H1961">
        <f t="shared" si="124"/>
        <v>1.7584803023607951</v>
      </c>
    </row>
    <row r="1962" spans="1:8" x14ac:dyDescent="0.25">
      <c r="A1962" t="str">
        <f t="shared" si="122"/>
        <v>Multihop,NSFnet,40</v>
      </c>
      <c r="B1962" t="s">
        <v>34</v>
      </c>
      <c r="C1962" t="s">
        <v>6</v>
      </c>
      <c r="D1962">
        <v>40</v>
      </c>
      <c r="E1962">
        <v>470.51799999999997</v>
      </c>
      <c r="F1962">
        <f t="shared" si="121"/>
        <v>458</v>
      </c>
      <c r="G1962">
        <f t="shared" si="123"/>
        <v>2.7331877729257581</v>
      </c>
      <c r="H1962">
        <f t="shared" si="124"/>
        <v>2.6604720754572564</v>
      </c>
    </row>
    <row r="1963" spans="1:8" x14ac:dyDescent="0.25">
      <c r="A1963" t="str">
        <f t="shared" si="122"/>
        <v>Multihop,NSFnet,40</v>
      </c>
      <c r="B1963" t="s">
        <v>34</v>
      </c>
      <c r="C1963" t="s">
        <v>6</v>
      </c>
      <c r="D1963">
        <v>40</v>
      </c>
      <c r="E1963">
        <v>459.45499999999998</v>
      </c>
      <c r="F1963">
        <f t="shared" si="121"/>
        <v>458</v>
      </c>
      <c r="G1963">
        <f t="shared" si="123"/>
        <v>0.3176855895196472</v>
      </c>
      <c r="H1963">
        <f t="shared" si="124"/>
        <v>0.31667954424263184</v>
      </c>
    </row>
    <row r="1964" spans="1:8" x14ac:dyDescent="0.25">
      <c r="A1964" t="str">
        <f t="shared" si="122"/>
        <v>Multihop,NSFnet,40</v>
      </c>
      <c r="B1964" t="s">
        <v>34</v>
      </c>
      <c r="C1964" t="s">
        <v>6</v>
      </c>
      <c r="D1964">
        <v>40</v>
      </c>
      <c r="E1964">
        <v>451.44499999999999</v>
      </c>
      <c r="F1964">
        <f t="shared" si="121"/>
        <v>458</v>
      </c>
      <c r="G1964">
        <f t="shared" si="123"/>
        <v>1.4312227074235824</v>
      </c>
      <c r="H1964">
        <f t="shared" si="124"/>
        <v>1.4520041201032257</v>
      </c>
    </row>
    <row r="1965" spans="1:8" x14ac:dyDescent="0.25">
      <c r="A1965" t="str">
        <f t="shared" si="122"/>
        <v>Multihop,NSFnet,40</v>
      </c>
      <c r="B1965" t="s">
        <v>34</v>
      </c>
      <c r="C1965" t="s">
        <v>6</v>
      </c>
      <c r="D1965">
        <v>40</v>
      </c>
      <c r="E1965">
        <v>453.28199999999998</v>
      </c>
      <c r="F1965">
        <f t="shared" si="121"/>
        <v>458</v>
      </c>
      <c r="G1965">
        <f t="shared" si="123"/>
        <v>1.0301310043668161</v>
      </c>
      <c r="H1965">
        <f t="shared" si="124"/>
        <v>1.0408531554308396</v>
      </c>
    </row>
    <row r="1966" spans="1:8" x14ac:dyDescent="0.25">
      <c r="A1966" t="str">
        <f t="shared" si="122"/>
        <v>Multihop,NSFnet,40</v>
      </c>
      <c r="B1966" t="s">
        <v>34</v>
      </c>
      <c r="C1966" t="s">
        <v>6</v>
      </c>
      <c r="D1966">
        <v>40</v>
      </c>
      <c r="E1966">
        <v>468.56</v>
      </c>
      <c r="F1966">
        <f t="shared" si="121"/>
        <v>458</v>
      </c>
      <c r="G1966">
        <f t="shared" si="123"/>
        <v>2.305676855895197</v>
      </c>
      <c r="H1966">
        <f t="shared" si="124"/>
        <v>2.2537135052074446</v>
      </c>
    </row>
    <row r="1967" spans="1:8" x14ac:dyDescent="0.25">
      <c r="A1967" t="str">
        <f t="shared" si="122"/>
        <v>Multihop,NSFnet,40</v>
      </c>
      <c r="B1967" t="s">
        <v>34</v>
      </c>
      <c r="C1967" t="s">
        <v>6</v>
      </c>
      <c r="D1967">
        <v>40</v>
      </c>
      <c r="E1967">
        <v>473.435</v>
      </c>
      <c r="F1967">
        <f t="shared" si="121"/>
        <v>458</v>
      </c>
      <c r="G1967">
        <f t="shared" si="123"/>
        <v>3.3700873362445418</v>
      </c>
      <c r="H1967">
        <f t="shared" si="124"/>
        <v>3.2602152354599898</v>
      </c>
    </row>
    <row r="1968" spans="1:8" x14ac:dyDescent="0.25">
      <c r="A1968" t="str">
        <f t="shared" si="122"/>
        <v>Multihop,NSFnet,40</v>
      </c>
      <c r="B1968" t="s">
        <v>34</v>
      </c>
      <c r="C1968" t="s">
        <v>6</v>
      </c>
      <c r="D1968">
        <v>40</v>
      </c>
      <c r="E1968">
        <v>462.61599999999999</v>
      </c>
      <c r="F1968">
        <f t="shared" si="121"/>
        <v>458</v>
      </c>
      <c r="G1968">
        <f t="shared" si="123"/>
        <v>1.0078602620087305</v>
      </c>
      <c r="H1968">
        <f t="shared" si="124"/>
        <v>0.99780379407542874</v>
      </c>
    </row>
    <row r="1969" spans="1:8" x14ac:dyDescent="0.25">
      <c r="A1969" t="str">
        <f t="shared" si="122"/>
        <v>Multihop,NSFnet,40</v>
      </c>
      <c r="B1969" t="s">
        <v>34</v>
      </c>
      <c r="C1969" t="s">
        <v>6</v>
      </c>
      <c r="D1969">
        <v>40</v>
      </c>
      <c r="E1969">
        <v>457.99200000000002</v>
      </c>
      <c r="F1969">
        <f t="shared" si="121"/>
        <v>458</v>
      </c>
      <c r="G1969">
        <f t="shared" si="123"/>
        <v>1.7467248908256234E-3</v>
      </c>
      <c r="H1969">
        <f t="shared" si="124"/>
        <v>1.746755401837009E-3</v>
      </c>
    </row>
    <row r="1970" spans="1:8" x14ac:dyDescent="0.25">
      <c r="A1970" t="str">
        <f t="shared" si="122"/>
        <v>Multihop,NSFnet,40</v>
      </c>
      <c r="B1970" t="s">
        <v>34</v>
      </c>
      <c r="C1970" t="s">
        <v>6</v>
      </c>
      <c r="D1970">
        <v>40</v>
      </c>
      <c r="E1970">
        <v>453.01499999999999</v>
      </c>
      <c r="F1970">
        <f t="shared" si="121"/>
        <v>458</v>
      </c>
      <c r="G1970">
        <f t="shared" si="123"/>
        <v>1.0884279475982563</v>
      </c>
      <c r="H1970">
        <f t="shared" si="124"/>
        <v>1.100405063849986</v>
      </c>
    </row>
    <row r="1971" spans="1:8" x14ac:dyDescent="0.25">
      <c r="A1971" t="str">
        <f t="shared" si="122"/>
        <v>Multihop,NSFnet,40</v>
      </c>
      <c r="B1971" t="s">
        <v>34</v>
      </c>
      <c r="C1971" t="s">
        <v>6</v>
      </c>
      <c r="D1971">
        <v>40</v>
      </c>
      <c r="E1971">
        <v>447.95</v>
      </c>
      <c r="F1971">
        <f t="shared" si="121"/>
        <v>458</v>
      </c>
      <c r="G1971">
        <f t="shared" si="123"/>
        <v>2.1943231441048061</v>
      </c>
      <c r="H1971">
        <f t="shared" si="124"/>
        <v>2.2435539680767969</v>
      </c>
    </row>
    <row r="1972" spans="1:8" x14ac:dyDescent="0.25">
      <c r="A1972" t="str">
        <f t="shared" si="122"/>
        <v>Multihop,NSFnet,40</v>
      </c>
      <c r="B1972" t="s">
        <v>34</v>
      </c>
      <c r="C1972" t="s">
        <v>6</v>
      </c>
      <c r="D1972">
        <v>40</v>
      </c>
      <c r="E1972">
        <v>470.19200000000001</v>
      </c>
      <c r="F1972">
        <f t="shared" si="121"/>
        <v>458</v>
      </c>
      <c r="G1972">
        <f t="shared" si="123"/>
        <v>2.6620087336244556</v>
      </c>
      <c r="H1972">
        <f t="shared" si="124"/>
        <v>2.5929832919318079</v>
      </c>
    </row>
    <row r="1973" spans="1:8" x14ac:dyDescent="0.25">
      <c r="A1973" t="str">
        <f t="shared" si="122"/>
        <v>Multihop,NSFnet,40</v>
      </c>
      <c r="B1973" t="s">
        <v>34</v>
      </c>
      <c r="C1973" t="s">
        <v>6</v>
      </c>
      <c r="D1973">
        <v>40</v>
      </c>
      <c r="E1973">
        <v>469.37799999999999</v>
      </c>
      <c r="F1973">
        <f t="shared" si="121"/>
        <v>458</v>
      </c>
      <c r="G1973">
        <f t="shared" si="123"/>
        <v>2.4842794759825297</v>
      </c>
      <c r="H1973">
        <f t="shared" si="124"/>
        <v>2.4240590739233592</v>
      </c>
    </row>
    <row r="1974" spans="1:8" x14ac:dyDescent="0.25">
      <c r="A1974" t="str">
        <f t="shared" si="122"/>
        <v>Multihop,NSFnet,40</v>
      </c>
      <c r="B1974" t="s">
        <v>34</v>
      </c>
      <c r="C1974" t="s">
        <v>6</v>
      </c>
      <c r="D1974">
        <v>40</v>
      </c>
      <c r="E1974">
        <v>460.56299999999999</v>
      </c>
      <c r="F1974">
        <f t="shared" si="121"/>
        <v>458</v>
      </c>
      <c r="G1974">
        <f t="shared" si="123"/>
        <v>0.55960698689956079</v>
      </c>
      <c r="H1974">
        <f t="shared" si="124"/>
        <v>0.55649281422953822</v>
      </c>
    </row>
    <row r="1975" spans="1:8" x14ac:dyDescent="0.25">
      <c r="A1975" t="str">
        <f t="shared" si="122"/>
        <v>Multihop,NSFnet,40</v>
      </c>
      <c r="B1975" t="s">
        <v>34</v>
      </c>
      <c r="C1975" t="s">
        <v>6</v>
      </c>
      <c r="D1975">
        <v>40</v>
      </c>
      <c r="E1975">
        <v>457.08300000000003</v>
      </c>
      <c r="F1975">
        <f t="shared" si="121"/>
        <v>458</v>
      </c>
      <c r="G1975">
        <f t="shared" si="123"/>
        <v>0.20021834061134786</v>
      </c>
      <c r="H1975">
        <f t="shared" si="124"/>
        <v>0.2006200186836905</v>
      </c>
    </row>
    <row r="1976" spans="1:8" x14ac:dyDescent="0.25">
      <c r="A1976" t="str">
        <f t="shared" si="122"/>
        <v>Multihop,NSFnet,40</v>
      </c>
      <c r="B1976" t="s">
        <v>34</v>
      </c>
      <c r="C1976" t="s">
        <v>6</v>
      </c>
      <c r="D1976">
        <v>40</v>
      </c>
      <c r="E1976">
        <v>465.27600000000001</v>
      </c>
      <c r="F1976">
        <f t="shared" si="121"/>
        <v>458</v>
      </c>
      <c r="G1976">
        <f t="shared" si="123"/>
        <v>1.5886462882096091</v>
      </c>
      <c r="H1976">
        <f t="shared" si="124"/>
        <v>1.5638029900532178</v>
      </c>
    </row>
    <row r="1977" spans="1:8" x14ac:dyDescent="0.25">
      <c r="A1977" t="str">
        <f t="shared" si="122"/>
        <v>Multihop,NSFnet,40</v>
      </c>
      <c r="B1977" t="s">
        <v>34</v>
      </c>
      <c r="C1977" t="s">
        <v>6</v>
      </c>
      <c r="D1977">
        <v>40</v>
      </c>
      <c r="E1977">
        <v>453.08</v>
      </c>
      <c r="F1977">
        <f t="shared" si="121"/>
        <v>458</v>
      </c>
      <c r="G1977">
        <f t="shared" si="123"/>
        <v>1.0742358078602654</v>
      </c>
      <c r="H1977">
        <f t="shared" si="124"/>
        <v>1.0859009446455408</v>
      </c>
    </row>
    <row r="1978" spans="1:8" x14ac:dyDescent="0.25">
      <c r="A1978" t="str">
        <f t="shared" si="122"/>
        <v>Multihop,NSFnet,40</v>
      </c>
      <c r="B1978" t="s">
        <v>34</v>
      </c>
      <c r="C1978" t="s">
        <v>6</v>
      </c>
      <c r="D1978">
        <v>40</v>
      </c>
      <c r="E1978">
        <v>476.45100000000002</v>
      </c>
      <c r="F1978">
        <f t="shared" si="121"/>
        <v>458</v>
      </c>
      <c r="G1978">
        <f t="shared" si="123"/>
        <v>4.0286026200873408</v>
      </c>
      <c r="H1978">
        <f t="shared" si="124"/>
        <v>3.8725913052968761</v>
      </c>
    </row>
    <row r="1979" spans="1:8" x14ac:dyDescent="0.25">
      <c r="A1979" t="str">
        <f t="shared" si="122"/>
        <v>Multihop,NSFnet,40</v>
      </c>
      <c r="B1979" t="s">
        <v>34</v>
      </c>
      <c r="C1979" t="s">
        <v>6</v>
      </c>
      <c r="D1979">
        <v>40</v>
      </c>
      <c r="E1979">
        <v>467.73599999999999</v>
      </c>
      <c r="F1979">
        <f t="shared" si="121"/>
        <v>458</v>
      </c>
      <c r="G1979">
        <f t="shared" si="123"/>
        <v>2.1257641921397359</v>
      </c>
      <c r="H1979">
        <f t="shared" si="124"/>
        <v>2.0815160688935621</v>
      </c>
    </row>
    <row r="1980" spans="1:8" x14ac:dyDescent="0.25">
      <c r="A1980" t="str">
        <f t="shared" si="122"/>
        <v>Multihop,NSFnet,40</v>
      </c>
      <c r="B1980" t="s">
        <v>34</v>
      </c>
      <c r="C1980" t="s">
        <v>6</v>
      </c>
      <c r="D1980">
        <v>40</v>
      </c>
      <c r="E1980">
        <v>463.80200000000002</v>
      </c>
      <c r="F1980">
        <f t="shared" si="121"/>
        <v>458</v>
      </c>
      <c r="G1980">
        <f t="shared" si="123"/>
        <v>1.2668122270742406</v>
      </c>
      <c r="H1980">
        <f t="shared" si="124"/>
        <v>1.2509648513805505</v>
      </c>
    </row>
    <row r="1981" spans="1:8" x14ac:dyDescent="0.25">
      <c r="A1981" t="str">
        <f t="shared" si="122"/>
        <v>Multihop,NSFnet,40</v>
      </c>
      <c r="B1981" t="s">
        <v>34</v>
      </c>
      <c r="C1981" t="s">
        <v>6</v>
      </c>
      <c r="D1981">
        <v>40</v>
      </c>
      <c r="E1981">
        <v>435.50299999999999</v>
      </c>
      <c r="F1981">
        <f t="shared" si="121"/>
        <v>458</v>
      </c>
      <c r="G1981">
        <f t="shared" si="123"/>
        <v>4.9120087336244573</v>
      </c>
      <c r="H1981">
        <f t="shared" si="124"/>
        <v>5.1657508673878283</v>
      </c>
    </row>
    <row r="1982" spans="1:8" x14ac:dyDescent="0.25">
      <c r="A1982" t="str">
        <f t="shared" si="122"/>
        <v>Multihop,NSFnet,40</v>
      </c>
      <c r="B1982" t="s">
        <v>34</v>
      </c>
      <c r="C1982" t="s">
        <v>6</v>
      </c>
      <c r="D1982">
        <v>40</v>
      </c>
      <c r="E1982">
        <v>441.43200000000002</v>
      </c>
      <c r="F1982">
        <f t="shared" si="121"/>
        <v>458</v>
      </c>
      <c r="G1982">
        <f t="shared" si="123"/>
        <v>3.6174672489082931</v>
      </c>
      <c r="H1982">
        <f t="shared" si="124"/>
        <v>3.753239457039812</v>
      </c>
    </row>
    <row r="1983" spans="1:8" x14ac:dyDescent="0.25">
      <c r="A1983" t="str">
        <f t="shared" si="122"/>
        <v>Multihop,NSFnet,40</v>
      </c>
      <c r="B1983" t="s">
        <v>34</v>
      </c>
      <c r="C1983" t="s">
        <v>6</v>
      </c>
      <c r="D1983">
        <v>40</v>
      </c>
      <c r="E1983">
        <v>447.86900000000003</v>
      </c>
      <c r="F1983">
        <f t="shared" si="121"/>
        <v>458</v>
      </c>
      <c r="G1983">
        <f t="shared" si="123"/>
        <v>2.2120087336244478</v>
      </c>
      <c r="H1983">
        <f t="shared" si="124"/>
        <v>2.2620453748752363</v>
      </c>
    </row>
    <row r="1984" spans="1:8" x14ac:dyDescent="0.25">
      <c r="A1984" t="str">
        <f t="shared" si="122"/>
        <v>Multihop,NSFnet,40</v>
      </c>
      <c r="B1984" t="s">
        <v>34</v>
      </c>
      <c r="C1984" t="s">
        <v>6</v>
      </c>
      <c r="D1984">
        <v>40</v>
      </c>
      <c r="E1984">
        <v>480.11099999999999</v>
      </c>
      <c r="F1984">
        <f t="shared" si="121"/>
        <v>458</v>
      </c>
      <c r="G1984">
        <f t="shared" si="123"/>
        <v>4.8277292576419191</v>
      </c>
      <c r="H1984">
        <f t="shared" si="124"/>
        <v>4.6053933361243526</v>
      </c>
    </row>
    <row r="1985" spans="1:8" x14ac:dyDescent="0.25">
      <c r="A1985" t="str">
        <f t="shared" si="122"/>
        <v>Multihop,NSFnet,40</v>
      </c>
      <c r="B1985" t="s">
        <v>34</v>
      </c>
      <c r="C1985" t="s">
        <v>6</v>
      </c>
      <c r="D1985">
        <v>40</v>
      </c>
      <c r="E1985">
        <v>451.279</v>
      </c>
      <c r="F1985">
        <f t="shared" si="121"/>
        <v>458</v>
      </c>
      <c r="G1985">
        <f t="shared" si="123"/>
        <v>1.4674672489082976</v>
      </c>
      <c r="H1985">
        <f t="shared" si="124"/>
        <v>1.4893225698514674</v>
      </c>
    </row>
    <row r="1986" spans="1:8" x14ac:dyDescent="0.25">
      <c r="A1986" t="str">
        <f t="shared" si="122"/>
        <v>Multihop,NSFnet,40</v>
      </c>
      <c r="B1986" t="s">
        <v>34</v>
      </c>
      <c r="C1986" t="s">
        <v>6</v>
      </c>
      <c r="D1986">
        <v>40</v>
      </c>
      <c r="E1986">
        <v>466.017</v>
      </c>
      <c r="F1986">
        <f t="shared" si="121"/>
        <v>458</v>
      </c>
      <c r="G1986">
        <f t="shared" si="123"/>
        <v>1.7504366812227063</v>
      </c>
      <c r="H1986">
        <f t="shared" si="124"/>
        <v>1.7203235075115275</v>
      </c>
    </row>
    <row r="1987" spans="1:8" x14ac:dyDescent="0.25">
      <c r="A1987" t="str">
        <f t="shared" si="122"/>
        <v>Multihop,NSFnet,40</v>
      </c>
      <c r="B1987" t="s">
        <v>34</v>
      </c>
      <c r="C1987" t="s">
        <v>6</v>
      </c>
      <c r="D1987">
        <v>40</v>
      </c>
      <c r="E1987">
        <v>437.81099999999998</v>
      </c>
      <c r="F1987">
        <f t="shared" ref="F1987:F2050" si="125">_xlfn.XLOOKUP(A1987,$J$3:$J$36,$N$3:$N$36)</f>
        <v>458</v>
      </c>
      <c r="G1987">
        <f t="shared" si="123"/>
        <v>4.4080786026200922</v>
      </c>
      <c r="H1987">
        <f t="shared" si="124"/>
        <v>4.611350559944821</v>
      </c>
    </row>
    <row r="1988" spans="1:8" x14ac:dyDescent="0.25">
      <c r="A1988" t="str">
        <f t="shared" ref="A1988:A2051" si="126">B1988&amp;","&amp;C1988&amp;","&amp;D1988</f>
        <v>Multihop,NSFnet,40</v>
      </c>
      <c r="B1988" t="s">
        <v>34</v>
      </c>
      <c r="C1988" t="s">
        <v>6</v>
      </c>
      <c r="D1988">
        <v>40</v>
      </c>
      <c r="E1988">
        <v>458.35199999999998</v>
      </c>
      <c r="F1988">
        <f t="shared" si="125"/>
        <v>458</v>
      </c>
      <c r="G1988">
        <f t="shared" ref="G1988:G2051" si="127">ABS((E1988-F1988)/F1988)*100</f>
        <v>7.6855895196501184E-2</v>
      </c>
      <c r="H1988">
        <f t="shared" ref="H1988:H2051" si="128">ABS((F1988-E1988)/E1988)*100</f>
        <v>7.6796872272832994E-2</v>
      </c>
    </row>
    <row r="1989" spans="1:8" x14ac:dyDescent="0.25">
      <c r="A1989" t="str">
        <f t="shared" si="126"/>
        <v>Multihop,NSFnet,40</v>
      </c>
      <c r="B1989" t="s">
        <v>34</v>
      </c>
      <c r="C1989" t="s">
        <v>6</v>
      </c>
      <c r="D1989">
        <v>40</v>
      </c>
      <c r="E1989">
        <v>453.72500000000002</v>
      </c>
      <c r="F1989">
        <f t="shared" si="125"/>
        <v>458</v>
      </c>
      <c r="G1989">
        <f t="shared" si="127"/>
        <v>0.93340611353711289</v>
      </c>
      <c r="H1989">
        <f t="shared" si="128"/>
        <v>0.94220067221334003</v>
      </c>
    </row>
    <row r="1990" spans="1:8" x14ac:dyDescent="0.25">
      <c r="A1990" t="str">
        <f t="shared" si="126"/>
        <v>Multihop,NSFnet,40</v>
      </c>
      <c r="B1990" t="s">
        <v>34</v>
      </c>
      <c r="C1990" t="s">
        <v>6</v>
      </c>
      <c r="D1990">
        <v>40</v>
      </c>
      <c r="E1990">
        <v>451.18299999999999</v>
      </c>
      <c r="F1990">
        <f t="shared" si="125"/>
        <v>458</v>
      </c>
      <c r="G1990">
        <f t="shared" si="127"/>
        <v>1.4884279475982549</v>
      </c>
      <c r="H1990">
        <f t="shared" si="128"/>
        <v>1.5109168563531887</v>
      </c>
    </row>
    <row r="1991" spans="1:8" x14ac:dyDescent="0.25">
      <c r="A1991" t="str">
        <f t="shared" si="126"/>
        <v>Multihop,NSFnet,40</v>
      </c>
      <c r="B1991" t="s">
        <v>34</v>
      </c>
      <c r="C1991" t="s">
        <v>6</v>
      </c>
      <c r="D1991">
        <v>40</v>
      </c>
      <c r="E1991">
        <v>469.697</v>
      </c>
      <c r="F1991">
        <f t="shared" si="125"/>
        <v>458</v>
      </c>
      <c r="G1991">
        <f t="shared" si="127"/>
        <v>2.5539301310043676</v>
      </c>
      <c r="H1991">
        <f t="shared" si="128"/>
        <v>2.4903288715916863</v>
      </c>
    </row>
    <row r="1992" spans="1:8" x14ac:dyDescent="0.25">
      <c r="A1992" t="str">
        <f t="shared" si="126"/>
        <v>Multihop,NSFnet,40</v>
      </c>
      <c r="B1992" t="s">
        <v>34</v>
      </c>
      <c r="C1992" t="s">
        <v>6</v>
      </c>
      <c r="D1992">
        <v>40</v>
      </c>
      <c r="E1992">
        <v>436.70299999999997</v>
      </c>
      <c r="F1992">
        <f t="shared" si="125"/>
        <v>458</v>
      </c>
      <c r="G1992">
        <f t="shared" si="127"/>
        <v>4.6500000000000057</v>
      </c>
      <c r="H1992">
        <f t="shared" si="128"/>
        <v>4.8767697954903051</v>
      </c>
    </row>
    <row r="1993" spans="1:8" x14ac:dyDescent="0.25">
      <c r="A1993" t="str">
        <f t="shared" si="126"/>
        <v>Multihop,NSFnet,40</v>
      </c>
      <c r="B1993" t="s">
        <v>34</v>
      </c>
      <c r="C1993" t="s">
        <v>6</v>
      </c>
      <c r="D1993">
        <v>40</v>
      </c>
      <c r="E1993">
        <v>450.601</v>
      </c>
      <c r="F1993">
        <f t="shared" si="125"/>
        <v>458</v>
      </c>
      <c r="G1993">
        <f t="shared" si="127"/>
        <v>1.6155021834061138</v>
      </c>
      <c r="H1993">
        <f t="shared" si="128"/>
        <v>1.6420292010004416</v>
      </c>
    </row>
    <row r="1994" spans="1:8" x14ac:dyDescent="0.25">
      <c r="A1994" t="str">
        <f t="shared" si="126"/>
        <v>Multihop,NSFnet,40</v>
      </c>
      <c r="B1994" t="s">
        <v>34</v>
      </c>
      <c r="C1994" t="s">
        <v>6</v>
      </c>
      <c r="D1994">
        <v>40</v>
      </c>
      <c r="E1994">
        <v>457.79599999999999</v>
      </c>
      <c r="F1994">
        <f t="shared" si="125"/>
        <v>458</v>
      </c>
      <c r="G1994">
        <f t="shared" si="127"/>
        <v>4.4541484716158888E-2</v>
      </c>
      <c r="H1994">
        <f t="shared" si="128"/>
        <v>4.4561332995484391E-2</v>
      </c>
    </row>
    <row r="1995" spans="1:8" x14ac:dyDescent="0.25">
      <c r="A1995" t="str">
        <f t="shared" si="126"/>
        <v>Multihop,NSFnet,40</v>
      </c>
      <c r="B1995" t="s">
        <v>34</v>
      </c>
      <c r="C1995" t="s">
        <v>6</v>
      </c>
      <c r="D1995">
        <v>40</v>
      </c>
      <c r="E1995">
        <v>471.423</v>
      </c>
      <c r="F1995">
        <f t="shared" si="125"/>
        <v>458</v>
      </c>
      <c r="G1995">
        <f t="shared" si="127"/>
        <v>2.9307860262008738</v>
      </c>
      <c r="H1995">
        <f t="shared" si="128"/>
        <v>2.8473366806456202</v>
      </c>
    </row>
    <row r="1996" spans="1:8" x14ac:dyDescent="0.25">
      <c r="A1996" t="str">
        <f t="shared" si="126"/>
        <v>Multihop,NSFnet,40</v>
      </c>
      <c r="B1996" t="s">
        <v>34</v>
      </c>
      <c r="C1996" t="s">
        <v>6</v>
      </c>
      <c r="D1996">
        <v>40</v>
      </c>
      <c r="E1996">
        <v>462.88499999999999</v>
      </c>
      <c r="F1996">
        <f t="shared" si="125"/>
        <v>458</v>
      </c>
      <c r="G1996">
        <f t="shared" si="127"/>
        <v>1.0665938864628801</v>
      </c>
      <c r="H1996">
        <f t="shared" si="128"/>
        <v>1.055337718871856</v>
      </c>
    </row>
    <row r="1997" spans="1:8" x14ac:dyDescent="0.25">
      <c r="A1997" t="str">
        <f t="shared" si="126"/>
        <v>Multihop,NSFnet,40</v>
      </c>
      <c r="B1997" t="s">
        <v>34</v>
      </c>
      <c r="C1997" t="s">
        <v>6</v>
      </c>
      <c r="D1997">
        <v>40</v>
      </c>
      <c r="E1997">
        <v>471.72899999999998</v>
      </c>
      <c r="F1997">
        <f t="shared" si="125"/>
        <v>458</v>
      </c>
      <c r="G1997">
        <f t="shared" si="127"/>
        <v>2.9975982532751062</v>
      </c>
      <c r="H1997">
        <f t="shared" si="128"/>
        <v>2.9103574297954937</v>
      </c>
    </row>
    <row r="1998" spans="1:8" x14ac:dyDescent="0.25">
      <c r="A1998" t="str">
        <f t="shared" si="126"/>
        <v>Multihop,NSFnet,40</v>
      </c>
      <c r="B1998" t="s">
        <v>34</v>
      </c>
      <c r="C1998" t="s">
        <v>6</v>
      </c>
      <c r="D1998">
        <v>40</v>
      </c>
      <c r="E1998">
        <v>450.02800000000002</v>
      </c>
      <c r="F1998">
        <f t="shared" si="125"/>
        <v>458</v>
      </c>
      <c r="G1998">
        <f t="shared" si="127"/>
        <v>1.7406113537117862</v>
      </c>
      <c r="H1998">
        <f t="shared" si="128"/>
        <v>1.7714453322904309</v>
      </c>
    </row>
    <row r="1999" spans="1:8" x14ac:dyDescent="0.25">
      <c r="A1999" t="str">
        <f t="shared" si="126"/>
        <v>Multihop,NSFnet,40</v>
      </c>
      <c r="B1999" t="s">
        <v>34</v>
      </c>
      <c r="C1999" t="s">
        <v>6</v>
      </c>
      <c r="D1999">
        <v>40</v>
      </c>
      <c r="E1999">
        <v>462.15499999999997</v>
      </c>
      <c r="F1999">
        <f t="shared" si="125"/>
        <v>458</v>
      </c>
      <c r="G1999">
        <f t="shared" si="127"/>
        <v>0.90720524017466664</v>
      </c>
      <c r="H1999">
        <f t="shared" si="128"/>
        <v>0.89904902035030954</v>
      </c>
    </row>
    <row r="2000" spans="1:8" x14ac:dyDescent="0.25">
      <c r="A2000" t="str">
        <f t="shared" si="126"/>
        <v>Multihop,NSFnet,40</v>
      </c>
      <c r="B2000" t="s">
        <v>34</v>
      </c>
      <c r="C2000" t="s">
        <v>6</v>
      </c>
      <c r="D2000">
        <v>40</v>
      </c>
      <c r="E2000">
        <v>445.83699999999999</v>
      </c>
      <c r="F2000">
        <f t="shared" si="125"/>
        <v>458</v>
      </c>
      <c r="G2000">
        <f t="shared" si="127"/>
        <v>2.6556768558951989</v>
      </c>
      <c r="H2000">
        <f t="shared" si="128"/>
        <v>2.7281270957771588</v>
      </c>
    </row>
    <row r="2001" spans="1:8" x14ac:dyDescent="0.25">
      <c r="A2001" t="str">
        <f t="shared" si="126"/>
        <v>Multihop,NSFnet,40</v>
      </c>
      <c r="B2001" t="s">
        <v>34</v>
      </c>
      <c r="C2001" t="s">
        <v>6</v>
      </c>
      <c r="D2001">
        <v>40</v>
      </c>
      <c r="E2001">
        <v>485.96600000000001</v>
      </c>
      <c r="F2001">
        <f t="shared" si="125"/>
        <v>458</v>
      </c>
      <c r="G2001">
        <f t="shared" si="127"/>
        <v>6.1061135371179054</v>
      </c>
      <c r="H2001">
        <f t="shared" si="128"/>
        <v>5.7547235814851261</v>
      </c>
    </row>
    <row r="2002" spans="1:8" x14ac:dyDescent="0.25">
      <c r="A2002" t="str">
        <f t="shared" si="126"/>
        <v>Multihop,NSFnet,40</v>
      </c>
      <c r="B2002" t="s">
        <v>34</v>
      </c>
      <c r="C2002" t="s">
        <v>6</v>
      </c>
      <c r="D2002">
        <v>40</v>
      </c>
      <c r="E2002">
        <v>451.58600000000001</v>
      </c>
      <c r="F2002">
        <f t="shared" si="125"/>
        <v>458</v>
      </c>
      <c r="G2002">
        <f t="shared" si="127"/>
        <v>1.4004366812227047</v>
      </c>
      <c r="H2002">
        <f t="shared" si="128"/>
        <v>1.4203274680791669</v>
      </c>
    </row>
    <row r="2003" spans="1:8" x14ac:dyDescent="0.25">
      <c r="A2003" t="str">
        <f t="shared" si="126"/>
        <v>Multihop,NSFnet,60</v>
      </c>
      <c r="B2003" t="s">
        <v>34</v>
      </c>
      <c r="C2003" t="s">
        <v>6</v>
      </c>
      <c r="D2003">
        <v>60</v>
      </c>
      <c r="E2003">
        <v>669.13</v>
      </c>
      <c r="F2003">
        <f t="shared" si="125"/>
        <v>670</v>
      </c>
      <c r="G2003">
        <f t="shared" si="127"/>
        <v>0.12985074626865739</v>
      </c>
      <c r="H2003">
        <f t="shared" si="128"/>
        <v>0.13001957766054498</v>
      </c>
    </row>
    <row r="2004" spans="1:8" x14ac:dyDescent="0.25">
      <c r="A2004" t="str">
        <f t="shared" si="126"/>
        <v>Multihop,NSFnet,60</v>
      </c>
      <c r="B2004" t="s">
        <v>34</v>
      </c>
      <c r="C2004" t="s">
        <v>6</v>
      </c>
      <c r="D2004">
        <v>60</v>
      </c>
      <c r="E2004">
        <v>647.33399999999995</v>
      </c>
      <c r="F2004">
        <f t="shared" si="125"/>
        <v>670</v>
      </c>
      <c r="G2004">
        <f t="shared" si="127"/>
        <v>3.3829850746268737</v>
      </c>
      <c r="H2004">
        <f t="shared" si="128"/>
        <v>3.5014382065518039</v>
      </c>
    </row>
    <row r="2005" spans="1:8" x14ac:dyDescent="0.25">
      <c r="A2005" t="str">
        <f t="shared" si="126"/>
        <v>Multihop,NSFnet,60</v>
      </c>
      <c r="B2005" t="s">
        <v>34</v>
      </c>
      <c r="C2005" t="s">
        <v>6</v>
      </c>
      <c r="D2005">
        <v>60</v>
      </c>
      <c r="E2005">
        <v>675.827</v>
      </c>
      <c r="F2005">
        <f t="shared" si="125"/>
        <v>670</v>
      </c>
      <c r="G2005">
        <f t="shared" si="127"/>
        <v>0.86970149253731321</v>
      </c>
      <c r="H2005">
        <f t="shared" si="128"/>
        <v>0.86220290103828312</v>
      </c>
    </row>
    <row r="2006" spans="1:8" x14ac:dyDescent="0.25">
      <c r="A2006" t="str">
        <f t="shared" si="126"/>
        <v>Multihop,NSFnet,60</v>
      </c>
      <c r="B2006" t="s">
        <v>34</v>
      </c>
      <c r="C2006" t="s">
        <v>6</v>
      </c>
      <c r="D2006">
        <v>60</v>
      </c>
      <c r="E2006">
        <v>666.62300000000005</v>
      </c>
      <c r="F2006">
        <f t="shared" si="125"/>
        <v>670</v>
      </c>
      <c r="G2006">
        <f t="shared" si="127"/>
        <v>0.50402985074626161</v>
      </c>
      <c r="H2006">
        <f t="shared" si="128"/>
        <v>0.50658318119836143</v>
      </c>
    </row>
    <row r="2007" spans="1:8" x14ac:dyDescent="0.25">
      <c r="A2007" t="str">
        <f t="shared" si="126"/>
        <v>Multihop,NSFnet,60</v>
      </c>
      <c r="B2007" t="s">
        <v>34</v>
      </c>
      <c r="C2007" t="s">
        <v>6</v>
      </c>
      <c r="D2007">
        <v>60</v>
      </c>
      <c r="E2007">
        <v>695.13400000000001</v>
      </c>
      <c r="F2007">
        <f t="shared" si="125"/>
        <v>670</v>
      </c>
      <c r="G2007">
        <f t="shared" si="127"/>
        <v>3.7513432835820919</v>
      </c>
      <c r="H2007">
        <f t="shared" si="128"/>
        <v>3.615705748819654</v>
      </c>
    </row>
    <row r="2008" spans="1:8" x14ac:dyDescent="0.25">
      <c r="A2008" t="str">
        <f t="shared" si="126"/>
        <v>Multihop,NSFnet,60</v>
      </c>
      <c r="B2008" t="s">
        <v>34</v>
      </c>
      <c r="C2008" t="s">
        <v>6</v>
      </c>
      <c r="D2008">
        <v>60</v>
      </c>
      <c r="E2008">
        <v>658.91099999999994</v>
      </c>
      <c r="F2008">
        <f t="shared" si="125"/>
        <v>670</v>
      </c>
      <c r="G2008">
        <f t="shared" si="127"/>
        <v>1.65507462686568</v>
      </c>
      <c r="H2008">
        <f t="shared" si="128"/>
        <v>1.6829283469239482</v>
      </c>
    </row>
    <row r="2009" spans="1:8" x14ac:dyDescent="0.25">
      <c r="A2009" t="str">
        <f t="shared" si="126"/>
        <v>Multihop,NSFnet,60</v>
      </c>
      <c r="B2009" t="s">
        <v>34</v>
      </c>
      <c r="C2009" t="s">
        <v>6</v>
      </c>
      <c r="D2009">
        <v>60</v>
      </c>
      <c r="E2009">
        <v>674.88699999999994</v>
      </c>
      <c r="F2009">
        <f t="shared" si="125"/>
        <v>670</v>
      </c>
      <c r="G2009">
        <f t="shared" si="127"/>
        <v>0.72940298507461854</v>
      </c>
      <c r="H2009">
        <f t="shared" si="128"/>
        <v>0.72412122325662576</v>
      </c>
    </row>
    <row r="2010" spans="1:8" x14ac:dyDescent="0.25">
      <c r="A2010" t="str">
        <f t="shared" si="126"/>
        <v>Multihop,NSFnet,60</v>
      </c>
      <c r="B2010" t="s">
        <v>34</v>
      </c>
      <c r="C2010" t="s">
        <v>6</v>
      </c>
      <c r="D2010">
        <v>60</v>
      </c>
      <c r="E2010">
        <v>678.95500000000004</v>
      </c>
      <c r="F2010">
        <f t="shared" si="125"/>
        <v>670</v>
      </c>
      <c r="G2010">
        <f t="shared" si="127"/>
        <v>1.3365671641791106</v>
      </c>
      <c r="H2010">
        <f t="shared" si="128"/>
        <v>1.3189386630925526</v>
      </c>
    </row>
    <row r="2011" spans="1:8" x14ac:dyDescent="0.25">
      <c r="A2011" t="str">
        <f t="shared" si="126"/>
        <v>Multihop,NSFnet,60</v>
      </c>
      <c r="B2011" t="s">
        <v>34</v>
      </c>
      <c r="C2011" t="s">
        <v>6</v>
      </c>
      <c r="D2011">
        <v>60</v>
      </c>
      <c r="E2011">
        <v>649.75</v>
      </c>
      <c r="F2011">
        <f t="shared" si="125"/>
        <v>670</v>
      </c>
      <c r="G2011">
        <f t="shared" si="127"/>
        <v>3.0223880597014925</v>
      </c>
      <c r="H2011">
        <f t="shared" si="128"/>
        <v>3.1165833012697193</v>
      </c>
    </row>
    <row r="2012" spans="1:8" x14ac:dyDescent="0.25">
      <c r="A2012" t="str">
        <f t="shared" si="126"/>
        <v>Multihop,NSFnet,60</v>
      </c>
      <c r="B2012" t="s">
        <v>34</v>
      </c>
      <c r="C2012" t="s">
        <v>6</v>
      </c>
      <c r="D2012">
        <v>60</v>
      </c>
      <c r="E2012">
        <v>678.66</v>
      </c>
      <c r="F2012">
        <f t="shared" si="125"/>
        <v>670</v>
      </c>
      <c r="G2012">
        <f t="shared" si="127"/>
        <v>1.2925373134328311</v>
      </c>
      <c r="H2012">
        <f t="shared" si="128"/>
        <v>1.2760439689977261</v>
      </c>
    </row>
    <row r="2013" spans="1:8" x14ac:dyDescent="0.25">
      <c r="A2013" t="str">
        <f t="shared" si="126"/>
        <v>Multihop,NSFnet,60</v>
      </c>
      <c r="B2013" t="s">
        <v>34</v>
      </c>
      <c r="C2013" t="s">
        <v>6</v>
      </c>
      <c r="D2013">
        <v>60</v>
      </c>
      <c r="E2013">
        <v>660.74599999999998</v>
      </c>
      <c r="F2013">
        <f t="shared" si="125"/>
        <v>670</v>
      </c>
      <c r="G2013">
        <f t="shared" si="127"/>
        <v>1.3811940298507492</v>
      </c>
      <c r="H2013">
        <f t="shared" si="128"/>
        <v>1.4005381795727889</v>
      </c>
    </row>
    <row r="2014" spans="1:8" x14ac:dyDescent="0.25">
      <c r="A2014" t="str">
        <f t="shared" si="126"/>
        <v>Multihop,NSFnet,60</v>
      </c>
      <c r="B2014" t="s">
        <v>34</v>
      </c>
      <c r="C2014" t="s">
        <v>6</v>
      </c>
      <c r="D2014">
        <v>60</v>
      </c>
      <c r="E2014">
        <v>663.25</v>
      </c>
      <c r="F2014">
        <f t="shared" si="125"/>
        <v>670</v>
      </c>
      <c r="G2014">
        <f t="shared" si="127"/>
        <v>1.0074626865671641</v>
      </c>
      <c r="H2014">
        <f t="shared" si="128"/>
        <v>1.0177157934413872</v>
      </c>
    </row>
    <row r="2015" spans="1:8" x14ac:dyDescent="0.25">
      <c r="A2015" t="str">
        <f t="shared" si="126"/>
        <v>Multihop,NSFnet,60</v>
      </c>
      <c r="B2015" t="s">
        <v>34</v>
      </c>
      <c r="C2015" t="s">
        <v>6</v>
      </c>
      <c r="D2015">
        <v>60</v>
      </c>
      <c r="E2015">
        <v>627.83199999999999</v>
      </c>
      <c r="F2015">
        <f t="shared" si="125"/>
        <v>670</v>
      </c>
      <c r="G2015">
        <f t="shared" si="127"/>
        <v>6.2937313432835831</v>
      </c>
      <c r="H2015">
        <f t="shared" si="128"/>
        <v>6.7164464379005864</v>
      </c>
    </row>
    <row r="2016" spans="1:8" x14ac:dyDescent="0.25">
      <c r="A2016" t="str">
        <f t="shared" si="126"/>
        <v>Multihop,NSFnet,60</v>
      </c>
      <c r="B2016" t="s">
        <v>34</v>
      </c>
      <c r="C2016" t="s">
        <v>6</v>
      </c>
      <c r="D2016">
        <v>60</v>
      </c>
      <c r="E2016">
        <v>671.39700000000005</v>
      </c>
      <c r="F2016">
        <f t="shared" si="125"/>
        <v>670</v>
      </c>
      <c r="G2016">
        <f t="shared" si="127"/>
        <v>0.20850746268657436</v>
      </c>
      <c r="H2016">
        <f t="shared" si="128"/>
        <v>0.20807361367418206</v>
      </c>
    </row>
    <row r="2017" spans="1:8" x14ac:dyDescent="0.25">
      <c r="A2017" t="str">
        <f t="shared" si="126"/>
        <v>Multihop,NSFnet,60</v>
      </c>
      <c r="B2017" t="s">
        <v>34</v>
      </c>
      <c r="C2017" t="s">
        <v>6</v>
      </c>
      <c r="D2017">
        <v>60</v>
      </c>
      <c r="E2017">
        <v>613.55899999999997</v>
      </c>
      <c r="F2017">
        <f t="shared" si="125"/>
        <v>670</v>
      </c>
      <c r="G2017">
        <f t="shared" si="127"/>
        <v>8.4240298507462725</v>
      </c>
      <c r="H2017">
        <f t="shared" si="128"/>
        <v>9.198952341991566</v>
      </c>
    </row>
    <row r="2018" spans="1:8" x14ac:dyDescent="0.25">
      <c r="A2018" t="str">
        <f t="shared" si="126"/>
        <v>Multihop,NSFnet,60</v>
      </c>
      <c r="B2018" t="s">
        <v>34</v>
      </c>
      <c r="C2018" t="s">
        <v>6</v>
      </c>
      <c r="D2018">
        <v>60</v>
      </c>
      <c r="E2018">
        <v>670.048</v>
      </c>
      <c r="F2018">
        <f t="shared" si="125"/>
        <v>670</v>
      </c>
      <c r="G2018">
        <f t="shared" si="127"/>
        <v>7.1641791044778835E-3</v>
      </c>
      <c r="H2018">
        <f t="shared" si="128"/>
        <v>7.1636658866233195E-3</v>
      </c>
    </row>
    <row r="2019" spans="1:8" x14ac:dyDescent="0.25">
      <c r="A2019" t="str">
        <f t="shared" si="126"/>
        <v>Multihop,NSFnet,60</v>
      </c>
      <c r="B2019" t="s">
        <v>34</v>
      </c>
      <c r="C2019" t="s">
        <v>6</v>
      </c>
      <c r="D2019">
        <v>60</v>
      </c>
      <c r="E2019">
        <v>656.36699999999996</v>
      </c>
      <c r="F2019">
        <f t="shared" si="125"/>
        <v>670</v>
      </c>
      <c r="G2019">
        <f t="shared" si="127"/>
        <v>2.034776119402991</v>
      </c>
      <c r="H2019">
        <f t="shared" si="128"/>
        <v>2.0770392173890579</v>
      </c>
    </row>
    <row r="2020" spans="1:8" x14ac:dyDescent="0.25">
      <c r="A2020" t="str">
        <f t="shared" si="126"/>
        <v>Multihop,NSFnet,60</v>
      </c>
      <c r="B2020" t="s">
        <v>34</v>
      </c>
      <c r="C2020" t="s">
        <v>6</v>
      </c>
      <c r="D2020">
        <v>60</v>
      </c>
      <c r="E2020">
        <v>667.53800000000001</v>
      </c>
      <c r="F2020">
        <f t="shared" si="125"/>
        <v>670</v>
      </c>
      <c r="G2020">
        <f t="shared" si="127"/>
        <v>0.36746268656716252</v>
      </c>
      <c r="H2020">
        <f t="shared" si="128"/>
        <v>0.36881795493290104</v>
      </c>
    </row>
    <row r="2021" spans="1:8" x14ac:dyDescent="0.25">
      <c r="A2021" t="str">
        <f t="shared" si="126"/>
        <v>Multihop,NSFnet,60</v>
      </c>
      <c r="B2021" t="s">
        <v>34</v>
      </c>
      <c r="C2021" t="s">
        <v>6</v>
      </c>
      <c r="D2021">
        <v>60</v>
      </c>
      <c r="E2021">
        <v>590.84199999999998</v>
      </c>
      <c r="F2021">
        <f t="shared" si="125"/>
        <v>670</v>
      </c>
      <c r="G2021">
        <f t="shared" si="127"/>
        <v>11.814626865671645</v>
      </c>
      <c r="H2021">
        <f t="shared" si="128"/>
        <v>13.397490361213322</v>
      </c>
    </row>
    <row r="2022" spans="1:8" x14ac:dyDescent="0.25">
      <c r="A2022" t="str">
        <f t="shared" si="126"/>
        <v>Multihop,NSFnet,60</v>
      </c>
      <c r="B2022" t="s">
        <v>34</v>
      </c>
      <c r="C2022" t="s">
        <v>6</v>
      </c>
      <c r="D2022">
        <v>60</v>
      </c>
      <c r="E2022">
        <v>640.947</v>
      </c>
      <c r="F2022">
        <f t="shared" si="125"/>
        <v>670</v>
      </c>
      <c r="G2022">
        <f t="shared" si="127"/>
        <v>4.3362686567164177</v>
      </c>
      <c r="H2022">
        <f t="shared" si="128"/>
        <v>4.5328240868589758</v>
      </c>
    </row>
    <row r="2023" spans="1:8" x14ac:dyDescent="0.25">
      <c r="A2023" t="str">
        <f t="shared" si="126"/>
        <v>Multihop,NSFnet,60</v>
      </c>
      <c r="B2023" t="s">
        <v>34</v>
      </c>
      <c r="C2023" t="s">
        <v>6</v>
      </c>
      <c r="D2023">
        <v>60</v>
      </c>
      <c r="E2023">
        <v>661.57500000000005</v>
      </c>
      <c r="F2023">
        <f t="shared" si="125"/>
        <v>670</v>
      </c>
      <c r="G2023">
        <f t="shared" si="127"/>
        <v>1.2574626865671574</v>
      </c>
      <c r="H2023">
        <f t="shared" si="128"/>
        <v>1.2734761742810647</v>
      </c>
    </row>
    <row r="2024" spans="1:8" x14ac:dyDescent="0.25">
      <c r="A2024" t="str">
        <f t="shared" si="126"/>
        <v>Multihop,NSFnet,60</v>
      </c>
      <c r="B2024" t="s">
        <v>34</v>
      </c>
      <c r="C2024" t="s">
        <v>6</v>
      </c>
      <c r="D2024">
        <v>60</v>
      </c>
      <c r="E2024">
        <v>649.25800000000004</v>
      </c>
      <c r="F2024">
        <f t="shared" si="125"/>
        <v>670</v>
      </c>
      <c r="G2024">
        <f t="shared" si="127"/>
        <v>3.0958208955223823</v>
      </c>
      <c r="H2024">
        <f t="shared" si="128"/>
        <v>3.194723823195087</v>
      </c>
    </row>
    <row r="2025" spans="1:8" x14ac:dyDescent="0.25">
      <c r="A2025" t="str">
        <f t="shared" si="126"/>
        <v>Multihop,NSFnet,60</v>
      </c>
      <c r="B2025" t="s">
        <v>34</v>
      </c>
      <c r="C2025" t="s">
        <v>6</v>
      </c>
      <c r="D2025">
        <v>60</v>
      </c>
      <c r="E2025">
        <v>646.40800000000002</v>
      </c>
      <c r="F2025">
        <f t="shared" si="125"/>
        <v>670</v>
      </c>
      <c r="G2025">
        <f t="shared" si="127"/>
        <v>3.5211940298507436</v>
      </c>
      <c r="H2025">
        <f t="shared" si="128"/>
        <v>3.649707305602651</v>
      </c>
    </row>
    <row r="2026" spans="1:8" x14ac:dyDescent="0.25">
      <c r="A2026" t="str">
        <f t="shared" si="126"/>
        <v>Multihop,NSFnet,60</v>
      </c>
      <c r="B2026" t="s">
        <v>34</v>
      </c>
      <c r="C2026" t="s">
        <v>6</v>
      </c>
      <c r="D2026">
        <v>60</v>
      </c>
      <c r="E2026">
        <v>658.97500000000002</v>
      </c>
      <c r="F2026">
        <f t="shared" si="125"/>
        <v>670</v>
      </c>
      <c r="G2026">
        <f t="shared" si="127"/>
        <v>1.6455223880596983</v>
      </c>
      <c r="H2026">
        <f t="shared" si="128"/>
        <v>1.6730528472248534</v>
      </c>
    </row>
    <row r="2027" spans="1:8" x14ac:dyDescent="0.25">
      <c r="A2027" t="str">
        <f t="shared" si="126"/>
        <v>Multihop,NSFnet,60</v>
      </c>
      <c r="B2027" t="s">
        <v>34</v>
      </c>
      <c r="C2027" t="s">
        <v>6</v>
      </c>
      <c r="D2027">
        <v>60</v>
      </c>
      <c r="E2027">
        <v>675.68799999999999</v>
      </c>
      <c r="F2027">
        <f t="shared" si="125"/>
        <v>670</v>
      </c>
      <c r="G2027">
        <f t="shared" si="127"/>
        <v>0.8489552238805953</v>
      </c>
      <c r="H2027">
        <f t="shared" si="128"/>
        <v>0.84180864541030587</v>
      </c>
    </row>
    <row r="2028" spans="1:8" x14ac:dyDescent="0.25">
      <c r="A2028" t="str">
        <f t="shared" si="126"/>
        <v>Multihop,NSFnet,60</v>
      </c>
      <c r="B2028" t="s">
        <v>34</v>
      </c>
      <c r="C2028" t="s">
        <v>6</v>
      </c>
      <c r="D2028">
        <v>60</v>
      </c>
      <c r="E2028">
        <v>676.98699999999997</v>
      </c>
      <c r="F2028">
        <f t="shared" si="125"/>
        <v>670</v>
      </c>
      <c r="G2028">
        <f t="shared" si="127"/>
        <v>1.0428358208955173</v>
      </c>
      <c r="H2028">
        <f t="shared" si="128"/>
        <v>1.0320729940161284</v>
      </c>
    </row>
    <row r="2029" spans="1:8" x14ac:dyDescent="0.25">
      <c r="A2029" t="str">
        <f t="shared" si="126"/>
        <v>Multihop,NSFnet,60</v>
      </c>
      <c r="B2029" t="s">
        <v>34</v>
      </c>
      <c r="C2029" t="s">
        <v>6</v>
      </c>
      <c r="D2029">
        <v>60</v>
      </c>
      <c r="E2029">
        <v>665.83900000000006</v>
      </c>
      <c r="F2029">
        <f t="shared" si="125"/>
        <v>670</v>
      </c>
      <c r="G2029">
        <f t="shared" si="127"/>
        <v>0.62104477611939468</v>
      </c>
      <c r="H2029">
        <f t="shared" si="128"/>
        <v>0.62492584543710183</v>
      </c>
    </row>
    <row r="2030" spans="1:8" x14ac:dyDescent="0.25">
      <c r="A2030" t="str">
        <f t="shared" si="126"/>
        <v>Multihop,NSFnet,60</v>
      </c>
      <c r="B2030" t="s">
        <v>34</v>
      </c>
      <c r="C2030" t="s">
        <v>6</v>
      </c>
      <c r="D2030">
        <v>60</v>
      </c>
      <c r="E2030">
        <v>660.54200000000003</v>
      </c>
      <c r="F2030">
        <f t="shared" si="125"/>
        <v>670</v>
      </c>
      <c r="G2030">
        <f t="shared" si="127"/>
        <v>1.4116417910447716</v>
      </c>
      <c r="H2030">
        <f t="shared" si="128"/>
        <v>1.4318544468027725</v>
      </c>
    </row>
    <row r="2031" spans="1:8" x14ac:dyDescent="0.25">
      <c r="A2031" t="str">
        <f t="shared" si="126"/>
        <v>Multihop,NSFnet,60</v>
      </c>
      <c r="B2031" t="s">
        <v>34</v>
      </c>
      <c r="C2031" t="s">
        <v>6</v>
      </c>
      <c r="D2031">
        <v>60</v>
      </c>
      <c r="E2031">
        <v>634.04300000000001</v>
      </c>
      <c r="F2031">
        <f t="shared" si="125"/>
        <v>670</v>
      </c>
      <c r="G2031">
        <f t="shared" si="127"/>
        <v>5.366716417910447</v>
      </c>
      <c r="H2031">
        <f t="shared" si="128"/>
        <v>5.6710664734095317</v>
      </c>
    </row>
    <row r="2032" spans="1:8" x14ac:dyDescent="0.25">
      <c r="A2032" t="str">
        <f t="shared" si="126"/>
        <v>Multihop,NSFnet,60</v>
      </c>
      <c r="B2032" t="s">
        <v>34</v>
      </c>
      <c r="C2032" t="s">
        <v>6</v>
      </c>
      <c r="D2032">
        <v>60</v>
      </c>
      <c r="E2032">
        <v>667.76900000000001</v>
      </c>
      <c r="F2032">
        <f t="shared" si="125"/>
        <v>670</v>
      </c>
      <c r="G2032">
        <f t="shared" si="127"/>
        <v>0.33298507462686483</v>
      </c>
      <c r="H2032">
        <f t="shared" si="128"/>
        <v>0.3340975696685522</v>
      </c>
    </row>
    <row r="2033" spans="1:8" x14ac:dyDescent="0.25">
      <c r="A2033" t="str">
        <f t="shared" si="126"/>
        <v>Multihop,NSFnet,60</v>
      </c>
      <c r="B2033" t="s">
        <v>34</v>
      </c>
      <c r="C2033" t="s">
        <v>6</v>
      </c>
      <c r="D2033">
        <v>60</v>
      </c>
      <c r="E2033">
        <v>695.41300000000001</v>
      </c>
      <c r="F2033">
        <f t="shared" si="125"/>
        <v>670</v>
      </c>
      <c r="G2033">
        <f t="shared" si="127"/>
        <v>3.7929850746268672</v>
      </c>
      <c r="H2033">
        <f t="shared" si="128"/>
        <v>3.6543751698630902</v>
      </c>
    </row>
    <row r="2034" spans="1:8" x14ac:dyDescent="0.25">
      <c r="A2034" t="str">
        <f t="shared" si="126"/>
        <v>Multihop,NSFnet,60</v>
      </c>
      <c r="B2034" t="s">
        <v>34</v>
      </c>
      <c r="C2034" t="s">
        <v>6</v>
      </c>
      <c r="D2034">
        <v>60</v>
      </c>
      <c r="E2034">
        <v>648.23199999999997</v>
      </c>
      <c r="F2034">
        <f t="shared" si="125"/>
        <v>670</v>
      </c>
      <c r="G2034">
        <f t="shared" si="127"/>
        <v>3.2489552238806017</v>
      </c>
      <c r="H2034">
        <f t="shared" si="128"/>
        <v>3.3580569919411616</v>
      </c>
    </row>
    <row r="2035" spans="1:8" x14ac:dyDescent="0.25">
      <c r="A2035" t="str">
        <f t="shared" si="126"/>
        <v>Multihop,NSFnet,60</v>
      </c>
      <c r="B2035" t="s">
        <v>34</v>
      </c>
      <c r="C2035" t="s">
        <v>6</v>
      </c>
      <c r="D2035">
        <v>60</v>
      </c>
      <c r="E2035">
        <v>645.72199999999998</v>
      </c>
      <c r="F2035">
        <f t="shared" si="125"/>
        <v>670</v>
      </c>
      <c r="G2035">
        <f t="shared" si="127"/>
        <v>3.6235820895522415</v>
      </c>
      <c r="H2035">
        <f t="shared" si="128"/>
        <v>3.7598223384056948</v>
      </c>
    </row>
    <row r="2036" spans="1:8" x14ac:dyDescent="0.25">
      <c r="A2036" t="str">
        <f t="shared" si="126"/>
        <v>Multihop,NSFnet,60</v>
      </c>
      <c r="B2036" t="s">
        <v>34</v>
      </c>
      <c r="C2036" t="s">
        <v>6</v>
      </c>
      <c r="D2036">
        <v>60</v>
      </c>
      <c r="E2036">
        <v>650.93600000000004</v>
      </c>
      <c r="F2036">
        <f t="shared" si="125"/>
        <v>670</v>
      </c>
      <c r="G2036">
        <f t="shared" si="127"/>
        <v>2.8453731343283528</v>
      </c>
      <c r="H2036">
        <f t="shared" si="128"/>
        <v>2.9287057406565258</v>
      </c>
    </row>
    <row r="2037" spans="1:8" x14ac:dyDescent="0.25">
      <c r="A2037" t="str">
        <f t="shared" si="126"/>
        <v>Multihop,NSFnet,60</v>
      </c>
      <c r="B2037" t="s">
        <v>34</v>
      </c>
      <c r="C2037" t="s">
        <v>6</v>
      </c>
      <c r="D2037">
        <v>60</v>
      </c>
      <c r="E2037">
        <v>704.3</v>
      </c>
      <c r="F2037">
        <f t="shared" si="125"/>
        <v>670</v>
      </c>
      <c r="G2037">
        <f t="shared" si="127"/>
        <v>5.1194029850746201</v>
      </c>
      <c r="H2037">
        <f t="shared" si="128"/>
        <v>4.8700837711202549</v>
      </c>
    </row>
    <row r="2038" spans="1:8" x14ac:dyDescent="0.25">
      <c r="A2038" t="str">
        <f t="shared" si="126"/>
        <v>Multihop,NSFnet,60</v>
      </c>
      <c r="B2038" t="s">
        <v>34</v>
      </c>
      <c r="C2038" t="s">
        <v>6</v>
      </c>
      <c r="D2038">
        <v>60</v>
      </c>
      <c r="E2038">
        <v>628.32899999999995</v>
      </c>
      <c r="F2038">
        <f t="shared" si="125"/>
        <v>670</v>
      </c>
      <c r="G2038">
        <f t="shared" si="127"/>
        <v>6.2195522388059779</v>
      </c>
      <c r="H2038">
        <f t="shared" si="128"/>
        <v>6.6320351280937304</v>
      </c>
    </row>
    <row r="2039" spans="1:8" x14ac:dyDescent="0.25">
      <c r="A2039" t="str">
        <f t="shared" si="126"/>
        <v>Multihop,NSFnet,60</v>
      </c>
      <c r="B2039" t="s">
        <v>34</v>
      </c>
      <c r="C2039" t="s">
        <v>6</v>
      </c>
      <c r="D2039">
        <v>60</v>
      </c>
      <c r="E2039">
        <v>625.58699999999999</v>
      </c>
      <c r="F2039">
        <f t="shared" si="125"/>
        <v>670</v>
      </c>
      <c r="G2039">
        <f t="shared" si="127"/>
        <v>6.6288059701492559</v>
      </c>
      <c r="H2039">
        <f t="shared" si="128"/>
        <v>7.0994122320316784</v>
      </c>
    </row>
    <row r="2040" spans="1:8" x14ac:dyDescent="0.25">
      <c r="A2040" t="str">
        <f t="shared" si="126"/>
        <v>Multihop,NSFnet,60</v>
      </c>
      <c r="B2040" t="s">
        <v>34</v>
      </c>
      <c r="C2040" t="s">
        <v>6</v>
      </c>
      <c r="D2040">
        <v>60</v>
      </c>
      <c r="E2040">
        <v>644.51499999999999</v>
      </c>
      <c r="F2040">
        <f t="shared" si="125"/>
        <v>670</v>
      </c>
      <c r="G2040">
        <f t="shared" si="127"/>
        <v>3.8037313432835838</v>
      </c>
      <c r="H2040">
        <f t="shared" si="128"/>
        <v>3.9541360557938936</v>
      </c>
    </row>
    <row r="2041" spans="1:8" x14ac:dyDescent="0.25">
      <c r="A2041" t="str">
        <f t="shared" si="126"/>
        <v>Multihop,NSFnet,60</v>
      </c>
      <c r="B2041" t="s">
        <v>34</v>
      </c>
      <c r="C2041" t="s">
        <v>6</v>
      </c>
      <c r="D2041">
        <v>60</v>
      </c>
      <c r="E2041">
        <v>639.61699999999996</v>
      </c>
      <c r="F2041">
        <f t="shared" si="125"/>
        <v>670</v>
      </c>
      <c r="G2041">
        <f t="shared" si="127"/>
        <v>4.5347761194029914</v>
      </c>
      <c r="H2041">
        <f t="shared" si="128"/>
        <v>4.7501864396975124</v>
      </c>
    </row>
    <row r="2042" spans="1:8" x14ac:dyDescent="0.25">
      <c r="A2042" t="str">
        <f t="shared" si="126"/>
        <v>Multihop,NSFnet,60</v>
      </c>
      <c r="B2042" t="s">
        <v>34</v>
      </c>
      <c r="C2042" t="s">
        <v>6</v>
      </c>
      <c r="D2042">
        <v>60</v>
      </c>
      <c r="E2042">
        <v>633.73500000000001</v>
      </c>
      <c r="F2042">
        <f t="shared" si="125"/>
        <v>670</v>
      </c>
      <c r="G2042">
        <f t="shared" si="127"/>
        <v>5.4126865671641777</v>
      </c>
      <c r="H2042">
        <f t="shared" si="128"/>
        <v>5.7224234104160239</v>
      </c>
    </row>
    <row r="2043" spans="1:8" x14ac:dyDescent="0.25">
      <c r="A2043" t="str">
        <f t="shared" si="126"/>
        <v>Multihop,NSFnet,60</v>
      </c>
      <c r="B2043" t="s">
        <v>34</v>
      </c>
      <c r="C2043" t="s">
        <v>6</v>
      </c>
      <c r="D2043">
        <v>60</v>
      </c>
      <c r="E2043">
        <v>665.93899999999996</v>
      </c>
      <c r="F2043">
        <f t="shared" si="125"/>
        <v>670</v>
      </c>
      <c r="G2043">
        <f t="shared" si="127"/>
        <v>0.60611940298507994</v>
      </c>
      <c r="H2043">
        <f t="shared" si="128"/>
        <v>0.60981561374240512</v>
      </c>
    </row>
    <row r="2044" spans="1:8" x14ac:dyDescent="0.25">
      <c r="A2044" t="str">
        <f t="shared" si="126"/>
        <v>Multihop,NSFnet,60</v>
      </c>
      <c r="B2044" t="s">
        <v>34</v>
      </c>
      <c r="C2044" t="s">
        <v>6</v>
      </c>
      <c r="D2044">
        <v>60</v>
      </c>
      <c r="E2044">
        <v>631.85599999999999</v>
      </c>
      <c r="F2044">
        <f t="shared" si="125"/>
        <v>670</v>
      </c>
      <c r="G2044">
        <f t="shared" si="127"/>
        <v>5.6931343283582097</v>
      </c>
      <c r="H2044">
        <f t="shared" si="128"/>
        <v>6.0368185156111531</v>
      </c>
    </row>
    <row r="2045" spans="1:8" x14ac:dyDescent="0.25">
      <c r="A2045" t="str">
        <f t="shared" si="126"/>
        <v>Multihop,NSFnet,60</v>
      </c>
      <c r="B2045" t="s">
        <v>34</v>
      </c>
      <c r="C2045" t="s">
        <v>6</v>
      </c>
      <c r="D2045">
        <v>60</v>
      </c>
      <c r="E2045">
        <v>653.91899999999998</v>
      </c>
      <c r="F2045">
        <f t="shared" si="125"/>
        <v>670</v>
      </c>
      <c r="G2045">
        <f t="shared" si="127"/>
        <v>2.400149253731346</v>
      </c>
      <c r="H2045">
        <f t="shared" si="128"/>
        <v>2.4591730780111938</v>
      </c>
    </row>
    <row r="2046" spans="1:8" x14ac:dyDescent="0.25">
      <c r="A2046" t="str">
        <f t="shared" si="126"/>
        <v>Multihop,NSFnet,60</v>
      </c>
      <c r="B2046" t="s">
        <v>34</v>
      </c>
      <c r="C2046" t="s">
        <v>6</v>
      </c>
      <c r="D2046">
        <v>60</v>
      </c>
      <c r="E2046">
        <v>660.74400000000003</v>
      </c>
      <c r="F2046">
        <f t="shared" si="125"/>
        <v>670</v>
      </c>
      <c r="G2046">
        <f t="shared" si="127"/>
        <v>1.3814925373134286</v>
      </c>
      <c r="H2046">
        <f t="shared" si="128"/>
        <v>1.4008451079389252</v>
      </c>
    </row>
    <row r="2047" spans="1:8" x14ac:dyDescent="0.25">
      <c r="A2047" t="str">
        <f t="shared" si="126"/>
        <v>Multihop,NSFnet,60</v>
      </c>
      <c r="B2047" t="s">
        <v>34</v>
      </c>
      <c r="C2047" t="s">
        <v>6</v>
      </c>
      <c r="D2047">
        <v>60</v>
      </c>
      <c r="E2047">
        <v>680.99199999999996</v>
      </c>
      <c r="F2047">
        <f t="shared" si="125"/>
        <v>670</v>
      </c>
      <c r="G2047">
        <f t="shared" si="127"/>
        <v>1.6405970149253675</v>
      </c>
      <c r="H2047">
        <f t="shared" si="128"/>
        <v>1.6141158780132459</v>
      </c>
    </row>
    <row r="2048" spans="1:8" x14ac:dyDescent="0.25">
      <c r="A2048" t="str">
        <f t="shared" si="126"/>
        <v>Multihop,NSFnet,60</v>
      </c>
      <c r="B2048" t="s">
        <v>34</v>
      </c>
      <c r="C2048" t="s">
        <v>6</v>
      </c>
      <c r="D2048">
        <v>60</v>
      </c>
      <c r="E2048">
        <v>676.77499999999998</v>
      </c>
      <c r="F2048">
        <f t="shared" si="125"/>
        <v>670</v>
      </c>
      <c r="G2048">
        <f t="shared" si="127"/>
        <v>1.0111940298507429</v>
      </c>
      <c r="H2048">
        <f t="shared" si="128"/>
        <v>1.0010712570647524</v>
      </c>
    </row>
    <row r="2049" spans="1:8" x14ac:dyDescent="0.25">
      <c r="A2049" t="str">
        <f t="shared" si="126"/>
        <v>Multihop,NSFnet,60</v>
      </c>
      <c r="B2049" t="s">
        <v>34</v>
      </c>
      <c r="C2049" t="s">
        <v>6</v>
      </c>
      <c r="D2049">
        <v>60</v>
      </c>
      <c r="E2049">
        <v>659.93700000000001</v>
      </c>
      <c r="F2049">
        <f t="shared" si="125"/>
        <v>670</v>
      </c>
      <c r="G2049">
        <f t="shared" si="127"/>
        <v>1.501940298507461</v>
      </c>
      <c r="H2049">
        <f t="shared" si="128"/>
        <v>1.524842522846876</v>
      </c>
    </row>
    <row r="2050" spans="1:8" x14ac:dyDescent="0.25">
      <c r="A2050" t="str">
        <f t="shared" si="126"/>
        <v>Multihop,NSFnet,60</v>
      </c>
      <c r="B2050" t="s">
        <v>34</v>
      </c>
      <c r="C2050" t="s">
        <v>6</v>
      </c>
      <c r="D2050">
        <v>60</v>
      </c>
      <c r="E2050">
        <v>642.34</v>
      </c>
      <c r="F2050">
        <f t="shared" si="125"/>
        <v>670</v>
      </c>
      <c r="G2050">
        <f t="shared" si="127"/>
        <v>4.1283582089552189</v>
      </c>
      <c r="H2050">
        <f t="shared" si="128"/>
        <v>4.3061307095930452</v>
      </c>
    </row>
    <row r="2051" spans="1:8" x14ac:dyDescent="0.25">
      <c r="A2051" t="str">
        <f t="shared" si="126"/>
        <v>Multihop,NSFnet,60</v>
      </c>
      <c r="B2051" t="s">
        <v>34</v>
      </c>
      <c r="C2051" t="s">
        <v>6</v>
      </c>
      <c r="D2051">
        <v>60</v>
      </c>
      <c r="E2051">
        <v>659.81500000000005</v>
      </c>
      <c r="F2051">
        <f t="shared" ref="F2051:F2114" si="129">_xlfn.XLOOKUP(A2051,$J$3:$J$36,$N$3:$N$36)</f>
        <v>670</v>
      </c>
      <c r="G2051">
        <f t="shared" si="127"/>
        <v>1.520149253731335</v>
      </c>
      <c r="H2051">
        <f t="shared" si="128"/>
        <v>1.5436144980032198</v>
      </c>
    </row>
    <row r="2052" spans="1:8" x14ac:dyDescent="0.25">
      <c r="A2052" t="str">
        <f t="shared" ref="A2052:A2115" si="130">B2052&amp;","&amp;C2052&amp;","&amp;D2052</f>
        <v>Multihop,NSFnet,60</v>
      </c>
      <c r="B2052" t="s">
        <v>34</v>
      </c>
      <c r="C2052" t="s">
        <v>6</v>
      </c>
      <c r="D2052">
        <v>60</v>
      </c>
      <c r="E2052">
        <v>653.20899999999995</v>
      </c>
      <c r="F2052">
        <f t="shared" si="129"/>
        <v>670</v>
      </c>
      <c r="G2052">
        <f t="shared" ref="G2052:G2115" si="131">ABS((E2052-F2052)/F2052)*100</f>
        <v>2.5061194029850826</v>
      </c>
      <c r="H2052">
        <f t="shared" ref="H2052:H2115" si="132">ABS((F2052-E2052)/E2052)*100</f>
        <v>2.5705402099481263</v>
      </c>
    </row>
    <row r="2053" spans="1:8" x14ac:dyDescent="0.25">
      <c r="A2053" t="str">
        <f t="shared" si="130"/>
        <v>Multihop,NSFnet,60</v>
      </c>
      <c r="B2053" t="s">
        <v>34</v>
      </c>
      <c r="C2053" t="s">
        <v>6</v>
      </c>
      <c r="D2053">
        <v>60</v>
      </c>
      <c r="E2053">
        <v>626.59299999999996</v>
      </c>
      <c r="F2053">
        <f t="shared" si="129"/>
        <v>670</v>
      </c>
      <c r="G2053">
        <f t="shared" si="131"/>
        <v>6.4786567164179161</v>
      </c>
      <c r="H2053">
        <f t="shared" si="132"/>
        <v>6.9274632815878947</v>
      </c>
    </row>
    <row r="2054" spans="1:8" x14ac:dyDescent="0.25">
      <c r="A2054" t="str">
        <f t="shared" si="130"/>
        <v>Multihop,NSFnet,60</v>
      </c>
      <c r="B2054" t="s">
        <v>34</v>
      </c>
      <c r="C2054" t="s">
        <v>6</v>
      </c>
      <c r="D2054">
        <v>60</v>
      </c>
      <c r="E2054">
        <v>647.70699999999999</v>
      </c>
      <c r="F2054">
        <f t="shared" si="129"/>
        <v>670</v>
      </c>
      <c r="G2054">
        <f t="shared" si="131"/>
        <v>3.327313432835822</v>
      </c>
      <c r="H2054">
        <f t="shared" si="132"/>
        <v>3.4418340391565954</v>
      </c>
    </row>
    <row r="2055" spans="1:8" x14ac:dyDescent="0.25">
      <c r="A2055" t="str">
        <f t="shared" si="130"/>
        <v>Multihop,NSFnet,60</v>
      </c>
      <c r="B2055" t="s">
        <v>34</v>
      </c>
      <c r="C2055" t="s">
        <v>6</v>
      </c>
      <c r="D2055">
        <v>60</v>
      </c>
      <c r="E2055">
        <v>682.58399999999995</v>
      </c>
      <c r="F2055">
        <f t="shared" si="129"/>
        <v>670</v>
      </c>
      <c r="G2055">
        <f t="shared" si="131"/>
        <v>1.8782089552238725</v>
      </c>
      <c r="H2055">
        <f t="shared" si="132"/>
        <v>1.8435826213330442</v>
      </c>
    </row>
    <row r="2056" spans="1:8" x14ac:dyDescent="0.25">
      <c r="A2056" t="str">
        <f t="shared" si="130"/>
        <v>Multihop,NSFnet,60</v>
      </c>
      <c r="B2056" t="s">
        <v>34</v>
      </c>
      <c r="C2056" t="s">
        <v>6</v>
      </c>
      <c r="D2056">
        <v>60</v>
      </c>
      <c r="E2056">
        <v>673.91200000000003</v>
      </c>
      <c r="F2056">
        <f t="shared" si="129"/>
        <v>670</v>
      </c>
      <c r="G2056">
        <f t="shared" si="131"/>
        <v>0.58388059701493056</v>
      </c>
      <c r="H2056">
        <f t="shared" si="132"/>
        <v>0.58049122140576725</v>
      </c>
    </row>
    <row r="2057" spans="1:8" x14ac:dyDescent="0.25">
      <c r="A2057" t="str">
        <f t="shared" si="130"/>
        <v>Multihop,NSFnet,60</v>
      </c>
      <c r="B2057" t="s">
        <v>34</v>
      </c>
      <c r="C2057" t="s">
        <v>6</v>
      </c>
      <c r="D2057">
        <v>60</v>
      </c>
      <c r="E2057">
        <v>698.46</v>
      </c>
      <c r="F2057">
        <f t="shared" si="129"/>
        <v>670</v>
      </c>
      <c r="G2057">
        <f t="shared" si="131"/>
        <v>4.2477611940298559</v>
      </c>
      <c r="H2057">
        <f t="shared" si="132"/>
        <v>4.0746785785871831</v>
      </c>
    </row>
    <row r="2058" spans="1:8" x14ac:dyDescent="0.25">
      <c r="A2058" t="str">
        <f t="shared" si="130"/>
        <v>Multihop,NSFnet,60</v>
      </c>
      <c r="B2058" t="s">
        <v>34</v>
      </c>
      <c r="C2058" t="s">
        <v>6</v>
      </c>
      <c r="D2058">
        <v>60</v>
      </c>
      <c r="E2058">
        <v>651.76499999999999</v>
      </c>
      <c r="F2058">
        <f t="shared" si="129"/>
        <v>670</v>
      </c>
      <c r="G2058">
        <f t="shared" si="131"/>
        <v>2.7216417910447781</v>
      </c>
      <c r="H2058">
        <f t="shared" si="132"/>
        <v>2.7977875461247557</v>
      </c>
    </row>
    <row r="2059" spans="1:8" x14ac:dyDescent="0.25">
      <c r="A2059" t="str">
        <f t="shared" si="130"/>
        <v>Multihop,NSFnet,60</v>
      </c>
      <c r="B2059" t="s">
        <v>34</v>
      </c>
      <c r="C2059" t="s">
        <v>6</v>
      </c>
      <c r="D2059">
        <v>60</v>
      </c>
      <c r="E2059">
        <v>684.18700000000001</v>
      </c>
      <c r="F2059">
        <f t="shared" si="129"/>
        <v>670</v>
      </c>
      <c r="G2059">
        <f t="shared" si="131"/>
        <v>2.117462686567166</v>
      </c>
      <c r="H2059">
        <f t="shared" si="132"/>
        <v>2.073555913807192</v>
      </c>
    </row>
    <row r="2060" spans="1:8" x14ac:dyDescent="0.25">
      <c r="A2060" t="str">
        <f t="shared" si="130"/>
        <v>Multihop,NSFnet,60</v>
      </c>
      <c r="B2060" t="s">
        <v>34</v>
      </c>
      <c r="C2060" t="s">
        <v>6</v>
      </c>
      <c r="D2060">
        <v>60</v>
      </c>
      <c r="E2060">
        <v>665.81100000000004</v>
      </c>
      <c r="F2060">
        <f t="shared" si="129"/>
        <v>670</v>
      </c>
      <c r="G2060">
        <f t="shared" si="131"/>
        <v>0.62522388059700962</v>
      </c>
      <c r="H2060">
        <f t="shared" si="132"/>
        <v>0.62915752368164002</v>
      </c>
    </row>
    <row r="2061" spans="1:8" x14ac:dyDescent="0.25">
      <c r="A2061" t="str">
        <f t="shared" si="130"/>
        <v>Multihop,NSFnet,60</v>
      </c>
      <c r="B2061" t="s">
        <v>34</v>
      </c>
      <c r="C2061" t="s">
        <v>6</v>
      </c>
      <c r="D2061">
        <v>60</v>
      </c>
      <c r="E2061">
        <v>675.43299999999999</v>
      </c>
      <c r="F2061">
        <f t="shared" si="129"/>
        <v>670</v>
      </c>
      <c r="G2061">
        <f t="shared" si="131"/>
        <v>0.81089552238805873</v>
      </c>
      <c r="H2061">
        <f t="shared" si="132"/>
        <v>0.80437289857024941</v>
      </c>
    </row>
    <row r="2062" spans="1:8" x14ac:dyDescent="0.25">
      <c r="A2062" t="str">
        <f t="shared" si="130"/>
        <v>Multihop,NSFnet,60</v>
      </c>
      <c r="B2062" t="s">
        <v>34</v>
      </c>
      <c r="C2062" t="s">
        <v>6</v>
      </c>
      <c r="D2062">
        <v>60</v>
      </c>
      <c r="E2062">
        <v>688.56700000000001</v>
      </c>
      <c r="F2062">
        <f t="shared" si="129"/>
        <v>670</v>
      </c>
      <c r="G2062">
        <f t="shared" si="131"/>
        <v>2.7711940298507471</v>
      </c>
      <c r="H2062">
        <f t="shared" si="132"/>
        <v>2.6964696245971713</v>
      </c>
    </row>
    <row r="2063" spans="1:8" x14ac:dyDescent="0.25">
      <c r="A2063" t="str">
        <f t="shared" si="130"/>
        <v>Multihop,NSFnet,60</v>
      </c>
      <c r="B2063" t="s">
        <v>34</v>
      </c>
      <c r="C2063" t="s">
        <v>6</v>
      </c>
      <c r="D2063">
        <v>60</v>
      </c>
      <c r="E2063">
        <v>687.61599999999999</v>
      </c>
      <c r="F2063">
        <f t="shared" si="129"/>
        <v>670</v>
      </c>
      <c r="G2063">
        <f t="shared" si="131"/>
        <v>2.6292537313432818</v>
      </c>
      <c r="H2063">
        <f t="shared" si="132"/>
        <v>2.5618950111690224</v>
      </c>
    </row>
    <row r="2064" spans="1:8" x14ac:dyDescent="0.25">
      <c r="A2064" t="str">
        <f t="shared" si="130"/>
        <v>Multihop,NSFnet,60</v>
      </c>
      <c r="B2064" t="s">
        <v>34</v>
      </c>
      <c r="C2064" t="s">
        <v>6</v>
      </c>
      <c r="D2064">
        <v>60</v>
      </c>
      <c r="E2064">
        <v>677.721</v>
      </c>
      <c r="F2064">
        <f t="shared" si="129"/>
        <v>670</v>
      </c>
      <c r="G2064">
        <f t="shared" si="131"/>
        <v>1.1523880597014931</v>
      </c>
      <c r="H2064">
        <f t="shared" si="132"/>
        <v>1.1392593707440086</v>
      </c>
    </row>
    <row r="2065" spans="1:8" x14ac:dyDescent="0.25">
      <c r="A2065" t="str">
        <f t="shared" si="130"/>
        <v>Multihop,NSFnet,60</v>
      </c>
      <c r="B2065" t="s">
        <v>34</v>
      </c>
      <c r="C2065" t="s">
        <v>6</v>
      </c>
      <c r="D2065">
        <v>60</v>
      </c>
      <c r="E2065">
        <v>642.12300000000005</v>
      </c>
      <c r="F2065">
        <f t="shared" si="129"/>
        <v>670</v>
      </c>
      <c r="G2065">
        <f t="shared" si="131"/>
        <v>4.1607462686567089</v>
      </c>
      <c r="H2065">
        <f t="shared" si="132"/>
        <v>4.3413800782716008</v>
      </c>
    </row>
    <row r="2066" spans="1:8" x14ac:dyDescent="0.25">
      <c r="A2066" t="str">
        <f t="shared" si="130"/>
        <v>Multihop,NSFnet,60</v>
      </c>
      <c r="B2066" t="s">
        <v>34</v>
      </c>
      <c r="C2066" t="s">
        <v>6</v>
      </c>
      <c r="D2066">
        <v>60</v>
      </c>
      <c r="E2066">
        <v>628.79200000000003</v>
      </c>
      <c r="F2066">
        <f t="shared" si="129"/>
        <v>670</v>
      </c>
      <c r="G2066">
        <f t="shared" si="131"/>
        <v>6.1504477611940249</v>
      </c>
      <c r="H2066">
        <f t="shared" si="132"/>
        <v>6.5535184926016816</v>
      </c>
    </row>
    <row r="2067" spans="1:8" x14ac:dyDescent="0.25">
      <c r="A2067" t="str">
        <f t="shared" si="130"/>
        <v>Multihop,NSFnet,60</v>
      </c>
      <c r="B2067" t="s">
        <v>34</v>
      </c>
      <c r="C2067" t="s">
        <v>6</v>
      </c>
      <c r="D2067">
        <v>60</v>
      </c>
      <c r="E2067">
        <v>677.30100000000004</v>
      </c>
      <c r="F2067">
        <f t="shared" si="129"/>
        <v>670</v>
      </c>
      <c r="G2067">
        <f t="shared" si="131"/>
        <v>1.0897014925373201</v>
      </c>
      <c r="H2067">
        <f t="shared" si="132"/>
        <v>1.077955000804671</v>
      </c>
    </row>
    <row r="2068" spans="1:8" x14ac:dyDescent="0.25">
      <c r="A2068" t="str">
        <f t="shared" si="130"/>
        <v>Multihop,NSFnet,60</v>
      </c>
      <c r="B2068" t="s">
        <v>34</v>
      </c>
      <c r="C2068" t="s">
        <v>6</v>
      </c>
      <c r="D2068">
        <v>60</v>
      </c>
      <c r="E2068">
        <v>674.75800000000004</v>
      </c>
      <c r="F2068">
        <f t="shared" si="129"/>
        <v>670</v>
      </c>
      <c r="G2068">
        <f t="shared" si="131"/>
        <v>0.71014925373134896</v>
      </c>
      <c r="H2068">
        <f t="shared" si="132"/>
        <v>0.70514169524481929</v>
      </c>
    </row>
    <row r="2069" spans="1:8" x14ac:dyDescent="0.25">
      <c r="A2069" t="str">
        <f t="shared" si="130"/>
        <v>Multihop,NSFnet,60</v>
      </c>
      <c r="B2069" t="s">
        <v>34</v>
      </c>
      <c r="C2069" t="s">
        <v>6</v>
      </c>
      <c r="D2069">
        <v>60</v>
      </c>
      <c r="E2069">
        <v>646.61599999999999</v>
      </c>
      <c r="F2069">
        <f t="shared" si="129"/>
        <v>670</v>
      </c>
      <c r="G2069">
        <f t="shared" si="131"/>
        <v>3.4901492537313459</v>
      </c>
      <c r="H2069">
        <f t="shared" si="132"/>
        <v>3.6163658183527807</v>
      </c>
    </row>
    <row r="2070" spans="1:8" x14ac:dyDescent="0.25">
      <c r="A2070" t="str">
        <f t="shared" si="130"/>
        <v>Multihop,NSFnet,60</v>
      </c>
      <c r="B2070" t="s">
        <v>34</v>
      </c>
      <c r="C2070" t="s">
        <v>6</v>
      </c>
      <c r="D2070">
        <v>60</v>
      </c>
      <c r="E2070">
        <v>661.13400000000001</v>
      </c>
      <c r="F2070">
        <f t="shared" si="129"/>
        <v>670</v>
      </c>
      <c r="G2070">
        <f t="shared" si="131"/>
        <v>1.3232835820895501</v>
      </c>
      <c r="H2070">
        <f t="shared" si="132"/>
        <v>1.3410292013419345</v>
      </c>
    </row>
    <row r="2071" spans="1:8" x14ac:dyDescent="0.25">
      <c r="A2071" t="str">
        <f t="shared" si="130"/>
        <v>Multihop,NSFnet,60</v>
      </c>
      <c r="B2071" t="s">
        <v>34</v>
      </c>
      <c r="C2071" t="s">
        <v>6</v>
      </c>
      <c r="D2071">
        <v>60</v>
      </c>
      <c r="E2071">
        <v>678.72900000000004</v>
      </c>
      <c r="F2071">
        <f t="shared" si="129"/>
        <v>670</v>
      </c>
      <c r="G2071">
        <f t="shared" si="131"/>
        <v>1.3028358208955286</v>
      </c>
      <c r="H2071">
        <f t="shared" si="132"/>
        <v>1.2860803059836903</v>
      </c>
    </row>
    <row r="2072" spans="1:8" x14ac:dyDescent="0.25">
      <c r="A2072" t="str">
        <f t="shared" si="130"/>
        <v>Multihop,NSFnet,60</v>
      </c>
      <c r="B2072" t="s">
        <v>34</v>
      </c>
      <c r="C2072" t="s">
        <v>6</v>
      </c>
      <c r="D2072">
        <v>60</v>
      </c>
      <c r="E2072">
        <v>629.28399999999999</v>
      </c>
      <c r="F2072">
        <f t="shared" si="129"/>
        <v>670</v>
      </c>
      <c r="G2072">
        <f t="shared" si="131"/>
        <v>6.0770149253731356</v>
      </c>
      <c r="H2072">
        <f t="shared" si="132"/>
        <v>6.4702105885418995</v>
      </c>
    </row>
    <row r="2073" spans="1:8" x14ac:dyDescent="0.25">
      <c r="A2073" t="str">
        <f t="shared" si="130"/>
        <v>Multihop,NSFnet,60</v>
      </c>
      <c r="B2073" t="s">
        <v>34</v>
      </c>
      <c r="C2073" t="s">
        <v>6</v>
      </c>
      <c r="D2073">
        <v>60</v>
      </c>
      <c r="E2073">
        <v>654.67100000000005</v>
      </c>
      <c r="F2073">
        <f t="shared" si="129"/>
        <v>670</v>
      </c>
      <c r="G2073">
        <f t="shared" si="131"/>
        <v>2.2879104477611869</v>
      </c>
      <c r="H2073">
        <f t="shared" si="132"/>
        <v>2.3414814464058971</v>
      </c>
    </row>
    <row r="2074" spans="1:8" x14ac:dyDescent="0.25">
      <c r="A2074" t="str">
        <f t="shared" si="130"/>
        <v>Multihop,NSFnet,60</v>
      </c>
      <c r="B2074" t="s">
        <v>34</v>
      </c>
      <c r="C2074" t="s">
        <v>6</v>
      </c>
      <c r="D2074">
        <v>60</v>
      </c>
      <c r="E2074">
        <v>642.70899999999995</v>
      </c>
      <c r="F2074">
        <f t="shared" si="129"/>
        <v>670</v>
      </c>
      <c r="G2074">
        <f t="shared" si="131"/>
        <v>4.0732835820895605</v>
      </c>
      <c r="H2074">
        <f t="shared" si="132"/>
        <v>4.2462451902805247</v>
      </c>
    </row>
    <row r="2075" spans="1:8" x14ac:dyDescent="0.25">
      <c r="A2075" t="str">
        <f t="shared" si="130"/>
        <v>Multihop,NSFnet,60</v>
      </c>
      <c r="B2075" t="s">
        <v>34</v>
      </c>
      <c r="C2075" t="s">
        <v>6</v>
      </c>
      <c r="D2075">
        <v>60</v>
      </c>
      <c r="E2075">
        <v>677.43</v>
      </c>
      <c r="F2075">
        <f t="shared" si="129"/>
        <v>670</v>
      </c>
      <c r="G2075">
        <f t="shared" si="131"/>
        <v>1.1089552238805895</v>
      </c>
      <c r="H2075">
        <f t="shared" si="132"/>
        <v>1.0967922885021257</v>
      </c>
    </row>
    <row r="2076" spans="1:8" x14ac:dyDescent="0.25">
      <c r="A2076" t="str">
        <f t="shared" si="130"/>
        <v>Multihop,NSFnet,60</v>
      </c>
      <c r="B2076" t="s">
        <v>34</v>
      </c>
      <c r="C2076" t="s">
        <v>6</v>
      </c>
      <c r="D2076">
        <v>60</v>
      </c>
      <c r="E2076">
        <v>667.7</v>
      </c>
      <c r="F2076">
        <f t="shared" si="129"/>
        <v>670</v>
      </c>
      <c r="G2076">
        <f t="shared" si="131"/>
        <v>0.34328358208954546</v>
      </c>
      <c r="H2076">
        <f t="shared" si="132"/>
        <v>0.34446607757974451</v>
      </c>
    </row>
    <row r="2077" spans="1:8" x14ac:dyDescent="0.25">
      <c r="A2077" t="str">
        <f t="shared" si="130"/>
        <v>Multihop,NSFnet,60</v>
      </c>
      <c r="B2077" t="s">
        <v>34</v>
      </c>
      <c r="C2077" t="s">
        <v>6</v>
      </c>
      <c r="D2077">
        <v>60</v>
      </c>
      <c r="E2077">
        <v>676.83699999999999</v>
      </c>
      <c r="F2077">
        <f t="shared" si="129"/>
        <v>670</v>
      </c>
      <c r="G2077">
        <f t="shared" si="131"/>
        <v>1.0204477611940281</v>
      </c>
      <c r="H2077">
        <f t="shared" si="132"/>
        <v>1.0101398120965592</v>
      </c>
    </row>
    <row r="2078" spans="1:8" x14ac:dyDescent="0.25">
      <c r="A2078" t="str">
        <f t="shared" si="130"/>
        <v>Multihop,NSFnet,60</v>
      </c>
      <c r="B2078" t="s">
        <v>34</v>
      </c>
      <c r="C2078" t="s">
        <v>6</v>
      </c>
      <c r="D2078">
        <v>60</v>
      </c>
      <c r="E2078">
        <v>628.69000000000005</v>
      </c>
      <c r="F2078">
        <f t="shared" si="129"/>
        <v>670</v>
      </c>
      <c r="G2078">
        <f t="shared" si="131"/>
        <v>6.1656716417910369</v>
      </c>
      <c r="H2078">
        <f t="shared" si="132"/>
        <v>6.5708059616026881</v>
      </c>
    </row>
    <row r="2079" spans="1:8" x14ac:dyDescent="0.25">
      <c r="A2079" t="str">
        <f t="shared" si="130"/>
        <v>Multihop,NSFnet,60</v>
      </c>
      <c r="B2079" t="s">
        <v>34</v>
      </c>
      <c r="C2079" t="s">
        <v>6</v>
      </c>
      <c r="D2079">
        <v>60</v>
      </c>
      <c r="E2079">
        <v>653.01300000000003</v>
      </c>
      <c r="F2079">
        <f t="shared" si="129"/>
        <v>670</v>
      </c>
      <c r="G2079">
        <f t="shared" si="131"/>
        <v>2.5353731343283532</v>
      </c>
      <c r="H2079">
        <f t="shared" si="132"/>
        <v>2.6013264667012703</v>
      </c>
    </row>
    <row r="2080" spans="1:8" x14ac:dyDescent="0.25">
      <c r="A2080" t="str">
        <f t="shared" si="130"/>
        <v>Multihop,NSFnet,60</v>
      </c>
      <c r="B2080" t="s">
        <v>34</v>
      </c>
      <c r="C2080" t="s">
        <v>6</v>
      </c>
      <c r="D2080">
        <v>60</v>
      </c>
      <c r="E2080">
        <v>667.72699999999998</v>
      </c>
      <c r="F2080">
        <f t="shared" si="129"/>
        <v>670</v>
      </c>
      <c r="G2080">
        <f t="shared" si="131"/>
        <v>0.33925373134328723</v>
      </c>
      <c r="H2080">
        <f t="shared" si="132"/>
        <v>0.34040858015326991</v>
      </c>
    </row>
    <row r="2081" spans="1:8" x14ac:dyDescent="0.25">
      <c r="A2081" t="str">
        <f t="shared" si="130"/>
        <v>Multihop,NSFnet,60</v>
      </c>
      <c r="B2081" t="s">
        <v>34</v>
      </c>
      <c r="C2081" t="s">
        <v>6</v>
      </c>
      <c r="D2081">
        <v>60</v>
      </c>
      <c r="E2081">
        <v>650.77200000000005</v>
      </c>
      <c r="F2081">
        <f t="shared" si="129"/>
        <v>670</v>
      </c>
      <c r="G2081">
        <f t="shared" si="131"/>
        <v>2.8698507462686496</v>
      </c>
      <c r="H2081">
        <f t="shared" si="132"/>
        <v>2.9546446374459796</v>
      </c>
    </row>
    <row r="2082" spans="1:8" x14ac:dyDescent="0.25">
      <c r="A2082" t="str">
        <f t="shared" si="130"/>
        <v>Multihop,NSFnet,60</v>
      </c>
      <c r="B2082" t="s">
        <v>34</v>
      </c>
      <c r="C2082" t="s">
        <v>6</v>
      </c>
      <c r="D2082">
        <v>60</v>
      </c>
      <c r="E2082">
        <v>665.52700000000004</v>
      </c>
      <c r="F2082">
        <f t="shared" si="129"/>
        <v>670</v>
      </c>
      <c r="G2082">
        <f t="shared" si="131"/>
        <v>0.66761194029850091</v>
      </c>
      <c r="H2082">
        <f t="shared" si="132"/>
        <v>0.67209895316042112</v>
      </c>
    </row>
    <row r="2083" spans="1:8" x14ac:dyDescent="0.25">
      <c r="A2083" t="str">
        <f t="shared" si="130"/>
        <v>Multihop,NSFnet,60</v>
      </c>
      <c r="B2083" t="s">
        <v>34</v>
      </c>
      <c r="C2083" t="s">
        <v>6</v>
      </c>
      <c r="D2083">
        <v>60</v>
      </c>
      <c r="E2083">
        <v>641.57399999999996</v>
      </c>
      <c r="F2083">
        <f t="shared" si="129"/>
        <v>670</v>
      </c>
      <c r="G2083">
        <f t="shared" si="131"/>
        <v>4.2426865671641858</v>
      </c>
      <c r="H2083">
        <f t="shared" si="132"/>
        <v>4.4306658312213472</v>
      </c>
    </row>
    <row r="2084" spans="1:8" x14ac:dyDescent="0.25">
      <c r="A2084" t="str">
        <f t="shared" si="130"/>
        <v>Multihop,NSFnet,60</v>
      </c>
      <c r="B2084" t="s">
        <v>34</v>
      </c>
      <c r="C2084" t="s">
        <v>6</v>
      </c>
      <c r="D2084">
        <v>60</v>
      </c>
      <c r="E2084">
        <v>680.64700000000005</v>
      </c>
      <c r="F2084">
        <f t="shared" si="129"/>
        <v>670</v>
      </c>
      <c r="G2084">
        <f t="shared" si="131"/>
        <v>1.5891044776119474</v>
      </c>
      <c r="H2084">
        <f t="shared" si="132"/>
        <v>1.5642469591432926</v>
      </c>
    </row>
    <row r="2085" spans="1:8" x14ac:dyDescent="0.25">
      <c r="A2085" t="str">
        <f t="shared" si="130"/>
        <v>Multihop,NSFnet,60</v>
      </c>
      <c r="B2085" t="s">
        <v>34</v>
      </c>
      <c r="C2085" t="s">
        <v>6</v>
      </c>
      <c r="D2085">
        <v>60</v>
      </c>
      <c r="E2085">
        <v>662.846</v>
      </c>
      <c r="F2085">
        <f t="shared" si="129"/>
        <v>670</v>
      </c>
      <c r="G2085">
        <f t="shared" si="131"/>
        <v>1.0677611940298501</v>
      </c>
      <c r="H2085">
        <f t="shared" si="132"/>
        <v>1.0792853845387913</v>
      </c>
    </row>
    <row r="2086" spans="1:8" x14ac:dyDescent="0.25">
      <c r="A2086" t="str">
        <f t="shared" si="130"/>
        <v>Multihop,NSFnet,60</v>
      </c>
      <c r="B2086" t="s">
        <v>34</v>
      </c>
      <c r="C2086" t="s">
        <v>6</v>
      </c>
      <c r="D2086">
        <v>60</v>
      </c>
      <c r="E2086">
        <v>654.19299999999998</v>
      </c>
      <c r="F2086">
        <f t="shared" si="129"/>
        <v>670</v>
      </c>
      <c r="G2086">
        <f t="shared" si="131"/>
        <v>2.3592537313432862</v>
      </c>
      <c r="H2086">
        <f t="shared" si="132"/>
        <v>2.4162594219137192</v>
      </c>
    </row>
    <row r="2087" spans="1:8" x14ac:dyDescent="0.25">
      <c r="A2087" t="str">
        <f t="shared" si="130"/>
        <v>Multihop,NSFnet,60</v>
      </c>
      <c r="B2087" t="s">
        <v>34</v>
      </c>
      <c r="C2087" t="s">
        <v>6</v>
      </c>
      <c r="D2087">
        <v>60</v>
      </c>
      <c r="E2087">
        <v>647.83199999999999</v>
      </c>
      <c r="F2087">
        <f t="shared" si="129"/>
        <v>670</v>
      </c>
      <c r="G2087">
        <f t="shared" si="131"/>
        <v>3.3086567164179113</v>
      </c>
      <c r="H2087">
        <f t="shared" si="132"/>
        <v>3.4218748070487424</v>
      </c>
    </row>
    <row r="2088" spans="1:8" x14ac:dyDescent="0.25">
      <c r="A2088" t="str">
        <f t="shared" si="130"/>
        <v>Multihop,NSFnet,60</v>
      </c>
      <c r="B2088" t="s">
        <v>34</v>
      </c>
      <c r="C2088" t="s">
        <v>6</v>
      </c>
      <c r="D2088">
        <v>60</v>
      </c>
      <c r="E2088">
        <v>662.14800000000002</v>
      </c>
      <c r="F2088">
        <f t="shared" si="129"/>
        <v>670</v>
      </c>
      <c r="G2088">
        <f t="shared" si="131"/>
        <v>1.171940298507459</v>
      </c>
      <c r="H2088">
        <f t="shared" si="132"/>
        <v>1.1858376073022914</v>
      </c>
    </row>
    <row r="2089" spans="1:8" x14ac:dyDescent="0.25">
      <c r="A2089" t="str">
        <f t="shared" si="130"/>
        <v>Multihop,NSFnet,60</v>
      </c>
      <c r="B2089" t="s">
        <v>34</v>
      </c>
      <c r="C2089" t="s">
        <v>6</v>
      </c>
      <c r="D2089">
        <v>60</v>
      </c>
      <c r="E2089">
        <v>662.07299999999998</v>
      </c>
      <c r="F2089">
        <f t="shared" si="129"/>
        <v>670</v>
      </c>
      <c r="G2089">
        <f t="shared" si="131"/>
        <v>1.1831343283582121</v>
      </c>
      <c r="H2089">
        <f t="shared" si="132"/>
        <v>1.1972999956198216</v>
      </c>
    </row>
    <row r="2090" spans="1:8" x14ac:dyDescent="0.25">
      <c r="A2090" t="str">
        <f t="shared" si="130"/>
        <v>Multihop,NSFnet,60</v>
      </c>
      <c r="B2090" t="s">
        <v>34</v>
      </c>
      <c r="C2090" t="s">
        <v>6</v>
      </c>
      <c r="D2090">
        <v>60</v>
      </c>
      <c r="E2090">
        <v>684.98900000000003</v>
      </c>
      <c r="F2090">
        <f t="shared" si="129"/>
        <v>670</v>
      </c>
      <c r="G2090">
        <f t="shared" si="131"/>
        <v>2.2371641791044823</v>
      </c>
      <c r="H2090">
        <f t="shared" si="132"/>
        <v>2.1882103216256077</v>
      </c>
    </row>
    <row r="2091" spans="1:8" x14ac:dyDescent="0.25">
      <c r="A2091" t="str">
        <f t="shared" si="130"/>
        <v>Multihop,NSFnet,60</v>
      </c>
      <c r="B2091" t="s">
        <v>34</v>
      </c>
      <c r="C2091" t="s">
        <v>6</v>
      </c>
      <c r="D2091">
        <v>60</v>
      </c>
      <c r="E2091">
        <v>667.64200000000005</v>
      </c>
      <c r="F2091">
        <f t="shared" si="129"/>
        <v>670</v>
      </c>
      <c r="G2091">
        <f t="shared" si="131"/>
        <v>0.35194029850745479</v>
      </c>
      <c r="H2091">
        <f t="shared" si="132"/>
        <v>0.35318329284256339</v>
      </c>
    </row>
    <row r="2092" spans="1:8" x14ac:dyDescent="0.25">
      <c r="A2092" t="str">
        <f t="shared" si="130"/>
        <v>Multihop,NSFnet,60</v>
      </c>
      <c r="B2092" t="s">
        <v>34</v>
      </c>
      <c r="C2092" t="s">
        <v>6</v>
      </c>
      <c r="D2092">
        <v>60</v>
      </c>
      <c r="E2092">
        <v>624.99099999999999</v>
      </c>
      <c r="F2092">
        <f t="shared" si="129"/>
        <v>670</v>
      </c>
      <c r="G2092">
        <f t="shared" si="131"/>
        <v>6.7177611940298529</v>
      </c>
      <c r="H2092">
        <f t="shared" si="132"/>
        <v>7.2015437022293138</v>
      </c>
    </row>
    <row r="2093" spans="1:8" x14ac:dyDescent="0.25">
      <c r="A2093" t="str">
        <f t="shared" si="130"/>
        <v>Multihop,NSFnet,60</v>
      </c>
      <c r="B2093" t="s">
        <v>34</v>
      </c>
      <c r="C2093" t="s">
        <v>6</v>
      </c>
      <c r="D2093">
        <v>60</v>
      </c>
      <c r="E2093">
        <v>635.36300000000006</v>
      </c>
      <c r="F2093">
        <f t="shared" si="129"/>
        <v>670</v>
      </c>
      <c r="G2093">
        <f t="shared" si="131"/>
        <v>5.169701492537305</v>
      </c>
      <c r="H2093">
        <f t="shared" si="132"/>
        <v>5.4515292832601112</v>
      </c>
    </row>
    <row r="2094" spans="1:8" x14ac:dyDescent="0.25">
      <c r="A2094" t="str">
        <f t="shared" si="130"/>
        <v>Multihop,NSFnet,60</v>
      </c>
      <c r="B2094" t="s">
        <v>34</v>
      </c>
      <c r="C2094" t="s">
        <v>6</v>
      </c>
      <c r="D2094">
        <v>60</v>
      </c>
      <c r="E2094">
        <v>644.85299999999995</v>
      </c>
      <c r="F2094">
        <f t="shared" si="129"/>
        <v>670</v>
      </c>
      <c r="G2094">
        <f t="shared" si="131"/>
        <v>3.7532835820895594</v>
      </c>
      <c r="H2094">
        <f t="shared" si="132"/>
        <v>3.8996484470104118</v>
      </c>
    </row>
    <row r="2095" spans="1:8" x14ac:dyDescent="0.25">
      <c r="A2095" t="str">
        <f t="shared" si="130"/>
        <v>Multihop,NSFnet,60</v>
      </c>
      <c r="B2095" t="s">
        <v>34</v>
      </c>
      <c r="C2095" t="s">
        <v>6</v>
      </c>
      <c r="D2095">
        <v>60</v>
      </c>
      <c r="E2095">
        <v>630.9</v>
      </c>
      <c r="F2095">
        <f t="shared" si="129"/>
        <v>670</v>
      </c>
      <c r="G2095">
        <f t="shared" si="131"/>
        <v>5.8358208955223914</v>
      </c>
      <c r="H2095">
        <f t="shared" si="132"/>
        <v>6.1974956411475706</v>
      </c>
    </row>
    <row r="2096" spans="1:8" x14ac:dyDescent="0.25">
      <c r="A2096" t="str">
        <f t="shared" si="130"/>
        <v>Multihop,NSFnet,60</v>
      </c>
      <c r="B2096" t="s">
        <v>34</v>
      </c>
      <c r="C2096" t="s">
        <v>6</v>
      </c>
      <c r="D2096">
        <v>60</v>
      </c>
      <c r="E2096">
        <v>606.36400000000003</v>
      </c>
      <c r="F2096">
        <f t="shared" si="129"/>
        <v>670</v>
      </c>
      <c r="G2096">
        <f t="shared" si="131"/>
        <v>9.4979104477611891</v>
      </c>
      <c r="H2096">
        <f t="shared" si="132"/>
        <v>10.494686360008174</v>
      </c>
    </row>
    <row r="2097" spans="1:8" x14ac:dyDescent="0.25">
      <c r="A2097" t="str">
        <f t="shared" si="130"/>
        <v>Multihop,NSFnet,60</v>
      </c>
      <c r="B2097" t="s">
        <v>34</v>
      </c>
      <c r="C2097" t="s">
        <v>6</v>
      </c>
      <c r="D2097">
        <v>60</v>
      </c>
      <c r="E2097">
        <v>674.08</v>
      </c>
      <c r="F2097">
        <f t="shared" si="129"/>
        <v>670</v>
      </c>
      <c r="G2097">
        <f t="shared" si="131"/>
        <v>0.60895522388060308</v>
      </c>
      <c r="H2097">
        <f t="shared" si="132"/>
        <v>0.60526940422502384</v>
      </c>
    </row>
    <row r="2098" spans="1:8" x14ac:dyDescent="0.25">
      <c r="A2098" t="str">
        <f t="shared" si="130"/>
        <v>Multihop,NSFnet,60</v>
      </c>
      <c r="B2098" t="s">
        <v>34</v>
      </c>
      <c r="C2098" t="s">
        <v>6</v>
      </c>
      <c r="D2098">
        <v>60</v>
      </c>
      <c r="E2098">
        <v>625.42499999999995</v>
      </c>
      <c r="F2098">
        <f t="shared" si="129"/>
        <v>670</v>
      </c>
      <c r="G2098">
        <f t="shared" si="131"/>
        <v>6.6529850746268728</v>
      </c>
      <c r="H2098">
        <f t="shared" si="132"/>
        <v>7.1271535355958022</v>
      </c>
    </row>
    <row r="2099" spans="1:8" x14ac:dyDescent="0.25">
      <c r="A2099" t="str">
        <f t="shared" si="130"/>
        <v>Multihop,NSFnet,60</v>
      </c>
      <c r="B2099" t="s">
        <v>34</v>
      </c>
      <c r="C2099" t="s">
        <v>6</v>
      </c>
      <c r="D2099">
        <v>60</v>
      </c>
      <c r="E2099">
        <v>650.56200000000001</v>
      </c>
      <c r="F2099">
        <f t="shared" si="129"/>
        <v>670</v>
      </c>
      <c r="G2099">
        <f t="shared" si="131"/>
        <v>2.9011940298507444</v>
      </c>
      <c r="H2099">
        <f t="shared" si="132"/>
        <v>2.987878173025782</v>
      </c>
    </row>
    <row r="2100" spans="1:8" x14ac:dyDescent="0.25">
      <c r="A2100" t="str">
        <f t="shared" si="130"/>
        <v>Multihop,NSFnet,60</v>
      </c>
      <c r="B2100" t="s">
        <v>34</v>
      </c>
      <c r="C2100" t="s">
        <v>6</v>
      </c>
      <c r="D2100">
        <v>60</v>
      </c>
      <c r="E2100">
        <v>662.125</v>
      </c>
      <c r="F2100">
        <f t="shared" si="129"/>
        <v>670</v>
      </c>
      <c r="G2100">
        <f t="shared" si="131"/>
        <v>1.1753731343283582</v>
      </c>
      <c r="H2100">
        <f t="shared" si="132"/>
        <v>1.1893524636586748</v>
      </c>
    </row>
    <row r="2101" spans="1:8" x14ac:dyDescent="0.25">
      <c r="A2101" t="str">
        <f t="shared" si="130"/>
        <v>Multihop,NSFnet,60</v>
      </c>
      <c r="B2101" t="s">
        <v>34</v>
      </c>
      <c r="C2101" t="s">
        <v>6</v>
      </c>
      <c r="D2101">
        <v>60</v>
      </c>
      <c r="E2101">
        <v>674.16200000000003</v>
      </c>
      <c r="F2101">
        <f t="shared" si="129"/>
        <v>670</v>
      </c>
      <c r="G2101">
        <f t="shared" si="131"/>
        <v>0.62119402985075134</v>
      </c>
      <c r="H2101">
        <f t="shared" si="132"/>
        <v>0.61735903239874601</v>
      </c>
    </row>
    <row r="2102" spans="1:8" x14ac:dyDescent="0.25">
      <c r="A2102" t="str">
        <f t="shared" si="130"/>
        <v>Multihop,NSFnet,60</v>
      </c>
      <c r="B2102" t="s">
        <v>34</v>
      </c>
      <c r="C2102" t="s">
        <v>6</v>
      </c>
      <c r="D2102">
        <v>60</v>
      </c>
      <c r="E2102">
        <v>610.28899999999999</v>
      </c>
      <c r="F2102">
        <f t="shared" si="129"/>
        <v>670</v>
      </c>
      <c r="G2102">
        <f t="shared" si="131"/>
        <v>8.9120895522388075</v>
      </c>
      <c r="H2102">
        <f t="shared" si="132"/>
        <v>9.7840531289274448</v>
      </c>
    </row>
    <row r="2103" spans="1:8" x14ac:dyDescent="0.25">
      <c r="A2103" t="str">
        <f t="shared" si="130"/>
        <v>Multihop,NSFnet,80</v>
      </c>
      <c r="B2103" t="s">
        <v>34</v>
      </c>
      <c r="C2103" t="s">
        <v>6</v>
      </c>
      <c r="D2103">
        <v>80</v>
      </c>
      <c r="E2103">
        <v>875.95899999999995</v>
      </c>
      <c r="F2103">
        <f t="shared" si="129"/>
        <v>859</v>
      </c>
      <c r="G2103">
        <f t="shared" si="131"/>
        <v>1.9742724097788062</v>
      </c>
      <c r="H2103">
        <f t="shared" si="132"/>
        <v>1.9360495182993664</v>
      </c>
    </row>
    <row r="2104" spans="1:8" x14ac:dyDescent="0.25">
      <c r="A2104" t="str">
        <f t="shared" si="130"/>
        <v>Multihop,NSFnet,80</v>
      </c>
      <c r="B2104" t="s">
        <v>34</v>
      </c>
      <c r="C2104" t="s">
        <v>6</v>
      </c>
      <c r="D2104">
        <v>80</v>
      </c>
      <c r="E2104">
        <v>822.42899999999997</v>
      </c>
      <c r="F2104">
        <f t="shared" si="129"/>
        <v>859</v>
      </c>
      <c r="G2104">
        <f t="shared" si="131"/>
        <v>4.2573923166472678</v>
      </c>
      <c r="H2104">
        <f t="shared" si="132"/>
        <v>4.4467060378464307</v>
      </c>
    </row>
    <row r="2105" spans="1:8" x14ac:dyDescent="0.25">
      <c r="A2105" t="str">
        <f t="shared" si="130"/>
        <v>Multihop,NSFnet,80</v>
      </c>
      <c r="B2105" t="s">
        <v>34</v>
      </c>
      <c r="C2105" t="s">
        <v>6</v>
      </c>
      <c r="D2105">
        <v>80</v>
      </c>
      <c r="E2105">
        <v>832.76800000000003</v>
      </c>
      <c r="F2105">
        <f t="shared" si="129"/>
        <v>859</v>
      </c>
      <c r="G2105">
        <f t="shared" si="131"/>
        <v>3.0537834691501713</v>
      </c>
      <c r="H2105">
        <f t="shared" si="132"/>
        <v>3.1499769443590493</v>
      </c>
    </row>
    <row r="2106" spans="1:8" x14ac:dyDescent="0.25">
      <c r="A2106" t="str">
        <f t="shared" si="130"/>
        <v>Multihop,NSFnet,80</v>
      </c>
      <c r="B2106" t="s">
        <v>34</v>
      </c>
      <c r="C2106" t="s">
        <v>6</v>
      </c>
      <c r="D2106">
        <v>80</v>
      </c>
      <c r="E2106">
        <v>809.54899999999998</v>
      </c>
      <c r="F2106">
        <f t="shared" si="129"/>
        <v>859</v>
      </c>
      <c r="G2106">
        <f t="shared" si="131"/>
        <v>5.7568102444703166</v>
      </c>
      <c r="H2106">
        <f t="shared" si="132"/>
        <v>6.1084628601851181</v>
      </c>
    </row>
    <row r="2107" spans="1:8" x14ac:dyDescent="0.25">
      <c r="A2107" t="str">
        <f t="shared" si="130"/>
        <v>Multihop,NSFnet,80</v>
      </c>
      <c r="B2107" t="s">
        <v>34</v>
      </c>
      <c r="C2107" t="s">
        <v>6</v>
      </c>
      <c r="D2107">
        <v>80</v>
      </c>
      <c r="E2107">
        <v>816.46699999999998</v>
      </c>
      <c r="F2107">
        <f t="shared" si="129"/>
        <v>859</v>
      </c>
      <c r="G2107">
        <f t="shared" si="131"/>
        <v>4.9514551804423768</v>
      </c>
      <c r="H2107">
        <f t="shared" si="132"/>
        <v>5.2093960931672703</v>
      </c>
    </row>
    <row r="2108" spans="1:8" x14ac:dyDescent="0.25">
      <c r="A2108" t="str">
        <f t="shared" si="130"/>
        <v>Multihop,NSFnet,80</v>
      </c>
      <c r="B2108" t="s">
        <v>34</v>
      </c>
      <c r="C2108" t="s">
        <v>6</v>
      </c>
      <c r="D2108">
        <v>80</v>
      </c>
      <c r="E2108">
        <v>886.96199999999999</v>
      </c>
      <c r="F2108">
        <f t="shared" si="129"/>
        <v>859</v>
      </c>
      <c r="G2108">
        <f t="shared" si="131"/>
        <v>3.2551804423748534</v>
      </c>
      <c r="H2108">
        <f t="shared" si="132"/>
        <v>3.1525589596848556</v>
      </c>
    </row>
    <row r="2109" spans="1:8" x14ac:dyDescent="0.25">
      <c r="A2109" t="str">
        <f t="shared" si="130"/>
        <v>Multihop,NSFnet,80</v>
      </c>
      <c r="B2109" t="s">
        <v>34</v>
      </c>
      <c r="C2109" t="s">
        <v>6</v>
      </c>
      <c r="D2109">
        <v>80</v>
      </c>
      <c r="E2109">
        <v>859.149</v>
      </c>
      <c r="F2109">
        <f t="shared" si="129"/>
        <v>859</v>
      </c>
      <c r="G2109">
        <f t="shared" si="131"/>
        <v>1.7345750873108374E-2</v>
      </c>
      <c r="H2109">
        <f t="shared" si="132"/>
        <v>1.734274264417475E-2</v>
      </c>
    </row>
    <row r="2110" spans="1:8" x14ac:dyDescent="0.25">
      <c r="A2110" t="str">
        <f t="shared" si="130"/>
        <v>Multihop,NSFnet,80</v>
      </c>
      <c r="B2110" t="s">
        <v>34</v>
      </c>
      <c r="C2110" t="s">
        <v>6</v>
      </c>
      <c r="D2110">
        <v>80</v>
      </c>
      <c r="E2110">
        <v>811.827</v>
      </c>
      <c r="F2110">
        <f t="shared" si="129"/>
        <v>859</v>
      </c>
      <c r="G2110">
        <f t="shared" si="131"/>
        <v>5.491618160651921</v>
      </c>
      <c r="H2110">
        <f t="shared" si="132"/>
        <v>5.8107207570085748</v>
      </c>
    </row>
    <row r="2111" spans="1:8" x14ac:dyDescent="0.25">
      <c r="A2111" t="str">
        <f t="shared" si="130"/>
        <v>Multihop,NSFnet,80</v>
      </c>
      <c r="B2111" t="s">
        <v>34</v>
      </c>
      <c r="C2111" t="s">
        <v>6</v>
      </c>
      <c r="D2111">
        <v>80</v>
      </c>
      <c r="E2111">
        <v>863.11900000000003</v>
      </c>
      <c r="F2111">
        <f t="shared" si="129"/>
        <v>859</v>
      </c>
      <c r="G2111">
        <f t="shared" si="131"/>
        <v>0.47951105937136529</v>
      </c>
      <c r="H2111">
        <f t="shared" si="132"/>
        <v>0.47722272363370849</v>
      </c>
    </row>
    <row r="2112" spans="1:8" x14ac:dyDescent="0.25">
      <c r="A2112" t="str">
        <f t="shared" si="130"/>
        <v>Multihop,NSFnet,80</v>
      </c>
      <c r="B2112" t="s">
        <v>34</v>
      </c>
      <c r="C2112" t="s">
        <v>6</v>
      </c>
      <c r="D2112">
        <v>80</v>
      </c>
      <c r="E2112">
        <v>901.11800000000005</v>
      </c>
      <c r="F2112">
        <f t="shared" si="129"/>
        <v>859</v>
      </c>
      <c r="G2112">
        <f t="shared" si="131"/>
        <v>4.9031431897555358</v>
      </c>
      <c r="H2112">
        <f t="shared" si="132"/>
        <v>4.6739716663078585</v>
      </c>
    </row>
    <row r="2113" spans="1:8" x14ac:dyDescent="0.25">
      <c r="A2113" t="str">
        <f t="shared" si="130"/>
        <v>Multihop,NSFnet,80</v>
      </c>
      <c r="B2113" t="s">
        <v>34</v>
      </c>
      <c r="C2113" t="s">
        <v>6</v>
      </c>
      <c r="D2113">
        <v>80</v>
      </c>
      <c r="E2113">
        <v>855.84199999999998</v>
      </c>
      <c r="F2113">
        <f t="shared" si="129"/>
        <v>859</v>
      </c>
      <c r="G2113">
        <f t="shared" si="131"/>
        <v>0.36763678696158503</v>
      </c>
      <c r="H2113">
        <f t="shared" si="132"/>
        <v>0.36899334222905811</v>
      </c>
    </row>
    <row r="2114" spans="1:8" x14ac:dyDescent="0.25">
      <c r="A2114" t="str">
        <f t="shared" si="130"/>
        <v>Multihop,NSFnet,80</v>
      </c>
      <c r="B2114" t="s">
        <v>34</v>
      </c>
      <c r="C2114" t="s">
        <v>6</v>
      </c>
      <c r="D2114">
        <v>80</v>
      </c>
      <c r="E2114">
        <v>893.55700000000002</v>
      </c>
      <c r="F2114">
        <f t="shared" si="129"/>
        <v>859</v>
      </c>
      <c r="G2114">
        <f t="shared" si="131"/>
        <v>4.0229336437718297</v>
      </c>
      <c r="H2114">
        <f t="shared" si="132"/>
        <v>3.8673526143267876</v>
      </c>
    </row>
    <row r="2115" spans="1:8" x14ac:dyDescent="0.25">
      <c r="A2115" t="str">
        <f t="shared" si="130"/>
        <v>Multihop,NSFnet,80</v>
      </c>
      <c r="B2115" t="s">
        <v>34</v>
      </c>
      <c r="C2115" t="s">
        <v>6</v>
      </c>
      <c r="D2115">
        <v>80</v>
      </c>
      <c r="E2115">
        <v>865</v>
      </c>
      <c r="F2115">
        <f t="shared" ref="F2115:F2178" si="133">_xlfn.XLOOKUP(A2115,$J$3:$J$36,$N$3:$N$36)</f>
        <v>859</v>
      </c>
      <c r="G2115">
        <f t="shared" si="131"/>
        <v>0.69848661233993015</v>
      </c>
      <c r="H2115">
        <f t="shared" si="132"/>
        <v>0.69364161849710981</v>
      </c>
    </row>
    <row r="2116" spans="1:8" x14ac:dyDescent="0.25">
      <c r="A2116" t="str">
        <f t="shared" ref="A2116:A2179" si="134">B2116&amp;","&amp;C2116&amp;","&amp;D2116</f>
        <v>Multihop,NSFnet,80</v>
      </c>
      <c r="B2116" t="s">
        <v>34</v>
      </c>
      <c r="C2116" t="s">
        <v>6</v>
      </c>
      <c r="D2116">
        <v>80</v>
      </c>
      <c r="E2116">
        <v>890.80700000000002</v>
      </c>
      <c r="F2116">
        <f t="shared" si="133"/>
        <v>859</v>
      </c>
      <c r="G2116">
        <f t="shared" ref="G2116:G2179" si="135">ABS((E2116-F2116)/F2116)*100</f>
        <v>3.7027939464493613</v>
      </c>
      <c r="H2116">
        <f t="shared" ref="H2116:H2179" si="136">ABS((F2116-E2116)/E2116)*100</f>
        <v>3.5705826290094276</v>
      </c>
    </row>
    <row r="2117" spans="1:8" x14ac:dyDescent="0.25">
      <c r="A2117" t="str">
        <f t="shared" si="134"/>
        <v>Multihop,NSFnet,80</v>
      </c>
      <c r="B2117" t="s">
        <v>34</v>
      </c>
      <c r="C2117" t="s">
        <v>6</v>
      </c>
      <c r="D2117">
        <v>80</v>
      </c>
      <c r="E2117">
        <v>898.09100000000001</v>
      </c>
      <c r="F2117">
        <f t="shared" si="133"/>
        <v>859</v>
      </c>
      <c r="G2117">
        <f t="shared" si="135"/>
        <v>4.5507566938300359</v>
      </c>
      <c r="H2117">
        <f t="shared" si="136"/>
        <v>4.3526769558986791</v>
      </c>
    </row>
    <row r="2118" spans="1:8" x14ac:dyDescent="0.25">
      <c r="A2118" t="str">
        <f t="shared" si="134"/>
        <v>Multihop,NSFnet,80</v>
      </c>
      <c r="B2118" t="s">
        <v>34</v>
      </c>
      <c r="C2118" t="s">
        <v>6</v>
      </c>
      <c r="D2118">
        <v>80</v>
      </c>
      <c r="E2118">
        <v>891.75900000000001</v>
      </c>
      <c r="F2118">
        <f t="shared" si="133"/>
        <v>859</v>
      </c>
      <c r="G2118">
        <f t="shared" si="135"/>
        <v>3.8136204889406304</v>
      </c>
      <c r="H2118">
        <f t="shared" si="136"/>
        <v>3.6735261432741377</v>
      </c>
    </row>
    <row r="2119" spans="1:8" x14ac:dyDescent="0.25">
      <c r="A2119" t="str">
        <f t="shared" si="134"/>
        <v>Multihop,NSFnet,80</v>
      </c>
      <c r="B2119" t="s">
        <v>34</v>
      </c>
      <c r="C2119" t="s">
        <v>6</v>
      </c>
      <c r="D2119">
        <v>80</v>
      </c>
      <c r="E2119">
        <v>882.75199999999995</v>
      </c>
      <c r="F2119">
        <f t="shared" si="133"/>
        <v>859</v>
      </c>
      <c r="G2119">
        <f t="shared" si="135"/>
        <v>2.7650756693829979</v>
      </c>
      <c r="H2119">
        <f t="shared" si="136"/>
        <v>2.6906764300732204</v>
      </c>
    </row>
    <row r="2120" spans="1:8" x14ac:dyDescent="0.25">
      <c r="A2120" t="str">
        <f t="shared" si="134"/>
        <v>Multihop,NSFnet,80</v>
      </c>
      <c r="B2120" t="s">
        <v>34</v>
      </c>
      <c r="C2120" t="s">
        <v>6</v>
      </c>
      <c r="D2120">
        <v>80</v>
      </c>
      <c r="E2120">
        <v>868.04200000000003</v>
      </c>
      <c r="F2120">
        <f t="shared" si="133"/>
        <v>859</v>
      </c>
      <c r="G2120">
        <f t="shared" si="135"/>
        <v>1.0526193247962783</v>
      </c>
      <c r="H2120">
        <f t="shared" si="136"/>
        <v>1.0416546664792752</v>
      </c>
    </row>
    <row r="2121" spans="1:8" x14ac:dyDescent="0.25">
      <c r="A2121" t="str">
        <f t="shared" si="134"/>
        <v>Multihop,NSFnet,80</v>
      </c>
      <c r="B2121" t="s">
        <v>34</v>
      </c>
      <c r="C2121" t="s">
        <v>6</v>
      </c>
      <c r="D2121">
        <v>80</v>
      </c>
      <c r="E2121">
        <v>862.10299999999995</v>
      </c>
      <c r="F2121">
        <f t="shared" si="133"/>
        <v>859</v>
      </c>
      <c r="G2121">
        <f t="shared" si="135"/>
        <v>0.36123399301512826</v>
      </c>
      <c r="H2121">
        <f t="shared" si="136"/>
        <v>0.35993378981397256</v>
      </c>
    </row>
    <row r="2122" spans="1:8" x14ac:dyDescent="0.25">
      <c r="A2122" t="str">
        <f t="shared" si="134"/>
        <v>Multihop,NSFnet,80</v>
      </c>
      <c r="B2122" t="s">
        <v>34</v>
      </c>
      <c r="C2122" t="s">
        <v>6</v>
      </c>
      <c r="D2122">
        <v>80</v>
      </c>
      <c r="E2122">
        <v>858.45799999999997</v>
      </c>
      <c r="F2122">
        <f t="shared" si="133"/>
        <v>859</v>
      </c>
      <c r="G2122">
        <f t="shared" si="135"/>
        <v>6.3096623981377192E-2</v>
      </c>
      <c r="H2122">
        <f t="shared" si="136"/>
        <v>6.3136460956742205E-2</v>
      </c>
    </row>
    <row r="2123" spans="1:8" x14ac:dyDescent="0.25">
      <c r="A2123" t="str">
        <f t="shared" si="134"/>
        <v>Multihop,NSFnet,80</v>
      </c>
      <c r="B2123" t="s">
        <v>34</v>
      </c>
      <c r="C2123" t="s">
        <v>6</v>
      </c>
      <c r="D2123">
        <v>80</v>
      </c>
      <c r="E2123">
        <v>885.96100000000001</v>
      </c>
      <c r="F2123">
        <f t="shared" si="133"/>
        <v>859</v>
      </c>
      <c r="G2123">
        <f t="shared" si="135"/>
        <v>3.138649592549478</v>
      </c>
      <c r="H2123">
        <f t="shared" si="136"/>
        <v>3.0431362102846524</v>
      </c>
    </row>
    <row r="2124" spans="1:8" x14ac:dyDescent="0.25">
      <c r="A2124" t="str">
        <f t="shared" si="134"/>
        <v>Multihop,NSFnet,80</v>
      </c>
      <c r="B2124" t="s">
        <v>34</v>
      </c>
      <c r="C2124" t="s">
        <v>6</v>
      </c>
      <c r="D2124">
        <v>80</v>
      </c>
      <c r="E2124">
        <v>852.07100000000003</v>
      </c>
      <c r="F2124">
        <f t="shared" si="133"/>
        <v>859</v>
      </c>
      <c r="G2124">
        <f t="shared" si="135"/>
        <v>0.80663562281722623</v>
      </c>
      <c r="H2124">
        <f t="shared" si="136"/>
        <v>0.81319514453607433</v>
      </c>
    </row>
    <row r="2125" spans="1:8" x14ac:dyDescent="0.25">
      <c r="A2125" t="str">
        <f t="shared" si="134"/>
        <v>Multihop,NSFnet,80</v>
      </c>
      <c r="B2125" t="s">
        <v>34</v>
      </c>
      <c r="C2125" t="s">
        <v>6</v>
      </c>
      <c r="D2125">
        <v>80</v>
      </c>
      <c r="E2125">
        <v>792.56600000000003</v>
      </c>
      <c r="F2125">
        <f t="shared" si="133"/>
        <v>859</v>
      </c>
      <c r="G2125">
        <f t="shared" si="135"/>
        <v>7.7338766006984834</v>
      </c>
      <c r="H2125">
        <f t="shared" si="136"/>
        <v>8.3821410456668541</v>
      </c>
    </row>
    <row r="2126" spans="1:8" x14ac:dyDescent="0.25">
      <c r="A2126" t="str">
        <f t="shared" si="134"/>
        <v>Multihop,NSFnet,80</v>
      </c>
      <c r="B2126" t="s">
        <v>34</v>
      </c>
      <c r="C2126" t="s">
        <v>6</v>
      </c>
      <c r="D2126">
        <v>80</v>
      </c>
      <c r="E2126">
        <v>833.79300000000001</v>
      </c>
      <c r="F2126">
        <f t="shared" si="133"/>
        <v>859</v>
      </c>
      <c r="G2126">
        <f t="shared" si="135"/>
        <v>2.9344586728754356</v>
      </c>
      <c r="H2126">
        <f t="shared" si="136"/>
        <v>3.0231724180941786</v>
      </c>
    </row>
    <row r="2127" spans="1:8" x14ac:dyDescent="0.25">
      <c r="A2127" t="str">
        <f t="shared" si="134"/>
        <v>Multihop,NSFnet,80</v>
      </c>
      <c r="B2127" t="s">
        <v>34</v>
      </c>
      <c r="C2127" t="s">
        <v>6</v>
      </c>
      <c r="D2127">
        <v>80</v>
      </c>
      <c r="E2127">
        <v>809.09</v>
      </c>
      <c r="F2127">
        <f t="shared" si="133"/>
        <v>859</v>
      </c>
      <c r="G2127">
        <f t="shared" si="135"/>
        <v>5.8102444703143155</v>
      </c>
      <c r="H2127">
        <f t="shared" si="136"/>
        <v>6.1686586164703519</v>
      </c>
    </row>
    <row r="2128" spans="1:8" x14ac:dyDescent="0.25">
      <c r="A2128" t="str">
        <f t="shared" si="134"/>
        <v>Multihop,NSFnet,80</v>
      </c>
      <c r="B2128" t="s">
        <v>34</v>
      </c>
      <c r="C2128" t="s">
        <v>6</v>
      </c>
      <c r="D2128">
        <v>80</v>
      </c>
      <c r="E2128">
        <v>826.2</v>
      </c>
      <c r="F2128">
        <f t="shared" si="133"/>
        <v>859</v>
      </c>
      <c r="G2128">
        <f t="shared" si="135"/>
        <v>3.8183934807916127</v>
      </c>
      <c r="H2128">
        <f t="shared" si="136"/>
        <v>3.9699830549503696</v>
      </c>
    </row>
    <row r="2129" spans="1:8" x14ac:dyDescent="0.25">
      <c r="A2129" t="str">
        <f t="shared" si="134"/>
        <v>Multihop,NSFnet,80</v>
      </c>
      <c r="B2129" t="s">
        <v>34</v>
      </c>
      <c r="C2129" t="s">
        <v>6</v>
      </c>
      <c r="D2129">
        <v>80</v>
      </c>
      <c r="E2129">
        <v>862.58</v>
      </c>
      <c r="F2129">
        <f t="shared" si="133"/>
        <v>859</v>
      </c>
      <c r="G2129">
        <f t="shared" si="135"/>
        <v>0.4167636786961631</v>
      </c>
      <c r="H2129">
        <f t="shared" si="136"/>
        <v>0.41503396786385499</v>
      </c>
    </row>
    <row r="2130" spans="1:8" x14ac:dyDescent="0.25">
      <c r="A2130" t="str">
        <f t="shared" si="134"/>
        <v>Multihop,NSFnet,80</v>
      </c>
      <c r="B2130" t="s">
        <v>34</v>
      </c>
      <c r="C2130" t="s">
        <v>6</v>
      </c>
      <c r="D2130">
        <v>80</v>
      </c>
      <c r="E2130">
        <v>914.93499999999995</v>
      </c>
      <c r="F2130">
        <f t="shared" si="133"/>
        <v>859</v>
      </c>
      <c r="G2130">
        <f t="shared" si="135"/>
        <v>6.5116414435389931</v>
      </c>
      <c r="H2130">
        <f t="shared" si="136"/>
        <v>6.1135490499325034</v>
      </c>
    </row>
    <row r="2131" spans="1:8" x14ac:dyDescent="0.25">
      <c r="A2131" t="str">
        <f t="shared" si="134"/>
        <v>Multihop,NSFnet,80</v>
      </c>
      <c r="B2131" t="s">
        <v>34</v>
      </c>
      <c r="C2131" t="s">
        <v>6</v>
      </c>
      <c r="D2131">
        <v>80</v>
      </c>
      <c r="E2131">
        <v>861.71900000000005</v>
      </c>
      <c r="F2131">
        <f t="shared" si="133"/>
        <v>859</v>
      </c>
      <c r="G2131">
        <f t="shared" si="135"/>
        <v>0.31653084982538426</v>
      </c>
      <c r="H2131">
        <f t="shared" si="136"/>
        <v>0.31553209340864607</v>
      </c>
    </row>
    <row r="2132" spans="1:8" x14ac:dyDescent="0.25">
      <c r="A2132" t="str">
        <f t="shared" si="134"/>
        <v>Multihop,NSFnet,80</v>
      </c>
      <c r="B2132" t="s">
        <v>34</v>
      </c>
      <c r="C2132" t="s">
        <v>6</v>
      </c>
      <c r="D2132">
        <v>80</v>
      </c>
      <c r="E2132">
        <v>905.697</v>
      </c>
      <c r="F2132">
        <f t="shared" si="133"/>
        <v>859</v>
      </c>
      <c r="G2132">
        <f t="shared" si="135"/>
        <v>5.4362048894062864</v>
      </c>
      <c r="H2132">
        <f t="shared" si="136"/>
        <v>5.1559185908753147</v>
      </c>
    </row>
    <row r="2133" spans="1:8" x14ac:dyDescent="0.25">
      <c r="A2133" t="str">
        <f t="shared" si="134"/>
        <v>Multihop,NSFnet,80</v>
      </c>
      <c r="B2133" t="s">
        <v>34</v>
      </c>
      <c r="C2133" t="s">
        <v>6</v>
      </c>
      <c r="D2133">
        <v>80</v>
      </c>
      <c r="E2133">
        <v>859.89599999999996</v>
      </c>
      <c r="F2133">
        <f t="shared" si="133"/>
        <v>859</v>
      </c>
      <c r="G2133">
        <f t="shared" si="135"/>
        <v>0.10430733410942471</v>
      </c>
      <c r="H2133">
        <f t="shared" si="136"/>
        <v>0.10419864727827066</v>
      </c>
    </row>
    <row r="2134" spans="1:8" x14ac:dyDescent="0.25">
      <c r="A2134" t="str">
        <f t="shared" si="134"/>
        <v>Multihop,NSFnet,80</v>
      </c>
      <c r="B2134" t="s">
        <v>34</v>
      </c>
      <c r="C2134" t="s">
        <v>6</v>
      </c>
      <c r="D2134">
        <v>80</v>
      </c>
      <c r="E2134">
        <v>851.94799999999998</v>
      </c>
      <c r="F2134">
        <f t="shared" si="133"/>
        <v>859</v>
      </c>
      <c r="G2134">
        <f t="shared" si="135"/>
        <v>0.82095459837020035</v>
      </c>
      <c r="H2134">
        <f t="shared" si="136"/>
        <v>0.82775005047256656</v>
      </c>
    </row>
    <row r="2135" spans="1:8" x14ac:dyDescent="0.25">
      <c r="A2135" t="str">
        <f t="shared" si="134"/>
        <v>Multihop,NSFnet,80</v>
      </c>
      <c r="B2135" t="s">
        <v>34</v>
      </c>
      <c r="C2135" t="s">
        <v>6</v>
      </c>
      <c r="D2135">
        <v>80</v>
      </c>
      <c r="E2135">
        <v>884.61500000000001</v>
      </c>
      <c r="F2135">
        <f t="shared" si="133"/>
        <v>859</v>
      </c>
      <c r="G2135">
        <f t="shared" si="135"/>
        <v>2.981955762514553</v>
      </c>
      <c r="H2135">
        <f t="shared" si="136"/>
        <v>2.895609954613025</v>
      </c>
    </row>
    <row r="2136" spans="1:8" x14ac:dyDescent="0.25">
      <c r="A2136" t="str">
        <f t="shared" si="134"/>
        <v>Multihop,NSFnet,80</v>
      </c>
      <c r="B2136" t="s">
        <v>34</v>
      </c>
      <c r="C2136" t="s">
        <v>6</v>
      </c>
      <c r="D2136">
        <v>80</v>
      </c>
      <c r="E2136">
        <v>837.56100000000004</v>
      </c>
      <c r="F2136">
        <f t="shared" si="133"/>
        <v>859</v>
      </c>
      <c r="G2136">
        <f t="shared" si="135"/>
        <v>2.4958090803259561</v>
      </c>
      <c r="H2136">
        <f t="shared" si="136"/>
        <v>2.5596941595895659</v>
      </c>
    </row>
    <row r="2137" spans="1:8" x14ac:dyDescent="0.25">
      <c r="A2137" t="str">
        <f t="shared" si="134"/>
        <v>Multihop,NSFnet,80</v>
      </c>
      <c r="B2137" t="s">
        <v>34</v>
      </c>
      <c r="C2137" t="s">
        <v>6</v>
      </c>
      <c r="D2137">
        <v>80</v>
      </c>
      <c r="E2137">
        <v>865.73800000000006</v>
      </c>
      <c r="F2137">
        <f t="shared" si="133"/>
        <v>859</v>
      </c>
      <c r="G2137">
        <f t="shared" si="135"/>
        <v>0.78440046565774812</v>
      </c>
      <c r="H2137">
        <f t="shared" si="136"/>
        <v>0.77829551203713543</v>
      </c>
    </row>
    <row r="2138" spans="1:8" x14ac:dyDescent="0.25">
      <c r="A2138" t="str">
        <f t="shared" si="134"/>
        <v>Multihop,NSFnet,80</v>
      </c>
      <c r="B2138" t="s">
        <v>34</v>
      </c>
      <c r="C2138" t="s">
        <v>6</v>
      </c>
      <c r="D2138">
        <v>80</v>
      </c>
      <c r="E2138">
        <v>840.11199999999997</v>
      </c>
      <c r="F2138">
        <f t="shared" si="133"/>
        <v>859</v>
      </c>
      <c r="G2138">
        <f t="shared" si="135"/>
        <v>2.1988358556461041</v>
      </c>
      <c r="H2138">
        <f t="shared" si="136"/>
        <v>2.2482716590168974</v>
      </c>
    </row>
    <row r="2139" spans="1:8" x14ac:dyDescent="0.25">
      <c r="A2139" t="str">
        <f t="shared" si="134"/>
        <v>Multihop,NSFnet,80</v>
      </c>
      <c r="B2139" t="s">
        <v>34</v>
      </c>
      <c r="C2139" t="s">
        <v>6</v>
      </c>
      <c r="D2139">
        <v>80</v>
      </c>
      <c r="E2139">
        <v>838.22500000000002</v>
      </c>
      <c r="F2139">
        <f t="shared" si="133"/>
        <v>859</v>
      </c>
      <c r="G2139">
        <f t="shared" si="135"/>
        <v>2.4185098952270057</v>
      </c>
      <c r="H2139">
        <f t="shared" si="136"/>
        <v>2.4784514897551349</v>
      </c>
    </row>
    <row r="2140" spans="1:8" x14ac:dyDescent="0.25">
      <c r="A2140" t="str">
        <f t="shared" si="134"/>
        <v>Multihop,NSFnet,80</v>
      </c>
      <c r="B2140" t="s">
        <v>34</v>
      </c>
      <c r="C2140" t="s">
        <v>6</v>
      </c>
      <c r="D2140">
        <v>80</v>
      </c>
      <c r="E2140">
        <v>804.53700000000003</v>
      </c>
      <c r="F2140">
        <f t="shared" si="133"/>
        <v>859</v>
      </c>
      <c r="G2140">
        <f t="shared" si="135"/>
        <v>6.3402793946449325</v>
      </c>
      <c r="H2140">
        <f t="shared" si="136"/>
        <v>6.7694835663244772</v>
      </c>
    </row>
    <row r="2141" spans="1:8" x14ac:dyDescent="0.25">
      <c r="A2141" t="str">
        <f t="shared" si="134"/>
        <v>Multihop,NSFnet,80</v>
      </c>
      <c r="B2141" t="s">
        <v>34</v>
      </c>
      <c r="C2141" t="s">
        <v>6</v>
      </c>
      <c r="D2141">
        <v>80</v>
      </c>
      <c r="E2141">
        <v>858.90099999999995</v>
      </c>
      <c r="F2141">
        <f t="shared" si="133"/>
        <v>859</v>
      </c>
      <c r="G2141">
        <f t="shared" si="135"/>
        <v>1.1525029103614248E-2</v>
      </c>
      <c r="H2141">
        <f t="shared" si="136"/>
        <v>1.1526357519672976E-2</v>
      </c>
    </row>
    <row r="2142" spans="1:8" x14ac:dyDescent="0.25">
      <c r="A2142" t="str">
        <f t="shared" si="134"/>
        <v>Multihop,NSFnet,80</v>
      </c>
      <c r="B2142" t="s">
        <v>34</v>
      </c>
      <c r="C2142" t="s">
        <v>6</v>
      </c>
      <c r="D2142">
        <v>80</v>
      </c>
      <c r="E2142">
        <v>851.66099999999994</v>
      </c>
      <c r="F2142">
        <f t="shared" si="133"/>
        <v>859</v>
      </c>
      <c r="G2142">
        <f t="shared" si="135"/>
        <v>0.85436554132713105</v>
      </c>
      <c r="H2142">
        <f t="shared" si="136"/>
        <v>0.86172784711288364</v>
      </c>
    </row>
    <row r="2143" spans="1:8" x14ac:dyDescent="0.25">
      <c r="A2143" t="str">
        <f t="shared" si="134"/>
        <v>Multihop,NSFnet,80</v>
      </c>
      <c r="B2143" t="s">
        <v>34</v>
      </c>
      <c r="C2143" t="s">
        <v>6</v>
      </c>
      <c r="D2143">
        <v>80</v>
      </c>
      <c r="E2143">
        <v>837.52800000000002</v>
      </c>
      <c r="F2143">
        <f t="shared" si="133"/>
        <v>859</v>
      </c>
      <c r="G2143">
        <f t="shared" si="135"/>
        <v>2.499650756693828</v>
      </c>
      <c r="H2143">
        <f t="shared" si="136"/>
        <v>2.5637351825849382</v>
      </c>
    </row>
    <row r="2144" spans="1:8" x14ac:dyDescent="0.25">
      <c r="A2144" t="str">
        <f t="shared" si="134"/>
        <v>Multihop,NSFnet,80</v>
      </c>
      <c r="B2144" t="s">
        <v>34</v>
      </c>
      <c r="C2144" t="s">
        <v>6</v>
      </c>
      <c r="D2144">
        <v>80</v>
      </c>
      <c r="E2144">
        <v>896.07299999999998</v>
      </c>
      <c r="F2144">
        <f t="shared" si="133"/>
        <v>859</v>
      </c>
      <c r="G2144">
        <f t="shared" si="135"/>
        <v>4.315832363213036</v>
      </c>
      <c r="H2144">
        <f t="shared" si="136"/>
        <v>4.1372745300885061</v>
      </c>
    </row>
    <row r="2145" spans="1:8" x14ac:dyDescent="0.25">
      <c r="A2145" t="str">
        <f t="shared" si="134"/>
        <v>Multihop,NSFnet,80</v>
      </c>
      <c r="B2145" t="s">
        <v>34</v>
      </c>
      <c r="C2145" t="s">
        <v>6</v>
      </c>
      <c r="D2145">
        <v>80</v>
      </c>
      <c r="E2145">
        <v>894.33</v>
      </c>
      <c r="F2145">
        <f t="shared" si="133"/>
        <v>859</v>
      </c>
      <c r="G2145">
        <f t="shared" si="135"/>
        <v>4.1129220023282933</v>
      </c>
      <c r="H2145">
        <f t="shared" si="136"/>
        <v>3.9504433486520676</v>
      </c>
    </row>
    <row r="2146" spans="1:8" x14ac:dyDescent="0.25">
      <c r="A2146" t="str">
        <f t="shared" si="134"/>
        <v>Multihop,NSFnet,80</v>
      </c>
      <c r="B2146" t="s">
        <v>34</v>
      </c>
      <c r="C2146" t="s">
        <v>6</v>
      </c>
      <c r="D2146">
        <v>80</v>
      </c>
      <c r="E2146">
        <v>882.06899999999996</v>
      </c>
      <c r="F2146">
        <f t="shared" si="133"/>
        <v>859</v>
      </c>
      <c r="G2146">
        <f t="shared" si="135"/>
        <v>2.6855646100116366</v>
      </c>
      <c r="H2146">
        <f t="shared" si="136"/>
        <v>2.6153282793069432</v>
      </c>
    </row>
    <row r="2147" spans="1:8" x14ac:dyDescent="0.25">
      <c r="A2147" t="str">
        <f t="shared" si="134"/>
        <v>Multihop,NSFnet,80</v>
      </c>
      <c r="B2147" t="s">
        <v>34</v>
      </c>
      <c r="C2147" t="s">
        <v>6</v>
      </c>
      <c r="D2147">
        <v>80</v>
      </c>
      <c r="E2147">
        <v>856.803</v>
      </c>
      <c r="F2147">
        <f t="shared" si="133"/>
        <v>859</v>
      </c>
      <c r="G2147">
        <f t="shared" si="135"/>
        <v>0.25576251455180471</v>
      </c>
      <c r="H2147">
        <f t="shared" si="136"/>
        <v>0.25641833653710394</v>
      </c>
    </row>
    <row r="2148" spans="1:8" x14ac:dyDescent="0.25">
      <c r="A2148" t="str">
        <f t="shared" si="134"/>
        <v>Multihop,NSFnet,80</v>
      </c>
      <c r="B2148" t="s">
        <v>34</v>
      </c>
      <c r="C2148" t="s">
        <v>6</v>
      </c>
      <c r="D2148">
        <v>80</v>
      </c>
      <c r="E2148">
        <v>878.12400000000002</v>
      </c>
      <c r="F2148">
        <f t="shared" si="133"/>
        <v>859</v>
      </c>
      <c r="G2148">
        <f t="shared" si="135"/>
        <v>2.22630966239814</v>
      </c>
      <c r="H2148">
        <f t="shared" si="136"/>
        <v>2.1778245441418322</v>
      </c>
    </row>
    <row r="2149" spans="1:8" x14ac:dyDescent="0.25">
      <c r="A2149" t="str">
        <f t="shared" si="134"/>
        <v>Multihop,NSFnet,80</v>
      </c>
      <c r="B2149" t="s">
        <v>34</v>
      </c>
      <c r="C2149" t="s">
        <v>6</v>
      </c>
      <c r="D2149">
        <v>80</v>
      </c>
      <c r="E2149">
        <v>829.21799999999996</v>
      </c>
      <c r="F2149">
        <f t="shared" si="133"/>
        <v>859</v>
      </c>
      <c r="G2149">
        <f t="shared" si="135"/>
        <v>3.4670547147846378</v>
      </c>
      <c r="H2149">
        <f t="shared" si="136"/>
        <v>3.5915766420892989</v>
      </c>
    </row>
    <row r="2150" spans="1:8" x14ac:dyDescent="0.25">
      <c r="A2150" t="str">
        <f t="shared" si="134"/>
        <v>Multihop,NSFnet,80</v>
      </c>
      <c r="B2150" t="s">
        <v>34</v>
      </c>
      <c r="C2150" t="s">
        <v>6</v>
      </c>
      <c r="D2150">
        <v>80</v>
      </c>
      <c r="E2150">
        <v>899.57600000000002</v>
      </c>
      <c r="F2150">
        <f t="shared" si="133"/>
        <v>859</v>
      </c>
      <c r="G2150">
        <f t="shared" si="135"/>
        <v>4.7236321303841695</v>
      </c>
      <c r="H2150">
        <f t="shared" si="136"/>
        <v>4.5105694238174454</v>
      </c>
    </row>
    <row r="2151" spans="1:8" x14ac:dyDescent="0.25">
      <c r="A2151" t="str">
        <f t="shared" si="134"/>
        <v>Multihop,NSFnet,80</v>
      </c>
      <c r="B2151" t="s">
        <v>34</v>
      </c>
      <c r="C2151" t="s">
        <v>6</v>
      </c>
      <c r="D2151">
        <v>80</v>
      </c>
      <c r="E2151">
        <v>863.74699999999996</v>
      </c>
      <c r="F2151">
        <f t="shared" si="133"/>
        <v>859</v>
      </c>
      <c r="G2151">
        <f t="shared" si="135"/>
        <v>0.55261932479626974</v>
      </c>
      <c r="H2151">
        <f t="shared" si="136"/>
        <v>0.54958222720309968</v>
      </c>
    </row>
    <row r="2152" spans="1:8" x14ac:dyDescent="0.25">
      <c r="A2152" t="str">
        <f t="shared" si="134"/>
        <v>Multihop,NSFnet,80</v>
      </c>
      <c r="B2152" t="s">
        <v>34</v>
      </c>
      <c r="C2152" t="s">
        <v>6</v>
      </c>
      <c r="D2152">
        <v>80</v>
      </c>
      <c r="E2152">
        <v>852.64700000000005</v>
      </c>
      <c r="F2152">
        <f t="shared" si="133"/>
        <v>859</v>
      </c>
      <c r="G2152">
        <f t="shared" si="135"/>
        <v>0.73958090803259047</v>
      </c>
      <c r="H2152">
        <f t="shared" si="136"/>
        <v>0.74509146223465883</v>
      </c>
    </row>
    <row r="2153" spans="1:8" x14ac:dyDescent="0.25">
      <c r="A2153" t="str">
        <f t="shared" si="134"/>
        <v>Multihop,NSFnet,80</v>
      </c>
      <c r="B2153" t="s">
        <v>34</v>
      </c>
      <c r="C2153" t="s">
        <v>6</v>
      </c>
      <c r="D2153">
        <v>80</v>
      </c>
      <c r="E2153">
        <v>837.15300000000002</v>
      </c>
      <c r="F2153">
        <f t="shared" si="133"/>
        <v>859</v>
      </c>
      <c r="G2153">
        <f t="shared" si="135"/>
        <v>2.5433061699650734</v>
      </c>
      <c r="H2153">
        <f t="shared" si="136"/>
        <v>2.6096782786420141</v>
      </c>
    </row>
    <row r="2154" spans="1:8" x14ac:dyDescent="0.25">
      <c r="A2154" t="str">
        <f t="shared" si="134"/>
        <v>Multihop,NSFnet,80</v>
      </c>
      <c r="B2154" t="s">
        <v>34</v>
      </c>
      <c r="C2154" t="s">
        <v>6</v>
      </c>
      <c r="D2154">
        <v>80</v>
      </c>
      <c r="E2154">
        <v>875.42499999999995</v>
      </c>
      <c r="F2154">
        <f t="shared" si="133"/>
        <v>859</v>
      </c>
      <c r="G2154">
        <f t="shared" si="135"/>
        <v>1.9121071012805535</v>
      </c>
      <c r="H2154">
        <f t="shared" si="136"/>
        <v>1.8762315446782938</v>
      </c>
    </row>
    <row r="2155" spans="1:8" x14ac:dyDescent="0.25">
      <c r="A2155" t="str">
        <f t="shared" si="134"/>
        <v>Multihop,NSFnet,80</v>
      </c>
      <c r="B2155" t="s">
        <v>34</v>
      </c>
      <c r="C2155" t="s">
        <v>6</v>
      </c>
      <c r="D2155">
        <v>80</v>
      </c>
      <c r="E2155">
        <v>851.73699999999997</v>
      </c>
      <c r="F2155">
        <f t="shared" si="133"/>
        <v>859</v>
      </c>
      <c r="G2155">
        <f t="shared" si="135"/>
        <v>0.84551804423748933</v>
      </c>
      <c r="H2155">
        <f t="shared" si="136"/>
        <v>0.85272801345955773</v>
      </c>
    </row>
    <row r="2156" spans="1:8" x14ac:dyDescent="0.25">
      <c r="A2156" t="str">
        <f t="shared" si="134"/>
        <v>Multihop,NSFnet,80</v>
      </c>
      <c r="B2156" t="s">
        <v>34</v>
      </c>
      <c r="C2156" t="s">
        <v>6</v>
      </c>
      <c r="D2156">
        <v>80</v>
      </c>
      <c r="E2156">
        <v>902.01499999999999</v>
      </c>
      <c r="F2156">
        <f t="shared" si="133"/>
        <v>859</v>
      </c>
      <c r="G2156">
        <f t="shared" si="135"/>
        <v>5.0075669383003483</v>
      </c>
      <c r="H2156">
        <f t="shared" si="136"/>
        <v>4.7687677034195648</v>
      </c>
    </row>
    <row r="2157" spans="1:8" x14ac:dyDescent="0.25">
      <c r="A2157" t="str">
        <f t="shared" si="134"/>
        <v>Multihop,NSFnet,80</v>
      </c>
      <c r="B2157" t="s">
        <v>34</v>
      </c>
      <c r="C2157" t="s">
        <v>6</v>
      </c>
      <c r="D2157">
        <v>80</v>
      </c>
      <c r="E2157">
        <v>853.18</v>
      </c>
      <c r="F2157">
        <f t="shared" si="133"/>
        <v>859</v>
      </c>
      <c r="G2157">
        <f t="shared" si="135"/>
        <v>0.67753201396973806</v>
      </c>
      <c r="H2157">
        <f t="shared" si="136"/>
        <v>0.68215382451534856</v>
      </c>
    </row>
    <row r="2158" spans="1:8" x14ac:dyDescent="0.25">
      <c r="A2158" t="str">
        <f t="shared" si="134"/>
        <v>Multihop,NSFnet,80</v>
      </c>
      <c r="B2158" t="s">
        <v>34</v>
      </c>
      <c r="C2158" t="s">
        <v>6</v>
      </c>
      <c r="D2158">
        <v>80</v>
      </c>
      <c r="E2158">
        <v>813.74800000000005</v>
      </c>
      <c r="F2158">
        <f t="shared" si="133"/>
        <v>859</v>
      </c>
      <c r="G2158">
        <f t="shared" si="135"/>
        <v>5.2679860302677479</v>
      </c>
      <c r="H2158">
        <f t="shared" si="136"/>
        <v>5.5609353264155423</v>
      </c>
    </row>
    <row r="2159" spans="1:8" x14ac:dyDescent="0.25">
      <c r="A2159" t="str">
        <f t="shared" si="134"/>
        <v>Multihop,NSFnet,80</v>
      </c>
      <c r="B2159" t="s">
        <v>34</v>
      </c>
      <c r="C2159" t="s">
        <v>6</v>
      </c>
      <c r="D2159">
        <v>80</v>
      </c>
      <c r="E2159">
        <v>868.83799999999997</v>
      </c>
      <c r="F2159">
        <f t="shared" si="133"/>
        <v>859</v>
      </c>
      <c r="G2159">
        <f t="shared" si="135"/>
        <v>1.1452852153667015</v>
      </c>
      <c r="H2159">
        <f t="shared" si="136"/>
        <v>1.13231695667086</v>
      </c>
    </row>
    <row r="2160" spans="1:8" x14ac:dyDescent="0.25">
      <c r="A2160" t="str">
        <f t="shared" si="134"/>
        <v>Multihop,NSFnet,80</v>
      </c>
      <c r="B2160" t="s">
        <v>34</v>
      </c>
      <c r="C2160" t="s">
        <v>6</v>
      </c>
      <c r="D2160">
        <v>80</v>
      </c>
      <c r="E2160">
        <v>912.80399999999997</v>
      </c>
      <c r="F2160">
        <f t="shared" si="133"/>
        <v>859</v>
      </c>
      <c r="G2160">
        <f t="shared" si="135"/>
        <v>6.2635622817229297</v>
      </c>
      <c r="H2160">
        <f t="shared" si="136"/>
        <v>5.894365055367853</v>
      </c>
    </row>
    <row r="2161" spans="1:8" x14ac:dyDescent="0.25">
      <c r="A2161" t="str">
        <f t="shared" si="134"/>
        <v>Multihop,NSFnet,80</v>
      </c>
      <c r="B2161" t="s">
        <v>34</v>
      </c>
      <c r="C2161" t="s">
        <v>6</v>
      </c>
      <c r="D2161">
        <v>80</v>
      </c>
      <c r="E2161">
        <v>886.923</v>
      </c>
      <c r="F2161">
        <f t="shared" si="133"/>
        <v>859</v>
      </c>
      <c r="G2161">
        <f t="shared" si="135"/>
        <v>3.2506402793946454</v>
      </c>
      <c r="H2161">
        <f t="shared" si="136"/>
        <v>3.1483003597832058</v>
      </c>
    </row>
    <row r="2162" spans="1:8" x14ac:dyDescent="0.25">
      <c r="A2162" t="str">
        <f t="shared" si="134"/>
        <v>Multihop,NSFnet,80</v>
      </c>
      <c r="B2162" t="s">
        <v>34</v>
      </c>
      <c r="C2162" t="s">
        <v>6</v>
      </c>
      <c r="D2162">
        <v>80</v>
      </c>
      <c r="E2162">
        <v>866.452</v>
      </c>
      <c r="F2162">
        <f t="shared" si="133"/>
        <v>859</v>
      </c>
      <c r="G2162">
        <f t="shared" si="135"/>
        <v>0.86752037252619296</v>
      </c>
      <c r="H2162">
        <f t="shared" si="136"/>
        <v>0.86005918389016334</v>
      </c>
    </row>
    <row r="2163" spans="1:8" x14ac:dyDescent="0.25">
      <c r="A2163" t="str">
        <f t="shared" si="134"/>
        <v>Multihop,NSFnet,80</v>
      </c>
      <c r="B2163" t="s">
        <v>34</v>
      </c>
      <c r="C2163" t="s">
        <v>6</v>
      </c>
      <c r="D2163">
        <v>80</v>
      </c>
      <c r="E2163">
        <v>856.54499999999996</v>
      </c>
      <c r="F2163">
        <f t="shared" si="133"/>
        <v>859</v>
      </c>
      <c r="G2163">
        <f t="shared" si="135"/>
        <v>0.2857974388824262</v>
      </c>
      <c r="H2163">
        <f t="shared" si="136"/>
        <v>0.28661658173242982</v>
      </c>
    </row>
    <row r="2164" spans="1:8" x14ac:dyDescent="0.25">
      <c r="A2164" t="str">
        <f t="shared" si="134"/>
        <v>Multihop,NSFnet,80</v>
      </c>
      <c r="B2164" t="s">
        <v>34</v>
      </c>
      <c r="C2164" t="s">
        <v>6</v>
      </c>
      <c r="D2164">
        <v>80</v>
      </c>
      <c r="E2164">
        <v>865.58799999999997</v>
      </c>
      <c r="F2164">
        <f t="shared" si="133"/>
        <v>859</v>
      </c>
      <c r="G2164">
        <f t="shared" si="135"/>
        <v>0.76693830034923927</v>
      </c>
      <c r="H2164">
        <f t="shared" si="136"/>
        <v>0.76110112432242194</v>
      </c>
    </row>
    <row r="2165" spans="1:8" x14ac:dyDescent="0.25">
      <c r="A2165" t="str">
        <f t="shared" si="134"/>
        <v>Multihop,NSFnet,80</v>
      </c>
      <c r="B2165" t="s">
        <v>34</v>
      </c>
      <c r="C2165" t="s">
        <v>6</v>
      </c>
      <c r="D2165">
        <v>80</v>
      </c>
      <c r="E2165">
        <v>871.77599999999995</v>
      </c>
      <c r="F2165">
        <f t="shared" si="133"/>
        <v>859</v>
      </c>
      <c r="G2165">
        <f t="shared" si="135"/>
        <v>1.4873108265424859</v>
      </c>
      <c r="H2165">
        <f t="shared" si="136"/>
        <v>1.465514077010603</v>
      </c>
    </row>
    <row r="2166" spans="1:8" x14ac:dyDescent="0.25">
      <c r="A2166" t="str">
        <f t="shared" si="134"/>
        <v>Multihop,NSFnet,80</v>
      </c>
      <c r="B2166" t="s">
        <v>34</v>
      </c>
      <c r="C2166" t="s">
        <v>6</v>
      </c>
      <c r="D2166">
        <v>80</v>
      </c>
      <c r="E2166">
        <v>874.404</v>
      </c>
      <c r="F2166">
        <f t="shared" si="133"/>
        <v>859</v>
      </c>
      <c r="G2166">
        <f t="shared" si="135"/>
        <v>1.7932479627473803</v>
      </c>
      <c r="H2166">
        <f t="shared" si="136"/>
        <v>1.7616570829959604</v>
      </c>
    </row>
    <row r="2167" spans="1:8" x14ac:dyDescent="0.25">
      <c r="A2167" t="str">
        <f t="shared" si="134"/>
        <v>Multihop,NSFnet,80</v>
      </c>
      <c r="B2167" t="s">
        <v>34</v>
      </c>
      <c r="C2167" t="s">
        <v>6</v>
      </c>
      <c r="D2167">
        <v>80</v>
      </c>
      <c r="E2167">
        <v>876.05200000000002</v>
      </c>
      <c r="F2167">
        <f t="shared" si="133"/>
        <v>859</v>
      </c>
      <c r="G2167">
        <f t="shared" si="135"/>
        <v>1.9850989522700839</v>
      </c>
      <c r="H2167">
        <f t="shared" si="136"/>
        <v>1.9464597991900048</v>
      </c>
    </row>
    <row r="2168" spans="1:8" x14ac:dyDescent="0.25">
      <c r="A2168" t="str">
        <f t="shared" si="134"/>
        <v>Multihop,NSFnet,80</v>
      </c>
      <c r="B2168" t="s">
        <v>34</v>
      </c>
      <c r="C2168" t="s">
        <v>6</v>
      </c>
      <c r="D2168">
        <v>80</v>
      </c>
      <c r="E2168">
        <v>859.35</v>
      </c>
      <c r="F2168">
        <f t="shared" si="133"/>
        <v>859</v>
      </c>
      <c r="G2168">
        <f t="shared" si="135"/>
        <v>4.0745052386498573E-2</v>
      </c>
      <c r="H2168">
        <f t="shared" si="136"/>
        <v>4.072845755513152E-2</v>
      </c>
    </row>
    <row r="2169" spans="1:8" x14ac:dyDescent="0.25">
      <c r="A2169" t="str">
        <f t="shared" si="134"/>
        <v>Multihop,NSFnet,80</v>
      </c>
      <c r="B2169" t="s">
        <v>34</v>
      </c>
      <c r="C2169" t="s">
        <v>6</v>
      </c>
      <c r="D2169">
        <v>80</v>
      </c>
      <c r="E2169">
        <v>806.399</v>
      </c>
      <c r="F2169">
        <f t="shared" si="133"/>
        <v>859</v>
      </c>
      <c r="G2169">
        <f t="shared" si="135"/>
        <v>6.1235157159487779</v>
      </c>
      <c r="H2169">
        <f t="shared" si="136"/>
        <v>6.5229495572291132</v>
      </c>
    </row>
    <row r="2170" spans="1:8" x14ac:dyDescent="0.25">
      <c r="A2170" t="str">
        <f t="shared" si="134"/>
        <v>Multihop,NSFnet,80</v>
      </c>
      <c r="B2170" t="s">
        <v>34</v>
      </c>
      <c r="C2170" t="s">
        <v>6</v>
      </c>
      <c r="D2170">
        <v>80</v>
      </c>
      <c r="E2170">
        <v>876.39300000000003</v>
      </c>
      <c r="F2170">
        <f t="shared" si="133"/>
        <v>859</v>
      </c>
      <c r="G2170">
        <f t="shared" si="135"/>
        <v>2.0247962747380712</v>
      </c>
      <c r="H2170">
        <f t="shared" si="136"/>
        <v>1.9846119263846274</v>
      </c>
    </row>
    <row r="2171" spans="1:8" x14ac:dyDescent="0.25">
      <c r="A2171" t="str">
        <f t="shared" si="134"/>
        <v>Multihop,NSFnet,80</v>
      </c>
      <c r="B2171" t="s">
        <v>34</v>
      </c>
      <c r="C2171" t="s">
        <v>6</v>
      </c>
      <c r="D2171">
        <v>80</v>
      </c>
      <c r="E2171">
        <v>856.31399999999996</v>
      </c>
      <c r="F2171">
        <f t="shared" si="133"/>
        <v>859</v>
      </c>
      <c r="G2171">
        <f t="shared" si="135"/>
        <v>0.31268917345751285</v>
      </c>
      <c r="H2171">
        <f t="shared" si="136"/>
        <v>0.3136699855426906</v>
      </c>
    </row>
    <row r="2172" spans="1:8" x14ac:dyDescent="0.25">
      <c r="A2172" t="str">
        <f t="shared" si="134"/>
        <v>Multihop,NSFnet,80</v>
      </c>
      <c r="B2172" t="s">
        <v>34</v>
      </c>
      <c r="C2172" t="s">
        <v>6</v>
      </c>
      <c r="D2172">
        <v>80</v>
      </c>
      <c r="E2172">
        <v>859.154</v>
      </c>
      <c r="F2172">
        <f t="shared" si="133"/>
        <v>859</v>
      </c>
      <c r="G2172">
        <f t="shared" si="135"/>
        <v>1.7927823050057783E-2</v>
      </c>
      <c r="H2172">
        <f t="shared" si="136"/>
        <v>1.7924609557773852E-2</v>
      </c>
    </row>
    <row r="2173" spans="1:8" x14ac:dyDescent="0.25">
      <c r="A2173" t="str">
        <f t="shared" si="134"/>
        <v>Multihop,NSFnet,80</v>
      </c>
      <c r="B2173" t="s">
        <v>34</v>
      </c>
      <c r="C2173" t="s">
        <v>6</v>
      </c>
      <c r="D2173">
        <v>80</v>
      </c>
      <c r="E2173">
        <v>842.14499999999998</v>
      </c>
      <c r="F2173">
        <f t="shared" si="133"/>
        <v>859</v>
      </c>
      <c r="G2173">
        <f t="shared" si="135"/>
        <v>1.9621653084982558</v>
      </c>
      <c r="H2173">
        <f t="shared" si="136"/>
        <v>2.0014368072006623</v>
      </c>
    </row>
    <row r="2174" spans="1:8" x14ac:dyDescent="0.25">
      <c r="A2174" t="str">
        <f t="shared" si="134"/>
        <v>Multihop,NSFnet,80</v>
      </c>
      <c r="B2174" t="s">
        <v>34</v>
      </c>
      <c r="C2174" t="s">
        <v>6</v>
      </c>
      <c r="D2174">
        <v>80</v>
      </c>
      <c r="E2174">
        <v>888.36500000000001</v>
      </c>
      <c r="F2174">
        <f t="shared" si="133"/>
        <v>859</v>
      </c>
      <c r="G2174">
        <f t="shared" si="135"/>
        <v>3.4185098952270092</v>
      </c>
      <c r="H2174">
        <f t="shared" si="136"/>
        <v>3.305510685360185</v>
      </c>
    </row>
    <row r="2175" spans="1:8" x14ac:dyDescent="0.25">
      <c r="A2175" t="str">
        <f t="shared" si="134"/>
        <v>Multihop,NSFnet,80</v>
      </c>
      <c r="B2175" t="s">
        <v>34</v>
      </c>
      <c r="C2175" t="s">
        <v>6</v>
      </c>
      <c r="D2175">
        <v>80</v>
      </c>
      <c r="E2175">
        <v>831.00199999999995</v>
      </c>
      <c r="F2175">
        <f t="shared" si="133"/>
        <v>859</v>
      </c>
      <c r="G2175">
        <f t="shared" si="135"/>
        <v>3.2593713620488995</v>
      </c>
      <c r="H2175">
        <f t="shared" si="136"/>
        <v>3.3691856337289257</v>
      </c>
    </row>
    <row r="2176" spans="1:8" x14ac:dyDescent="0.25">
      <c r="A2176" t="str">
        <f t="shared" si="134"/>
        <v>Multihop,NSFnet,80</v>
      </c>
      <c r="B2176" t="s">
        <v>34</v>
      </c>
      <c r="C2176" t="s">
        <v>6</v>
      </c>
      <c r="D2176">
        <v>80</v>
      </c>
      <c r="E2176">
        <v>858.96600000000001</v>
      </c>
      <c r="F2176">
        <f t="shared" si="133"/>
        <v>859</v>
      </c>
      <c r="G2176">
        <f t="shared" si="135"/>
        <v>3.9580908032586515E-3</v>
      </c>
      <c r="H2176">
        <f t="shared" si="136"/>
        <v>3.9582474742879013E-3</v>
      </c>
    </row>
    <row r="2177" spans="1:8" x14ac:dyDescent="0.25">
      <c r="A2177" t="str">
        <f t="shared" si="134"/>
        <v>Multihop,NSFnet,80</v>
      </c>
      <c r="B2177" t="s">
        <v>34</v>
      </c>
      <c r="C2177" t="s">
        <v>6</v>
      </c>
      <c r="D2177">
        <v>80</v>
      </c>
      <c r="E2177">
        <v>907.57</v>
      </c>
      <c r="F2177">
        <f t="shared" si="133"/>
        <v>859</v>
      </c>
      <c r="G2177">
        <f t="shared" si="135"/>
        <v>5.6542491268917399</v>
      </c>
      <c r="H2177">
        <f t="shared" si="136"/>
        <v>5.3516533159976687</v>
      </c>
    </row>
    <row r="2178" spans="1:8" x14ac:dyDescent="0.25">
      <c r="A2178" t="str">
        <f t="shared" si="134"/>
        <v>Multihop,NSFnet,80</v>
      </c>
      <c r="B2178" t="s">
        <v>34</v>
      </c>
      <c r="C2178" t="s">
        <v>6</v>
      </c>
      <c r="D2178">
        <v>80</v>
      </c>
      <c r="E2178">
        <v>810.56500000000005</v>
      </c>
      <c r="F2178">
        <f t="shared" si="133"/>
        <v>859</v>
      </c>
      <c r="G2178">
        <f t="shared" si="135"/>
        <v>5.6385331781140797</v>
      </c>
      <c r="H2178">
        <f t="shared" si="136"/>
        <v>5.975461560763164</v>
      </c>
    </row>
    <row r="2179" spans="1:8" x14ac:dyDescent="0.25">
      <c r="A2179" t="str">
        <f t="shared" si="134"/>
        <v>Multihop,NSFnet,80</v>
      </c>
      <c r="B2179" t="s">
        <v>34</v>
      </c>
      <c r="C2179" t="s">
        <v>6</v>
      </c>
      <c r="D2179">
        <v>80</v>
      </c>
      <c r="E2179">
        <v>827.34299999999996</v>
      </c>
      <c r="F2179">
        <f t="shared" ref="F2179:F2242" si="137">_xlfn.XLOOKUP(A2179,$J$3:$J$36,$N$3:$N$36)</f>
        <v>859</v>
      </c>
      <c r="G2179">
        <f t="shared" si="135"/>
        <v>3.6853317811408659</v>
      </c>
      <c r="H2179">
        <f t="shared" si="136"/>
        <v>3.8263453005585397</v>
      </c>
    </row>
    <row r="2180" spans="1:8" x14ac:dyDescent="0.25">
      <c r="A2180" t="str">
        <f t="shared" ref="A2180:A2243" si="138">B2180&amp;","&amp;C2180&amp;","&amp;D2180</f>
        <v>Multihop,NSFnet,80</v>
      </c>
      <c r="B2180" t="s">
        <v>34</v>
      </c>
      <c r="C2180" t="s">
        <v>6</v>
      </c>
      <c r="D2180">
        <v>80</v>
      </c>
      <c r="E2180">
        <v>808.72500000000002</v>
      </c>
      <c r="F2180">
        <f t="shared" si="137"/>
        <v>859</v>
      </c>
      <c r="G2180">
        <f t="shared" ref="G2180:G2243" si="139">ABS((E2180-F2180)/F2180)*100</f>
        <v>5.8527357392316617</v>
      </c>
      <c r="H2180">
        <f t="shared" ref="H2180:H2243" si="140">ABS((F2180-E2180)/E2180)*100</f>
        <v>6.2165754737395256</v>
      </c>
    </row>
    <row r="2181" spans="1:8" x14ac:dyDescent="0.25">
      <c r="A2181" t="str">
        <f t="shared" si="138"/>
        <v>Multihop,NSFnet,80</v>
      </c>
      <c r="B2181" t="s">
        <v>34</v>
      </c>
      <c r="C2181" t="s">
        <v>6</v>
      </c>
      <c r="D2181">
        <v>80</v>
      </c>
      <c r="E2181">
        <v>920.45299999999997</v>
      </c>
      <c r="F2181">
        <f t="shared" si="137"/>
        <v>859</v>
      </c>
      <c r="G2181">
        <f t="shared" si="139"/>
        <v>7.1540162980209514</v>
      </c>
      <c r="H2181">
        <f t="shared" si="140"/>
        <v>6.6763865183773614</v>
      </c>
    </row>
    <row r="2182" spans="1:8" x14ac:dyDescent="0.25">
      <c r="A2182" t="str">
        <f t="shared" si="138"/>
        <v>Multihop,NSFnet,80</v>
      </c>
      <c r="B2182" t="s">
        <v>34</v>
      </c>
      <c r="C2182" t="s">
        <v>6</v>
      </c>
      <c r="D2182">
        <v>80</v>
      </c>
      <c r="E2182">
        <v>837.47</v>
      </c>
      <c r="F2182">
        <f t="shared" si="137"/>
        <v>859</v>
      </c>
      <c r="G2182">
        <f t="shared" si="139"/>
        <v>2.5064027939464459</v>
      </c>
      <c r="H2182">
        <f t="shared" si="140"/>
        <v>2.5708383583889538</v>
      </c>
    </row>
    <row r="2183" spans="1:8" x14ac:dyDescent="0.25">
      <c r="A2183" t="str">
        <f t="shared" si="138"/>
        <v>Multihop,NSFnet,80</v>
      </c>
      <c r="B2183" t="s">
        <v>34</v>
      </c>
      <c r="C2183" t="s">
        <v>6</v>
      </c>
      <c r="D2183">
        <v>80</v>
      </c>
      <c r="E2183">
        <v>867.22400000000005</v>
      </c>
      <c r="F2183">
        <f t="shared" si="137"/>
        <v>859</v>
      </c>
      <c r="G2183">
        <f t="shared" si="139"/>
        <v>0.95739231664726965</v>
      </c>
      <c r="H2183">
        <f t="shared" si="140"/>
        <v>0.94831323856351368</v>
      </c>
    </row>
    <row r="2184" spans="1:8" x14ac:dyDescent="0.25">
      <c r="A2184" t="str">
        <f t="shared" si="138"/>
        <v>Multihop,NSFnet,80</v>
      </c>
      <c r="B2184" t="s">
        <v>34</v>
      </c>
      <c r="C2184" t="s">
        <v>6</v>
      </c>
      <c r="D2184">
        <v>80</v>
      </c>
      <c r="E2184">
        <v>841.01499999999999</v>
      </c>
      <c r="F2184">
        <f t="shared" si="137"/>
        <v>859</v>
      </c>
      <c r="G2184">
        <f t="shared" si="139"/>
        <v>2.0937136204889422</v>
      </c>
      <c r="H2184">
        <f t="shared" si="140"/>
        <v>2.1384874229353832</v>
      </c>
    </row>
    <row r="2185" spans="1:8" x14ac:dyDescent="0.25">
      <c r="A2185" t="str">
        <f t="shared" si="138"/>
        <v>Multihop,NSFnet,80</v>
      </c>
      <c r="B2185" t="s">
        <v>34</v>
      </c>
      <c r="C2185" t="s">
        <v>6</v>
      </c>
      <c r="D2185">
        <v>80</v>
      </c>
      <c r="E2185">
        <v>836.27599999999995</v>
      </c>
      <c r="F2185">
        <f t="shared" si="137"/>
        <v>859</v>
      </c>
      <c r="G2185">
        <f t="shared" si="139"/>
        <v>2.6454016298021008</v>
      </c>
      <c r="H2185">
        <f t="shared" si="140"/>
        <v>2.7172847241819746</v>
      </c>
    </row>
    <row r="2186" spans="1:8" x14ac:dyDescent="0.25">
      <c r="A2186" t="str">
        <f t="shared" si="138"/>
        <v>Multihop,NSFnet,80</v>
      </c>
      <c r="B2186" t="s">
        <v>34</v>
      </c>
      <c r="C2186" t="s">
        <v>6</v>
      </c>
      <c r="D2186">
        <v>80</v>
      </c>
      <c r="E2186">
        <v>807.68499999999995</v>
      </c>
      <c r="F2186">
        <f t="shared" si="137"/>
        <v>859</v>
      </c>
      <c r="G2186">
        <f t="shared" si="139"/>
        <v>5.9738067520372589</v>
      </c>
      <c r="H2186">
        <f t="shared" si="140"/>
        <v>6.3533431969146461</v>
      </c>
    </row>
    <row r="2187" spans="1:8" x14ac:dyDescent="0.25">
      <c r="A2187" t="str">
        <f t="shared" si="138"/>
        <v>Multihop,NSFnet,80</v>
      </c>
      <c r="B2187" t="s">
        <v>34</v>
      </c>
      <c r="C2187" t="s">
        <v>6</v>
      </c>
      <c r="D2187">
        <v>80</v>
      </c>
      <c r="E2187">
        <v>860.28700000000003</v>
      </c>
      <c r="F2187">
        <f t="shared" si="137"/>
        <v>859</v>
      </c>
      <c r="G2187">
        <f t="shared" si="139"/>
        <v>0.14982537834691903</v>
      </c>
      <c r="H2187">
        <f t="shared" si="140"/>
        <v>0.14960123772648368</v>
      </c>
    </row>
    <row r="2188" spans="1:8" x14ac:dyDescent="0.25">
      <c r="A2188" t="str">
        <f t="shared" si="138"/>
        <v>Multihop,NSFnet,80</v>
      </c>
      <c r="B2188" t="s">
        <v>34</v>
      </c>
      <c r="C2188" t="s">
        <v>6</v>
      </c>
      <c r="D2188">
        <v>80</v>
      </c>
      <c r="E2188">
        <v>845.90200000000004</v>
      </c>
      <c r="F2188">
        <f t="shared" si="137"/>
        <v>859</v>
      </c>
      <c r="G2188">
        <f t="shared" si="139"/>
        <v>1.5247962747380626</v>
      </c>
      <c r="H2188">
        <f t="shared" si="140"/>
        <v>1.548406316570945</v>
      </c>
    </row>
    <row r="2189" spans="1:8" x14ac:dyDescent="0.25">
      <c r="A2189" t="str">
        <f t="shared" si="138"/>
        <v>Multihop,NSFnet,80</v>
      </c>
      <c r="B2189" t="s">
        <v>34</v>
      </c>
      <c r="C2189" t="s">
        <v>6</v>
      </c>
      <c r="D2189">
        <v>80</v>
      </c>
      <c r="E2189">
        <v>809.96100000000001</v>
      </c>
      <c r="F2189">
        <f t="shared" si="137"/>
        <v>859</v>
      </c>
      <c r="G2189">
        <f t="shared" si="139"/>
        <v>5.7088474970896375</v>
      </c>
      <c r="H2189">
        <f t="shared" si="140"/>
        <v>6.0544890432996139</v>
      </c>
    </row>
    <row r="2190" spans="1:8" x14ac:dyDescent="0.25">
      <c r="A2190" t="str">
        <f t="shared" si="138"/>
        <v>Multihop,NSFnet,80</v>
      </c>
      <c r="B2190" t="s">
        <v>34</v>
      </c>
      <c r="C2190" t="s">
        <v>6</v>
      </c>
      <c r="D2190">
        <v>80</v>
      </c>
      <c r="E2190">
        <v>886.69100000000003</v>
      </c>
      <c r="F2190">
        <f t="shared" si="137"/>
        <v>859</v>
      </c>
      <c r="G2190">
        <f t="shared" si="139"/>
        <v>3.2236321303841713</v>
      </c>
      <c r="H2190">
        <f t="shared" si="140"/>
        <v>3.1229594075049856</v>
      </c>
    </row>
    <row r="2191" spans="1:8" x14ac:dyDescent="0.25">
      <c r="A2191" t="str">
        <f t="shared" si="138"/>
        <v>Multihop,NSFnet,80</v>
      </c>
      <c r="B2191" t="s">
        <v>34</v>
      </c>
      <c r="C2191" t="s">
        <v>6</v>
      </c>
      <c r="D2191">
        <v>80</v>
      </c>
      <c r="E2191">
        <v>818.47400000000005</v>
      </c>
      <c r="F2191">
        <f t="shared" si="137"/>
        <v>859</v>
      </c>
      <c r="G2191">
        <f t="shared" si="139"/>
        <v>4.7178114086146632</v>
      </c>
      <c r="H2191">
        <f t="shared" si="140"/>
        <v>4.9514095744030904</v>
      </c>
    </row>
    <row r="2192" spans="1:8" x14ac:dyDescent="0.25">
      <c r="A2192" t="str">
        <f t="shared" si="138"/>
        <v>Multihop,NSFnet,80</v>
      </c>
      <c r="B2192" t="s">
        <v>34</v>
      </c>
      <c r="C2192" t="s">
        <v>6</v>
      </c>
      <c r="D2192">
        <v>80</v>
      </c>
      <c r="E2192">
        <v>844.24099999999999</v>
      </c>
      <c r="F2192">
        <f t="shared" si="137"/>
        <v>859</v>
      </c>
      <c r="G2192">
        <f t="shared" si="139"/>
        <v>1.7181606519208397</v>
      </c>
      <c r="H2192">
        <f t="shared" si="140"/>
        <v>1.7481974933697859</v>
      </c>
    </row>
    <row r="2193" spans="1:8" x14ac:dyDescent="0.25">
      <c r="A2193" t="str">
        <f t="shared" si="138"/>
        <v>Multihop,NSFnet,80</v>
      </c>
      <c r="B2193" t="s">
        <v>34</v>
      </c>
      <c r="C2193" t="s">
        <v>6</v>
      </c>
      <c r="D2193">
        <v>80</v>
      </c>
      <c r="E2193">
        <v>888.33399999999995</v>
      </c>
      <c r="F2193">
        <f t="shared" si="137"/>
        <v>859</v>
      </c>
      <c r="G2193">
        <f t="shared" si="139"/>
        <v>3.4149010477299124</v>
      </c>
      <c r="H2193">
        <f t="shared" si="140"/>
        <v>3.3021363586218642</v>
      </c>
    </row>
    <row r="2194" spans="1:8" x14ac:dyDescent="0.25">
      <c r="A2194" t="str">
        <f t="shared" si="138"/>
        <v>Multihop,NSFnet,80</v>
      </c>
      <c r="B2194" t="s">
        <v>34</v>
      </c>
      <c r="C2194" t="s">
        <v>6</v>
      </c>
      <c r="D2194">
        <v>80</v>
      </c>
      <c r="E2194">
        <v>849.01900000000001</v>
      </c>
      <c r="F2194">
        <f t="shared" si="137"/>
        <v>859</v>
      </c>
      <c r="G2194">
        <f t="shared" si="139"/>
        <v>1.1619324796274733</v>
      </c>
      <c r="H2194">
        <f t="shared" si="140"/>
        <v>1.1755920656663743</v>
      </c>
    </row>
    <row r="2195" spans="1:8" x14ac:dyDescent="0.25">
      <c r="A2195" t="str">
        <f t="shared" si="138"/>
        <v>Multihop,NSFnet,80</v>
      </c>
      <c r="B2195" t="s">
        <v>34</v>
      </c>
      <c r="C2195" t="s">
        <v>6</v>
      </c>
      <c r="D2195">
        <v>80</v>
      </c>
      <c r="E2195">
        <v>868.61800000000005</v>
      </c>
      <c r="F2195">
        <f t="shared" si="137"/>
        <v>859</v>
      </c>
      <c r="G2195">
        <f t="shared" si="139"/>
        <v>1.1196740395809142</v>
      </c>
      <c r="H2195">
        <f t="shared" si="140"/>
        <v>1.1072761559166457</v>
      </c>
    </row>
    <row r="2196" spans="1:8" x14ac:dyDescent="0.25">
      <c r="A2196" t="str">
        <f t="shared" si="138"/>
        <v>Multihop,NSFnet,80</v>
      </c>
      <c r="B2196" t="s">
        <v>34</v>
      </c>
      <c r="C2196" t="s">
        <v>6</v>
      </c>
      <c r="D2196">
        <v>80</v>
      </c>
      <c r="E2196">
        <v>855.55</v>
      </c>
      <c r="F2196">
        <f t="shared" si="137"/>
        <v>859</v>
      </c>
      <c r="G2196">
        <f t="shared" si="139"/>
        <v>0.40162980209546512</v>
      </c>
      <c r="H2196">
        <f t="shared" si="140"/>
        <v>0.40324937174917258</v>
      </c>
    </row>
    <row r="2197" spans="1:8" x14ac:dyDescent="0.25">
      <c r="A2197" t="str">
        <f t="shared" si="138"/>
        <v>Multihop,NSFnet,80</v>
      </c>
      <c r="B2197" t="s">
        <v>34</v>
      </c>
      <c r="C2197" t="s">
        <v>6</v>
      </c>
      <c r="D2197">
        <v>80</v>
      </c>
      <c r="E2197">
        <v>806.65200000000004</v>
      </c>
      <c r="F2197">
        <f t="shared" si="137"/>
        <v>859</v>
      </c>
      <c r="G2197">
        <f t="shared" si="139"/>
        <v>6.0940628637951058</v>
      </c>
      <c r="H2197">
        <f t="shared" si="140"/>
        <v>6.4895394792301957</v>
      </c>
    </row>
    <row r="2198" spans="1:8" x14ac:dyDescent="0.25">
      <c r="A2198" t="str">
        <f t="shared" si="138"/>
        <v>Multihop,NSFnet,80</v>
      </c>
      <c r="B2198" t="s">
        <v>34</v>
      </c>
      <c r="C2198" t="s">
        <v>6</v>
      </c>
      <c r="D2198">
        <v>80</v>
      </c>
      <c r="E2198">
        <v>880.94799999999998</v>
      </c>
      <c r="F2198">
        <f t="shared" si="137"/>
        <v>859</v>
      </c>
      <c r="G2198">
        <f t="shared" si="139"/>
        <v>2.5550640279394621</v>
      </c>
      <c r="H2198">
        <f t="shared" si="140"/>
        <v>2.4914069842941897</v>
      </c>
    </row>
    <row r="2199" spans="1:8" x14ac:dyDescent="0.25">
      <c r="A2199" t="str">
        <f t="shared" si="138"/>
        <v>Multihop,NSFnet,80</v>
      </c>
      <c r="B2199" t="s">
        <v>34</v>
      </c>
      <c r="C2199" t="s">
        <v>6</v>
      </c>
      <c r="D2199">
        <v>80</v>
      </c>
      <c r="E2199">
        <v>889.41099999999994</v>
      </c>
      <c r="F2199">
        <f t="shared" si="137"/>
        <v>859</v>
      </c>
      <c r="G2199">
        <f t="shared" si="139"/>
        <v>3.5402793946449296</v>
      </c>
      <c r="H2199">
        <f t="shared" si="140"/>
        <v>3.4192291302895903</v>
      </c>
    </row>
    <row r="2200" spans="1:8" x14ac:dyDescent="0.25">
      <c r="A2200" t="str">
        <f t="shared" si="138"/>
        <v>Multihop,NSFnet,80</v>
      </c>
      <c r="B2200" t="s">
        <v>34</v>
      </c>
      <c r="C2200" t="s">
        <v>6</v>
      </c>
      <c r="D2200">
        <v>80</v>
      </c>
      <c r="E2200">
        <v>873.23299999999995</v>
      </c>
      <c r="F2200">
        <f t="shared" si="137"/>
        <v>859</v>
      </c>
      <c r="G2200">
        <f t="shared" si="139"/>
        <v>1.6569266589056983</v>
      </c>
      <c r="H2200">
        <f t="shared" si="140"/>
        <v>1.6299200786044445</v>
      </c>
    </row>
    <row r="2201" spans="1:8" x14ac:dyDescent="0.25">
      <c r="A2201" t="str">
        <f t="shared" si="138"/>
        <v>Multihop,NSFnet,80</v>
      </c>
      <c r="B2201" t="s">
        <v>34</v>
      </c>
      <c r="C2201" t="s">
        <v>6</v>
      </c>
      <c r="D2201">
        <v>80</v>
      </c>
      <c r="E2201">
        <v>892.35699999999997</v>
      </c>
      <c r="F2201">
        <f t="shared" si="137"/>
        <v>859</v>
      </c>
      <c r="G2201">
        <f t="shared" si="139"/>
        <v>3.8832363213038379</v>
      </c>
      <c r="H2201">
        <f t="shared" si="140"/>
        <v>3.7380779217286322</v>
      </c>
    </row>
    <row r="2202" spans="1:8" x14ac:dyDescent="0.25">
      <c r="A2202" t="str">
        <f t="shared" si="138"/>
        <v>Multihop,NSFnet,80</v>
      </c>
      <c r="B2202" t="s">
        <v>34</v>
      </c>
      <c r="C2202" t="s">
        <v>6</v>
      </c>
      <c r="D2202">
        <v>80</v>
      </c>
      <c r="E2202">
        <v>831.10199999999998</v>
      </c>
      <c r="F2202">
        <f t="shared" si="137"/>
        <v>859</v>
      </c>
      <c r="G2202">
        <f t="shared" si="139"/>
        <v>3.247729918509898</v>
      </c>
      <c r="H2202">
        <f t="shared" si="140"/>
        <v>3.3567480285211713</v>
      </c>
    </row>
    <row r="2203" spans="1:8" x14ac:dyDescent="0.25">
      <c r="A2203" t="str">
        <f t="shared" si="138"/>
        <v>Multihop,NSFnet,100</v>
      </c>
      <c r="B2203" t="s">
        <v>34</v>
      </c>
      <c r="C2203" t="s">
        <v>6</v>
      </c>
      <c r="D2203">
        <v>100</v>
      </c>
      <c r="E2203">
        <v>1032.71</v>
      </c>
      <c r="F2203">
        <f t="shared" si="137"/>
        <v>1084</v>
      </c>
      <c r="G2203">
        <f t="shared" si="139"/>
        <v>4.7315498154981519</v>
      </c>
      <c r="H2203">
        <f t="shared" si="140"/>
        <v>4.9665443348084128</v>
      </c>
    </row>
    <row r="2204" spans="1:8" x14ac:dyDescent="0.25">
      <c r="A2204" t="str">
        <f t="shared" si="138"/>
        <v>Multihop,NSFnet,100</v>
      </c>
      <c r="B2204" t="s">
        <v>34</v>
      </c>
      <c r="C2204" t="s">
        <v>6</v>
      </c>
      <c r="D2204">
        <v>100</v>
      </c>
      <c r="E2204">
        <v>1018.2380000000001</v>
      </c>
      <c r="F2204">
        <f t="shared" si="137"/>
        <v>1084</v>
      </c>
      <c r="G2204">
        <f t="shared" si="139"/>
        <v>6.0666051660516551</v>
      </c>
      <c r="H2204">
        <f t="shared" si="140"/>
        <v>6.4584114912230675</v>
      </c>
    </row>
    <row r="2205" spans="1:8" x14ac:dyDescent="0.25">
      <c r="A2205" t="str">
        <f t="shared" si="138"/>
        <v>Multihop,NSFnet,100</v>
      </c>
      <c r="B2205" t="s">
        <v>34</v>
      </c>
      <c r="C2205" t="s">
        <v>6</v>
      </c>
      <c r="D2205">
        <v>100</v>
      </c>
      <c r="E2205">
        <v>1087.02</v>
      </c>
      <c r="F2205">
        <f t="shared" si="137"/>
        <v>1084</v>
      </c>
      <c r="G2205">
        <f t="shared" si="139"/>
        <v>0.27859778597785811</v>
      </c>
      <c r="H2205">
        <f t="shared" si="140"/>
        <v>0.277823775091533</v>
      </c>
    </row>
    <row r="2206" spans="1:8" x14ac:dyDescent="0.25">
      <c r="A2206" t="str">
        <f t="shared" si="138"/>
        <v>Multihop,NSFnet,100</v>
      </c>
      <c r="B2206" t="s">
        <v>34</v>
      </c>
      <c r="C2206" t="s">
        <v>6</v>
      </c>
      <c r="D2206">
        <v>100</v>
      </c>
      <c r="E2206">
        <v>1074.9069999999999</v>
      </c>
      <c r="F2206">
        <f t="shared" si="137"/>
        <v>1084</v>
      </c>
      <c r="G2206">
        <f t="shared" si="139"/>
        <v>0.83883763837639069</v>
      </c>
      <c r="H2206">
        <f t="shared" si="140"/>
        <v>0.8459336482132942</v>
      </c>
    </row>
    <row r="2207" spans="1:8" x14ac:dyDescent="0.25">
      <c r="A2207" t="str">
        <f t="shared" si="138"/>
        <v>Multihop,NSFnet,100</v>
      </c>
      <c r="B2207" t="s">
        <v>34</v>
      </c>
      <c r="C2207" t="s">
        <v>6</v>
      </c>
      <c r="D2207">
        <v>100</v>
      </c>
      <c r="E2207">
        <v>1065.348</v>
      </c>
      <c r="F2207">
        <f t="shared" si="137"/>
        <v>1084</v>
      </c>
      <c r="G2207">
        <f t="shared" si="139"/>
        <v>1.7206642066420703</v>
      </c>
      <c r="H2207">
        <f t="shared" si="140"/>
        <v>1.7507894134123352</v>
      </c>
    </row>
    <row r="2208" spans="1:8" x14ac:dyDescent="0.25">
      <c r="A2208" t="str">
        <f t="shared" si="138"/>
        <v>Multihop,NSFnet,100</v>
      </c>
      <c r="B2208" t="s">
        <v>34</v>
      </c>
      <c r="C2208" t="s">
        <v>6</v>
      </c>
      <c r="D2208">
        <v>100</v>
      </c>
      <c r="E2208">
        <v>1110.135</v>
      </c>
      <c r="F2208">
        <f t="shared" si="137"/>
        <v>1084</v>
      </c>
      <c r="G2208">
        <f t="shared" si="139"/>
        <v>2.4109778597785967</v>
      </c>
      <c r="H2208">
        <f t="shared" si="140"/>
        <v>2.3542181806717193</v>
      </c>
    </row>
    <row r="2209" spans="1:8" x14ac:dyDescent="0.25">
      <c r="A2209" t="str">
        <f t="shared" si="138"/>
        <v>Multihop,NSFnet,100</v>
      </c>
      <c r="B2209" t="s">
        <v>34</v>
      </c>
      <c r="C2209" t="s">
        <v>6</v>
      </c>
      <c r="D2209">
        <v>100</v>
      </c>
      <c r="E2209">
        <v>1030.018</v>
      </c>
      <c r="F2209">
        <f t="shared" si="137"/>
        <v>1084</v>
      </c>
      <c r="G2209">
        <f t="shared" si="139"/>
        <v>4.9798892988929859</v>
      </c>
      <c r="H2209">
        <f t="shared" si="140"/>
        <v>5.2408792856047146</v>
      </c>
    </row>
    <row r="2210" spans="1:8" x14ac:dyDescent="0.25">
      <c r="A2210" t="str">
        <f t="shared" si="138"/>
        <v>Multihop,NSFnet,100</v>
      </c>
      <c r="B2210" t="s">
        <v>34</v>
      </c>
      <c r="C2210" t="s">
        <v>6</v>
      </c>
      <c r="D2210">
        <v>100</v>
      </c>
      <c r="E2210">
        <v>981.37400000000002</v>
      </c>
      <c r="F2210">
        <f t="shared" si="137"/>
        <v>1084</v>
      </c>
      <c r="G2210">
        <f t="shared" si="139"/>
        <v>9.4673431734317326</v>
      </c>
      <c r="H2210">
        <f t="shared" si="140"/>
        <v>10.457379143934929</v>
      </c>
    </row>
    <row r="2211" spans="1:8" x14ac:dyDescent="0.25">
      <c r="A2211" t="str">
        <f t="shared" si="138"/>
        <v>Multihop,NSFnet,100</v>
      </c>
      <c r="B2211" t="s">
        <v>34</v>
      </c>
      <c r="C2211" t="s">
        <v>6</v>
      </c>
      <c r="D2211">
        <v>100</v>
      </c>
      <c r="E2211">
        <v>1064.385</v>
      </c>
      <c r="F2211">
        <f t="shared" si="137"/>
        <v>1084</v>
      </c>
      <c r="G2211">
        <f t="shared" si="139"/>
        <v>1.8095018450184508</v>
      </c>
      <c r="H2211">
        <f t="shared" si="140"/>
        <v>1.8428482175152798</v>
      </c>
    </row>
    <row r="2212" spans="1:8" x14ac:dyDescent="0.25">
      <c r="A2212" t="str">
        <f t="shared" si="138"/>
        <v>Multihop,NSFnet,100</v>
      </c>
      <c r="B2212" t="s">
        <v>34</v>
      </c>
      <c r="C2212" t="s">
        <v>6</v>
      </c>
      <c r="D2212">
        <v>100</v>
      </c>
      <c r="E2212">
        <v>1055.7470000000001</v>
      </c>
      <c r="F2212">
        <f t="shared" si="137"/>
        <v>1084</v>
      </c>
      <c r="G2212">
        <f t="shared" si="139"/>
        <v>2.60636531365313</v>
      </c>
      <c r="H2212">
        <f t="shared" si="140"/>
        <v>2.6761146373136677</v>
      </c>
    </row>
    <row r="2213" spans="1:8" x14ac:dyDescent="0.25">
      <c r="A2213" t="str">
        <f t="shared" si="138"/>
        <v>Multihop,NSFnet,100</v>
      </c>
      <c r="B2213" t="s">
        <v>34</v>
      </c>
      <c r="C2213" t="s">
        <v>6</v>
      </c>
      <c r="D2213">
        <v>100</v>
      </c>
      <c r="E2213">
        <v>1059.32</v>
      </c>
      <c r="F2213">
        <f t="shared" si="137"/>
        <v>1084</v>
      </c>
      <c r="G2213">
        <f t="shared" si="139"/>
        <v>2.2767527675276811</v>
      </c>
      <c r="H2213">
        <f t="shared" si="140"/>
        <v>2.3297964732092344</v>
      </c>
    </row>
    <row r="2214" spans="1:8" x14ac:dyDescent="0.25">
      <c r="A2214" t="str">
        <f t="shared" si="138"/>
        <v>Multihop,NSFnet,100</v>
      </c>
      <c r="B2214" t="s">
        <v>34</v>
      </c>
      <c r="C2214" t="s">
        <v>6</v>
      </c>
      <c r="D2214">
        <v>100</v>
      </c>
      <c r="E2214">
        <v>1094.7270000000001</v>
      </c>
      <c r="F2214">
        <f t="shared" si="137"/>
        <v>1084</v>
      </c>
      <c r="G2214">
        <f t="shared" si="139"/>
        <v>0.98957564575646584</v>
      </c>
      <c r="H2214">
        <f t="shared" si="140"/>
        <v>0.97987900179680298</v>
      </c>
    </row>
    <row r="2215" spans="1:8" x14ac:dyDescent="0.25">
      <c r="A2215" t="str">
        <f t="shared" si="138"/>
        <v>Multihop,NSFnet,100</v>
      </c>
      <c r="B2215" t="s">
        <v>34</v>
      </c>
      <c r="C2215" t="s">
        <v>6</v>
      </c>
      <c r="D2215">
        <v>100</v>
      </c>
      <c r="E2215">
        <v>1012.46</v>
      </c>
      <c r="F2215">
        <f t="shared" si="137"/>
        <v>1084</v>
      </c>
      <c r="G2215">
        <f t="shared" si="139"/>
        <v>6.5996309963099602</v>
      </c>
      <c r="H2215">
        <f t="shared" si="140"/>
        <v>7.0659581613100721</v>
      </c>
    </row>
    <row r="2216" spans="1:8" x14ac:dyDescent="0.25">
      <c r="A2216" t="str">
        <f t="shared" si="138"/>
        <v>Multihop,NSFnet,100</v>
      </c>
      <c r="B2216" t="s">
        <v>34</v>
      </c>
      <c r="C2216" t="s">
        <v>6</v>
      </c>
      <c r="D2216">
        <v>100</v>
      </c>
      <c r="E2216">
        <v>992.40599999999995</v>
      </c>
      <c r="F2216">
        <f t="shared" si="137"/>
        <v>1084</v>
      </c>
      <c r="G2216">
        <f t="shared" si="139"/>
        <v>8.4496309963099669</v>
      </c>
      <c r="H2216">
        <f t="shared" si="140"/>
        <v>9.2294887374723711</v>
      </c>
    </row>
    <row r="2217" spans="1:8" x14ac:dyDescent="0.25">
      <c r="A2217" t="str">
        <f t="shared" si="138"/>
        <v>Multihop,NSFnet,100</v>
      </c>
      <c r="B2217" t="s">
        <v>34</v>
      </c>
      <c r="C2217" t="s">
        <v>6</v>
      </c>
      <c r="D2217">
        <v>100</v>
      </c>
      <c r="E2217">
        <v>1038.3430000000001</v>
      </c>
      <c r="F2217">
        <f t="shared" si="137"/>
        <v>1084</v>
      </c>
      <c r="G2217">
        <f t="shared" si="139"/>
        <v>4.2119003690036827</v>
      </c>
      <c r="H2217">
        <f t="shared" si="140"/>
        <v>4.3971019210414974</v>
      </c>
    </row>
    <row r="2218" spans="1:8" x14ac:dyDescent="0.25">
      <c r="A2218" t="str">
        <f t="shared" si="138"/>
        <v>Multihop,NSFnet,100</v>
      </c>
      <c r="B2218" t="s">
        <v>34</v>
      </c>
      <c r="C2218" t="s">
        <v>6</v>
      </c>
      <c r="D2218">
        <v>100</v>
      </c>
      <c r="E2218">
        <v>1068.172</v>
      </c>
      <c r="F2218">
        <f t="shared" si="137"/>
        <v>1084</v>
      </c>
      <c r="G2218">
        <f t="shared" si="139"/>
        <v>1.4601476014760124</v>
      </c>
      <c r="H2218">
        <f t="shared" si="140"/>
        <v>1.4817838325662884</v>
      </c>
    </row>
    <row r="2219" spans="1:8" x14ac:dyDescent="0.25">
      <c r="A2219" t="str">
        <f t="shared" si="138"/>
        <v>Multihop,NSFnet,100</v>
      </c>
      <c r="B2219" t="s">
        <v>34</v>
      </c>
      <c r="C2219" t="s">
        <v>6</v>
      </c>
      <c r="D2219">
        <v>100</v>
      </c>
      <c r="E2219">
        <v>1110.2360000000001</v>
      </c>
      <c r="F2219">
        <f t="shared" si="137"/>
        <v>1084</v>
      </c>
      <c r="G2219">
        <f t="shared" si="139"/>
        <v>2.420295202952039</v>
      </c>
      <c r="H2219">
        <f t="shared" si="140"/>
        <v>2.3631011784881863</v>
      </c>
    </row>
    <row r="2220" spans="1:8" x14ac:dyDescent="0.25">
      <c r="A2220" t="str">
        <f t="shared" si="138"/>
        <v>Multihop,NSFnet,100</v>
      </c>
      <c r="B2220" t="s">
        <v>34</v>
      </c>
      <c r="C2220" t="s">
        <v>6</v>
      </c>
      <c r="D2220">
        <v>100</v>
      </c>
      <c r="E2220">
        <v>1109.9939999999999</v>
      </c>
      <c r="F2220">
        <f t="shared" si="137"/>
        <v>1084</v>
      </c>
      <c r="G2220">
        <f t="shared" si="139"/>
        <v>2.3979704797047892</v>
      </c>
      <c r="H2220">
        <f t="shared" si="140"/>
        <v>2.3418144602583362</v>
      </c>
    </row>
    <row r="2221" spans="1:8" x14ac:dyDescent="0.25">
      <c r="A2221" t="str">
        <f t="shared" si="138"/>
        <v>Multihop,NSFnet,100</v>
      </c>
      <c r="B2221" t="s">
        <v>34</v>
      </c>
      <c r="C2221" t="s">
        <v>6</v>
      </c>
      <c r="D2221">
        <v>100</v>
      </c>
      <c r="E2221">
        <v>1093.902</v>
      </c>
      <c r="F2221">
        <f t="shared" si="137"/>
        <v>1084</v>
      </c>
      <c r="G2221">
        <f t="shared" si="139"/>
        <v>0.91346863468635098</v>
      </c>
      <c r="H2221">
        <f t="shared" si="140"/>
        <v>0.90519991736005989</v>
      </c>
    </row>
    <row r="2222" spans="1:8" x14ac:dyDescent="0.25">
      <c r="A2222" t="str">
        <f t="shared" si="138"/>
        <v>Multihop,NSFnet,100</v>
      </c>
      <c r="B2222" t="s">
        <v>34</v>
      </c>
      <c r="C2222" t="s">
        <v>6</v>
      </c>
      <c r="D2222">
        <v>100</v>
      </c>
      <c r="E2222">
        <v>1026.741</v>
      </c>
      <c r="F2222">
        <f t="shared" si="137"/>
        <v>1084</v>
      </c>
      <c r="G2222">
        <f t="shared" si="139"/>
        <v>5.2821955719557208</v>
      </c>
      <c r="H2222">
        <f t="shared" si="140"/>
        <v>5.5767715519298457</v>
      </c>
    </row>
    <row r="2223" spans="1:8" x14ac:dyDescent="0.25">
      <c r="A2223" t="str">
        <f t="shared" si="138"/>
        <v>Multihop,NSFnet,100</v>
      </c>
      <c r="B2223" t="s">
        <v>34</v>
      </c>
      <c r="C2223" t="s">
        <v>6</v>
      </c>
      <c r="D2223">
        <v>100</v>
      </c>
      <c r="E2223">
        <v>1077.499</v>
      </c>
      <c r="F2223">
        <f t="shared" si="137"/>
        <v>1084</v>
      </c>
      <c r="G2223">
        <f t="shared" si="139"/>
        <v>0.59972324723247017</v>
      </c>
      <c r="H2223">
        <f t="shared" si="140"/>
        <v>0.60334162723120632</v>
      </c>
    </row>
    <row r="2224" spans="1:8" x14ac:dyDescent="0.25">
      <c r="A2224" t="str">
        <f t="shared" si="138"/>
        <v>Multihop,NSFnet,100</v>
      </c>
      <c r="B2224" t="s">
        <v>34</v>
      </c>
      <c r="C2224" t="s">
        <v>6</v>
      </c>
      <c r="D2224">
        <v>100</v>
      </c>
      <c r="E2224">
        <v>1033.2260000000001</v>
      </c>
      <c r="F2224">
        <f t="shared" si="137"/>
        <v>1084</v>
      </c>
      <c r="G2224">
        <f t="shared" si="139"/>
        <v>4.6839483394833845</v>
      </c>
      <c r="H2224">
        <f t="shared" si="140"/>
        <v>4.9141233379725131</v>
      </c>
    </row>
    <row r="2225" spans="1:8" x14ac:dyDescent="0.25">
      <c r="A2225" t="str">
        <f t="shared" si="138"/>
        <v>Multihop,NSFnet,100</v>
      </c>
      <c r="B2225" t="s">
        <v>34</v>
      </c>
      <c r="C2225" t="s">
        <v>6</v>
      </c>
      <c r="D2225">
        <v>100</v>
      </c>
      <c r="E2225">
        <v>981.89400000000001</v>
      </c>
      <c r="F2225">
        <f t="shared" si="137"/>
        <v>1084</v>
      </c>
      <c r="G2225">
        <f t="shared" si="139"/>
        <v>9.4193726937269364</v>
      </c>
      <c r="H2225">
        <f t="shared" si="140"/>
        <v>10.398882160396132</v>
      </c>
    </row>
    <row r="2226" spans="1:8" x14ac:dyDescent="0.25">
      <c r="A2226" t="str">
        <f t="shared" si="138"/>
        <v>Multihop,NSFnet,100</v>
      </c>
      <c r="B2226" t="s">
        <v>34</v>
      </c>
      <c r="C2226" t="s">
        <v>6</v>
      </c>
      <c r="D2226">
        <v>100</v>
      </c>
      <c r="E2226">
        <v>1093.087</v>
      </c>
      <c r="F2226">
        <f t="shared" si="137"/>
        <v>1084</v>
      </c>
      <c r="G2226">
        <f t="shared" si="139"/>
        <v>0.83828413284132741</v>
      </c>
      <c r="H2226">
        <f t="shared" si="140"/>
        <v>0.83131534818362929</v>
      </c>
    </row>
    <row r="2227" spans="1:8" x14ac:dyDescent="0.25">
      <c r="A2227" t="str">
        <f t="shared" si="138"/>
        <v>Multihop,NSFnet,100</v>
      </c>
      <c r="B2227" t="s">
        <v>34</v>
      </c>
      <c r="C2227" t="s">
        <v>6</v>
      </c>
      <c r="D2227">
        <v>100</v>
      </c>
      <c r="E2227">
        <v>1082.251</v>
      </c>
      <c r="F2227">
        <f t="shared" si="137"/>
        <v>1084</v>
      </c>
      <c r="G2227">
        <f t="shared" si="139"/>
        <v>0.16134686346863686</v>
      </c>
      <c r="H2227">
        <f t="shared" si="140"/>
        <v>0.16160761228218071</v>
      </c>
    </row>
    <row r="2228" spans="1:8" x14ac:dyDescent="0.25">
      <c r="A2228" t="str">
        <f t="shared" si="138"/>
        <v>Multihop,NSFnet,100</v>
      </c>
      <c r="B2228" t="s">
        <v>34</v>
      </c>
      <c r="C2228" t="s">
        <v>6</v>
      </c>
      <c r="D2228">
        <v>100</v>
      </c>
      <c r="E2228">
        <v>1071.107</v>
      </c>
      <c r="F2228">
        <f t="shared" si="137"/>
        <v>1084</v>
      </c>
      <c r="G2228">
        <f t="shared" si="139"/>
        <v>1.189391143911442</v>
      </c>
      <c r="H2228">
        <f t="shared" si="140"/>
        <v>1.2037079395429242</v>
      </c>
    </row>
    <row r="2229" spans="1:8" x14ac:dyDescent="0.25">
      <c r="A2229" t="str">
        <f t="shared" si="138"/>
        <v>Multihop,NSFnet,100</v>
      </c>
      <c r="B2229" t="s">
        <v>34</v>
      </c>
      <c r="C2229" t="s">
        <v>6</v>
      </c>
      <c r="D2229">
        <v>100</v>
      </c>
      <c r="E2229">
        <v>1056.76</v>
      </c>
      <c r="F2229">
        <f t="shared" si="137"/>
        <v>1084</v>
      </c>
      <c r="G2229">
        <f t="shared" si="139"/>
        <v>2.5129151291512923</v>
      </c>
      <c r="H2229">
        <f t="shared" si="140"/>
        <v>2.5776902986487009</v>
      </c>
    </row>
    <row r="2230" spans="1:8" x14ac:dyDescent="0.25">
      <c r="A2230" t="str">
        <f t="shared" si="138"/>
        <v>Multihop,NSFnet,100</v>
      </c>
      <c r="B2230" t="s">
        <v>34</v>
      </c>
      <c r="C2230" t="s">
        <v>6</v>
      </c>
      <c r="D2230">
        <v>100</v>
      </c>
      <c r="E2230">
        <v>1056.4090000000001</v>
      </c>
      <c r="F2230">
        <f t="shared" si="137"/>
        <v>1084</v>
      </c>
      <c r="G2230">
        <f t="shared" si="139"/>
        <v>2.5452952029520195</v>
      </c>
      <c r="H2230">
        <f t="shared" si="140"/>
        <v>2.6117725237100302</v>
      </c>
    </row>
    <row r="2231" spans="1:8" x14ac:dyDescent="0.25">
      <c r="A2231" t="str">
        <f t="shared" si="138"/>
        <v>Multihop,NSFnet,100</v>
      </c>
      <c r="B2231" t="s">
        <v>34</v>
      </c>
      <c r="C2231" t="s">
        <v>6</v>
      </c>
      <c r="D2231">
        <v>100</v>
      </c>
      <c r="E2231">
        <v>1105.1120000000001</v>
      </c>
      <c r="F2231">
        <f t="shared" si="137"/>
        <v>1084</v>
      </c>
      <c r="G2231">
        <f t="shared" si="139"/>
        <v>1.9476014760147673</v>
      </c>
      <c r="H2231">
        <f t="shared" si="140"/>
        <v>1.9103946025380305</v>
      </c>
    </row>
    <row r="2232" spans="1:8" x14ac:dyDescent="0.25">
      <c r="A2232" t="str">
        <f t="shared" si="138"/>
        <v>Multihop,NSFnet,100</v>
      </c>
      <c r="B2232" t="s">
        <v>34</v>
      </c>
      <c r="C2232" t="s">
        <v>6</v>
      </c>
      <c r="D2232">
        <v>100</v>
      </c>
      <c r="E2232">
        <v>1064.576</v>
      </c>
      <c r="F2232">
        <f t="shared" si="137"/>
        <v>1084</v>
      </c>
      <c r="G2232">
        <f t="shared" si="139"/>
        <v>1.7918819188191861</v>
      </c>
      <c r="H2232">
        <f t="shared" si="140"/>
        <v>1.8245761692918097</v>
      </c>
    </row>
    <row r="2233" spans="1:8" x14ac:dyDescent="0.25">
      <c r="A2233" t="str">
        <f t="shared" si="138"/>
        <v>Multihop,NSFnet,100</v>
      </c>
      <c r="B2233" t="s">
        <v>34</v>
      </c>
      <c r="C2233" t="s">
        <v>6</v>
      </c>
      <c r="D2233">
        <v>100</v>
      </c>
      <c r="E2233">
        <v>1125.893</v>
      </c>
      <c r="F2233">
        <f t="shared" si="137"/>
        <v>1084</v>
      </c>
      <c r="G2233">
        <f t="shared" si="139"/>
        <v>3.8646678966789692</v>
      </c>
      <c r="H2233">
        <f t="shared" si="140"/>
        <v>3.7208686793505268</v>
      </c>
    </row>
    <row r="2234" spans="1:8" x14ac:dyDescent="0.25">
      <c r="A2234" t="str">
        <f t="shared" si="138"/>
        <v>Multihop,NSFnet,100</v>
      </c>
      <c r="B2234" t="s">
        <v>34</v>
      </c>
      <c r="C2234" t="s">
        <v>6</v>
      </c>
      <c r="D2234">
        <v>100</v>
      </c>
      <c r="E2234">
        <v>1010.329</v>
      </c>
      <c r="F2234">
        <f t="shared" si="137"/>
        <v>1084</v>
      </c>
      <c r="G2234">
        <f t="shared" si="139"/>
        <v>6.7962177121771257</v>
      </c>
      <c r="H2234">
        <f t="shared" si="140"/>
        <v>7.291783171620339</v>
      </c>
    </row>
    <row r="2235" spans="1:8" x14ac:dyDescent="0.25">
      <c r="A2235" t="str">
        <f t="shared" si="138"/>
        <v>Multihop,NSFnet,100</v>
      </c>
      <c r="B2235" t="s">
        <v>34</v>
      </c>
      <c r="C2235" t="s">
        <v>6</v>
      </c>
      <c r="D2235">
        <v>100</v>
      </c>
      <c r="E2235">
        <v>1042.537</v>
      </c>
      <c r="F2235">
        <f t="shared" si="137"/>
        <v>1084</v>
      </c>
      <c r="G2235">
        <f t="shared" si="139"/>
        <v>3.8249999999999971</v>
      </c>
      <c r="H2235">
        <f t="shared" si="140"/>
        <v>3.977125032492848</v>
      </c>
    </row>
    <row r="2236" spans="1:8" x14ac:dyDescent="0.25">
      <c r="A2236" t="str">
        <f t="shared" si="138"/>
        <v>Multihop,NSFnet,100</v>
      </c>
      <c r="B2236" t="s">
        <v>34</v>
      </c>
      <c r="C2236" t="s">
        <v>6</v>
      </c>
      <c r="D2236">
        <v>100</v>
      </c>
      <c r="E2236">
        <v>1102.3599999999999</v>
      </c>
      <c r="F2236">
        <f t="shared" si="137"/>
        <v>1084</v>
      </c>
      <c r="G2236">
        <f t="shared" si="139"/>
        <v>1.6937269372693635</v>
      </c>
      <c r="H2236">
        <f t="shared" si="140"/>
        <v>1.6655176167495103</v>
      </c>
    </row>
    <row r="2237" spans="1:8" x14ac:dyDescent="0.25">
      <c r="A2237" t="str">
        <f t="shared" si="138"/>
        <v>Multihop,NSFnet,100</v>
      </c>
      <c r="B2237" t="s">
        <v>34</v>
      </c>
      <c r="C2237" t="s">
        <v>6</v>
      </c>
      <c r="D2237">
        <v>100</v>
      </c>
      <c r="E2237">
        <v>1044.0229999999999</v>
      </c>
      <c r="F2237">
        <f t="shared" si="137"/>
        <v>1084</v>
      </c>
      <c r="G2237">
        <f t="shared" si="139"/>
        <v>3.6879151291513002</v>
      </c>
      <c r="H2237">
        <f t="shared" si="140"/>
        <v>3.8291302011545811</v>
      </c>
    </row>
    <row r="2238" spans="1:8" x14ac:dyDescent="0.25">
      <c r="A2238" t="str">
        <f t="shared" si="138"/>
        <v>Multihop,NSFnet,100</v>
      </c>
      <c r="B2238" t="s">
        <v>34</v>
      </c>
      <c r="C2238" t="s">
        <v>6</v>
      </c>
      <c r="D2238">
        <v>100</v>
      </c>
      <c r="E2238">
        <v>1065.818</v>
      </c>
      <c r="F2238">
        <f t="shared" si="137"/>
        <v>1084</v>
      </c>
      <c r="G2238">
        <f t="shared" si="139"/>
        <v>1.6773062730627322</v>
      </c>
      <c r="H2238">
        <f t="shared" si="140"/>
        <v>1.7059197724189326</v>
      </c>
    </row>
    <row r="2239" spans="1:8" x14ac:dyDescent="0.25">
      <c r="A2239" t="str">
        <f t="shared" si="138"/>
        <v>Multihop,NSFnet,100</v>
      </c>
      <c r="B2239" t="s">
        <v>34</v>
      </c>
      <c r="C2239" t="s">
        <v>6</v>
      </c>
      <c r="D2239">
        <v>100</v>
      </c>
      <c r="E2239">
        <v>1070.9390000000001</v>
      </c>
      <c r="F2239">
        <f t="shared" si="137"/>
        <v>1084</v>
      </c>
      <c r="G2239">
        <f t="shared" si="139"/>
        <v>1.2048892988929816</v>
      </c>
      <c r="H2239">
        <f t="shared" si="140"/>
        <v>1.2195839352194588</v>
      </c>
    </row>
    <row r="2240" spans="1:8" x14ac:dyDescent="0.25">
      <c r="A2240" t="str">
        <f t="shared" si="138"/>
        <v>Multihop,NSFnet,100</v>
      </c>
      <c r="B2240" t="s">
        <v>34</v>
      </c>
      <c r="C2240" t="s">
        <v>6</v>
      </c>
      <c r="D2240">
        <v>100</v>
      </c>
      <c r="E2240">
        <v>1054.4159999999999</v>
      </c>
      <c r="F2240">
        <f t="shared" si="137"/>
        <v>1084</v>
      </c>
      <c r="G2240">
        <f t="shared" si="139"/>
        <v>2.7291512915129204</v>
      </c>
      <c r="H2240">
        <f t="shared" si="140"/>
        <v>2.8057237371208386</v>
      </c>
    </row>
    <row r="2241" spans="1:8" x14ac:dyDescent="0.25">
      <c r="A2241" t="str">
        <f t="shared" si="138"/>
        <v>Multihop,NSFnet,100</v>
      </c>
      <c r="B2241" t="s">
        <v>34</v>
      </c>
      <c r="C2241" t="s">
        <v>6</v>
      </c>
      <c r="D2241">
        <v>100</v>
      </c>
      <c r="E2241">
        <v>981.91800000000001</v>
      </c>
      <c r="F2241">
        <f t="shared" si="137"/>
        <v>1084</v>
      </c>
      <c r="G2241">
        <f t="shared" si="139"/>
        <v>9.4171586715867157</v>
      </c>
      <c r="H2241">
        <f t="shared" si="140"/>
        <v>10.396183795388209</v>
      </c>
    </row>
    <row r="2242" spans="1:8" x14ac:dyDescent="0.25">
      <c r="A2242" t="str">
        <f t="shared" si="138"/>
        <v>Multihop,NSFnet,100</v>
      </c>
      <c r="B2242" t="s">
        <v>34</v>
      </c>
      <c r="C2242" t="s">
        <v>6</v>
      </c>
      <c r="D2242">
        <v>100</v>
      </c>
      <c r="E2242">
        <v>1098.384</v>
      </c>
      <c r="F2242">
        <f t="shared" si="137"/>
        <v>1084</v>
      </c>
      <c r="G2242">
        <f t="shared" si="139"/>
        <v>1.3269372693726951</v>
      </c>
      <c r="H2242">
        <f t="shared" si="140"/>
        <v>1.3095602266602584</v>
      </c>
    </row>
    <row r="2243" spans="1:8" x14ac:dyDescent="0.25">
      <c r="A2243" t="str">
        <f t="shared" si="138"/>
        <v>Multihop,NSFnet,100</v>
      </c>
      <c r="B2243" t="s">
        <v>34</v>
      </c>
      <c r="C2243" t="s">
        <v>6</v>
      </c>
      <c r="D2243">
        <v>100</v>
      </c>
      <c r="E2243">
        <v>1091.1379999999999</v>
      </c>
      <c r="F2243">
        <f t="shared" ref="F2243:F2306" si="141">_xlfn.XLOOKUP(A2243,$J$3:$J$36,$N$3:$N$36)</f>
        <v>1084</v>
      </c>
      <c r="G2243">
        <f t="shared" si="139"/>
        <v>0.65848708487084129</v>
      </c>
      <c r="H2243">
        <f t="shared" si="140"/>
        <v>0.65417939802297431</v>
      </c>
    </row>
    <row r="2244" spans="1:8" x14ac:dyDescent="0.25">
      <c r="A2244" t="str">
        <f t="shared" ref="A2244:A2307" si="142">B2244&amp;","&amp;C2244&amp;","&amp;D2244</f>
        <v>Multihop,NSFnet,100</v>
      </c>
      <c r="B2244" t="s">
        <v>34</v>
      </c>
      <c r="C2244" t="s">
        <v>6</v>
      </c>
      <c r="D2244">
        <v>100</v>
      </c>
      <c r="E2244">
        <v>1035.6869999999999</v>
      </c>
      <c r="F2244">
        <f t="shared" si="141"/>
        <v>1084</v>
      </c>
      <c r="G2244">
        <f t="shared" ref="G2244:G2307" si="143">ABS((E2244-F2244)/F2244)*100</f>
        <v>4.4569188191882017</v>
      </c>
      <c r="H2244">
        <f t="shared" ref="H2244:H2307" si="144">ABS((F2244-E2244)/E2244)*100</f>
        <v>4.6648263423215806</v>
      </c>
    </row>
    <row r="2245" spans="1:8" x14ac:dyDescent="0.25">
      <c r="A2245" t="str">
        <f t="shared" si="142"/>
        <v>Multihop,NSFnet,100</v>
      </c>
      <c r="B2245" t="s">
        <v>34</v>
      </c>
      <c r="C2245" t="s">
        <v>6</v>
      </c>
      <c r="D2245">
        <v>100</v>
      </c>
      <c r="E2245">
        <v>1021.827</v>
      </c>
      <c r="F2245">
        <f t="shared" si="141"/>
        <v>1084</v>
      </c>
      <c r="G2245">
        <f t="shared" si="143"/>
        <v>5.7355166051660511</v>
      </c>
      <c r="H2245">
        <f t="shared" si="144"/>
        <v>6.0844937548136819</v>
      </c>
    </row>
    <row r="2246" spans="1:8" x14ac:dyDescent="0.25">
      <c r="A2246" t="str">
        <f t="shared" si="142"/>
        <v>Multihop,NSFnet,100</v>
      </c>
      <c r="B2246" t="s">
        <v>34</v>
      </c>
      <c r="C2246" t="s">
        <v>6</v>
      </c>
      <c r="D2246">
        <v>100</v>
      </c>
      <c r="E2246">
        <v>1101.0229999999999</v>
      </c>
      <c r="F2246">
        <f t="shared" si="141"/>
        <v>1084</v>
      </c>
      <c r="G2246">
        <f t="shared" si="143"/>
        <v>1.5703874538745306</v>
      </c>
      <c r="H2246">
        <f t="shared" si="144"/>
        <v>1.5461075745011605</v>
      </c>
    </row>
    <row r="2247" spans="1:8" x14ac:dyDescent="0.25">
      <c r="A2247" t="str">
        <f t="shared" si="142"/>
        <v>Multihop,NSFnet,100</v>
      </c>
      <c r="B2247" t="s">
        <v>34</v>
      </c>
      <c r="C2247" t="s">
        <v>6</v>
      </c>
      <c r="D2247">
        <v>100</v>
      </c>
      <c r="E2247">
        <v>1048.499</v>
      </c>
      <c r="F2247">
        <f t="shared" si="141"/>
        <v>1084</v>
      </c>
      <c r="G2247">
        <f t="shared" si="143"/>
        <v>3.2749999999999981</v>
      </c>
      <c r="H2247">
        <f t="shared" si="144"/>
        <v>3.3858878263117056</v>
      </c>
    </row>
    <row r="2248" spans="1:8" x14ac:dyDescent="0.25">
      <c r="A2248" t="str">
        <f t="shared" si="142"/>
        <v>Multihop,NSFnet,100</v>
      </c>
      <c r="B2248" t="s">
        <v>34</v>
      </c>
      <c r="C2248" t="s">
        <v>6</v>
      </c>
      <c r="D2248">
        <v>100</v>
      </c>
      <c r="E2248">
        <v>1051.3710000000001</v>
      </c>
      <c r="F2248">
        <f t="shared" si="141"/>
        <v>1084</v>
      </c>
      <c r="G2248">
        <f t="shared" si="143"/>
        <v>3.0100553505534968</v>
      </c>
      <c r="H2248">
        <f t="shared" si="144"/>
        <v>3.1034715623695064</v>
      </c>
    </row>
    <row r="2249" spans="1:8" x14ac:dyDescent="0.25">
      <c r="A2249" t="str">
        <f t="shared" si="142"/>
        <v>Multihop,NSFnet,100</v>
      </c>
      <c r="B2249" t="s">
        <v>34</v>
      </c>
      <c r="C2249" t="s">
        <v>6</v>
      </c>
      <c r="D2249">
        <v>100</v>
      </c>
      <c r="E2249">
        <v>1106.203</v>
      </c>
      <c r="F2249">
        <f t="shared" si="141"/>
        <v>1084</v>
      </c>
      <c r="G2249">
        <f t="shared" si="143"/>
        <v>2.0482472324723222</v>
      </c>
      <c r="H2249">
        <f t="shared" si="144"/>
        <v>2.0071361223934465</v>
      </c>
    </row>
    <row r="2250" spans="1:8" x14ac:dyDescent="0.25">
      <c r="A2250" t="str">
        <f t="shared" si="142"/>
        <v>Multihop,NSFnet,100</v>
      </c>
      <c r="B2250" t="s">
        <v>34</v>
      </c>
      <c r="C2250" t="s">
        <v>6</v>
      </c>
      <c r="D2250">
        <v>100</v>
      </c>
      <c r="E2250">
        <v>1121.039</v>
      </c>
      <c r="F2250">
        <f t="shared" si="141"/>
        <v>1084</v>
      </c>
      <c r="G2250">
        <f t="shared" si="143"/>
        <v>3.416881918819187</v>
      </c>
      <c r="H2250">
        <f t="shared" si="144"/>
        <v>3.3039885320671258</v>
      </c>
    </row>
    <row r="2251" spans="1:8" x14ac:dyDescent="0.25">
      <c r="A2251" t="str">
        <f t="shared" si="142"/>
        <v>Multihop,NSFnet,100</v>
      </c>
      <c r="B2251" t="s">
        <v>34</v>
      </c>
      <c r="C2251" t="s">
        <v>6</v>
      </c>
      <c r="D2251">
        <v>100</v>
      </c>
      <c r="E2251">
        <v>1059.2070000000001</v>
      </c>
      <c r="F2251">
        <f t="shared" si="141"/>
        <v>1084</v>
      </c>
      <c r="G2251">
        <f t="shared" si="143"/>
        <v>2.2871771217712076</v>
      </c>
      <c r="H2251">
        <f t="shared" si="144"/>
        <v>2.3407133827476492</v>
      </c>
    </row>
    <row r="2252" spans="1:8" x14ac:dyDescent="0.25">
      <c r="A2252" t="str">
        <f t="shared" si="142"/>
        <v>Multihop,NSFnet,100</v>
      </c>
      <c r="B2252" t="s">
        <v>34</v>
      </c>
      <c r="C2252" t="s">
        <v>6</v>
      </c>
      <c r="D2252">
        <v>100</v>
      </c>
      <c r="E2252">
        <v>1079.6769999999999</v>
      </c>
      <c r="F2252">
        <f t="shared" si="141"/>
        <v>1084</v>
      </c>
      <c r="G2252">
        <f t="shared" si="143"/>
        <v>0.39880073800738863</v>
      </c>
      <c r="H2252">
        <f t="shared" si="144"/>
        <v>0.4003975262972253</v>
      </c>
    </row>
    <row r="2253" spans="1:8" x14ac:dyDescent="0.25">
      <c r="A2253" t="str">
        <f t="shared" si="142"/>
        <v>Multihop,NSFnet,100</v>
      </c>
      <c r="B2253" t="s">
        <v>34</v>
      </c>
      <c r="C2253" t="s">
        <v>6</v>
      </c>
      <c r="D2253">
        <v>100</v>
      </c>
      <c r="E2253">
        <v>1022.476</v>
      </c>
      <c r="F2253">
        <f t="shared" si="141"/>
        <v>1084</v>
      </c>
      <c r="G2253">
        <f t="shared" si="143"/>
        <v>5.6756457564575644</v>
      </c>
      <c r="H2253">
        <f t="shared" si="144"/>
        <v>6.0171583489490219</v>
      </c>
    </row>
    <row r="2254" spans="1:8" x14ac:dyDescent="0.25">
      <c r="A2254" t="str">
        <f t="shared" si="142"/>
        <v>Multihop,NSFnet,100</v>
      </c>
      <c r="B2254" t="s">
        <v>34</v>
      </c>
      <c r="C2254" t="s">
        <v>6</v>
      </c>
      <c r="D2254">
        <v>100</v>
      </c>
      <c r="E2254">
        <v>1010.413</v>
      </c>
      <c r="F2254">
        <f t="shared" si="141"/>
        <v>1084</v>
      </c>
      <c r="G2254">
        <f t="shared" si="143"/>
        <v>6.7884686346863452</v>
      </c>
      <c r="H2254">
        <f t="shared" si="144"/>
        <v>7.2828635419378003</v>
      </c>
    </row>
    <row r="2255" spans="1:8" x14ac:dyDescent="0.25">
      <c r="A2255" t="str">
        <f t="shared" si="142"/>
        <v>Multihop,NSFnet,100</v>
      </c>
      <c r="B2255" t="s">
        <v>34</v>
      </c>
      <c r="C2255" t="s">
        <v>6</v>
      </c>
      <c r="D2255">
        <v>100</v>
      </c>
      <c r="E2255">
        <v>1040.6600000000001</v>
      </c>
      <c r="F2255">
        <f t="shared" si="141"/>
        <v>1084</v>
      </c>
      <c r="G2255">
        <f t="shared" si="143"/>
        <v>3.9981549815498076</v>
      </c>
      <c r="H2255">
        <f t="shared" si="144"/>
        <v>4.1646647319969938</v>
      </c>
    </row>
    <row r="2256" spans="1:8" x14ac:dyDescent="0.25">
      <c r="A2256" t="str">
        <f t="shared" si="142"/>
        <v>Multihop,NSFnet,100</v>
      </c>
      <c r="B2256" t="s">
        <v>34</v>
      </c>
      <c r="C2256" t="s">
        <v>6</v>
      </c>
      <c r="D2256">
        <v>100</v>
      </c>
      <c r="E2256">
        <v>1025.4760000000001</v>
      </c>
      <c r="F2256">
        <f t="shared" si="141"/>
        <v>1084</v>
      </c>
      <c r="G2256">
        <f t="shared" si="143"/>
        <v>5.3988929889298793</v>
      </c>
      <c r="H2256">
        <f t="shared" si="144"/>
        <v>5.7070082576286412</v>
      </c>
    </row>
    <row r="2257" spans="1:8" x14ac:dyDescent="0.25">
      <c r="A2257" t="str">
        <f t="shared" si="142"/>
        <v>Multihop,NSFnet,100</v>
      </c>
      <c r="B2257" t="s">
        <v>34</v>
      </c>
      <c r="C2257" t="s">
        <v>6</v>
      </c>
      <c r="D2257">
        <v>100</v>
      </c>
      <c r="E2257">
        <v>1087.9949999999999</v>
      </c>
      <c r="F2257">
        <f t="shared" si="141"/>
        <v>1084</v>
      </c>
      <c r="G2257">
        <f t="shared" si="143"/>
        <v>0.36854243542434417</v>
      </c>
      <c r="H2257">
        <f t="shared" si="144"/>
        <v>0.36718918745029999</v>
      </c>
    </row>
    <row r="2258" spans="1:8" x14ac:dyDescent="0.25">
      <c r="A2258" t="str">
        <f t="shared" si="142"/>
        <v>Multihop,NSFnet,100</v>
      </c>
      <c r="B2258" t="s">
        <v>34</v>
      </c>
      <c r="C2258" t="s">
        <v>6</v>
      </c>
      <c r="D2258">
        <v>100</v>
      </c>
      <c r="E2258">
        <v>1063.0519999999999</v>
      </c>
      <c r="F2258">
        <f t="shared" si="141"/>
        <v>1084</v>
      </c>
      <c r="G2258">
        <f t="shared" si="143"/>
        <v>1.932472324723256</v>
      </c>
      <c r="H2258">
        <f t="shared" si="144"/>
        <v>1.9705527104977079</v>
      </c>
    </row>
    <row r="2259" spans="1:8" x14ac:dyDescent="0.25">
      <c r="A2259" t="str">
        <f t="shared" si="142"/>
        <v>Multihop,NSFnet,100</v>
      </c>
      <c r="B2259" t="s">
        <v>34</v>
      </c>
      <c r="C2259" t="s">
        <v>6</v>
      </c>
      <c r="D2259">
        <v>100</v>
      </c>
      <c r="E2259">
        <v>1111.098</v>
      </c>
      <c r="F2259">
        <f t="shared" si="141"/>
        <v>1084</v>
      </c>
      <c r="G2259">
        <f t="shared" si="143"/>
        <v>2.4998154981549772</v>
      </c>
      <c r="H2259">
        <f t="shared" si="144"/>
        <v>2.4388487784155815</v>
      </c>
    </row>
    <row r="2260" spans="1:8" x14ac:dyDescent="0.25">
      <c r="A2260" t="str">
        <f t="shared" si="142"/>
        <v>Multihop,NSFnet,100</v>
      </c>
      <c r="B2260" t="s">
        <v>34</v>
      </c>
      <c r="C2260" t="s">
        <v>6</v>
      </c>
      <c r="D2260">
        <v>100</v>
      </c>
      <c r="E2260">
        <v>1084.7190000000001</v>
      </c>
      <c r="F2260">
        <f t="shared" si="141"/>
        <v>1084</v>
      </c>
      <c r="G2260">
        <f t="shared" si="143"/>
        <v>6.6328413284137536E-2</v>
      </c>
      <c r="H2260">
        <f t="shared" si="144"/>
        <v>6.6284447861616774E-2</v>
      </c>
    </row>
    <row r="2261" spans="1:8" x14ac:dyDescent="0.25">
      <c r="A2261" t="str">
        <f t="shared" si="142"/>
        <v>Multihop,NSFnet,100</v>
      </c>
      <c r="B2261" t="s">
        <v>34</v>
      </c>
      <c r="C2261" t="s">
        <v>6</v>
      </c>
      <c r="D2261">
        <v>100</v>
      </c>
      <c r="E2261">
        <v>1039.675</v>
      </c>
      <c r="F2261">
        <f t="shared" si="141"/>
        <v>1084</v>
      </c>
      <c r="G2261">
        <f t="shared" si="143"/>
        <v>4.0890221402214069</v>
      </c>
      <c r="H2261">
        <f t="shared" si="144"/>
        <v>4.2633515281217731</v>
      </c>
    </row>
    <row r="2262" spans="1:8" x14ac:dyDescent="0.25">
      <c r="A2262" t="str">
        <f t="shared" si="142"/>
        <v>Multihop,NSFnet,100</v>
      </c>
      <c r="B2262" t="s">
        <v>34</v>
      </c>
      <c r="C2262" t="s">
        <v>6</v>
      </c>
      <c r="D2262">
        <v>100</v>
      </c>
      <c r="E2262">
        <v>1119.0909999999999</v>
      </c>
      <c r="F2262">
        <f t="shared" si="141"/>
        <v>1084</v>
      </c>
      <c r="G2262">
        <f t="shared" si="143"/>
        <v>3.2371771217712078</v>
      </c>
      <c r="H2262">
        <f t="shared" si="144"/>
        <v>3.1356699321145376</v>
      </c>
    </row>
    <row r="2263" spans="1:8" x14ac:dyDescent="0.25">
      <c r="A2263" t="str">
        <f t="shared" si="142"/>
        <v>Multihop,NSFnet,100</v>
      </c>
      <c r="B2263" t="s">
        <v>34</v>
      </c>
      <c r="C2263" t="s">
        <v>6</v>
      </c>
      <c r="D2263">
        <v>100</v>
      </c>
      <c r="E2263">
        <v>1075.925</v>
      </c>
      <c r="F2263">
        <f t="shared" si="141"/>
        <v>1084</v>
      </c>
      <c r="G2263">
        <f t="shared" si="143"/>
        <v>0.74492619926199688</v>
      </c>
      <c r="H2263">
        <f t="shared" si="144"/>
        <v>0.75051699700258345</v>
      </c>
    </row>
    <row r="2264" spans="1:8" x14ac:dyDescent="0.25">
      <c r="A2264" t="str">
        <f t="shared" si="142"/>
        <v>Multihop,NSFnet,100</v>
      </c>
      <c r="B2264" t="s">
        <v>34</v>
      </c>
      <c r="C2264" t="s">
        <v>6</v>
      </c>
      <c r="D2264">
        <v>100</v>
      </c>
      <c r="E2264">
        <v>1060.2560000000001</v>
      </c>
      <c r="F2264">
        <f t="shared" si="141"/>
        <v>1084</v>
      </c>
      <c r="G2264">
        <f t="shared" si="143"/>
        <v>2.1904059040590327</v>
      </c>
      <c r="H2264">
        <f t="shared" si="144"/>
        <v>2.2394591494884168</v>
      </c>
    </row>
    <row r="2265" spans="1:8" x14ac:dyDescent="0.25">
      <c r="A2265" t="str">
        <f t="shared" si="142"/>
        <v>Multihop,NSFnet,100</v>
      </c>
      <c r="B2265" t="s">
        <v>34</v>
      </c>
      <c r="C2265" t="s">
        <v>6</v>
      </c>
      <c r="D2265">
        <v>100</v>
      </c>
      <c r="E2265">
        <v>996.23699999999997</v>
      </c>
      <c r="F2265">
        <f t="shared" si="141"/>
        <v>1084</v>
      </c>
      <c r="G2265">
        <f t="shared" si="143"/>
        <v>8.0962177121771237</v>
      </c>
      <c r="H2265">
        <f t="shared" si="144"/>
        <v>8.8094499602002365</v>
      </c>
    </row>
    <row r="2266" spans="1:8" x14ac:dyDescent="0.25">
      <c r="A2266" t="str">
        <f t="shared" si="142"/>
        <v>Multihop,NSFnet,100</v>
      </c>
      <c r="B2266" t="s">
        <v>34</v>
      </c>
      <c r="C2266" t="s">
        <v>6</v>
      </c>
      <c r="D2266">
        <v>100</v>
      </c>
      <c r="E2266">
        <v>1047.5170000000001</v>
      </c>
      <c r="F2266">
        <f t="shared" si="141"/>
        <v>1084</v>
      </c>
      <c r="G2266">
        <f t="shared" si="143"/>
        <v>3.3655904059040544</v>
      </c>
      <c r="H2266">
        <f t="shared" si="144"/>
        <v>3.4828074389246138</v>
      </c>
    </row>
    <row r="2267" spans="1:8" x14ac:dyDescent="0.25">
      <c r="A2267" t="str">
        <f t="shared" si="142"/>
        <v>Multihop,NSFnet,100</v>
      </c>
      <c r="B2267" t="s">
        <v>34</v>
      </c>
      <c r="C2267" t="s">
        <v>6</v>
      </c>
      <c r="D2267">
        <v>100</v>
      </c>
      <c r="E2267">
        <v>1087.31</v>
      </c>
      <c r="F2267">
        <f t="shared" si="141"/>
        <v>1084</v>
      </c>
      <c r="G2267">
        <f t="shared" si="143"/>
        <v>0.30535055350553003</v>
      </c>
      <c r="H2267">
        <f t="shared" si="144"/>
        <v>0.30442100229005026</v>
      </c>
    </row>
    <row r="2268" spans="1:8" x14ac:dyDescent="0.25">
      <c r="A2268" t="str">
        <f t="shared" si="142"/>
        <v>Multihop,NSFnet,100</v>
      </c>
      <c r="B2268" t="s">
        <v>34</v>
      </c>
      <c r="C2268" t="s">
        <v>6</v>
      </c>
      <c r="D2268">
        <v>100</v>
      </c>
      <c r="E2268">
        <v>1054.4690000000001</v>
      </c>
      <c r="F2268">
        <f t="shared" si="141"/>
        <v>1084</v>
      </c>
      <c r="G2268">
        <f t="shared" si="143"/>
        <v>2.7242619926199212</v>
      </c>
      <c r="H2268">
        <f t="shared" si="144"/>
        <v>2.8005564886212824</v>
      </c>
    </row>
    <row r="2269" spans="1:8" x14ac:dyDescent="0.25">
      <c r="A2269" t="str">
        <f t="shared" si="142"/>
        <v>Multihop,NSFnet,100</v>
      </c>
      <c r="B2269" t="s">
        <v>34</v>
      </c>
      <c r="C2269" t="s">
        <v>6</v>
      </c>
      <c r="D2269">
        <v>100</v>
      </c>
      <c r="E2269">
        <v>1036.5409999999999</v>
      </c>
      <c r="F2269">
        <f t="shared" si="141"/>
        <v>1084</v>
      </c>
      <c r="G2269">
        <f t="shared" si="143"/>
        <v>4.3781365313653193</v>
      </c>
      <c r="H2269">
        <f t="shared" si="144"/>
        <v>4.5785936108653749</v>
      </c>
    </row>
    <row r="2270" spans="1:8" x14ac:dyDescent="0.25">
      <c r="A2270" t="str">
        <f t="shared" si="142"/>
        <v>Multihop,NSFnet,100</v>
      </c>
      <c r="B2270" t="s">
        <v>34</v>
      </c>
      <c r="C2270" t="s">
        <v>6</v>
      </c>
      <c r="D2270">
        <v>100</v>
      </c>
      <c r="E2270">
        <v>1064.355</v>
      </c>
      <c r="F2270">
        <f t="shared" si="141"/>
        <v>1084</v>
      </c>
      <c r="G2270">
        <f t="shared" si="143"/>
        <v>1.8122693726937251</v>
      </c>
      <c r="H2270">
        <f t="shared" si="144"/>
        <v>1.8457187686439187</v>
      </c>
    </row>
    <row r="2271" spans="1:8" x14ac:dyDescent="0.25">
      <c r="A2271" t="str">
        <f t="shared" si="142"/>
        <v>Multihop,NSFnet,100</v>
      </c>
      <c r="B2271" t="s">
        <v>34</v>
      </c>
      <c r="C2271" t="s">
        <v>6</v>
      </c>
      <c r="D2271">
        <v>100</v>
      </c>
      <c r="E2271">
        <v>1005.522</v>
      </c>
      <c r="F2271">
        <f t="shared" si="141"/>
        <v>1084</v>
      </c>
      <c r="G2271">
        <f t="shared" si="143"/>
        <v>7.2396678966789629</v>
      </c>
      <c r="H2271">
        <f t="shared" si="144"/>
        <v>7.8047024331640626</v>
      </c>
    </row>
    <row r="2272" spans="1:8" x14ac:dyDescent="0.25">
      <c r="A2272" t="str">
        <f t="shared" si="142"/>
        <v>Multihop,NSFnet,100</v>
      </c>
      <c r="B2272" t="s">
        <v>34</v>
      </c>
      <c r="C2272" t="s">
        <v>6</v>
      </c>
      <c r="D2272">
        <v>100</v>
      </c>
      <c r="E2272">
        <v>1015.438</v>
      </c>
      <c r="F2272">
        <f t="shared" si="141"/>
        <v>1084</v>
      </c>
      <c r="G2272">
        <f t="shared" si="143"/>
        <v>6.3249077490774921</v>
      </c>
      <c r="H2272">
        <f t="shared" si="144"/>
        <v>6.7519631922382279</v>
      </c>
    </row>
    <row r="2273" spans="1:8" x14ac:dyDescent="0.25">
      <c r="A2273" t="str">
        <f t="shared" si="142"/>
        <v>Multihop,NSFnet,100</v>
      </c>
      <c r="B2273" t="s">
        <v>34</v>
      </c>
      <c r="C2273" t="s">
        <v>6</v>
      </c>
      <c r="D2273">
        <v>100</v>
      </c>
      <c r="E2273">
        <v>1106.3209999999999</v>
      </c>
      <c r="F2273">
        <f t="shared" si="141"/>
        <v>1084</v>
      </c>
      <c r="G2273">
        <f t="shared" si="143"/>
        <v>2.0591328413284051</v>
      </c>
      <c r="H2273">
        <f t="shared" si="144"/>
        <v>2.0175880237290911</v>
      </c>
    </row>
    <row r="2274" spans="1:8" x14ac:dyDescent="0.25">
      <c r="A2274" t="str">
        <f t="shared" si="142"/>
        <v>Multihop,NSFnet,100</v>
      </c>
      <c r="B2274" t="s">
        <v>34</v>
      </c>
      <c r="C2274" t="s">
        <v>6</v>
      </c>
      <c r="D2274">
        <v>100</v>
      </c>
      <c r="E2274">
        <v>1042.3779999999999</v>
      </c>
      <c r="F2274">
        <f t="shared" si="141"/>
        <v>1084</v>
      </c>
      <c r="G2274">
        <f t="shared" si="143"/>
        <v>3.8396678966789737</v>
      </c>
      <c r="H2274">
        <f t="shared" si="144"/>
        <v>3.9929852702186803</v>
      </c>
    </row>
    <row r="2275" spans="1:8" x14ac:dyDescent="0.25">
      <c r="A2275" t="str">
        <f t="shared" si="142"/>
        <v>Multihop,NSFnet,100</v>
      </c>
      <c r="B2275" t="s">
        <v>34</v>
      </c>
      <c r="C2275" t="s">
        <v>6</v>
      </c>
      <c r="D2275">
        <v>100</v>
      </c>
      <c r="E2275">
        <v>1039.51</v>
      </c>
      <c r="F2275">
        <f t="shared" si="141"/>
        <v>1084</v>
      </c>
      <c r="G2275">
        <f t="shared" si="143"/>
        <v>4.1042435424354258</v>
      </c>
      <c r="H2275">
        <f t="shared" si="144"/>
        <v>4.2799011072524564</v>
      </c>
    </row>
    <row r="2276" spans="1:8" x14ac:dyDescent="0.25">
      <c r="A2276" t="str">
        <f t="shared" si="142"/>
        <v>Multihop,NSFnet,100</v>
      </c>
      <c r="B2276" t="s">
        <v>34</v>
      </c>
      <c r="C2276" t="s">
        <v>6</v>
      </c>
      <c r="D2276">
        <v>100</v>
      </c>
      <c r="E2276">
        <v>1073.5640000000001</v>
      </c>
      <c r="F2276">
        <f t="shared" si="141"/>
        <v>1084</v>
      </c>
      <c r="G2276">
        <f t="shared" si="143"/>
        <v>0.9627306273062658</v>
      </c>
      <c r="H2276">
        <f t="shared" si="144"/>
        <v>0.97208922802924858</v>
      </c>
    </row>
    <row r="2277" spans="1:8" x14ac:dyDescent="0.25">
      <c r="A2277" t="str">
        <f t="shared" si="142"/>
        <v>Multihop,NSFnet,100</v>
      </c>
      <c r="B2277" t="s">
        <v>34</v>
      </c>
      <c r="C2277" t="s">
        <v>6</v>
      </c>
      <c r="D2277">
        <v>100</v>
      </c>
      <c r="E2277">
        <v>1038.5519999999999</v>
      </c>
      <c r="F2277">
        <f t="shared" si="141"/>
        <v>1084</v>
      </c>
      <c r="G2277">
        <f t="shared" si="143"/>
        <v>4.1926199261992707</v>
      </c>
      <c r="H2277">
        <f t="shared" si="144"/>
        <v>4.376092867762047</v>
      </c>
    </row>
    <row r="2278" spans="1:8" x14ac:dyDescent="0.25">
      <c r="A2278" t="str">
        <f t="shared" si="142"/>
        <v>Multihop,NSFnet,100</v>
      </c>
      <c r="B2278" t="s">
        <v>34</v>
      </c>
      <c r="C2278" t="s">
        <v>6</v>
      </c>
      <c r="D2278">
        <v>100</v>
      </c>
      <c r="E2278">
        <v>1076.634</v>
      </c>
      <c r="F2278">
        <f t="shared" si="141"/>
        <v>1084</v>
      </c>
      <c r="G2278">
        <f t="shared" si="143"/>
        <v>0.67952029520295065</v>
      </c>
      <c r="H2278">
        <f t="shared" si="144"/>
        <v>0.68416936489094582</v>
      </c>
    </row>
    <row r="2279" spans="1:8" x14ac:dyDescent="0.25">
      <c r="A2279" t="str">
        <f t="shared" si="142"/>
        <v>Multihop,NSFnet,100</v>
      </c>
      <c r="B2279" t="s">
        <v>34</v>
      </c>
      <c r="C2279" t="s">
        <v>6</v>
      </c>
      <c r="D2279">
        <v>100</v>
      </c>
      <c r="E2279">
        <v>1050.289</v>
      </c>
      <c r="F2279">
        <f t="shared" si="141"/>
        <v>1084</v>
      </c>
      <c r="G2279">
        <f t="shared" si="143"/>
        <v>3.1098708487084883</v>
      </c>
      <c r="H2279">
        <f t="shared" si="144"/>
        <v>3.2096880001599568</v>
      </c>
    </row>
    <row r="2280" spans="1:8" x14ac:dyDescent="0.25">
      <c r="A2280" t="str">
        <f t="shared" si="142"/>
        <v>Multihop,NSFnet,100</v>
      </c>
      <c r="B2280" t="s">
        <v>34</v>
      </c>
      <c r="C2280" t="s">
        <v>6</v>
      </c>
      <c r="D2280">
        <v>100</v>
      </c>
      <c r="E2280">
        <v>1071.5889999999999</v>
      </c>
      <c r="F2280">
        <f t="shared" si="141"/>
        <v>1084</v>
      </c>
      <c r="G2280">
        <f t="shared" si="143"/>
        <v>1.1449261992619979</v>
      </c>
      <c r="H2280">
        <f t="shared" si="144"/>
        <v>1.158186580862631</v>
      </c>
    </row>
    <row r="2281" spans="1:8" x14ac:dyDescent="0.25">
      <c r="A2281" t="str">
        <f t="shared" si="142"/>
        <v>Multihop,NSFnet,100</v>
      </c>
      <c r="B2281" t="s">
        <v>34</v>
      </c>
      <c r="C2281" t="s">
        <v>6</v>
      </c>
      <c r="D2281">
        <v>100</v>
      </c>
      <c r="E2281">
        <v>1107.19</v>
      </c>
      <c r="F2281">
        <f t="shared" si="141"/>
        <v>1084</v>
      </c>
      <c r="G2281">
        <f t="shared" si="143"/>
        <v>2.1392988929889349</v>
      </c>
      <c r="H2281">
        <f t="shared" si="144"/>
        <v>2.0944914603636282</v>
      </c>
    </row>
    <row r="2282" spans="1:8" x14ac:dyDescent="0.25">
      <c r="A2282" t="str">
        <f t="shared" si="142"/>
        <v>Multihop,NSFnet,100</v>
      </c>
      <c r="B2282" t="s">
        <v>34</v>
      </c>
      <c r="C2282" t="s">
        <v>6</v>
      </c>
      <c r="D2282">
        <v>100</v>
      </c>
      <c r="E2282">
        <v>1110.21</v>
      </c>
      <c r="F2282">
        <f t="shared" si="141"/>
        <v>1084</v>
      </c>
      <c r="G2282">
        <f t="shared" si="143"/>
        <v>2.4178966789667933</v>
      </c>
      <c r="H2282">
        <f t="shared" si="144"/>
        <v>2.3608146206573566</v>
      </c>
    </row>
    <row r="2283" spans="1:8" x14ac:dyDescent="0.25">
      <c r="A2283" t="str">
        <f t="shared" si="142"/>
        <v>Multihop,NSFnet,100</v>
      </c>
      <c r="B2283" t="s">
        <v>34</v>
      </c>
      <c r="C2283" t="s">
        <v>6</v>
      </c>
      <c r="D2283">
        <v>100</v>
      </c>
      <c r="E2283">
        <v>1082.808</v>
      </c>
      <c r="F2283">
        <f t="shared" si="141"/>
        <v>1084</v>
      </c>
      <c r="G2283">
        <f t="shared" si="143"/>
        <v>0.10996309963099697</v>
      </c>
      <c r="H2283">
        <f t="shared" si="144"/>
        <v>0.11008415157627274</v>
      </c>
    </row>
    <row r="2284" spans="1:8" x14ac:dyDescent="0.25">
      <c r="A2284" t="str">
        <f t="shared" si="142"/>
        <v>Multihop,NSFnet,100</v>
      </c>
      <c r="B2284" t="s">
        <v>34</v>
      </c>
      <c r="C2284" t="s">
        <v>6</v>
      </c>
      <c r="D2284">
        <v>100</v>
      </c>
      <c r="E2284">
        <v>999.83100000000002</v>
      </c>
      <c r="F2284">
        <f t="shared" si="141"/>
        <v>1084</v>
      </c>
      <c r="G2284">
        <f t="shared" si="143"/>
        <v>7.7646678966789642</v>
      </c>
      <c r="H2284">
        <f t="shared" si="144"/>
        <v>8.4183226965357125</v>
      </c>
    </row>
    <row r="2285" spans="1:8" x14ac:dyDescent="0.25">
      <c r="A2285" t="str">
        <f t="shared" si="142"/>
        <v>Multihop,NSFnet,100</v>
      </c>
      <c r="B2285" t="s">
        <v>34</v>
      </c>
      <c r="C2285" t="s">
        <v>6</v>
      </c>
      <c r="D2285">
        <v>100</v>
      </c>
      <c r="E2285">
        <v>1022.212</v>
      </c>
      <c r="F2285">
        <f t="shared" si="141"/>
        <v>1084</v>
      </c>
      <c r="G2285">
        <f t="shared" si="143"/>
        <v>5.7000000000000011</v>
      </c>
      <c r="H2285">
        <f t="shared" si="144"/>
        <v>6.0445387062566285</v>
      </c>
    </row>
    <row r="2286" spans="1:8" x14ac:dyDescent="0.25">
      <c r="A2286" t="str">
        <f t="shared" si="142"/>
        <v>Multihop,NSFnet,100</v>
      </c>
      <c r="B2286" t="s">
        <v>34</v>
      </c>
      <c r="C2286" t="s">
        <v>6</v>
      </c>
      <c r="D2286">
        <v>100</v>
      </c>
      <c r="E2286">
        <v>999.7</v>
      </c>
      <c r="F2286">
        <f t="shared" si="141"/>
        <v>1084</v>
      </c>
      <c r="G2286">
        <f t="shared" si="143"/>
        <v>7.7767527675276709</v>
      </c>
      <c r="H2286">
        <f t="shared" si="144"/>
        <v>8.4325297589276733</v>
      </c>
    </row>
    <row r="2287" spans="1:8" x14ac:dyDescent="0.25">
      <c r="A2287" t="str">
        <f t="shared" si="142"/>
        <v>Multihop,NSFnet,100</v>
      </c>
      <c r="B2287" t="s">
        <v>34</v>
      </c>
      <c r="C2287" t="s">
        <v>6</v>
      </c>
      <c r="D2287">
        <v>100</v>
      </c>
      <c r="E2287">
        <v>1053.8240000000001</v>
      </c>
      <c r="F2287">
        <f t="shared" si="141"/>
        <v>1084</v>
      </c>
      <c r="G2287">
        <f t="shared" si="143"/>
        <v>2.7837638376383698</v>
      </c>
      <c r="H2287">
        <f t="shared" si="144"/>
        <v>2.8634762540993495</v>
      </c>
    </row>
    <row r="2288" spans="1:8" x14ac:dyDescent="0.25">
      <c r="A2288" t="str">
        <f t="shared" si="142"/>
        <v>Multihop,NSFnet,100</v>
      </c>
      <c r="B2288" t="s">
        <v>34</v>
      </c>
      <c r="C2288" t="s">
        <v>6</v>
      </c>
      <c r="D2288">
        <v>100</v>
      </c>
      <c r="E2288">
        <v>995.73800000000006</v>
      </c>
      <c r="F2288">
        <f t="shared" si="141"/>
        <v>1084</v>
      </c>
      <c r="G2288">
        <f t="shared" si="143"/>
        <v>8.1422509225092199</v>
      </c>
      <c r="H2288">
        <f t="shared" si="144"/>
        <v>8.8639782754097904</v>
      </c>
    </row>
    <row r="2289" spans="1:8" x14ac:dyDescent="0.25">
      <c r="A2289" t="str">
        <f t="shared" si="142"/>
        <v>Multihop,NSFnet,100</v>
      </c>
      <c r="B2289" t="s">
        <v>34</v>
      </c>
      <c r="C2289" t="s">
        <v>6</v>
      </c>
      <c r="D2289">
        <v>100</v>
      </c>
      <c r="E2289">
        <v>1040.193</v>
      </c>
      <c r="F2289">
        <f t="shared" si="141"/>
        <v>1084</v>
      </c>
      <c r="G2289">
        <f t="shared" si="143"/>
        <v>4.0412361623616251</v>
      </c>
      <c r="H2289">
        <f t="shared" si="144"/>
        <v>4.2114299942414553</v>
      </c>
    </row>
    <row r="2290" spans="1:8" x14ac:dyDescent="0.25">
      <c r="A2290" t="str">
        <f t="shared" si="142"/>
        <v>Multihop,NSFnet,100</v>
      </c>
      <c r="B2290" t="s">
        <v>34</v>
      </c>
      <c r="C2290" t="s">
        <v>6</v>
      </c>
      <c r="D2290">
        <v>100</v>
      </c>
      <c r="E2290">
        <v>1030.9849999999999</v>
      </c>
      <c r="F2290">
        <f t="shared" si="141"/>
        <v>1084</v>
      </c>
      <c r="G2290">
        <f t="shared" si="143"/>
        <v>4.8906826568265771</v>
      </c>
      <c r="H2290">
        <f t="shared" si="144"/>
        <v>5.142169866680903</v>
      </c>
    </row>
    <row r="2291" spans="1:8" x14ac:dyDescent="0.25">
      <c r="A2291" t="str">
        <f t="shared" si="142"/>
        <v>Multihop,NSFnet,100</v>
      </c>
      <c r="B2291" t="s">
        <v>34</v>
      </c>
      <c r="C2291" t="s">
        <v>6</v>
      </c>
      <c r="D2291">
        <v>100</v>
      </c>
      <c r="E2291">
        <v>1046.115</v>
      </c>
      <c r="F2291">
        <f t="shared" si="141"/>
        <v>1084</v>
      </c>
      <c r="G2291">
        <f t="shared" si="143"/>
        <v>3.4949261992619918</v>
      </c>
      <c r="H2291">
        <f t="shared" si="144"/>
        <v>3.6214947687395735</v>
      </c>
    </row>
    <row r="2292" spans="1:8" x14ac:dyDescent="0.25">
      <c r="A2292" t="str">
        <f t="shared" si="142"/>
        <v>Multihop,NSFnet,100</v>
      </c>
      <c r="B2292" t="s">
        <v>34</v>
      </c>
      <c r="C2292" t="s">
        <v>6</v>
      </c>
      <c r="D2292">
        <v>100</v>
      </c>
      <c r="E2292">
        <v>1162.944</v>
      </c>
      <c r="F2292">
        <f t="shared" si="141"/>
        <v>1084</v>
      </c>
      <c r="G2292">
        <f t="shared" si="143"/>
        <v>7.2826568265682621</v>
      </c>
      <c r="H2292">
        <f t="shared" si="144"/>
        <v>6.7882890319740206</v>
      </c>
    </row>
    <row r="2293" spans="1:8" x14ac:dyDescent="0.25">
      <c r="A2293" t="str">
        <f t="shared" si="142"/>
        <v>Multihop,NSFnet,100</v>
      </c>
      <c r="B2293" t="s">
        <v>34</v>
      </c>
      <c r="C2293" t="s">
        <v>6</v>
      </c>
      <c r="D2293">
        <v>100</v>
      </c>
      <c r="E2293">
        <v>1073.903</v>
      </c>
      <c r="F2293">
        <f t="shared" si="141"/>
        <v>1084</v>
      </c>
      <c r="G2293">
        <f t="shared" si="143"/>
        <v>0.93145756457564399</v>
      </c>
      <c r="H2293">
        <f t="shared" si="144"/>
        <v>0.94021527083917067</v>
      </c>
    </row>
    <row r="2294" spans="1:8" x14ac:dyDescent="0.25">
      <c r="A2294" t="str">
        <f t="shared" si="142"/>
        <v>Multihop,NSFnet,100</v>
      </c>
      <c r="B2294" t="s">
        <v>34</v>
      </c>
      <c r="C2294" t="s">
        <v>6</v>
      </c>
      <c r="D2294">
        <v>100</v>
      </c>
      <c r="E2294">
        <v>1046.222</v>
      </c>
      <c r="F2294">
        <f t="shared" si="141"/>
        <v>1084</v>
      </c>
      <c r="G2294">
        <f t="shared" si="143"/>
        <v>3.4850553505535071</v>
      </c>
      <c r="H2294">
        <f t="shared" si="144"/>
        <v>3.610897113614512</v>
      </c>
    </row>
    <row r="2295" spans="1:8" x14ac:dyDescent="0.25">
      <c r="A2295" t="str">
        <f t="shared" si="142"/>
        <v>Multihop,NSFnet,100</v>
      </c>
      <c r="B2295" t="s">
        <v>34</v>
      </c>
      <c r="C2295" t="s">
        <v>6</v>
      </c>
      <c r="D2295">
        <v>100</v>
      </c>
      <c r="E2295">
        <v>1067.1379999999999</v>
      </c>
      <c r="F2295">
        <f t="shared" si="141"/>
        <v>1084</v>
      </c>
      <c r="G2295">
        <f t="shared" si="143"/>
        <v>1.5555350553505609</v>
      </c>
      <c r="H2295">
        <f t="shared" si="144"/>
        <v>1.5801142869994396</v>
      </c>
    </row>
    <row r="2296" spans="1:8" x14ac:dyDescent="0.25">
      <c r="A2296" t="str">
        <f t="shared" si="142"/>
        <v>Multihop,NSFnet,100</v>
      </c>
      <c r="B2296" t="s">
        <v>34</v>
      </c>
      <c r="C2296" t="s">
        <v>6</v>
      </c>
      <c r="D2296">
        <v>100</v>
      </c>
      <c r="E2296">
        <v>1105.18</v>
      </c>
      <c r="F2296">
        <f t="shared" si="141"/>
        <v>1084</v>
      </c>
      <c r="G2296">
        <f t="shared" si="143"/>
        <v>1.9538745387453933</v>
      </c>
      <c r="H2296">
        <f t="shared" si="144"/>
        <v>1.9164299028212655</v>
      </c>
    </row>
    <row r="2297" spans="1:8" x14ac:dyDescent="0.25">
      <c r="A2297" t="str">
        <f t="shared" si="142"/>
        <v>Multihop,NSFnet,100</v>
      </c>
      <c r="B2297" t="s">
        <v>34</v>
      </c>
      <c r="C2297" t="s">
        <v>6</v>
      </c>
      <c r="D2297">
        <v>100</v>
      </c>
      <c r="E2297">
        <v>1047.376</v>
      </c>
      <c r="F2297">
        <f t="shared" si="141"/>
        <v>1084</v>
      </c>
      <c r="G2297">
        <f t="shared" si="143"/>
        <v>3.378597785977862</v>
      </c>
      <c r="H2297">
        <f t="shared" si="144"/>
        <v>3.4967385160630018</v>
      </c>
    </row>
    <row r="2298" spans="1:8" x14ac:dyDescent="0.25">
      <c r="A2298" t="str">
        <f t="shared" si="142"/>
        <v>Multihop,NSFnet,100</v>
      </c>
      <c r="B2298" t="s">
        <v>34</v>
      </c>
      <c r="C2298" t="s">
        <v>6</v>
      </c>
      <c r="D2298">
        <v>100</v>
      </c>
      <c r="E2298">
        <v>1019.954</v>
      </c>
      <c r="F2298">
        <f t="shared" si="141"/>
        <v>1084</v>
      </c>
      <c r="G2298">
        <f t="shared" si="143"/>
        <v>5.9083025830258347</v>
      </c>
      <c r="H2298">
        <f t="shared" si="144"/>
        <v>6.2793027920867068</v>
      </c>
    </row>
    <row r="2299" spans="1:8" x14ac:dyDescent="0.25">
      <c r="A2299" t="str">
        <f t="shared" si="142"/>
        <v>Multihop,NSFnet,100</v>
      </c>
      <c r="B2299" t="s">
        <v>34</v>
      </c>
      <c r="C2299" t="s">
        <v>6</v>
      </c>
      <c r="D2299">
        <v>100</v>
      </c>
      <c r="E2299">
        <v>1036.8209999999999</v>
      </c>
      <c r="F2299">
        <f t="shared" si="141"/>
        <v>1084</v>
      </c>
      <c r="G2299">
        <f t="shared" si="143"/>
        <v>4.3523062730627382</v>
      </c>
      <c r="H2299">
        <f t="shared" si="144"/>
        <v>4.5503515071550531</v>
      </c>
    </row>
    <row r="2300" spans="1:8" x14ac:dyDescent="0.25">
      <c r="A2300" t="str">
        <f t="shared" si="142"/>
        <v>Multihop,NSFnet,100</v>
      </c>
      <c r="B2300" t="s">
        <v>34</v>
      </c>
      <c r="C2300" t="s">
        <v>6</v>
      </c>
      <c r="D2300">
        <v>100</v>
      </c>
      <c r="E2300">
        <v>1044.78</v>
      </c>
      <c r="F2300">
        <f t="shared" si="141"/>
        <v>1084</v>
      </c>
      <c r="G2300">
        <f t="shared" si="143"/>
        <v>3.618081180811811</v>
      </c>
      <c r="H2300">
        <f t="shared" si="144"/>
        <v>3.7539003426558728</v>
      </c>
    </row>
    <row r="2301" spans="1:8" x14ac:dyDescent="0.25">
      <c r="A2301" t="str">
        <f t="shared" si="142"/>
        <v>Multihop,NSFnet,100</v>
      </c>
      <c r="B2301" t="s">
        <v>34</v>
      </c>
      <c r="C2301" t="s">
        <v>6</v>
      </c>
      <c r="D2301">
        <v>100</v>
      </c>
      <c r="E2301">
        <v>1041.105</v>
      </c>
      <c r="F2301">
        <f t="shared" si="141"/>
        <v>1084</v>
      </c>
      <c r="G2301">
        <f t="shared" si="143"/>
        <v>3.9571033210332085</v>
      </c>
      <c r="H2301">
        <f t="shared" si="144"/>
        <v>4.1201415803401176</v>
      </c>
    </row>
    <row r="2302" spans="1:8" x14ac:dyDescent="0.25">
      <c r="A2302" t="str">
        <f t="shared" si="142"/>
        <v>Multihop,NSFnet,100</v>
      </c>
      <c r="B2302" t="s">
        <v>34</v>
      </c>
      <c r="C2302" t="s">
        <v>6</v>
      </c>
      <c r="D2302">
        <v>100</v>
      </c>
      <c r="E2302">
        <v>1061.4359999999999</v>
      </c>
      <c r="F2302">
        <f t="shared" si="141"/>
        <v>1084</v>
      </c>
      <c r="G2302">
        <f t="shared" si="143"/>
        <v>2.0815498154981622</v>
      </c>
      <c r="H2302">
        <f t="shared" si="144"/>
        <v>2.1257993887526032</v>
      </c>
    </row>
    <row r="2303" spans="1:8" x14ac:dyDescent="0.25">
      <c r="A2303" t="str">
        <f t="shared" si="142"/>
        <v>Multihop,NSFnet,120</v>
      </c>
      <c r="B2303" t="s">
        <v>34</v>
      </c>
      <c r="C2303" t="s">
        <v>6</v>
      </c>
      <c r="D2303">
        <v>120</v>
      </c>
      <c r="E2303">
        <v>1311.8130000000001</v>
      </c>
      <c r="F2303">
        <f t="shared" si="141"/>
        <v>1282</v>
      </c>
      <c r="G2303">
        <f t="shared" si="143"/>
        <v>2.3255070202808192</v>
      </c>
      <c r="H2303">
        <f t="shared" si="144"/>
        <v>2.2726562398756607</v>
      </c>
    </row>
    <row r="2304" spans="1:8" x14ac:dyDescent="0.25">
      <c r="A2304" t="str">
        <f t="shared" si="142"/>
        <v>Multihop,NSFnet,120</v>
      </c>
      <c r="B2304" t="s">
        <v>34</v>
      </c>
      <c r="C2304" t="s">
        <v>6</v>
      </c>
      <c r="D2304">
        <v>120</v>
      </c>
      <c r="E2304">
        <v>1209.723</v>
      </c>
      <c r="F2304">
        <f t="shared" si="141"/>
        <v>1282</v>
      </c>
      <c r="G2304">
        <f t="shared" si="143"/>
        <v>5.6378315132605339</v>
      </c>
      <c r="H2304">
        <f t="shared" si="144"/>
        <v>5.9746735409676468</v>
      </c>
    </row>
    <row r="2305" spans="1:8" x14ac:dyDescent="0.25">
      <c r="A2305" t="str">
        <f t="shared" si="142"/>
        <v>Multihop,NSFnet,120</v>
      </c>
      <c r="B2305" t="s">
        <v>34</v>
      </c>
      <c r="C2305" t="s">
        <v>6</v>
      </c>
      <c r="D2305">
        <v>120</v>
      </c>
      <c r="E2305">
        <v>1275.4960000000001</v>
      </c>
      <c r="F2305">
        <f t="shared" si="141"/>
        <v>1282</v>
      </c>
      <c r="G2305">
        <f t="shared" si="143"/>
        <v>0.50733229329172425</v>
      </c>
      <c r="H2305">
        <f t="shared" si="144"/>
        <v>0.50991927846107743</v>
      </c>
    </row>
    <row r="2306" spans="1:8" x14ac:dyDescent="0.25">
      <c r="A2306" t="str">
        <f t="shared" si="142"/>
        <v>Multihop,NSFnet,120</v>
      </c>
      <c r="B2306" t="s">
        <v>34</v>
      </c>
      <c r="C2306" t="s">
        <v>6</v>
      </c>
      <c r="D2306">
        <v>120</v>
      </c>
      <c r="E2306">
        <v>1303.0999999999999</v>
      </c>
      <c r="F2306">
        <f t="shared" si="141"/>
        <v>1282</v>
      </c>
      <c r="G2306">
        <f t="shared" si="143"/>
        <v>1.6458658346333781</v>
      </c>
      <c r="H2306">
        <f t="shared" si="144"/>
        <v>1.6192157163686525</v>
      </c>
    </row>
    <row r="2307" spans="1:8" x14ac:dyDescent="0.25">
      <c r="A2307" t="str">
        <f t="shared" si="142"/>
        <v>Multihop,NSFnet,120</v>
      </c>
      <c r="B2307" t="s">
        <v>34</v>
      </c>
      <c r="C2307" t="s">
        <v>6</v>
      </c>
      <c r="D2307">
        <v>120</v>
      </c>
      <c r="E2307">
        <v>1278.847</v>
      </c>
      <c r="F2307">
        <f t="shared" ref="F2307:F2370" si="145">_xlfn.XLOOKUP(A2307,$J$3:$J$36,$N$3:$N$36)</f>
        <v>1282</v>
      </c>
      <c r="G2307">
        <f t="shared" si="143"/>
        <v>0.2459438377535117</v>
      </c>
      <c r="H2307">
        <f t="shared" si="144"/>
        <v>0.24655021280888331</v>
      </c>
    </row>
    <row r="2308" spans="1:8" x14ac:dyDescent="0.25">
      <c r="A2308" t="str">
        <f t="shared" ref="A2308:A2371" si="146">B2308&amp;","&amp;C2308&amp;","&amp;D2308</f>
        <v>Multihop,NSFnet,120</v>
      </c>
      <c r="B2308" t="s">
        <v>34</v>
      </c>
      <c r="C2308" t="s">
        <v>6</v>
      </c>
      <c r="D2308">
        <v>120</v>
      </c>
      <c r="E2308">
        <v>1193.1759999999999</v>
      </c>
      <c r="F2308">
        <f t="shared" si="145"/>
        <v>1282</v>
      </c>
      <c r="G2308">
        <f t="shared" ref="G2308:G2371" si="147">ABS((E2308-F2308)/F2308)*100</f>
        <v>6.9285491419656839</v>
      </c>
      <c r="H2308">
        <f t="shared" ref="H2308:H2371" si="148">ABS((F2308-E2308)/E2308)*100</f>
        <v>7.4443334428449841</v>
      </c>
    </row>
    <row r="2309" spans="1:8" x14ac:dyDescent="0.25">
      <c r="A2309" t="str">
        <f t="shared" si="146"/>
        <v>Multihop,NSFnet,120</v>
      </c>
      <c r="B2309" t="s">
        <v>34</v>
      </c>
      <c r="C2309" t="s">
        <v>6</v>
      </c>
      <c r="D2309">
        <v>120</v>
      </c>
      <c r="E2309">
        <v>1267.412</v>
      </c>
      <c r="F2309">
        <f t="shared" si="145"/>
        <v>1282</v>
      </c>
      <c r="G2309">
        <f t="shared" si="147"/>
        <v>1.1379095163806525</v>
      </c>
      <c r="H2309">
        <f t="shared" si="148"/>
        <v>1.1510069338147315</v>
      </c>
    </row>
    <row r="2310" spans="1:8" x14ac:dyDescent="0.25">
      <c r="A2310" t="str">
        <f t="shared" si="146"/>
        <v>Multihop,NSFnet,120</v>
      </c>
      <c r="B2310" t="s">
        <v>34</v>
      </c>
      <c r="C2310" t="s">
        <v>6</v>
      </c>
      <c r="D2310">
        <v>120</v>
      </c>
      <c r="E2310">
        <v>1220.3330000000001</v>
      </c>
      <c r="F2310">
        <f t="shared" si="145"/>
        <v>1282</v>
      </c>
      <c r="G2310">
        <f t="shared" si="147"/>
        <v>4.8102184087363424</v>
      </c>
      <c r="H2310">
        <f t="shared" si="148"/>
        <v>5.0532928307273437</v>
      </c>
    </row>
    <row r="2311" spans="1:8" x14ac:dyDescent="0.25">
      <c r="A2311" t="str">
        <f t="shared" si="146"/>
        <v>Multihop,NSFnet,120</v>
      </c>
      <c r="B2311" t="s">
        <v>34</v>
      </c>
      <c r="C2311" t="s">
        <v>6</v>
      </c>
      <c r="D2311">
        <v>120</v>
      </c>
      <c r="E2311">
        <v>1306.915</v>
      </c>
      <c r="F2311">
        <f t="shared" si="145"/>
        <v>1282</v>
      </c>
      <c r="G2311">
        <f t="shared" si="147"/>
        <v>1.9434477379095136</v>
      </c>
      <c r="H2311">
        <f t="shared" si="148"/>
        <v>1.9063978912171</v>
      </c>
    </row>
    <row r="2312" spans="1:8" x14ac:dyDescent="0.25">
      <c r="A2312" t="str">
        <f t="shared" si="146"/>
        <v>Multihop,NSFnet,120</v>
      </c>
      <c r="B2312" t="s">
        <v>34</v>
      </c>
      <c r="C2312" t="s">
        <v>6</v>
      </c>
      <c r="D2312">
        <v>120</v>
      </c>
      <c r="E2312">
        <v>1285.9590000000001</v>
      </c>
      <c r="F2312">
        <f t="shared" si="145"/>
        <v>1282</v>
      </c>
      <c r="G2312">
        <f t="shared" si="147"/>
        <v>0.30881435257410761</v>
      </c>
      <c r="H2312">
        <f t="shared" si="148"/>
        <v>0.30786362551217106</v>
      </c>
    </row>
    <row r="2313" spans="1:8" x14ac:dyDescent="0.25">
      <c r="A2313" t="str">
        <f t="shared" si="146"/>
        <v>Multihop,NSFnet,120</v>
      </c>
      <c r="B2313" t="s">
        <v>34</v>
      </c>
      <c r="C2313" t="s">
        <v>6</v>
      </c>
      <c r="D2313">
        <v>120</v>
      </c>
      <c r="E2313">
        <v>1186.123</v>
      </c>
      <c r="F2313">
        <f t="shared" si="145"/>
        <v>1282</v>
      </c>
      <c r="G2313">
        <f t="shared" si="147"/>
        <v>7.4787051482059246</v>
      </c>
      <c r="H2313">
        <f t="shared" si="148"/>
        <v>8.0832257700086707</v>
      </c>
    </row>
    <row r="2314" spans="1:8" x14ac:dyDescent="0.25">
      <c r="A2314" t="str">
        <f t="shared" si="146"/>
        <v>Multihop,NSFnet,120</v>
      </c>
      <c r="B2314" t="s">
        <v>34</v>
      </c>
      <c r="C2314" t="s">
        <v>6</v>
      </c>
      <c r="D2314">
        <v>120</v>
      </c>
      <c r="E2314">
        <v>1300.1679999999999</v>
      </c>
      <c r="F2314">
        <f t="shared" si="145"/>
        <v>1282</v>
      </c>
      <c r="G2314">
        <f t="shared" si="147"/>
        <v>1.4171606864274486</v>
      </c>
      <c r="H2314">
        <f t="shared" si="148"/>
        <v>1.3973578799047426</v>
      </c>
    </row>
    <row r="2315" spans="1:8" x14ac:dyDescent="0.25">
      <c r="A2315" t="str">
        <f t="shared" si="146"/>
        <v>Multihop,NSFnet,120</v>
      </c>
      <c r="B2315" t="s">
        <v>34</v>
      </c>
      <c r="C2315" t="s">
        <v>6</v>
      </c>
      <c r="D2315">
        <v>120</v>
      </c>
      <c r="E2315">
        <v>1346.31</v>
      </c>
      <c r="F2315">
        <f t="shared" si="145"/>
        <v>1282</v>
      </c>
      <c r="G2315">
        <f t="shared" si="147"/>
        <v>5.0163806552262047</v>
      </c>
      <c r="H2315">
        <f t="shared" si="148"/>
        <v>4.7767601815332235</v>
      </c>
    </row>
    <row r="2316" spans="1:8" x14ac:dyDescent="0.25">
      <c r="A2316" t="str">
        <f t="shared" si="146"/>
        <v>Multihop,NSFnet,120</v>
      </c>
      <c r="B2316" t="s">
        <v>34</v>
      </c>
      <c r="C2316" t="s">
        <v>6</v>
      </c>
      <c r="D2316">
        <v>120</v>
      </c>
      <c r="E2316">
        <v>1255.3699999999999</v>
      </c>
      <c r="F2316">
        <f t="shared" si="145"/>
        <v>1282</v>
      </c>
      <c r="G2316">
        <f t="shared" si="147"/>
        <v>2.0772230889235654</v>
      </c>
      <c r="H2316">
        <f t="shared" si="148"/>
        <v>2.1212869512574071</v>
      </c>
    </row>
    <row r="2317" spans="1:8" x14ac:dyDescent="0.25">
      <c r="A2317" t="str">
        <f t="shared" si="146"/>
        <v>Multihop,NSFnet,120</v>
      </c>
      <c r="B2317" t="s">
        <v>34</v>
      </c>
      <c r="C2317" t="s">
        <v>6</v>
      </c>
      <c r="D2317">
        <v>120</v>
      </c>
      <c r="E2317">
        <v>1230.345</v>
      </c>
      <c r="F2317">
        <f t="shared" si="145"/>
        <v>1282</v>
      </c>
      <c r="G2317">
        <f t="shared" si="147"/>
        <v>4.0292511700468001</v>
      </c>
      <c r="H2317">
        <f t="shared" si="148"/>
        <v>4.1984158914775911</v>
      </c>
    </row>
    <row r="2318" spans="1:8" x14ac:dyDescent="0.25">
      <c r="A2318" t="str">
        <f t="shared" si="146"/>
        <v>Multihop,NSFnet,120</v>
      </c>
      <c r="B2318" t="s">
        <v>34</v>
      </c>
      <c r="C2318" t="s">
        <v>6</v>
      </c>
      <c r="D2318">
        <v>120</v>
      </c>
      <c r="E2318">
        <v>1364.365</v>
      </c>
      <c r="F2318">
        <f t="shared" si="145"/>
        <v>1282</v>
      </c>
      <c r="G2318">
        <f t="shared" si="147"/>
        <v>6.4247269890795637</v>
      </c>
      <c r="H2318">
        <f t="shared" si="148"/>
        <v>6.0368742968340587</v>
      </c>
    </row>
    <row r="2319" spans="1:8" x14ac:dyDescent="0.25">
      <c r="A2319" t="str">
        <f t="shared" si="146"/>
        <v>Multihop,NSFnet,120</v>
      </c>
      <c r="B2319" t="s">
        <v>34</v>
      </c>
      <c r="C2319" t="s">
        <v>6</v>
      </c>
      <c r="D2319">
        <v>120</v>
      </c>
      <c r="E2319">
        <v>1288.308</v>
      </c>
      <c r="F2319">
        <f t="shared" si="145"/>
        <v>1282</v>
      </c>
      <c r="G2319">
        <f t="shared" si="147"/>
        <v>0.49204368174726931</v>
      </c>
      <c r="H2319">
        <f t="shared" si="148"/>
        <v>0.48963446629222152</v>
      </c>
    </row>
    <row r="2320" spans="1:8" x14ac:dyDescent="0.25">
      <c r="A2320" t="str">
        <f t="shared" si="146"/>
        <v>Multihop,NSFnet,120</v>
      </c>
      <c r="B2320" t="s">
        <v>34</v>
      </c>
      <c r="C2320" t="s">
        <v>6</v>
      </c>
      <c r="D2320">
        <v>120</v>
      </c>
      <c r="E2320">
        <v>1306.934</v>
      </c>
      <c r="F2320">
        <f t="shared" si="145"/>
        <v>1282</v>
      </c>
      <c r="G2320">
        <f t="shared" si="147"/>
        <v>1.9449297971918851</v>
      </c>
      <c r="H2320">
        <f t="shared" si="148"/>
        <v>1.907823960506037</v>
      </c>
    </row>
    <row r="2321" spans="1:8" x14ac:dyDescent="0.25">
      <c r="A2321" t="str">
        <f t="shared" si="146"/>
        <v>Multihop,NSFnet,120</v>
      </c>
      <c r="B2321" t="s">
        <v>34</v>
      </c>
      <c r="C2321" t="s">
        <v>6</v>
      </c>
      <c r="D2321">
        <v>120</v>
      </c>
      <c r="E2321">
        <v>1234.8340000000001</v>
      </c>
      <c r="F2321">
        <f t="shared" si="145"/>
        <v>1282</v>
      </c>
      <c r="G2321">
        <f t="shared" si="147"/>
        <v>3.6790951638065477</v>
      </c>
      <c r="H2321">
        <f t="shared" si="148"/>
        <v>3.8196227185192453</v>
      </c>
    </row>
    <row r="2322" spans="1:8" x14ac:dyDescent="0.25">
      <c r="A2322" t="str">
        <f t="shared" si="146"/>
        <v>Multihop,NSFnet,120</v>
      </c>
      <c r="B2322" t="s">
        <v>34</v>
      </c>
      <c r="C2322" t="s">
        <v>6</v>
      </c>
      <c r="D2322">
        <v>120</v>
      </c>
      <c r="E2322">
        <v>1178.366</v>
      </c>
      <c r="F2322">
        <f t="shared" si="145"/>
        <v>1282</v>
      </c>
      <c r="G2322">
        <f t="shared" si="147"/>
        <v>8.083775351014042</v>
      </c>
      <c r="H2322">
        <f t="shared" si="148"/>
        <v>8.7947208252783966</v>
      </c>
    </row>
    <row r="2323" spans="1:8" x14ac:dyDescent="0.25">
      <c r="A2323" t="str">
        <f t="shared" si="146"/>
        <v>Multihop,NSFnet,120</v>
      </c>
      <c r="B2323" t="s">
        <v>34</v>
      </c>
      <c r="C2323" t="s">
        <v>6</v>
      </c>
      <c r="D2323">
        <v>120</v>
      </c>
      <c r="E2323">
        <v>1224.8019999999999</v>
      </c>
      <c r="F2323">
        <f t="shared" si="145"/>
        <v>1282</v>
      </c>
      <c r="G2323">
        <f t="shared" si="147"/>
        <v>4.4616224648986034</v>
      </c>
      <c r="H2323">
        <f t="shared" si="148"/>
        <v>4.6699793109416952</v>
      </c>
    </row>
    <row r="2324" spans="1:8" x14ac:dyDescent="0.25">
      <c r="A2324" t="str">
        <f t="shared" si="146"/>
        <v>Multihop,NSFnet,120</v>
      </c>
      <c r="B2324" t="s">
        <v>34</v>
      </c>
      <c r="C2324" t="s">
        <v>6</v>
      </c>
      <c r="D2324">
        <v>120</v>
      </c>
      <c r="E2324">
        <v>1307.1420000000001</v>
      </c>
      <c r="F2324">
        <f t="shared" si="145"/>
        <v>1282</v>
      </c>
      <c r="G2324">
        <f t="shared" si="147"/>
        <v>1.9611544461778512</v>
      </c>
      <c r="H2324">
        <f t="shared" si="148"/>
        <v>1.9234329552565865</v>
      </c>
    </row>
    <row r="2325" spans="1:8" x14ac:dyDescent="0.25">
      <c r="A2325" t="str">
        <f t="shared" si="146"/>
        <v>Multihop,NSFnet,120</v>
      </c>
      <c r="B2325" t="s">
        <v>34</v>
      </c>
      <c r="C2325" t="s">
        <v>6</v>
      </c>
      <c r="D2325">
        <v>120</v>
      </c>
      <c r="E2325">
        <v>1225.721</v>
      </c>
      <c r="F2325">
        <f t="shared" si="145"/>
        <v>1282</v>
      </c>
      <c r="G2325">
        <f t="shared" si="147"/>
        <v>4.3899375975038994</v>
      </c>
      <c r="H2325">
        <f t="shared" si="148"/>
        <v>4.5915016549443139</v>
      </c>
    </row>
    <row r="2326" spans="1:8" x14ac:dyDescent="0.25">
      <c r="A2326" t="str">
        <f t="shared" si="146"/>
        <v>Multihop,NSFnet,120</v>
      </c>
      <c r="B2326" t="s">
        <v>34</v>
      </c>
      <c r="C2326" t="s">
        <v>6</v>
      </c>
      <c r="D2326">
        <v>120</v>
      </c>
      <c r="E2326">
        <v>1251.146</v>
      </c>
      <c r="F2326">
        <f t="shared" si="145"/>
        <v>1282</v>
      </c>
      <c r="G2326">
        <f t="shared" si="147"/>
        <v>2.4067082683307364</v>
      </c>
      <c r="H2326">
        <f t="shared" si="148"/>
        <v>2.4660591170015365</v>
      </c>
    </row>
    <row r="2327" spans="1:8" x14ac:dyDescent="0.25">
      <c r="A2327" t="str">
        <f t="shared" si="146"/>
        <v>Multihop,NSFnet,120</v>
      </c>
      <c r="B2327" t="s">
        <v>34</v>
      </c>
      <c r="C2327" t="s">
        <v>6</v>
      </c>
      <c r="D2327">
        <v>120</v>
      </c>
      <c r="E2327">
        <v>1330.194</v>
      </c>
      <c r="F2327">
        <f t="shared" si="145"/>
        <v>1282</v>
      </c>
      <c r="G2327">
        <f t="shared" si="147"/>
        <v>3.7592823712948489</v>
      </c>
      <c r="H2327">
        <f t="shared" si="148"/>
        <v>3.6230805431388173</v>
      </c>
    </row>
    <row r="2328" spans="1:8" x14ac:dyDescent="0.25">
      <c r="A2328" t="str">
        <f t="shared" si="146"/>
        <v>Multihop,NSFnet,120</v>
      </c>
      <c r="B2328" t="s">
        <v>34</v>
      </c>
      <c r="C2328" t="s">
        <v>6</v>
      </c>
      <c r="D2328">
        <v>120</v>
      </c>
      <c r="E2328">
        <v>1307.4469999999999</v>
      </c>
      <c r="F2328">
        <f t="shared" si="145"/>
        <v>1282</v>
      </c>
      <c r="G2328">
        <f t="shared" si="147"/>
        <v>1.984945397815904</v>
      </c>
      <c r="H2328">
        <f t="shared" si="148"/>
        <v>1.9463121640877139</v>
      </c>
    </row>
    <row r="2329" spans="1:8" x14ac:dyDescent="0.25">
      <c r="A2329" t="str">
        <f t="shared" si="146"/>
        <v>Multihop,NSFnet,120</v>
      </c>
      <c r="B2329" t="s">
        <v>34</v>
      </c>
      <c r="C2329" t="s">
        <v>6</v>
      </c>
      <c r="D2329">
        <v>120</v>
      </c>
      <c r="E2329">
        <v>1293.3489999999999</v>
      </c>
      <c r="F2329">
        <f t="shared" si="145"/>
        <v>1282</v>
      </c>
      <c r="G2329">
        <f t="shared" si="147"/>
        <v>0.88525741029640659</v>
      </c>
      <c r="H2329">
        <f t="shared" si="148"/>
        <v>0.87748937061844368</v>
      </c>
    </row>
    <row r="2330" spans="1:8" x14ac:dyDescent="0.25">
      <c r="A2330" t="str">
        <f t="shared" si="146"/>
        <v>Multihop,NSFnet,120</v>
      </c>
      <c r="B2330" t="s">
        <v>34</v>
      </c>
      <c r="C2330" t="s">
        <v>6</v>
      </c>
      <c r="D2330">
        <v>120</v>
      </c>
      <c r="E2330">
        <v>1242.145</v>
      </c>
      <c r="F2330">
        <f t="shared" si="145"/>
        <v>1282</v>
      </c>
      <c r="G2330">
        <f t="shared" si="147"/>
        <v>3.1088143525741043</v>
      </c>
      <c r="H2330">
        <f t="shared" si="148"/>
        <v>3.2085626074250606</v>
      </c>
    </row>
    <row r="2331" spans="1:8" x14ac:dyDescent="0.25">
      <c r="A2331" t="str">
        <f t="shared" si="146"/>
        <v>Multihop,NSFnet,120</v>
      </c>
      <c r="B2331" t="s">
        <v>34</v>
      </c>
      <c r="C2331" t="s">
        <v>6</v>
      </c>
      <c r="D2331">
        <v>120</v>
      </c>
      <c r="E2331">
        <v>1173.5409999999999</v>
      </c>
      <c r="F2331">
        <f t="shared" si="145"/>
        <v>1282</v>
      </c>
      <c r="G2331">
        <f t="shared" si="147"/>
        <v>8.4601404056162295</v>
      </c>
      <c r="H2331">
        <f t="shared" si="148"/>
        <v>9.242029038610502</v>
      </c>
    </row>
    <row r="2332" spans="1:8" x14ac:dyDescent="0.25">
      <c r="A2332" t="str">
        <f t="shared" si="146"/>
        <v>Multihop,NSFnet,120</v>
      </c>
      <c r="B2332" t="s">
        <v>34</v>
      </c>
      <c r="C2332" t="s">
        <v>6</v>
      </c>
      <c r="D2332">
        <v>120</v>
      </c>
      <c r="E2332">
        <v>1161.1400000000001</v>
      </c>
      <c r="F2332">
        <f t="shared" si="145"/>
        <v>1282</v>
      </c>
      <c r="G2332">
        <f t="shared" si="147"/>
        <v>9.4274570982839236</v>
      </c>
      <c r="H2332">
        <f t="shared" si="148"/>
        <v>10.408736241969089</v>
      </c>
    </row>
    <row r="2333" spans="1:8" x14ac:dyDescent="0.25">
      <c r="A2333" t="str">
        <f t="shared" si="146"/>
        <v>Multihop,NSFnet,120</v>
      </c>
      <c r="B2333" t="s">
        <v>34</v>
      </c>
      <c r="C2333" t="s">
        <v>6</v>
      </c>
      <c r="D2333">
        <v>120</v>
      </c>
      <c r="E2333">
        <v>1231.43</v>
      </c>
      <c r="F2333">
        <f t="shared" si="145"/>
        <v>1282</v>
      </c>
      <c r="G2333">
        <f t="shared" si="147"/>
        <v>3.9446177847113835</v>
      </c>
      <c r="H2333">
        <f t="shared" si="148"/>
        <v>4.1066077649561832</v>
      </c>
    </row>
    <row r="2334" spans="1:8" x14ac:dyDescent="0.25">
      <c r="A2334" t="str">
        <f t="shared" si="146"/>
        <v>Multihop,NSFnet,120</v>
      </c>
      <c r="B2334" t="s">
        <v>34</v>
      </c>
      <c r="C2334" t="s">
        <v>6</v>
      </c>
      <c r="D2334">
        <v>120</v>
      </c>
      <c r="E2334">
        <v>1293.3489999999999</v>
      </c>
      <c r="F2334">
        <f t="shared" si="145"/>
        <v>1282</v>
      </c>
      <c r="G2334">
        <f t="shared" si="147"/>
        <v>0.88525741029640659</v>
      </c>
      <c r="H2334">
        <f t="shared" si="148"/>
        <v>0.87748937061844368</v>
      </c>
    </row>
    <row r="2335" spans="1:8" x14ac:dyDescent="0.25">
      <c r="A2335" t="str">
        <f t="shared" si="146"/>
        <v>Multihop,NSFnet,120</v>
      </c>
      <c r="B2335" t="s">
        <v>34</v>
      </c>
      <c r="C2335" t="s">
        <v>6</v>
      </c>
      <c r="D2335">
        <v>120</v>
      </c>
      <c r="E2335">
        <v>1306.2809999999999</v>
      </c>
      <c r="F2335">
        <f t="shared" si="145"/>
        <v>1282</v>
      </c>
      <c r="G2335">
        <f t="shared" si="147"/>
        <v>1.893993759750386</v>
      </c>
      <c r="H2335">
        <f t="shared" si="148"/>
        <v>1.8587884230115841</v>
      </c>
    </row>
    <row r="2336" spans="1:8" x14ac:dyDescent="0.25">
      <c r="A2336" t="str">
        <f t="shared" si="146"/>
        <v>Multihop,NSFnet,120</v>
      </c>
      <c r="B2336" t="s">
        <v>34</v>
      </c>
      <c r="C2336" t="s">
        <v>6</v>
      </c>
      <c r="D2336">
        <v>120</v>
      </c>
      <c r="E2336">
        <v>1208.0650000000001</v>
      </c>
      <c r="F2336">
        <f t="shared" si="145"/>
        <v>1282</v>
      </c>
      <c r="G2336">
        <f t="shared" si="147"/>
        <v>5.7671606864274523</v>
      </c>
      <c r="H2336">
        <f t="shared" si="148"/>
        <v>6.1201177088981087</v>
      </c>
    </row>
    <row r="2337" spans="1:8" x14ac:dyDescent="0.25">
      <c r="A2337" t="str">
        <f t="shared" si="146"/>
        <v>Multihop,NSFnet,120</v>
      </c>
      <c r="B2337" t="s">
        <v>34</v>
      </c>
      <c r="C2337" t="s">
        <v>6</v>
      </c>
      <c r="D2337">
        <v>120</v>
      </c>
      <c r="E2337">
        <v>1263.886</v>
      </c>
      <c r="F2337">
        <f t="shared" si="145"/>
        <v>1282</v>
      </c>
      <c r="G2337">
        <f t="shared" si="147"/>
        <v>1.4129485179407202</v>
      </c>
      <c r="H2337">
        <f t="shared" si="148"/>
        <v>1.4331988802787621</v>
      </c>
    </row>
    <row r="2338" spans="1:8" x14ac:dyDescent="0.25">
      <c r="A2338" t="str">
        <f t="shared" si="146"/>
        <v>Multihop,NSFnet,120</v>
      </c>
      <c r="B2338" t="s">
        <v>34</v>
      </c>
      <c r="C2338" t="s">
        <v>6</v>
      </c>
      <c r="D2338">
        <v>120</v>
      </c>
      <c r="E2338">
        <v>1308.9929999999999</v>
      </c>
      <c r="F2338">
        <f t="shared" si="145"/>
        <v>1282</v>
      </c>
      <c r="G2338">
        <f t="shared" si="147"/>
        <v>2.1055382215288563</v>
      </c>
      <c r="H2338">
        <f t="shared" si="148"/>
        <v>2.0621195071325773</v>
      </c>
    </row>
    <row r="2339" spans="1:8" x14ac:dyDescent="0.25">
      <c r="A2339" t="str">
        <f t="shared" si="146"/>
        <v>Multihop,NSFnet,120</v>
      </c>
      <c r="B2339" t="s">
        <v>34</v>
      </c>
      <c r="C2339" t="s">
        <v>6</v>
      </c>
      <c r="D2339">
        <v>120</v>
      </c>
      <c r="E2339">
        <v>1264.7329999999999</v>
      </c>
      <c r="F2339">
        <f t="shared" si="145"/>
        <v>1282</v>
      </c>
      <c r="G2339">
        <f t="shared" si="147"/>
        <v>1.346879875195012</v>
      </c>
      <c r="H2339">
        <f t="shared" si="148"/>
        <v>1.3652684005240674</v>
      </c>
    </row>
    <row r="2340" spans="1:8" x14ac:dyDescent="0.25">
      <c r="A2340" t="str">
        <f t="shared" si="146"/>
        <v>Multihop,NSFnet,120</v>
      </c>
      <c r="B2340" t="s">
        <v>34</v>
      </c>
      <c r="C2340" t="s">
        <v>6</v>
      </c>
      <c r="D2340">
        <v>120</v>
      </c>
      <c r="E2340">
        <v>1279.56</v>
      </c>
      <c r="F2340">
        <f t="shared" si="145"/>
        <v>1282</v>
      </c>
      <c r="G2340">
        <f t="shared" si="147"/>
        <v>0.19032761310452845</v>
      </c>
      <c r="H2340">
        <f t="shared" si="148"/>
        <v>0.19069054987652434</v>
      </c>
    </row>
    <row r="2341" spans="1:8" x14ac:dyDescent="0.25">
      <c r="A2341" t="str">
        <f t="shared" si="146"/>
        <v>Multihop,NSFnet,120</v>
      </c>
      <c r="B2341" t="s">
        <v>34</v>
      </c>
      <c r="C2341" t="s">
        <v>6</v>
      </c>
      <c r="D2341">
        <v>120</v>
      </c>
      <c r="E2341">
        <v>1315.942</v>
      </c>
      <c r="F2341">
        <f t="shared" si="145"/>
        <v>1282</v>
      </c>
      <c r="G2341">
        <f t="shared" si="147"/>
        <v>2.6475819032761314</v>
      </c>
      <c r="H2341">
        <f t="shared" si="148"/>
        <v>2.5792930083544721</v>
      </c>
    </row>
    <row r="2342" spans="1:8" x14ac:dyDescent="0.25">
      <c r="A2342" t="str">
        <f t="shared" si="146"/>
        <v>Multihop,NSFnet,120</v>
      </c>
      <c r="B2342" t="s">
        <v>34</v>
      </c>
      <c r="C2342" t="s">
        <v>6</v>
      </c>
      <c r="D2342">
        <v>120</v>
      </c>
      <c r="E2342">
        <v>1280.7950000000001</v>
      </c>
      <c r="F2342">
        <f t="shared" si="145"/>
        <v>1282</v>
      </c>
      <c r="G2342">
        <f t="shared" si="147"/>
        <v>9.3993759750384348E-2</v>
      </c>
      <c r="H2342">
        <f t="shared" si="148"/>
        <v>9.4082191139091512E-2</v>
      </c>
    </row>
    <row r="2343" spans="1:8" x14ac:dyDescent="0.25">
      <c r="A2343" t="str">
        <f t="shared" si="146"/>
        <v>Multihop,NSFnet,120</v>
      </c>
      <c r="B2343" t="s">
        <v>34</v>
      </c>
      <c r="C2343" t="s">
        <v>6</v>
      </c>
      <c r="D2343">
        <v>120</v>
      </c>
      <c r="E2343">
        <v>1292.691</v>
      </c>
      <c r="F2343">
        <f t="shared" si="145"/>
        <v>1282</v>
      </c>
      <c r="G2343">
        <f t="shared" si="147"/>
        <v>0.83393135725429257</v>
      </c>
      <c r="H2343">
        <f t="shared" si="148"/>
        <v>0.82703445757725791</v>
      </c>
    </row>
    <row r="2344" spans="1:8" x14ac:dyDescent="0.25">
      <c r="A2344" t="str">
        <f t="shared" si="146"/>
        <v>Multihop,NSFnet,120</v>
      </c>
      <c r="B2344" t="s">
        <v>34</v>
      </c>
      <c r="C2344" t="s">
        <v>6</v>
      </c>
      <c r="D2344">
        <v>120</v>
      </c>
      <c r="E2344">
        <v>1171.1110000000001</v>
      </c>
      <c r="F2344">
        <f t="shared" si="145"/>
        <v>1282</v>
      </c>
      <c r="G2344">
        <f t="shared" si="147"/>
        <v>8.6496879875194921</v>
      </c>
      <c r="H2344">
        <f t="shared" si="148"/>
        <v>9.4687010881120486</v>
      </c>
    </row>
    <row r="2345" spans="1:8" x14ac:dyDescent="0.25">
      <c r="A2345" t="str">
        <f t="shared" si="146"/>
        <v>Multihop,NSFnet,120</v>
      </c>
      <c r="B2345" t="s">
        <v>34</v>
      </c>
      <c r="C2345" t="s">
        <v>6</v>
      </c>
      <c r="D2345">
        <v>120</v>
      </c>
      <c r="E2345">
        <v>1230.8720000000001</v>
      </c>
      <c r="F2345">
        <f t="shared" si="145"/>
        <v>1282</v>
      </c>
      <c r="G2345">
        <f t="shared" si="147"/>
        <v>3.988143525741024</v>
      </c>
      <c r="H2345">
        <f t="shared" si="148"/>
        <v>4.1538031574363483</v>
      </c>
    </row>
    <row r="2346" spans="1:8" x14ac:dyDescent="0.25">
      <c r="A2346" t="str">
        <f t="shared" si="146"/>
        <v>Multihop,NSFnet,120</v>
      </c>
      <c r="B2346" t="s">
        <v>34</v>
      </c>
      <c r="C2346" t="s">
        <v>6</v>
      </c>
      <c r="D2346">
        <v>120</v>
      </c>
      <c r="E2346">
        <v>1235.501</v>
      </c>
      <c r="F2346">
        <f t="shared" si="145"/>
        <v>1282</v>
      </c>
      <c r="G2346">
        <f t="shared" si="147"/>
        <v>3.6270670826833094</v>
      </c>
      <c r="H2346">
        <f t="shared" si="148"/>
        <v>3.7635744527928368</v>
      </c>
    </row>
    <row r="2347" spans="1:8" x14ac:dyDescent="0.25">
      <c r="A2347" t="str">
        <f t="shared" si="146"/>
        <v>Multihop,NSFnet,120</v>
      </c>
      <c r="B2347" t="s">
        <v>34</v>
      </c>
      <c r="C2347" t="s">
        <v>6</v>
      </c>
      <c r="D2347">
        <v>120</v>
      </c>
      <c r="E2347">
        <v>1239.6669999999999</v>
      </c>
      <c r="F2347">
        <f t="shared" si="145"/>
        <v>1282</v>
      </c>
      <c r="G2347">
        <f t="shared" si="147"/>
        <v>3.302106084243376</v>
      </c>
      <c r="H2347">
        <f t="shared" si="148"/>
        <v>3.4148686703768099</v>
      </c>
    </row>
    <row r="2348" spans="1:8" x14ac:dyDescent="0.25">
      <c r="A2348" t="str">
        <f t="shared" si="146"/>
        <v>Multihop,NSFnet,120</v>
      </c>
      <c r="B2348" t="s">
        <v>34</v>
      </c>
      <c r="C2348" t="s">
        <v>6</v>
      </c>
      <c r="D2348">
        <v>120</v>
      </c>
      <c r="E2348">
        <v>1305.075</v>
      </c>
      <c r="F2348">
        <f t="shared" si="145"/>
        <v>1282</v>
      </c>
      <c r="G2348">
        <f t="shared" si="147"/>
        <v>1.7999219968798787</v>
      </c>
      <c r="H2348">
        <f t="shared" si="148"/>
        <v>1.7680976189107938</v>
      </c>
    </row>
    <row r="2349" spans="1:8" x14ac:dyDescent="0.25">
      <c r="A2349" t="str">
        <f t="shared" si="146"/>
        <v>Multihop,NSFnet,120</v>
      </c>
      <c r="B2349" t="s">
        <v>34</v>
      </c>
      <c r="C2349" t="s">
        <v>6</v>
      </c>
      <c r="D2349">
        <v>120</v>
      </c>
      <c r="E2349">
        <v>1282.6510000000001</v>
      </c>
      <c r="F2349">
        <f t="shared" si="145"/>
        <v>1282</v>
      </c>
      <c r="G2349">
        <f t="shared" si="147"/>
        <v>5.0780031201253295E-2</v>
      </c>
      <c r="H2349">
        <f t="shared" si="148"/>
        <v>5.0754258173117024E-2</v>
      </c>
    </row>
    <row r="2350" spans="1:8" x14ac:dyDescent="0.25">
      <c r="A2350" t="str">
        <f t="shared" si="146"/>
        <v>Multihop,NSFnet,120</v>
      </c>
      <c r="B2350" t="s">
        <v>34</v>
      </c>
      <c r="C2350" t="s">
        <v>6</v>
      </c>
      <c r="D2350">
        <v>120</v>
      </c>
      <c r="E2350">
        <v>1256.068</v>
      </c>
      <c r="F2350">
        <f t="shared" si="145"/>
        <v>1282</v>
      </c>
      <c r="G2350">
        <f t="shared" si="147"/>
        <v>2.0227769110764444</v>
      </c>
      <c r="H2350">
        <f t="shared" si="148"/>
        <v>2.0645379071833703</v>
      </c>
    </row>
    <row r="2351" spans="1:8" x14ac:dyDescent="0.25">
      <c r="A2351" t="str">
        <f t="shared" si="146"/>
        <v>Multihop,NSFnet,120</v>
      </c>
      <c r="B2351" t="s">
        <v>34</v>
      </c>
      <c r="C2351" t="s">
        <v>6</v>
      </c>
      <c r="D2351">
        <v>120</v>
      </c>
      <c r="E2351">
        <v>1194.4459999999999</v>
      </c>
      <c r="F2351">
        <f t="shared" si="145"/>
        <v>1282</v>
      </c>
      <c r="G2351">
        <f t="shared" si="147"/>
        <v>6.8294851794071825</v>
      </c>
      <c r="H2351">
        <f t="shared" si="148"/>
        <v>7.3300927794140627</v>
      </c>
    </row>
    <row r="2352" spans="1:8" x14ac:dyDescent="0.25">
      <c r="A2352" t="str">
        <f t="shared" si="146"/>
        <v>Multihop,NSFnet,120</v>
      </c>
      <c r="B2352" t="s">
        <v>34</v>
      </c>
      <c r="C2352" t="s">
        <v>6</v>
      </c>
      <c r="D2352">
        <v>120</v>
      </c>
      <c r="E2352">
        <v>1255.23</v>
      </c>
      <c r="F2352">
        <f t="shared" si="145"/>
        <v>1282</v>
      </c>
      <c r="G2352">
        <f t="shared" si="147"/>
        <v>2.0881435257410281</v>
      </c>
      <c r="H2352">
        <f t="shared" si="148"/>
        <v>2.132676879934353</v>
      </c>
    </row>
    <row r="2353" spans="1:8" x14ac:dyDescent="0.25">
      <c r="A2353" t="str">
        <f t="shared" si="146"/>
        <v>Multihop,NSFnet,120</v>
      </c>
      <c r="B2353" t="s">
        <v>34</v>
      </c>
      <c r="C2353" t="s">
        <v>6</v>
      </c>
      <c r="D2353">
        <v>120</v>
      </c>
      <c r="E2353">
        <v>1262.5160000000001</v>
      </c>
      <c r="F2353">
        <f t="shared" si="145"/>
        <v>1282</v>
      </c>
      <c r="G2353">
        <f t="shared" si="147"/>
        <v>1.5198127925116944</v>
      </c>
      <c r="H2353">
        <f t="shared" si="148"/>
        <v>1.5432675704703878</v>
      </c>
    </row>
    <row r="2354" spans="1:8" x14ac:dyDescent="0.25">
      <c r="A2354" t="str">
        <f t="shared" si="146"/>
        <v>Multihop,NSFnet,120</v>
      </c>
      <c r="B2354" t="s">
        <v>34</v>
      </c>
      <c r="C2354" t="s">
        <v>6</v>
      </c>
      <c r="D2354">
        <v>120</v>
      </c>
      <c r="E2354">
        <v>1305.0899999999999</v>
      </c>
      <c r="F2354">
        <f t="shared" si="145"/>
        <v>1282</v>
      </c>
      <c r="G2354">
        <f t="shared" si="147"/>
        <v>1.8010920436817408</v>
      </c>
      <c r="H2354">
        <f t="shared" si="148"/>
        <v>1.7692266433732478</v>
      </c>
    </row>
    <row r="2355" spans="1:8" x14ac:dyDescent="0.25">
      <c r="A2355" t="str">
        <f t="shared" si="146"/>
        <v>Multihop,NSFnet,120</v>
      </c>
      <c r="B2355" t="s">
        <v>34</v>
      </c>
      <c r="C2355" t="s">
        <v>6</v>
      </c>
      <c r="D2355">
        <v>120</v>
      </c>
      <c r="E2355">
        <v>1329.2860000000001</v>
      </c>
      <c r="F2355">
        <f t="shared" si="145"/>
        <v>1282</v>
      </c>
      <c r="G2355">
        <f t="shared" si="147"/>
        <v>3.6884555382215334</v>
      </c>
      <c r="H2355">
        <f t="shared" si="148"/>
        <v>3.5572480263840931</v>
      </c>
    </row>
    <row r="2356" spans="1:8" x14ac:dyDescent="0.25">
      <c r="A2356" t="str">
        <f t="shared" si="146"/>
        <v>Multihop,NSFnet,120</v>
      </c>
      <c r="B2356" t="s">
        <v>34</v>
      </c>
      <c r="C2356" t="s">
        <v>6</v>
      </c>
      <c r="D2356">
        <v>120</v>
      </c>
      <c r="E2356">
        <v>1323.845</v>
      </c>
      <c r="F2356">
        <f t="shared" si="145"/>
        <v>1282</v>
      </c>
      <c r="G2356">
        <f t="shared" si="147"/>
        <v>3.2640405616224673</v>
      </c>
      <c r="H2356">
        <f t="shared" si="148"/>
        <v>3.1608685306814639</v>
      </c>
    </row>
    <row r="2357" spans="1:8" x14ac:dyDescent="0.25">
      <c r="A2357" t="str">
        <f t="shared" si="146"/>
        <v>Multihop,NSFnet,120</v>
      </c>
      <c r="B2357" t="s">
        <v>34</v>
      </c>
      <c r="C2357" t="s">
        <v>6</v>
      </c>
      <c r="D2357">
        <v>120</v>
      </c>
      <c r="E2357">
        <v>1274.9580000000001</v>
      </c>
      <c r="F2357">
        <f t="shared" si="145"/>
        <v>1282</v>
      </c>
      <c r="G2357">
        <f t="shared" si="147"/>
        <v>0.5492979719188702</v>
      </c>
      <c r="H2357">
        <f t="shared" si="148"/>
        <v>0.552331919953435</v>
      </c>
    </row>
    <row r="2358" spans="1:8" x14ac:dyDescent="0.25">
      <c r="A2358" t="str">
        <f t="shared" si="146"/>
        <v>Multihop,NSFnet,120</v>
      </c>
      <c r="B2358" t="s">
        <v>34</v>
      </c>
      <c r="C2358" t="s">
        <v>6</v>
      </c>
      <c r="D2358">
        <v>120</v>
      </c>
      <c r="E2358">
        <v>1213.356</v>
      </c>
      <c r="F2358">
        <f t="shared" si="145"/>
        <v>1282</v>
      </c>
      <c r="G2358">
        <f t="shared" si="147"/>
        <v>5.3544461778471142</v>
      </c>
      <c r="H2358">
        <f t="shared" si="148"/>
        <v>5.6573668403996846</v>
      </c>
    </row>
    <row r="2359" spans="1:8" x14ac:dyDescent="0.25">
      <c r="A2359" t="str">
        <f t="shared" si="146"/>
        <v>Multihop,NSFnet,120</v>
      </c>
      <c r="B2359" t="s">
        <v>34</v>
      </c>
      <c r="C2359" t="s">
        <v>6</v>
      </c>
      <c r="D2359">
        <v>120</v>
      </c>
      <c r="E2359">
        <v>1280.787</v>
      </c>
      <c r="F2359">
        <f t="shared" si="145"/>
        <v>1282</v>
      </c>
      <c r="G2359">
        <f t="shared" si="147"/>
        <v>9.4617784711385752E-2</v>
      </c>
      <c r="H2359">
        <f t="shared" si="148"/>
        <v>9.4707394750256316E-2</v>
      </c>
    </row>
    <row r="2360" spans="1:8" x14ac:dyDescent="0.25">
      <c r="A2360" t="str">
        <f t="shared" si="146"/>
        <v>Multihop,NSFnet,120</v>
      </c>
      <c r="B2360" t="s">
        <v>34</v>
      </c>
      <c r="C2360" t="s">
        <v>6</v>
      </c>
      <c r="D2360">
        <v>120</v>
      </c>
      <c r="E2360">
        <v>1247.8579999999999</v>
      </c>
      <c r="F2360">
        <f t="shared" si="145"/>
        <v>1282</v>
      </c>
      <c r="G2360">
        <f t="shared" si="147"/>
        <v>2.6631825273010961</v>
      </c>
      <c r="H2360">
        <f t="shared" si="148"/>
        <v>2.7360484926970901</v>
      </c>
    </row>
    <row r="2361" spans="1:8" x14ac:dyDescent="0.25">
      <c r="A2361" t="str">
        <f t="shared" si="146"/>
        <v>Multihop,NSFnet,120</v>
      </c>
      <c r="B2361" t="s">
        <v>34</v>
      </c>
      <c r="C2361" t="s">
        <v>6</v>
      </c>
      <c r="D2361">
        <v>120</v>
      </c>
      <c r="E2361">
        <v>1321.7840000000001</v>
      </c>
      <c r="F2361">
        <f t="shared" si="145"/>
        <v>1282</v>
      </c>
      <c r="G2361">
        <f t="shared" si="147"/>
        <v>3.1032761310452499</v>
      </c>
      <c r="H2361">
        <f t="shared" si="148"/>
        <v>3.0098715069935862</v>
      </c>
    </row>
    <row r="2362" spans="1:8" x14ac:dyDescent="0.25">
      <c r="A2362" t="str">
        <f t="shared" si="146"/>
        <v>Multihop,NSFnet,120</v>
      </c>
      <c r="B2362" t="s">
        <v>34</v>
      </c>
      <c r="C2362" t="s">
        <v>6</v>
      </c>
      <c r="D2362">
        <v>120</v>
      </c>
      <c r="E2362">
        <v>1281.009</v>
      </c>
      <c r="F2362">
        <f t="shared" si="145"/>
        <v>1282</v>
      </c>
      <c r="G2362">
        <f t="shared" si="147"/>
        <v>7.7301092043680616E-2</v>
      </c>
      <c r="H2362">
        <f t="shared" si="148"/>
        <v>7.7360892858675104E-2</v>
      </c>
    </row>
    <row r="2363" spans="1:8" x14ac:dyDescent="0.25">
      <c r="A2363" t="str">
        <f t="shared" si="146"/>
        <v>Multihop,NSFnet,120</v>
      </c>
      <c r="B2363" t="s">
        <v>34</v>
      </c>
      <c r="C2363" t="s">
        <v>6</v>
      </c>
      <c r="D2363">
        <v>120</v>
      </c>
      <c r="E2363">
        <v>1261.1010000000001</v>
      </c>
      <c r="F2363">
        <f t="shared" si="145"/>
        <v>1282</v>
      </c>
      <c r="G2363">
        <f t="shared" si="147"/>
        <v>1.6301872074882908</v>
      </c>
      <c r="H2363">
        <f t="shared" si="148"/>
        <v>1.6572027141362893</v>
      </c>
    </row>
    <row r="2364" spans="1:8" x14ac:dyDescent="0.25">
      <c r="A2364" t="str">
        <f t="shared" si="146"/>
        <v>Multihop,NSFnet,120</v>
      </c>
      <c r="B2364" t="s">
        <v>34</v>
      </c>
      <c r="C2364" t="s">
        <v>6</v>
      </c>
      <c r="D2364">
        <v>120</v>
      </c>
      <c r="E2364">
        <v>1300.5709999999999</v>
      </c>
      <c r="F2364">
        <f t="shared" si="145"/>
        <v>1282</v>
      </c>
      <c r="G2364">
        <f t="shared" si="147"/>
        <v>1.4485959438377467</v>
      </c>
      <c r="H2364">
        <f t="shared" si="148"/>
        <v>1.4279112789690001</v>
      </c>
    </row>
    <row r="2365" spans="1:8" x14ac:dyDescent="0.25">
      <c r="A2365" t="str">
        <f t="shared" si="146"/>
        <v>Multihop,NSFnet,120</v>
      </c>
      <c r="B2365" t="s">
        <v>34</v>
      </c>
      <c r="C2365" t="s">
        <v>6</v>
      </c>
      <c r="D2365">
        <v>120</v>
      </c>
      <c r="E2365">
        <v>1274.768</v>
      </c>
      <c r="F2365">
        <f t="shared" si="145"/>
        <v>1282</v>
      </c>
      <c r="G2365">
        <f t="shared" si="147"/>
        <v>0.56411856474258737</v>
      </c>
      <c r="H2365">
        <f t="shared" si="148"/>
        <v>0.56731891606943152</v>
      </c>
    </row>
    <row r="2366" spans="1:8" x14ac:dyDescent="0.25">
      <c r="A2366" t="str">
        <f t="shared" si="146"/>
        <v>Multihop,NSFnet,120</v>
      </c>
      <c r="B2366" t="s">
        <v>34</v>
      </c>
      <c r="C2366" t="s">
        <v>6</v>
      </c>
      <c r="D2366">
        <v>120</v>
      </c>
      <c r="E2366">
        <v>1210.2470000000001</v>
      </c>
      <c r="F2366">
        <f t="shared" si="145"/>
        <v>1282</v>
      </c>
      <c r="G2366">
        <f t="shared" si="147"/>
        <v>5.596957878315127</v>
      </c>
      <c r="H2366">
        <f t="shared" si="148"/>
        <v>5.928789742920241</v>
      </c>
    </row>
    <row r="2367" spans="1:8" x14ac:dyDescent="0.25">
      <c r="A2367" t="str">
        <f t="shared" si="146"/>
        <v>Multihop,NSFnet,120</v>
      </c>
      <c r="B2367" t="s">
        <v>34</v>
      </c>
      <c r="C2367" t="s">
        <v>6</v>
      </c>
      <c r="D2367">
        <v>120</v>
      </c>
      <c r="E2367">
        <v>1285.9760000000001</v>
      </c>
      <c r="F2367">
        <f t="shared" si="145"/>
        <v>1282</v>
      </c>
      <c r="G2367">
        <f t="shared" si="147"/>
        <v>0.31014040561623346</v>
      </c>
      <c r="H2367">
        <f t="shared" si="148"/>
        <v>0.30918150883065565</v>
      </c>
    </row>
    <row r="2368" spans="1:8" x14ac:dyDescent="0.25">
      <c r="A2368" t="str">
        <f t="shared" si="146"/>
        <v>Multihop,NSFnet,120</v>
      </c>
      <c r="B2368" t="s">
        <v>34</v>
      </c>
      <c r="C2368" t="s">
        <v>6</v>
      </c>
      <c r="D2368">
        <v>120</v>
      </c>
      <c r="E2368">
        <v>1272.165</v>
      </c>
      <c r="F2368">
        <f t="shared" si="145"/>
        <v>1282</v>
      </c>
      <c r="G2368">
        <f t="shared" si="147"/>
        <v>0.76716068642745994</v>
      </c>
      <c r="H2368">
        <f t="shared" si="148"/>
        <v>0.77309154079856279</v>
      </c>
    </row>
    <row r="2369" spans="1:8" x14ac:dyDescent="0.25">
      <c r="A2369" t="str">
        <f t="shared" si="146"/>
        <v>Multihop,NSFnet,120</v>
      </c>
      <c r="B2369" t="s">
        <v>34</v>
      </c>
      <c r="C2369" t="s">
        <v>6</v>
      </c>
      <c r="D2369">
        <v>120</v>
      </c>
      <c r="E2369">
        <v>1219.24</v>
      </c>
      <c r="F2369">
        <f t="shared" si="145"/>
        <v>1282</v>
      </c>
      <c r="G2369">
        <f t="shared" si="147"/>
        <v>4.895475819032761</v>
      </c>
      <c r="H2369">
        <f t="shared" si="148"/>
        <v>5.1474689150618413</v>
      </c>
    </row>
    <row r="2370" spans="1:8" x14ac:dyDescent="0.25">
      <c r="A2370" t="str">
        <f t="shared" si="146"/>
        <v>Multihop,NSFnet,120</v>
      </c>
      <c r="B2370" t="s">
        <v>34</v>
      </c>
      <c r="C2370" t="s">
        <v>6</v>
      </c>
      <c r="D2370">
        <v>120</v>
      </c>
      <c r="E2370">
        <v>1242.643</v>
      </c>
      <c r="F2370">
        <f t="shared" si="145"/>
        <v>1282</v>
      </c>
      <c r="G2370">
        <f t="shared" si="147"/>
        <v>3.0699687987519479</v>
      </c>
      <c r="H2370">
        <f t="shared" si="148"/>
        <v>3.1672008774845204</v>
      </c>
    </row>
    <row r="2371" spans="1:8" x14ac:dyDescent="0.25">
      <c r="A2371" t="str">
        <f t="shared" si="146"/>
        <v>Multihop,NSFnet,120</v>
      </c>
      <c r="B2371" t="s">
        <v>34</v>
      </c>
      <c r="C2371" t="s">
        <v>6</v>
      </c>
      <c r="D2371">
        <v>120</v>
      </c>
      <c r="E2371">
        <v>1233.874</v>
      </c>
      <c r="F2371">
        <f t="shared" ref="F2371:F2434" si="149">_xlfn.XLOOKUP(A2371,$J$3:$J$36,$N$3:$N$36)</f>
        <v>1282</v>
      </c>
      <c r="G2371">
        <f t="shared" si="147"/>
        <v>3.7539781591263628</v>
      </c>
      <c r="H2371">
        <f t="shared" si="148"/>
        <v>3.9003982578448024</v>
      </c>
    </row>
    <row r="2372" spans="1:8" x14ac:dyDescent="0.25">
      <c r="A2372" t="str">
        <f t="shared" ref="A2372:A2435" si="150">B2372&amp;","&amp;C2372&amp;","&amp;D2372</f>
        <v>Multihop,NSFnet,120</v>
      </c>
      <c r="B2372" t="s">
        <v>34</v>
      </c>
      <c r="C2372" t="s">
        <v>6</v>
      </c>
      <c r="D2372">
        <v>120</v>
      </c>
      <c r="E2372">
        <v>1298.9749999999999</v>
      </c>
      <c r="F2372">
        <f t="shared" si="149"/>
        <v>1282</v>
      </c>
      <c r="G2372">
        <f t="shared" ref="G2372:G2435" si="151">ABS((E2372-F2372)/F2372)*100</f>
        <v>1.3241029641185575</v>
      </c>
      <c r="H2372">
        <f t="shared" ref="H2372:H2435" si="152">ABS((F2372-E2372)/E2372)*100</f>
        <v>1.3067995919859821</v>
      </c>
    </row>
    <row r="2373" spans="1:8" x14ac:dyDescent="0.25">
      <c r="A2373" t="str">
        <f t="shared" si="150"/>
        <v>Multihop,NSFnet,120</v>
      </c>
      <c r="B2373" t="s">
        <v>34</v>
      </c>
      <c r="C2373" t="s">
        <v>6</v>
      </c>
      <c r="D2373">
        <v>120</v>
      </c>
      <c r="E2373">
        <v>1289.606</v>
      </c>
      <c r="F2373">
        <f t="shared" si="149"/>
        <v>1282</v>
      </c>
      <c r="G2373">
        <f t="shared" si="151"/>
        <v>0.59329173166926641</v>
      </c>
      <c r="H2373">
        <f t="shared" si="152"/>
        <v>0.58979254128780378</v>
      </c>
    </row>
    <row r="2374" spans="1:8" x14ac:dyDescent="0.25">
      <c r="A2374" t="str">
        <f t="shared" si="150"/>
        <v>Multihop,NSFnet,120</v>
      </c>
      <c r="B2374" t="s">
        <v>34</v>
      </c>
      <c r="C2374" t="s">
        <v>6</v>
      </c>
      <c r="D2374">
        <v>120</v>
      </c>
      <c r="E2374">
        <v>1246.8920000000001</v>
      </c>
      <c r="F2374">
        <f t="shared" si="149"/>
        <v>1282</v>
      </c>
      <c r="G2374">
        <f t="shared" si="151"/>
        <v>2.7385335413416496</v>
      </c>
      <c r="H2374">
        <f t="shared" si="152"/>
        <v>2.8156408093082597</v>
      </c>
    </row>
    <row r="2375" spans="1:8" x14ac:dyDescent="0.25">
      <c r="A2375" t="str">
        <f t="shared" si="150"/>
        <v>Multihop,NSFnet,120</v>
      </c>
      <c r="B2375" t="s">
        <v>34</v>
      </c>
      <c r="C2375" t="s">
        <v>6</v>
      </c>
      <c r="D2375">
        <v>120</v>
      </c>
      <c r="E2375">
        <v>1309.319</v>
      </c>
      <c r="F2375">
        <f t="shared" si="149"/>
        <v>1282</v>
      </c>
      <c r="G2375">
        <f t="shared" si="151"/>
        <v>2.1309672386895446</v>
      </c>
      <c r="H2375">
        <f t="shared" si="152"/>
        <v>2.0865045111237186</v>
      </c>
    </row>
    <row r="2376" spans="1:8" x14ac:dyDescent="0.25">
      <c r="A2376" t="str">
        <f t="shared" si="150"/>
        <v>Multihop,NSFnet,120</v>
      </c>
      <c r="B2376" t="s">
        <v>34</v>
      </c>
      <c r="C2376" t="s">
        <v>6</v>
      </c>
      <c r="D2376">
        <v>120</v>
      </c>
      <c r="E2376">
        <v>1230.9000000000001</v>
      </c>
      <c r="F2376">
        <f t="shared" si="149"/>
        <v>1282</v>
      </c>
      <c r="G2376">
        <f t="shared" si="151"/>
        <v>3.9859594383775279</v>
      </c>
      <c r="H2376">
        <f t="shared" si="152"/>
        <v>4.1514339101470394</v>
      </c>
    </row>
    <row r="2377" spans="1:8" x14ac:dyDescent="0.25">
      <c r="A2377" t="str">
        <f t="shared" si="150"/>
        <v>Multihop,NSFnet,120</v>
      </c>
      <c r="B2377" t="s">
        <v>34</v>
      </c>
      <c r="C2377" t="s">
        <v>6</v>
      </c>
      <c r="D2377">
        <v>120</v>
      </c>
      <c r="E2377">
        <v>1265.1569999999999</v>
      </c>
      <c r="F2377">
        <f t="shared" si="149"/>
        <v>1282</v>
      </c>
      <c r="G2377">
        <f t="shared" si="151"/>
        <v>1.3138065522620963</v>
      </c>
      <c r="H2377">
        <f t="shared" si="152"/>
        <v>1.3312972224000716</v>
      </c>
    </row>
    <row r="2378" spans="1:8" x14ac:dyDescent="0.25">
      <c r="A2378" t="str">
        <f t="shared" si="150"/>
        <v>Multihop,NSFnet,120</v>
      </c>
      <c r="B2378" t="s">
        <v>34</v>
      </c>
      <c r="C2378" t="s">
        <v>6</v>
      </c>
      <c r="D2378">
        <v>120</v>
      </c>
      <c r="E2378">
        <v>1212.9770000000001</v>
      </c>
      <c r="F2378">
        <f t="shared" si="149"/>
        <v>1282</v>
      </c>
      <c r="G2378">
        <f t="shared" si="151"/>
        <v>5.3840093603744084</v>
      </c>
      <c r="H2378">
        <f t="shared" si="152"/>
        <v>5.6903799494961493</v>
      </c>
    </row>
    <row r="2379" spans="1:8" x14ac:dyDescent="0.25">
      <c r="A2379" t="str">
        <f t="shared" si="150"/>
        <v>Multihop,NSFnet,120</v>
      </c>
      <c r="B2379" t="s">
        <v>34</v>
      </c>
      <c r="C2379" t="s">
        <v>6</v>
      </c>
      <c r="D2379">
        <v>120</v>
      </c>
      <c r="E2379">
        <v>1252.4780000000001</v>
      </c>
      <c r="F2379">
        <f t="shared" si="149"/>
        <v>1282</v>
      </c>
      <c r="G2379">
        <f t="shared" si="151"/>
        <v>2.3028081123244877</v>
      </c>
      <c r="H2379">
        <f t="shared" si="152"/>
        <v>2.3570873101164196</v>
      </c>
    </row>
    <row r="2380" spans="1:8" x14ac:dyDescent="0.25">
      <c r="A2380" t="str">
        <f t="shared" si="150"/>
        <v>Multihop,NSFnet,120</v>
      </c>
      <c r="B2380" t="s">
        <v>34</v>
      </c>
      <c r="C2380" t="s">
        <v>6</v>
      </c>
      <c r="D2380">
        <v>120</v>
      </c>
      <c r="E2380">
        <v>1170.355</v>
      </c>
      <c r="F2380">
        <f t="shared" si="149"/>
        <v>1282</v>
      </c>
      <c r="G2380">
        <f t="shared" si="151"/>
        <v>8.7086583463338521</v>
      </c>
      <c r="H2380">
        <f t="shared" si="152"/>
        <v>9.5394132549525565</v>
      </c>
    </row>
    <row r="2381" spans="1:8" x14ac:dyDescent="0.25">
      <c r="A2381" t="str">
        <f t="shared" si="150"/>
        <v>Multihop,NSFnet,120</v>
      </c>
      <c r="B2381" t="s">
        <v>34</v>
      </c>
      <c r="C2381" t="s">
        <v>6</v>
      </c>
      <c r="D2381">
        <v>120</v>
      </c>
      <c r="E2381">
        <v>1306.297</v>
      </c>
      <c r="F2381">
        <f t="shared" si="149"/>
        <v>1282</v>
      </c>
      <c r="G2381">
        <f t="shared" si="151"/>
        <v>1.8952418096723889</v>
      </c>
      <c r="H2381">
        <f t="shared" si="152"/>
        <v>1.859990492208129</v>
      </c>
    </row>
    <row r="2382" spans="1:8" x14ac:dyDescent="0.25">
      <c r="A2382" t="str">
        <f t="shared" si="150"/>
        <v>Multihop,NSFnet,120</v>
      </c>
      <c r="B2382" t="s">
        <v>34</v>
      </c>
      <c r="C2382" t="s">
        <v>6</v>
      </c>
      <c r="D2382">
        <v>120</v>
      </c>
      <c r="E2382">
        <v>1245.3610000000001</v>
      </c>
      <c r="F2382">
        <f t="shared" si="149"/>
        <v>1282</v>
      </c>
      <c r="G2382">
        <f t="shared" si="151"/>
        <v>2.8579563182527221</v>
      </c>
      <c r="H2382">
        <f t="shared" si="152"/>
        <v>2.9420384932561636</v>
      </c>
    </row>
    <row r="2383" spans="1:8" x14ac:dyDescent="0.25">
      <c r="A2383" t="str">
        <f t="shared" si="150"/>
        <v>Multihop,NSFnet,120</v>
      </c>
      <c r="B2383" t="s">
        <v>34</v>
      </c>
      <c r="C2383" t="s">
        <v>6</v>
      </c>
      <c r="D2383">
        <v>120</v>
      </c>
      <c r="E2383">
        <v>1243.482</v>
      </c>
      <c r="F2383">
        <f t="shared" si="149"/>
        <v>1282</v>
      </c>
      <c r="G2383">
        <f t="shared" si="151"/>
        <v>3.0045241809672407</v>
      </c>
      <c r="H2383">
        <f t="shared" si="152"/>
        <v>3.0975920841636655</v>
      </c>
    </row>
    <row r="2384" spans="1:8" x14ac:dyDescent="0.25">
      <c r="A2384" t="str">
        <f t="shared" si="150"/>
        <v>Multihop,NSFnet,120</v>
      </c>
      <c r="B2384" t="s">
        <v>34</v>
      </c>
      <c r="C2384" t="s">
        <v>6</v>
      </c>
      <c r="D2384">
        <v>120</v>
      </c>
      <c r="E2384">
        <v>1189.527</v>
      </c>
      <c r="F2384">
        <f t="shared" si="149"/>
        <v>1282</v>
      </c>
      <c r="G2384">
        <f t="shared" si="151"/>
        <v>7.2131825273010888</v>
      </c>
      <c r="H2384">
        <f t="shared" si="152"/>
        <v>7.7739303101148574</v>
      </c>
    </row>
    <row r="2385" spans="1:8" x14ac:dyDescent="0.25">
      <c r="A2385" t="str">
        <f t="shared" si="150"/>
        <v>Multihop,NSFnet,120</v>
      </c>
      <c r="B2385" t="s">
        <v>34</v>
      </c>
      <c r="C2385" t="s">
        <v>6</v>
      </c>
      <c r="D2385">
        <v>120</v>
      </c>
      <c r="E2385">
        <v>1226.778</v>
      </c>
      <c r="F2385">
        <f t="shared" si="149"/>
        <v>1282</v>
      </c>
      <c r="G2385">
        <f t="shared" si="151"/>
        <v>4.3074882995319799</v>
      </c>
      <c r="H2385">
        <f t="shared" si="152"/>
        <v>4.5013849286504959</v>
      </c>
    </row>
    <row r="2386" spans="1:8" x14ac:dyDescent="0.25">
      <c r="A2386" t="str">
        <f t="shared" si="150"/>
        <v>Multihop,NSFnet,120</v>
      </c>
      <c r="B2386" t="s">
        <v>34</v>
      </c>
      <c r="C2386" t="s">
        <v>6</v>
      </c>
      <c r="D2386">
        <v>120</v>
      </c>
      <c r="E2386">
        <v>1307.002</v>
      </c>
      <c r="F2386">
        <f t="shared" si="149"/>
        <v>1282</v>
      </c>
      <c r="G2386">
        <f t="shared" si="151"/>
        <v>1.9502340093603707</v>
      </c>
      <c r="H2386">
        <f t="shared" si="152"/>
        <v>1.9129274477009179</v>
      </c>
    </row>
    <row r="2387" spans="1:8" x14ac:dyDescent="0.25">
      <c r="A2387" t="str">
        <f t="shared" si="150"/>
        <v>Multihop,NSFnet,120</v>
      </c>
      <c r="B2387" t="s">
        <v>34</v>
      </c>
      <c r="C2387" t="s">
        <v>6</v>
      </c>
      <c r="D2387">
        <v>120</v>
      </c>
      <c r="E2387">
        <v>1289.0619999999999</v>
      </c>
      <c r="F2387">
        <f t="shared" si="149"/>
        <v>1282</v>
      </c>
      <c r="G2387">
        <f t="shared" si="151"/>
        <v>0.55085803432136493</v>
      </c>
      <c r="H2387">
        <f t="shared" si="152"/>
        <v>0.54784021249558978</v>
      </c>
    </row>
    <row r="2388" spans="1:8" x14ac:dyDescent="0.25">
      <c r="A2388" t="str">
        <f t="shared" si="150"/>
        <v>Multihop,NSFnet,120</v>
      </c>
      <c r="B2388" t="s">
        <v>34</v>
      </c>
      <c r="C2388" t="s">
        <v>6</v>
      </c>
      <c r="D2388">
        <v>120</v>
      </c>
      <c r="E2388">
        <v>1289.2190000000001</v>
      </c>
      <c r="F2388">
        <f t="shared" si="149"/>
        <v>1282</v>
      </c>
      <c r="G2388">
        <f t="shared" si="151"/>
        <v>0.56310452418097123</v>
      </c>
      <c r="H2388">
        <f t="shared" si="152"/>
        <v>0.55995141244428226</v>
      </c>
    </row>
    <row r="2389" spans="1:8" x14ac:dyDescent="0.25">
      <c r="A2389" t="str">
        <f t="shared" si="150"/>
        <v>Multihop,NSFnet,120</v>
      </c>
      <c r="B2389" t="s">
        <v>34</v>
      </c>
      <c r="C2389" t="s">
        <v>6</v>
      </c>
      <c r="D2389">
        <v>120</v>
      </c>
      <c r="E2389">
        <v>1224.23</v>
      </c>
      <c r="F2389">
        <f t="shared" si="149"/>
        <v>1282</v>
      </c>
      <c r="G2389">
        <f t="shared" si="151"/>
        <v>4.5062402496099825</v>
      </c>
      <c r="H2389">
        <f t="shared" si="152"/>
        <v>4.7188845233330321</v>
      </c>
    </row>
    <row r="2390" spans="1:8" x14ac:dyDescent="0.25">
      <c r="A2390" t="str">
        <f t="shared" si="150"/>
        <v>Multihop,NSFnet,120</v>
      </c>
      <c r="B2390" t="s">
        <v>34</v>
      </c>
      <c r="C2390" t="s">
        <v>6</v>
      </c>
      <c r="D2390">
        <v>120</v>
      </c>
      <c r="E2390">
        <v>1250.7380000000001</v>
      </c>
      <c r="F2390">
        <f t="shared" si="149"/>
        <v>1282</v>
      </c>
      <c r="G2390">
        <f t="shared" si="151"/>
        <v>2.4385335413416493</v>
      </c>
      <c r="H2390">
        <f t="shared" si="152"/>
        <v>2.4994843044666384</v>
      </c>
    </row>
    <row r="2391" spans="1:8" x14ac:dyDescent="0.25">
      <c r="A2391" t="str">
        <f t="shared" si="150"/>
        <v>Multihop,NSFnet,120</v>
      </c>
      <c r="B2391" t="s">
        <v>34</v>
      </c>
      <c r="C2391" t="s">
        <v>6</v>
      </c>
      <c r="D2391">
        <v>120</v>
      </c>
      <c r="E2391">
        <v>1263.7829999999999</v>
      </c>
      <c r="F2391">
        <f t="shared" si="149"/>
        <v>1282</v>
      </c>
      <c r="G2391">
        <f t="shared" si="151"/>
        <v>1.4209828393135802</v>
      </c>
      <c r="H2391">
        <f t="shared" si="152"/>
        <v>1.4414658212683744</v>
      </c>
    </row>
    <row r="2392" spans="1:8" x14ac:dyDescent="0.25">
      <c r="A2392" t="str">
        <f t="shared" si="150"/>
        <v>Multihop,NSFnet,120</v>
      </c>
      <c r="B2392" t="s">
        <v>34</v>
      </c>
      <c r="C2392" t="s">
        <v>6</v>
      </c>
      <c r="D2392">
        <v>120</v>
      </c>
      <c r="E2392">
        <v>1198.4090000000001</v>
      </c>
      <c r="F2392">
        <f t="shared" si="149"/>
        <v>1282</v>
      </c>
      <c r="G2392">
        <f t="shared" si="151"/>
        <v>6.5203588143525657</v>
      </c>
      <c r="H2392">
        <f t="shared" si="152"/>
        <v>6.9751645723621802</v>
      </c>
    </row>
    <row r="2393" spans="1:8" x14ac:dyDescent="0.25">
      <c r="A2393" t="str">
        <f t="shared" si="150"/>
        <v>Multihop,NSFnet,120</v>
      </c>
      <c r="B2393" t="s">
        <v>34</v>
      </c>
      <c r="C2393" t="s">
        <v>6</v>
      </c>
      <c r="D2393">
        <v>120</v>
      </c>
      <c r="E2393">
        <v>1250.1790000000001</v>
      </c>
      <c r="F2393">
        <f t="shared" si="149"/>
        <v>1282</v>
      </c>
      <c r="G2393">
        <f t="shared" si="151"/>
        <v>2.4821372854914125</v>
      </c>
      <c r="H2393">
        <f t="shared" si="152"/>
        <v>2.5453155108188437</v>
      </c>
    </row>
    <row r="2394" spans="1:8" x14ac:dyDescent="0.25">
      <c r="A2394" t="str">
        <f t="shared" si="150"/>
        <v>Multihop,NSFnet,120</v>
      </c>
      <c r="B2394" t="s">
        <v>34</v>
      </c>
      <c r="C2394" t="s">
        <v>6</v>
      </c>
      <c r="D2394">
        <v>120</v>
      </c>
      <c r="E2394">
        <v>1226.203</v>
      </c>
      <c r="F2394">
        <f t="shared" si="149"/>
        <v>1282</v>
      </c>
      <c r="G2394">
        <f t="shared" si="151"/>
        <v>4.352340093603746</v>
      </c>
      <c r="H2394">
        <f t="shared" si="152"/>
        <v>4.5503884756439215</v>
      </c>
    </row>
    <row r="2395" spans="1:8" x14ac:dyDescent="0.25">
      <c r="A2395" t="str">
        <f t="shared" si="150"/>
        <v>Multihop,NSFnet,120</v>
      </c>
      <c r="B2395" t="s">
        <v>34</v>
      </c>
      <c r="C2395" t="s">
        <v>6</v>
      </c>
      <c r="D2395">
        <v>120</v>
      </c>
      <c r="E2395">
        <v>1210.3900000000001</v>
      </c>
      <c r="F2395">
        <f t="shared" si="149"/>
        <v>1282</v>
      </c>
      <c r="G2395">
        <f t="shared" si="151"/>
        <v>5.5858034321372774</v>
      </c>
      <c r="H2395">
        <f t="shared" si="152"/>
        <v>5.9162749196539872</v>
      </c>
    </row>
    <row r="2396" spans="1:8" x14ac:dyDescent="0.25">
      <c r="A2396" t="str">
        <f t="shared" si="150"/>
        <v>Multihop,NSFnet,120</v>
      </c>
      <c r="B2396" t="s">
        <v>34</v>
      </c>
      <c r="C2396" t="s">
        <v>6</v>
      </c>
      <c r="D2396">
        <v>120</v>
      </c>
      <c r="E2396">
        <v>1342.579</v>
      </c>
      <c r="F2396">
        <f t="shared" si="149"/>
        <v>1282</v>
      </c>
      <c r="G2396">
        <f t="shared" si="151"/>
        <v>4.725351014040557</v>
      </c>
      <c r="H2396">
        <f t="shared" si="152"/>
        <v>4.5121367159772312</v>
      </c>
    </row>
    <row r="2397" spans="1:8" x14ac:dyDescent="0.25">
      <c r="A2397" t="str">
        <f t="shared" si="150"/>
        <v>Multihop,NSFnet,120</v>
      </c>
      <c r="B2397" t="s">
        <v>34</v>
      </c>
      <c r="C2397" t="s">
        <v>6</v>
      </c>
      <c r="D2397">
        <v>120</v>
      </c>
      <c r="E2397">
        <v>1288.175</v>
      </c>
      <c r="F2397">
        <f t="shared" si="149"/>
        <v>1282</v>
      </c>
      <c r="G2397">
        <f t="shared" si="151"/>
        <v>0.48166926677066729</v>
      </c>
      <c r="H2397">
        <f t="shared" si="152"/>
        <v>0.4793603353581582</v>
      </c>
    </row>
    <row r="2398" spans="1:8" x14ac:dyDescent="0.25">
      <c r="A2398" t="str">
        <f t="shared" si="150"/>
        <v>Multihop,NSFnet,120</v>
      </c>
      <c r="B2398" t="s">
        <v>34</v>
      </c>
      <c r="C2398" t="s">
        <v>6</v>
      </c>
      <c r="D2398">
        <v>120</v>
      </c>
      <c r="E2398">
        <v>1233.8979999999999</v>
      </c>
      <c r="F2398">
        <f t="shared" si="149"/>
        <v>1282</v>
      </c>
      <c r="G2398">
        <f t="shared" si="151"/>
        <v>3.7521060842433762</v>
      </c>
      <c r="H2398">
        <f t="shared" si="152"/>
        <v>3.8983773375108872</v>
      </c>
    </row>
    <row r="2399" spans="1:8" x14ac:dyDescent="0.25">
      <c r="A2399" t="str">
        <f t="shared" si="150"/>
        <v>Multihop,NSFnet,120</v>
      </c>
      <c r="B2399" t="s">
        <v>34</v>
      </c>
      <c r="C2399" t="s">
        <v>6</v>
      </c>
      <c r="D2399">
        <v>120</v>
      </c>
      <c r="E2399">
        <v>1255.8409999999999</v>
      </c>
      <c r="F2399">
        <f t="shared" si="149"/>
        <v>1282</v>
      </c>
      <c r="G2399">
        <f t="shared" si="151"/>
        <v>2.0404836193447817</v>
      </c>
      <c r="H2399">
        <f t="shared" si="152"/>
        <v>2.0829866201215048</v>
      </c>
    </row>
    <row r="2400" spans="1:8" x14ac:dyDescent="0.25">
      <c r="A2400" t="str">
        <f t="shared" si="150"/>
        <v>Multihop,NSFnet,120</v>
      </c>
      <c r="B2400" t="s">
        <v>34</v>
      </c>
      <c r="C2400" t="s">
        <v>6</v>
      </c>
      <c r="D2400">
        <v>120</v>
      </c>
      <c r="E2400">
        <v>1295.318</v>
      </c>
      <c r="F2400">
        <f t="shared" si="149"/>
        <v>1282</v>
      </c>
      <c r="G2400">
        <f t="shared" si="151"/>
        <v>1.0388455538221515</v>
      </c>
      <c r="H2400">
        <f t="shared" si="152"/>
        <v>1.028164512498088</v>
      </c>
    </row>
    <row r="2401" spans="1:8" x14ac:dyDescent="0.25">
      <c r="A2401" t="str">
        <f t="shared" si="150"/>
        <v>Multihop,NSFnet,120</v>
      </c>
      <c r="B2401" t="s">
        <v>34</v>
      </c>
      <c r="C2401" t="s">
        <v>6</v>
      </c>
      <c r="D2401">
        <v>120</v>
      </c>
      <c r="E2401">
        <v>1246.56</v>
      </c>
      <c r="F2401">
        <f t="shared" si="149"/>
        <v>1282</v>
      </c>
      <c r="G2401">
        <f t="shared" si="151"/>
        <v>2.7644305772230933</v>
      </c>
      <c r="H2401">
        <f t="shared" si="152"/>
        <v>2.8430240020536561</v>
      </c>
    </row>
    <row r="2402" spans="1:8" x14ac:dyDescent="0.25">
      <c r="A2402" t="str">
        <f t="shared" si="150"/>
        <v>Multihop,NSFnet,120</v>
      </c>
      <c r="B2402" t="s">
        <v>34</v>
      </c>
      <c r="C2402" t="s">
        <v>6</v>
      </c>
      <c r="D2402">
        <v>120</v>
      </c>
      <c r="E2402">
        <v>1204.2070000000001</v>
      </c>
      <c r="F2402">
        <f t="shared" si="149"/>
        <v>1282</v>
      </c>
      <c r="G2402">
        <f t="shared" si="151"/>
        <v>6.0680967238689467</v>
      </c>
      <c r="H2402">
        <f t="shared" si="152"/>
        <v>6.4601019592146436</v>
      </c>
    </row>
    <row r="2403" spans="1:8" x14ac:dyDescent="0.25">
      <c r="A2403" t="str">
        <f t="shared" si="150"/>
        <v>Multihop,STnet,20</v>
      </c>
      <c r="B2403" t="s">
        <v>34</v>
      </c>
      <c r="C2403" t="s">
        <v>5</v>
      </c>
      <c r="D2403">
        <v>20</v>
      </c>
      <c r="E2403">
        <v>44.222000000000001</v>
      </c>
      <c r="F2403">
        <f t="shared" si="149"/>
        <v>46</v>
      </c>
      <c r="G2403">
        <f t="shared" si="151"/>
        <v>3.8652173913043453</v>
      </c>
      <c r="H2403">
        <f t="shared" si="152"/>
        <v>4.0206232192121538</v>
      </c>
    </row>
    <row r="2404" spans="1:8" x14ac:dyDescent="0.25">
      <c r="A2404" t="str">
        <f t="shared" si="150"/>
        <v>Multihop,STnet,20</v>
      </c>
      <c r="B2404" t="s">
        <v>34</v>
      </c>
      <c r="C2404" t="s">
        <v>5</v>
      </c>
      <c r="D2404">
        <v>20</v>
      </c>
      <c r="E2404">
        <v>43.003</v>
      </c>
      <c r="F2404">
        <f t="shared" si="149"/>
        <v>46</v>
      </c>
      <c r="G2404">
        <f t="shared" si="151"/>
        <v>6.5152173913043478</v>
      </c>
      <c r="H2404">
        <f t="shared" si="152"/>
        <v>6.9692812129386317</v>
      </c>
    </row>
    <row r="2405" spans="1:8" x14ac:dyDescent="0.25">
      <c r="A2405" t="str">
        <f t="shared" si="150"/>
        <v>Multihop,STnet,20</v>
      </c>
      <c r="B2405" t="s">
        <v>34</v>
      </c>
      <c r="C2405" t="s">
        <v>5</v>
      </c>
      <c r="D2405">
        <v>20</v>
      </c>
      <c r="E2405">
        <v>48.295000000000002</v>
      </c>
      <c r="F2405">
        <f t="shared" si="149"/>
        <v>46</v>
      </c>
      <c r="G2405">
        <f t="shared" si="151"/>
        <v>4.9891304347826129</v>
      </c>
      <c r="H2405">
        <f t="shared" si="152"/>
        <v>4.7520447251268276</v>
      </c>
    </row>
    <row r="2406" spans="1:8" x14ac:dyDescent="0.25">
      <c r="A2406" t="str">
        <f t="shared" si="150"/>
        <v>Multihop,STnet,20</v>
      </c>
      <c r="B2406" t="s">
        <v>34</v>
      </c>
      <c r="C2406" t="s">
        <v>5</v>
      </c>
      <c r="D2406">
        <v>20</v>
      </c>
      <c r="E2406">
        <v>43.003</v>
      </c>
      <c r="F2406">
        <f t="shared" si="149"/>
        <v>46</v>
      </c>
      <c r="G2406">
        <f t="shared" si="151"/>
        <v>6.5152173913043478</v>
      </c>
      <c r="H2406">
        <f t="shared" si="152"/>
        <v>6.9692812129386317</v>
      </c>
    </row>
    <row r="2407" spans="1:8" x14ac:dyDescent="0.25">
      <c r="A2407" t="str">
        <f t="shared" si="150"/>
        <v>Multihop,STnet,20</v>
      </c>
      <c r="B2407" t="s">
        <v>34</v>
      </c>
      <c r="C2407" t="s">
        <v>5</v>
      </c>
      <c r="D2407">
        <v>20</v>
      </c>
      <c r="E2407">
        <v>45.295000000000002</v>
      </c>
      <c r="F2407">
        <f t="shared" si="149"/>
        <v>46</v>
      </c>
      <c r="G2407">
        <f t="shared" si="151"/>
        <v>1.5326086956521701</v>
      </c>
      <c r="H2407">
        <f t="shared" si="152"/>
        <v>1.5564631857820914</v>
      </c>
    </row>
    <row r="2408" spans="1:8" x14ac:dyDescent="0.25">
      <c r="A2408" t="str">
        <f t="shared" si="150"/>
        <v>Multihop,STnet,20</v>
      </c>
      <c r="B2408" t="s">
        <v>34</v>
      </c>
      <c r="C2408" t="s">
        <v>5</v>
      </c>
      <c r="D2408">
        <v>20</v>
      </c>
      <c r="E2408">
        <v>42.003</v>
      </c>
      <c r="F2408">
        <f t="shared" si="149"/>
        <v>46</v>
      </c>
      <c r="G2408">
        <f t="shared" si="151"/>
        <v>8.6891304347826086</v>
      </c>
      <c r="H2408">
        <f t="shared" si="152"/>
        <v>9.5159869533128578</v>
      </c>
    </row>
    <row r="2409" spans="1:8" x14ac:dyDescent="0.25">
      <c r="A2409" t="str">
        <f t="shared" si="150"/>
        <v>Multihop,STnet,20</v>
      </c>
      <c r="B2409" t="s">
        <v>34</v>
      </c>
      <c r="C2409" t="s">
        <v>5</v>
      </c>
      <c r="D2409">
        <v>20</v>
      </c>
      <c r="E2409">
        <v>45.003</v>
      </c>
      <c r="F2409">
        <f t="shared" si="149"/>
        <v>46</v>
      </c>
      <c r="G2409">
        <f t="shared" si="151"/>
        <v>2.1673913043478259</v>
      </c>
      <c r="H2409">
        <f t="shared" si="152"/>
        <v>2.2154078616981088</v>
      </c>
    </row>
    <row r="2410" spans="1:8" x14ac:dyDescent="0.25">
      <c r="A2410" t="str">
        <f t="shared" si="150"/>
        <v>Multihop,STnet,20</v>
      </c>
      <c r="B2410" t="s">
        <v>34</v>
      </c>
      <c r="C2410" t="s">
        <v>5</v>
      </c>
      <c r="D2410">
        <v>20</v>
      </c>
      <c r="E2410">
        <v>45.003</v>
      </c>
      <c r="F2410">
        <f t="shared" si="149"/>
        <v>46</v>
      </c>
      <c r="G2410">
        <f t="shared" si="151"/>
        <v>2.1673913043478259</v>
      </c>
      <c r="H2410">
        <f t="shared" si="152"/>
        <v>2.2154078616981088</v>
      </c>
    </row>
    <row r="2411" spans="1:8" x14ac:dyDescent="0.25">
      <c r="A2411" t="str">
        <f t="shared" si="150"/>
        <v>Multihop,STnet,20</v>
      </c>
      <c r="B2411" t="s">
        <v>34</v>
      </c>
      <c r="C2411" t="s">
        <v>5</v>
      </c>
      <c r="D2411">
        <v>20</v>
      </c>
      <c r="E2411">
        <v>46.295000000000002</v>
      </c>
      <c r="F2411">
        <f t="shared" si="149"/>
        <v>46</v>
      </c>
      <c r="G2411">
        <f t="shared" si="151"/>
        <v>0.64130434782609069</v>
      </c>
      <c r="H2411">
        <f t="shared" si="152"/>
        <v>0.63721784209958243</v>
      </c>
    </row>
    <row r="2412" spans="1:8" x14ac:dyDescent="0.25">
      <c r="A2412" t="str">
        <f t="shared" si="150"/>
        <v>Multihop,STnet,20</v>
      </c>
      <c r="B2412" t="s">
        <v>34</v>
      </c>
      <c r="C2412" t="s">
        <v>5</v>
      </c>
      <c r="D2412">
        <v>20</v>
      </c>
      <c r="E2412">
        <v>44.076000000000001</v>
      </c>
      <c r="F2412">
        <f t="shared" si="149"/>
        <v>46</v>
      </c>
      <c r="G2412">
        <f t="shared" si="151"/>
        <v>4.1826086956521724</v>
      </c>
      <c r="H2412">
        <f t="shared" si="152"/>
        <v>4.3651874035756411</v>
      </c>
    </row>
    <row r="2413" spans="1:8" x14ac:dyDescent="0.25">
      <c r="A2413" t="str">
        <f t="shared" si="150"/>
        <v>Multihop,STnet,20</v>
      </c>
      <c r="B2413" t="s">
        <v>34</v>
      </c>
      <c r="C2413" t="s">
        <v>5</v>
      </c>
      <c r="D2413">
        <v>20</v>
      </c>
      <c r="E2413">
        <v>43.93</v>
      </c>
      <c r="F2413">
        <f t="shared" si="149"/>
        <v>46</v>
      </c>
      <c r="G2413">
        <f t="shared" si="151"/>
        <v>4.5000000000000009</v>
      </c>
      <c r="H2413">
        <f t="shared" si="152"/>
        <v>4.7120418848167551</v>
      </c>
    </row>
    <row r="2414" spans="1:8" x14ac:dyDescent="0.25">
      <c r="A2414" t="str">
        <f t="shared" si="150"/>
        <v>Multihop,STnet,20</v>
      </c>
      <c r="B2414" t="s">
        <v>34</v>
      </c>
      <c r="C2414" t="s">
        <v>5</v>
      </c>
      <c r="D2414">
        <v>20</v>
      </c>
      <c r="E2414">
        <v>44.076000000000001</v>
      </c>
      <c r="F2414">
        <f t="shared" si="149"/>
        <v>46</v>
      </c>
      <c r="G2414">
        <f t="shared" si="151"/>
        <v>4.1826086956521724</v>
      </c>
      <c r="H2414">
        <f t="shared" si="152"/>
        <v>4.3651874035756411</v>
      </c>
    </row>
    <row r="2415" spans="1:8" x14ac:dyDescent="0.25">
      <c r="A2415" t="str">
        <f t="shared" si="150"/>
        <v>Multihop,STnet,20</v>
      </c>
      <c r="B2415" t="s">
        <v>34</v>
      </c>
      <c r="C2415" t="s">
        <v>5</v>
      </c>
      <c r="D2415">
        <v>20</v>
      </c>
      <c r="E2415">
        <v>44.93</v>
      </c>
      <c r="F2415">
        <f t="shared" si="149"/>
        <v>46</v>
      </c>
      <c r="G2415">
        <f t="shared" si="151"/>
        <v>2.3260869565217397</v>
      </c>
      <c r="H2415">
        <f t="shared" si="152"/>
        <v>2.3814823058090369</v>
      </c>
    </row>
    <row r="2416" spans="1:8" x14ac:dyDescent="0.25">
      <c r="A2416" t="str">
        <f t="shared" si="150"/>
        <v>Multihop,STnet,20</v>
      </c>
      <c r="B2416" t="s">
        <v>34</v>
      </c>
      <c r="C2416" t="s">
        <v>5</v>
      </c>
      <c r="D2416">
        <v>20</v>
      </c>
      <c r="E2416">
        <v>45.076000000000001</v>
      </c>
      <c r="F2416">
        <f t="shared" si="149"/>
        <v>46</v>
      </c>
      <c r="G2416">
        <f t="shared" si="151"/>
        <v>2.0086956521739121</v>
      </c>
      <c r="H2416">
        <f t="shared" si="152"/>
        <v>2.0498713284231065</v>
      </c>
    </row>
    <row r="2417" spans="1:8" x14ac:dyDescent="0.25">
      <c r="A2417" t="str">
        <f t="shared" si="150"/>
        <v>Multihop,STnet,20</v>
      </c>
      <c r="B2417" t="s">
        <v>34</v>
      </c>
      <c r="C2417" t="s">
        <v>5</v>
      </c>
      <c r="D2417">
        <v>20</v>
      </c>
      <c r="E2417">
        <v>45.076000000000001</v>
      </c>
      <c r="F2417">
        <f t="shared" si="149"/>
        <v>46</v>
      </c>
      <c r="G2417">
        <f t="shared" si="151"/>
        <v>2.0086956521739121</v>
      </c>
      <c r="H2417">
        <f t="shared" si="152"/>
        <v>2.0498713284231065</v>
      </c>
    </row>
    <row r="2418" spans="1:8" x14ac:dyDescent="0.25">
      <c r="A2418" t="str">
        <f t="shared" si="150"/>
        <v>Multihop,STnet,20</v>
      </c>
      <c r="B2418" t="s">
        <v>34</v>
      </c>
      <c r="C2418" t="s">
        <v>5</v>
      </c>
      <c r="D2418">
        <v>20</v>
      </c>
      <c r="E2418">
        <v>45.222000000000001</v>
      </c>
      <c r="F2418">
        <f t="shared" si="149"/>
        <v>46</v>
      </c>
      <c r="G2418">
        <f t="shared" si="151"/>
        <v>1.6913043478260841</v>
      </c>
      <c r="H2418">
        <f t="shared" si="152"/>
        <v>1.7204015744549086</v>
      </c>
    </row>
    <row r="2419" spans="1:8" x14ac:dyDescent="0.25">
      <c r="A2419" t="str">
        <f t="shared" si="150"/>
        <v>Multihop,STnet,20</v>
      </c>
      <c r="B2419" t="s">
        <v>34</v>
      </c>
      <c r="C2419" t="s">
        <v>5</v>
      </c>
      <c r="D2419">
        <v>20</v>
      </c>
      <c r="E2419">
        <v>44.003</v>
      </c>
      <c r="F2419">
        <f t="shared" si="149"/>
        <v>46</v>
      </c>
      <c r="G2419">
        <f t="shared" si="151"/>
        <v>4.3413043478260871</v>
      </c>
      <c r="H2419">
        <f t="shared" si="152"/>
        <v>4.5383269322546189</v>
      </c>
    </row>
    <row r="2420" spans="1:8" x14ac:dyDescent="0.25">
      <c r="A2420" t="str">
        <f t="shared" si="150"/>
        <v>Multihop,STnet,20</v>
      </c>
      <c r="B2420" t="s">
        <v>34</v>
      </c>
      <c r="C2420" t="s">
        <v>5</v>
      </c>
      <c r="D2420">
        <v>20</v>
      </c>
      <c r="E2420">
        <v>43.149000000000001</v>
      </c>
      <c r="F2420">
        <f t="shared" si="149"/>
        <v>46</v>
      </c>
      <c r="G2420">
        <f t="shared" si="151"/>
        <v>6.1978260869565194</v>
      </c>
      <c r="H2420">
        <f t="shared" si="152"/>
        <v>6.6073373658717447</v>
      </c>
    </row>
    <row r="2421" spans="1:8" x14ac:dyDescent="0.25">
      <c r="A2421" t="str">
        <f t="shared" si="150"/>
        <v>Multihop,STnet,20</v>
      </c>
      <c r="B2421" t="s">
        <v>34</v>
      </c>
      <c r="C2421" t="s">
        <v>5</v>
      </c>
      <c r="D2421">
        <v>20</v>
      </c>
      <c r="E2421">
        <v>47.295000000000002</v>
      </c>
      <c r="F2421">
        <f t="shared" si="149"/>
        <v>46</v>
      </c>
      <c r="G2421">
        <f t="shared" si="151"/>
        <v>2.8152173913043517</v>
      </c>
      <c r="H2421">
        <f t="shared" si="152"/>
        <v>2.738132995031191</v>
      </c>
    </row>
    <row r="2422" spans="1:8" x14ac:dyDescent="0.25">
      <c r="A2422" t="str">
        <f t="shared" si="150"/>
        <v>Multihop,STnet,20</v>
      </c>
      <c r="B2422" t="s">
        <v>34</v>
      </c>
      <c r="C2422" t="s">
        <v>5</v>
      </c>
      <c r="D2422">
        <v>20</v>
      </c>
      <c r="E2422">
        <v>46.222000000000001</v>
      </c>
      <c r="F2422">
        <f t="shared" si="149"/>
        <v>46</v>
      </c>
      <c r="G2422">
        <f t="shared" si="151"/>
        <v>0.48260869565217673</v>
      </c>
      <c r="H2422">
        <f t="shared" si="152"/>
        <v>0.48029077062870779</v>
      </c>
    </row>
    <row r="2423" spans="1:8" x14ac:dyDescent="0.25">
      <c r="A2423" t="str">
        <f t="shared" si="150"/>
        <v>Multihop,STnet,20</v>
      </c>
      <c r="B2423" t="s">
        <v>34</v>
      </c>
      <c r="C2423" t="s">
        <v>5</v>
      </c>
      <c r="D2423">
        <v>20</v>
      </c>
      <c r="E2423">
        <v>46.368000000000002</v>
      </c>
      <c r="F2423">
        <f t="shared" si="149"/>
        <v>46</v>
      </c>
      <c r="G2423">
        <f t="shared" si="151"/>
        <v>0.80000000000000449</v>
      </c>
      <c r="H2423">
        <f t="shared" si="152"/>
        <v>0.79365079365079816</v>
      </c>
    </row>
    <row r="2424" spans="1:8" x14ac:dyDescent="0.25">
      <c r="A2424" t="str">
        <f t="shared" si="150"/>
        <v>Multihop,STnet,20</v>
      </c>
      <c r="B2424" t="s">
        <v>34</v>
      </c>
      <c r="C2424" t="s">
        <v>5</v>
      </c>
      <c r="D2424">
        <v>20</v>
      </c>
      <c r="E2424">
        <v>45.076000000000001</v>
      </c>
      <c r="F2424">
        <f t="shared" si="149"/>
        <v>46</v>
      </c>
      <c r="G2424">
        <f t="shared" si="151"/>
        <v>2.0086956521739121</v>
      </c>
      <c r="H2424">
        <f t="shared" si="152"/>
        <v>2.0498713284231065</v>
      </c>
    </row>
    <row r="2425" spans="1:8" x14ac:dyDescent="0.25">
      <c r="A2425" t="str">
        <f t="shared" si="150"/>
        <v>Multihop,STnet,20</v>
      </c>
      <c r="B2425" t="s">
        <v>34</v>
      </c>
      <c r="C2425" t="s">
        <v>5</v>
      </c>
      <c r="D2425">
        <v>20</v>
      </c>
      <c r="E2425">
        <v>43.93</v>
      </c>
      <c r="F2425">
        <f t="shared" si="149"/>
        <v>46</v>
      </c>
      <c r="G2425">
        <f t="shared" si="151"/>
        <v>4.5000000000000009</v>
      </c>
      <c r="H2425">
        <f t="shared" si="152"/>
        <v>4.7120418848167551</v>
      </c>
    </row>
    <row r="2426" spans="1:8" x14ac:dyDescent="0.25">
      <c r="A2426" t="str">
        <f t="shared" si="150"/>
        <v>Multihop,STnet,20</v>
      </c>
      <c r="B2426" t="s">
        <v>34</v>
      </c>
      <c r="C2426" t="s">
        <v>5</v>
      </c>
      <c r="D2426">
        <v>20</v>
      </c>
      <c r="E2426">
        <v>46.368000000000002</v>
      </c>
      <c r="F2426">
        <f t="shared" si="149"/>
        <v>46</v>
      </c>
      <c r="G2426">
        <f t="shared" si="151"/>
        <v>0.80000000000000449</v>
      </c>
      <c r="H2426">
        <f t="shared" si="152"/>
        <v>0.79365079365079816</v>
      </c>
    </row>
    <row r="2427" spans="1:8" x14ac:dyDescent="0.25">
      <c r="A2427" t="str">
        <f t="shared" si="150"/>
        <v>Multihop,STnet,20</v>
      </c>
      <c r="B2427" t="s">
        <v>34</v>
      </c>
      <c r="C2427" t="s">
        <v>5</v>
      </c>
      <c r="D2427">
        <v>20</v>
      </c>
      <c r="E2427">
        <v>43.003</v>
      </c>
      <c r="F2427">
        <f t="shared" si="149"/>
        <v>46</v>
      </c>
      <c r="G2427">
        <f t="shared" si="151"/>
        <v>6.5152173913043478</v>
      </c>
      <c r="H2427">
        <f t="shared" si="152"/>
        <v>6.9692812129386317</v>
      </c>
    </row>
    <row r="2428" spans="1:8" x14ac:dyDescent="0.25">
      <c r="A2428" t="str">
        <f t="shared" si="150"/>
        <v>Multihop,STnet,20</v>
      </c>
      <c r="B2428" t="s">
        <v>34</v>
      </c>
      <c r="C2428" t="s">
        <v>5</v>
      </c>
      <c r="D2428">
        <v>20</v>
      </c>
      <c r="E2428">
        <v>43.003</v>
      </c>
      <c r="F2428">
        <f t="shared" si="149"/>
        <v>46</v>
      </c>
      <c r="G2428">
        <f t="shared" si="151"/>
        <v>6.5152173913043478</v>
      </c>
      <c r="H2428">
        <f t="shared" si="152"/>
        <v>6.9692812129386317</v>
      </c>
    </row>
    <row r="2429" spans="1:8" x14ac:dyDescent="0.25">
      <c r="A2429" t="str">
        <f t="shared" si="150"/>
        <v>Multihop,STnet,20</v>
      </c>
      <c r="B2429" t="s">
        <v>34</v>
      </c>
      <c r="C2429" t="s">
        <v>5</v>
      </c>
      <c r="D2429">
        <v>20</v>
      </c>
      <c r="E2429">
        <v>42.93</v>
      </c>
      <c r="F2429">
        <f t="shared" si="149"/>
        <v>46</v>
      </c>
      <c r="G2429">
        <f t="shared" si="151"/>
        <v>6.6739130434782616</v>
      </c>
      <c r="H2429">
        <f t="shared" si="152"/>
        <v>7.151176333566271</v>
      </c>
    </row>
    <row r="2430" spans="1:8" x14ac:dyDescent="0.25">
      <c r="A2430" t="str">
        <f t="shared" si="150"/>
        <v>Multihop,STnet,20</v>
      </c>
      <c r="B2430" t="s">
        <v>34</v>
      </c>
      <c r="C2430" t="s">
        <v>5</v>
      </c>
      <c r="D2430">
        <v>20</v>
      </c>
      <c r="E2430">
        <v>44.003</v>
      </c>
      <c r="F2430">
        <f t="shared" si="149"/>
        <v>46</v>
      </c>
      <c r="G2430">
        <f t="shared" si="151"/>
        <v>4.3413043478260871</v>
      </c>
      <c r="H2430">
        <f t="shared" si="152"/>
        <v>4.5383269322546189</v>
      </c>
    </row>
    <row r="2431" spans="1:8" x14ac:dyDescent="0.25">
      <c r="A2431" t="str">
        <f t="shared" si="150"/>
        <v>Multihop,STnet,20</v>
      </c>
      <c r="B2431" t="s">
        <v>34</v>
      </c>
      <c r="C2431" t="s">
        <v>5</v>
      </c>
      <c r="D2431">
        <v>20</v>
      </c>
      <c r="E2431">
        <v>43.149000000000001</v>
      </c>
      <c r="F2431">
        <f t="shared" si="149"/>
        <v>46</v>
      </c>
      <c r="G2431">
        <f t="shared" si="151"/>
        <v>6.1978260869565194</v>
      </c>
      <c r="H2431">
        <f t="shared" si="152"/>
        <v>6.6073373658717447</v>
      </c>
    </row>
    <row r="2432" spans="1:8" x14ac:dyDescent="0.25">
      <c r="A2432" t="str">
        <f t="shared" si="150"/>
        <v>Multihop,STnet,20</v>
      </c>
      <c r="B2432" t="s">
        <v>34</v>
      </c>
      <c r="C2432" t="s">
        <v>5</v>
      </c>
      <c r="D2432">
        <v>20</v>
      </c>
      <c r="E2432">
        <v>45.222000000000001</v>
      </c>
      <c r="F2432">
        <f t="shared" si="149"/>
        <v>46</v>
      </c>
      <c r="G2432">
        <f t="shared" si="151"/>
        <v>1.6913043478260841</v>
      </c>
      <c r="H2432">
        <f t="shared" si="152"/>
        <v>1.7204015744549086</v>
      </c>
    </row>
    <row r="2433" spans="1:8" x14ac:dyDescent="0.25">
      <c r="A2433" t="str">
        <f t="shared" si="150"/>
        <v>Multihop,STnet,20</v>
      </c>
      <c r="B2433" t="s">
        <v>34</v>
      </c>
      <c r="C2433" t="s">
        <v>5</v>
      </c>
      <c r="D2433">
        <v>20</v>
      </c>
      <c r="E2433">
        <v>47.222000000000001</v>
      </c>
      <c r="F2433">
        <f t="shared" si="149"/>
        <v>46</v>
      </c>
      <c r="G2433">
        <f t="shared" si="151"/>
        <v>2.6565217391304374</v>
      </c>
      <c r="H2433">
        <f t="shared" si="152"/>
        <v>2.5877768836559256</v>
      </c>
    </row>
    <row r="2434" spans="1:8" x14ac:dyDescent="0.25">
      <c r="A2434" t="str">
        <f t="shared" si="150"/>
        <v>Multihop,STnet,20</v>
      </c>
      <c r="B2434" t="s">
        <v>34</v>
      </c>
      <c r="C2434" t="s">
        <v>5</v>
      </c>
      <c r="D2434">
        <v>20</v>
      </c>
      <c r="E2434">
        <v>43.076000000000001</v>
      </c>
      <c r="F2434">
        <f t="shared" si="149"/>
        <v>46</v>
      </c>
      <c r="G2434">
        <f t="shared" si="151"/>
        <v>6.3565217391304341</v>
      </c>
      <c r="H2434">
        <f t="shared" si="152"/>
        <v>6.788002600055715</v>
      </c>
    </row>
    <row r="2435" spans="1:8" x14ac:dyDescent="0.25">
      <c r="A2435" t="str">
        <f t="shared" si="150"/>
        <v>Multihop,STnet,20</v>
      </c>
      <c r="B2435" t="s">
        <v>34</v>
      </c>
      <c r="C2435" t="s">
        <v>5</v>
      </c>
      <c r="D2435">
        <v>20</v>
      </c>
      <c r="E2435">
        <v>47.368000000000002</v>
      </c>
      <c r="F2435">
        <f t="shared" ref="F2435:F2498" si="153">_xlfn.XLOOKUP(A2435,$J$3:$J$36,$N$3:$N$36)</f>
        <v>46</v>
      </c>
      <c r="G2435">
        <f t="shared" si="151"/>
        <v>2.9739130434782655</v>
      </c>
      <c r="H2435">
        <f t="shared" si="152"/>
        <v>2.8880256713393049</v>
      </c>
    </row>
    <row r="2436" spans="1:8" x14ac:dyDescent="0.25">
      <c r="A2436" t="str">
        <f t="shared" ref="A2436:A2499" si="154">B2436&amp;","&amp;C2436&amp;","&amp;D2436</f>
        <v>Multihop,STnet,20</v>
      </c>
      <c r="B2436" t="s">
        <v>34</v>
      </c>
      <c r="C2436" t="s">
        <v>5</v>
      </c>
      <c r="D2436">
        <v>20</v>
      </c>
      <c r="E2436">
        <v>47.368000000000002</v>
      </c>
      <c r="F2436">
        <f t="shared" si="153"/>
        <v>46</v>
      </c>
      <c r="G2436">
        <f t="shared" ref="G2436:G2499" si="155">ABS((E2436-F2436)/F2436)*100</f>
        <v>2.9739130434782655</v>
      </c>
      <c r="H2436">
        <f t="shared" ref="H2436:H2499" si="156">ABS((F2436-E2436)/E2436)*100</f>
        <v>2.8880256713393049</v>
      </c>
    </row>
    <row r="2437" spans="1:8" x14ac:dyDescent="0.25">
      <c r="A2437" t="str">
        <f t="shared" si="154"/>
        <v>Multihop,STnet,20</v>
      </c>
      <c r="B2437" t="s">
        <v>34</v>
      </c>
      <c r="C2437" t="s">
        <v>5</v>
      </c>
      <c r="D2437">
        <v>20</v>
      </c>
      <c r="E2437">
        <v>41.783999999999999</v>
      </c>
      <c r="F2437">
        <f t="shared" si="153"/>
        <v>46</v>
      </c>
      <c r="G2437">
        <f t="shared" si="155"/>
        <v>9.1652173913043509</v>
      </c>
      <c r="H2437">
        <f t="shared" si="156"/>
        <v>10.089986597740765</v>
      </c>
    </row>
    <row r="2438" spans="1:8" x14ac:dyDescent="0.25">
      <c r="A2438" t="str">
        <f t="shared" si="154"/>
        <v>Multihop,STnet,20</v>
      </c>
      <c r="B2438" t="s">
        <v>34</v>
      </c>
      <c r="C2438" t="s">
        <v>5</v>
      </c>
      <c r="D2438">
        <v>20</v>
      </c>
      <c r="E2438">
        <v>46.368000000000002</v>
      </c>
      <c r="F2438">
        <f t="shared" si="153"/>
        <v>46</v>
      </c>
      <c r="G2438">
        <f t="shared" si="155"/>
        <v>0.80000000000000449</v>
      </c>
      <c r="H2438">
        <f t="shared" si="156"/>
        <v>0.79365079365079816</v>
      </c>
    </row>
    <row r="2439" spans="1:8" x14ac:dyDescent="0.25">
      <c r="A2439" t="str">
        <f t="shared" si="154"/>
        <v>Multihop,STnet,20</v>
      </c>
      <c r="B2439" t="s">
        <v>34</v>
      </c>
      <c r="C2439" t="s">
        <v>5</v>
      </c>
      <c r="D2439">
        <v>20</v>
      </c>
      <c r="E2439">
        <v>45.076000000000001</v>
      </c>
      <c r="F2439">
        <f t="shared" si="153"/>
        <v>46</v>
      </c>
      <c r="G2439">
        <f t="shared" si="155"/>
        <v>2.0086956521739121</v>
      </c>
      <c r="H2439">
        <f t="shared" si="156"/>
        <v>2.0498713284231065</v>
      </c>
    </row>
    <row r="2440" spans="1:8" x14ac:dyDescent="0.25">
      <c r="A2440" t="str">
        <f t="shared" si="154"/>
        <v>Multihop,STnet,20</v>
      </c>
      <c r="B2440" t="s">
        <v>34</v>
      </c>
      <c r="C2440" t="s">
        <v>5</v>
      </c>
      <c r="D2440">
        <v>20</v>
      </c>
      <c r="E2440">
        <v>47.368000000000002</v>
      </c>
      <c r="F2440">
        <f t="shared" si="153"/>
        <v>46</v>
      </c>
      <c r="G2440">
        <f t="shared" si="155"/>
        <v>2.9739130434782655</v>
      </c>
      <c r="H2440">
        <f t="shared" si="156"/>
        <v>2.8880256713393049</v>
      </c>
    </row>
    <row r="2441" spans="1:8" x14ac:dyDescent="0.25">
      <c r="A2441" t="str">
        <f t="shared" si="154"/>
        <v>Multihop,STnet,20</v>
      </c>
      <c r="B2441" t="s">
        <v>34</v>
      </c>
      <c r="C2441" t="s">
        <v>5</v>
      </c>
      <c r="D2441">
        <v>20</v>
      </c>
      <c r="E2441">
        <v>47.368000000000002</v>
      </c>
      <c r="F2441">
        <f t="shared" si="153"/>
        <v>46</v>
      </c>
      <c r="G2441">
        <f t="shared" si="155"/>
        <v>2.9739130434782655</v>
      </c>
      <c r="H2441">
        <f t="shared" si="156"/>
        <v>2.8880256713393049</v>
      </c>
    </row>
    <row r="2442" spans="1:8" x14ac:dyDescent="0.25">
      <c r="A2442" t="str">
        <f t="shared" si="154"/>
        <v>Multihop,STnet,20</v>
      </c>
      <c r="B2442" t="s">
        <v>34</v>
      </c>
      <c r="C2442" t="s">
        <v>5</v>
      </c>
      <c r="D2442">
        <v>20</v>
      </c>
      <c r="E2442">
        <v>44.149000000000001</v>
      </c>
      <c r="F2442">
        <f t="shared" si="153"/>
        <v>46</v>
      </c>
      <c r="G2442">
        <f t="shared" si="155"/>
        <v>4.0239130434782586</v>
      </c>
      <c r="H2442">
        <f t="shared" si="156"/>
        <v>4.1926204444041746</v>
      </c>
    </row>
    <row r="2443" spans="1:8" x14ac:dyDescent="0.25">
      <c r="A2443" t="str">
        <f t="shared" si="154"/>
        <v>Multihop,STnet,20</v>
      </c>
      <c r="B2443" t="s">
        <v>34</v>
      </c>
      <c r="C2443" t="s">
        <v>5</v>
      </c>
      <c r="D2443">
        <v>20</v>
      </c>
      <c r="E2443">
        <v>45.222000000000001</v>
      </c>
      <c r="F2443">
        <f t="shared" si="153"/>
        <v>46</v>
      </c>
      <c r="G2443">
        <f t="shared" si="155"/>
        <v>1.6913043478260841</v>
      </c>
      <c r="H2443">
        <f t="shared" si="156"/>
        <v>1.7204015744549086</v>
      </c>
    </row>
    <row r="2444" spans="1:8" x14ac:dyDescent="0.25">
      <c r="A2444" t="str">
        <f t="shared" si="154"/>
        <v>Multihop,STnet,20</v>
      </c>
      <c r="B2444" t="s">
        <v>34</v>
      </c>
      <c r="C2444" t="s">
        <v>5</v>
      </c>
      <c r="D2444">
        <v>20</v>
      </c>
      <c r="E2444">
        <v>41.856999999999999</v>
      </c>
      <c r="F2444">
        <f t="shared" si="153"/>
        <v>46</v>
      </c>
      <c r="G2444">
        <f t="shared" si="155"/>
        <v>9.0065217391304362</v>
      </c>
      <c r="H2444">
        <f t="shared" si="156"/>
        <v>9.8979859999522208</v>
      </c>
    </row>
    <row r="2445" spans="1:8" x14ac:dyDescent="0.25">
      <c r="A2445" t="str">
        <f t="shared" si="154"/>
        <v>Multihop,STnet,20</v>
      </c>
      <c r="B2445" t="s">
        <v>34</v>
      </c>
      <c r="C2445" t="s">
        <v>5</v>
      </c>
      <c r="D2445">
        <v>20</v>
      </c>
      <c r="E2445">
        <v>42.783999999999999</v>
      </c>
      <c r="F2445">
        <f t="shared" si="153"/>
        <v>46</v>
      </c>
      <c r="G2445">
        <f t="shared" si="155"/>
        <v>6.9913043478260901</v>
      </c>
      <c r="H2445">
        <f t="shared" si="156"/>
        <v>7.5168287210172062</v>
      </c>
    </row>
    <row r="2446" spans="1:8" x14ac:dyDescent="0.25">
      <c r="A2446" t="str">
        <f t="shared" si="154"/>
        <v>Multihop,STnet,20</v>
      </c>
      <c r="B2446" t="s">
        <v>34</v>
      </c>
      <c r="C2446" t="s">
        <v>5</v>
      </c>
      <c r="D2446">
        <v>20</v>
      </c>
      <c r="E2446">
        <v>44.222000000000001</v>
      </c>
      <c r="F2446">
        <f t="shared" si="153"/>
        <v>46</v>
      </c>
      <c r="G2446">
        <f t="shared" si="155"/>
        <v>3.8652173913043453</v>
      </c>
      <c r="H2446">
        <f t="shared" si="156"/>
        <v>4.0206232192121538</v>
      </c>
    </row>
    <row r="2447" spans="1:8" x14ac:dyDescent="0.25">
      <c r="A2447" t="str">
        <f t="shared" si="154"/>
        <v>Multihop,STnet,20</v>
      </c>
      <c r="B2447" t="s">
        <v>34</v>
      </c>
      <c r="C2447" t="s">
        <v>5</v>
      </c>
      <c r="D2447">
        <v>20</v>
      </c>
      <c r="E2447">
        <v>47.441000000000003</v>
      </c>
      <c r="F2447">
        <f t="shared" si="153"/>
        <v>46</v>
      </c>
      <c r="G2447">
        <f t="shared" si="155"/>
        <v>3.1326086956521797</v>
      </c>
      <c r="H2447">
        <f t="shared" si="156"/>
        <v>3.0374570519171233</v>
      </c>
    </row>
    <row r="2448" spans="1:8" x14ac:dyDescent="0.25">
      <c r="A2448" t="str">
        <f t="shared" si="154"/>
        <v>Multihop,STnet,20</v>
      </c>
      <c r="B2448" t="s">
        <v>34</v>
      </c>
      <c r="C2448" t="s">
        <v>5</v>
      </c>
      <c r="D2448">
        <v>20</v>
      </c>
      <c r="E2448">
        <v>46.003</v>
      </c>
      <c r="F2448">
        <f t="shared" si="153"/>
        <v>46</v>
      </c>
      <c r="G2448">
        <f t="shared" si="155"/>
        <v>6.5217391304350303E-3</v>
      </c>
      <c r="H2448">
        <f t="shared" si="156"/>
        <v>6.5213138273593329E-3</v>
      </c>
    </row>
    <row r="2449" spans="1:8" x14ac:dyDescent="0.25">
      <c r="A2449" t="str">
        <f t="shared" si="154"/>
        <v>Multihop,STnet,20</v>
      </c>
      <c r="B2449" t="s">
        <v>34</v>
      </c>
      <c r="C2449" t="s">
        <v>5</v>
      </c>
      <c r="D2449">
        <v>20</v>
      </c>
      <c r="E2449">
        <v>46.295000000000002</v>
      </c>
      <c r="F2449">
        <f t="shared" si="153"/>
        <v>46</v>
      </c>
      <c r="G2449">
        <f t="shared" si="155"/>
        <v>0.64130434782609069</v>
      </c>
      <c r="H2449">
        <f t="shared" si="156"/>
        <v>0.63721784209958243</v>
      </c>
    </row>
    <row r="2450" spans="1:8" x14ac:dyDescent="0.25">
      <c r="A2450" t="str">
        <f t="shared" si="154"/>
        <v>Multihop,STnet,20</v>
      </c>
      <c r="B2450" t="s">
        <v>34</v>
      </c>
      <c r="C2450" t="s">
        <v>5</v>
      </c>
      <c r="D2450">
        <v>20</v>
      </c>
      <c r="E2450">
        <v>45.222000000000001</v>
      </c>
      <c r="F2450">
        <f t="shared" si="153"/>
        <v>46</v>
      </c>
      <c r="G2450">
        <f t="shared" si="155"/>
        <v>1.6913043478260841</v>
      </c>
      <c r="H2450">
        <f t="shared" si="156"/>
        <v>1.7204015744549086</v>
      </c>
    </row>
    <row r="2451" spans="1:8" x14ac:dyDescent="0.25">
      <c r="A2451" t="str">
        <f t="shared" si="154"/>
        <v>Multihop,STnet,20</v>
      </c>
      <c r="B2451" t="s">
        <v>34</v>
      </c>
      <c r="C2451" t="s">
        <v>5</v>
      </c>
      <c r="D2451">
        <v>20</v>
      </c>
      <c r="E2451">
        <v>45.856999999999999</v>
      </c>
      <c r="F2451">
        <f t="shared" si="153"/>
        <v>46</v>
      </c>
      <c r="G2451">
        <f t="shared" si="155"/>
        <v>0.31086956521739278</v>
      </c>
      <c r="H2451">
        <f t="shared" si="156"/>
        <v>0.3118389776915208</v>
      </c>
    </row>
    <row r="2452" spans="1:8" x14ac:dyDescent="0.25">
      <c r="A2452" t="str">
        <f t="shared" si="154"/>
        <v>Multihop,STnet,20</v>
      </c>
      <c r="B2452" t="s">
        <v>34</v>
      </c>
      <c r="C2452" t="s">
        <v>5</v>
      </c>
      <c r="D2452">
        <v>20</v>
      </c>
      <c r="E2452">
        <v>45.149000000000001</v>
      </c>
      <c r="F2452">
        <f t="shared" si="153"/>
        <v>46</v>
      </c>
      <c r="G2452">
        <f t="shared" si="155"/>
        <v>1.8499999999999981</v>
      </c>
      <c r="H2452">
        <f t="shared" si="156"/>
        <v>1.8848700967906244</v>
      </c>
    </row>
    <row r="2453" spans="1:8" x14ac:dyDescent="0.25">
      <c r="A2453" t="str">
        <f t="shared" si="154"/>
        <v>Multihop,STnet,20</v>
      </c>
      <c r="B2453" t="s">
        <v>34</v>
      </c>
      <c r="C2453" t="s">
        <v>5</v>
      </c>
      <c r="D2453">
        <v>20</v>
      </c>
      <c r="E2453">
        <v>47.295000000000002</v>
      </c>
      <c r="F2453">
        <f t="shared" si="153"/>
        <v>46</v>
      </c>
      <c r="G2453">
        <f t="shared" si="155"/>
        <v>2.8152173913043517</v>
      </c>
      <c r="H2453">
        <f t="shared" si="156"/>
        <v>2.738132995031191</v>
      </c>
    </row>
    <row r="2454" spans="1:8" x14ac:dyDescent="0.25">
      <c r="A2454" t="str">
        <f t="shared" si="154"/>
        <v>Multihop,STnet,20</v>
      </c>
      <c r="B2454" t="s">
        <v>34</v>
      </c>
      <c r="C2454" t="s">
        <v>5</v>
      </c>
      <c r="D2454">
        <v>20</v>
      </c>
      <c r="E2454">
        <v>47.441000000000003</v>
      </c>
      <c r="F2454">
        <f t="shared" si="153"/>
        <v>46</v>
      </c>
      <c r="G2454">
        <f t="shared" si="155"/>
        <v>3.1326086956521797</v>
      </c>
      <c r="H2454">
        <f t="shared" si="156"/>
        <v>3.0374570519171233</v>
      </c>
    </row>
    <row r="2455" spans="1:8" x14ac:dyDescent="0.25">
      <c r="A2455" t="str">
        <f t="shared" si="154"/>
        <v>Multihop,STnet,20</v>
      </c>
      <c r="B2455" t="s">
        <v>34</v>
      </c>
      <c r="C2455" t="s">
        <v>5</v>
      </c>
      <c r="D2455">
        <v>20</v>
      </c>
      <c r="E2455">
        <v>44.222000000000001</v>
      </c>
      <c r="F2455">
        <f t="shared" si="153"/>
        <v>46</v>
      </c>
      <c r="G2455">
        <f t="shared" si="155"/>
        <v>3.8652173913043453</v>
      </c>
      <c r="H2455">
        <f t="shared" si="156"/>
        <v>4.0206232192121538</v>
      </c>
    </row>
    <row r="2456" spans="1:8" x14ac:dyDescent="0.25">
      <c r="A2456" t="str">
        <f t="shared" si="154"/>
        <v>Multihop,STnet,20</v>
      </c>
      <c r="B2456" t="s">
        <v>34</v>
      </c>
      <c r="C2456" t="s">
        <v>5</v>
      </c>
      <c r="D2456">
        <v>20</v>
      </c>
      <c r="E2456">
        <v>42.222000000000001</v>
      </c>
      <c r="F2456">
        <f t="shared" si="153"/>
        <v>46</v>
      </c>
      <c r="G2456">
        <f t="shared" si="155"/>
        <v>8.2130434782608663</v>
      </c>
      <c r="H2456">
        <f t="shared" si="156"/>
        <v>8.947941831272793</v>
      </c>
    </row>
    <row r="2457" spans="1:8" x14ac:dyDescent="0.25">
      <c r="A2457" t="str">
        <f t="shared" si="154"/>
        <v>Multihop,STnet,20</v>
      </c>
      <c r="B2457" t="s">
        <v>34</v>
      </c>
      <c r="C2457" t="s">
        <v>5</v>
      </c>
      <c r="D2457">
        <v>20</v>
      </c>
      <c r="E2457">
        <v>43.93</v>
      </c>
      <c r="F2457">
        <f t="shared" si="153"/>
        <v>46</v>
      </c>
      <c r="G2457">
        <f t="shared" si="155"/>
        <v>4.5000000000000009</v>
      </c>
      <c r="H2457">
        <f t="shared" si="156"/>
        <v>4.7120418848167551</v>
      </c>
    </row>
    <row r="2458" spans="1:8" x14ac:dyDescent="0.25">
      <c r="A2458" t="str">
        <f t="shared" si="154"/>
        <v>Multihop,STnet,20</v>
      </c>
      <c r="B2458" t="s">
        <v>34</v>
      </c>
      <c r="C2458" t="s">
        <v>5</v>
      </c>
      <c r="D2458">
        <v>20</v>
      </c>
      <c r="E2458">
        <v>47.295000000000002</v>
      </c>
      <c r="F2458">
        <f t="shared" si="153"/>
        <v>46</v>
      </c>
      <c r="G2458">
        <f t="shared" si="155"/>
        <v>2.8152173913043517</v>
      </c>
      <c r="H2458">
        <f t="shared" si="156"/>
        <v>2.738132995031191</v>
      </c>
    </row>
    <row r="2459" spans="1:8" x14ac:dyDescent="0.25">
      <c r="A2459" t="str">
        <f t="shared" si="154"/>
        <v>Multihop,STnet,20</v>
      </c>
      <c r="B2459" t="s">
        <v>34</v>
      </c>
      <c r="C2459" t="s">
        <v>5</v>
      </c>
      <c r="D2459">
        <v>20</v>
      </c>
      <c r="E2459">
        <v>46.149000000000001</v>
      </c>
      <c r="F2459">
        <f t="shared" si="153"/>
        <v>46</v>
      </c>
      <c r="G2459">
        <f t="shared" si="155"/>
        <v>0.32391304347826283</v>
      </c>
      <c r="H2459">
        <f t="shared" si="156"/>
        <v>0.32286723439294657</v>
      </c>
    </row>
    <row r="2460" spans="1:8" x14ac:dyDescent="0.25">
      <c r="A2460" t="str">
        <f t="shared" si="154"/>
        <v>Multihop,STnet,20</v>
      </c>
      <c r="B2460" t="s">
        <v>34</v>
      </c>
      <c r="C2460" t="s">
        <v>5</v>
      </c>
      <c r="D2460">
        <v>20</v>
      </c>
      <c r="E2460">
        <v>45.003</v>
      </c>
      <c r="F2460">
        <f t="shared" si="153"/>
        <v>46</v>
      </c>
      <c r="G2460">
        <f t="shared" si="155"/>
        <v>2.1673913043478259</v>
      </c>
      <c r="H2460">
        <f t="shared" si="156"/>
        <v>2.2154078616981088</v>
      </c>
    </row>
    <row r="2461" spans="1:8" x14ac:dyDescent="0.25">
      <c r="A2461" t="str">
        <f t="shared" si="154"/>
        <v>Multihop,STnet,20</v>
      </c>
      <c r="B2461" t="s">
        <v>34</v>
      </c>
      <c r="C2461" t="s">
        <v>5</v>
      </c>
      <c r="D2461">
        <v>20</v>
      </c>
      <c r="E2461">
        <v>45.368000000000002</v>
      </c>
      <c r="F2461">
        <f t="shared" si="153"/>
        <v>46</v>
      </c>
      <c r="G2461">
        <f t="shared" si="155"/>
        <v>1.3739130434782563</v>
      </c>
      <c r="H2461">
        <f t="shared" si="156"/>
        <v>1.3930523717157421</v>
      </c>
    </row>
    <row r="2462" spans="1:8" x14ac:dyDescent="0.25">
      <c r="A2462" t="str">
        <f t="shared" si="154"/>
        <v>Multihop,STnet,20</v>
      </c>
      <c r="B2462" t="s">
        <v>34</v>
      </c>
      <c r="C2462" t="s">
        <v>5</v>
      </c>
      <c r="D2462">
        <v>20</v>
      </c>
      <c r="E2462">
        <v>46.076000000000001</v>
      </c>
      <c r="F2462">
        <f t="shared" si="153"/>
        <v>46</v>
      </c>
      <c r="G2462">
        <f t="shared" si="155"/>
        <v>0.16521739130434893</v>
      </c>
      <c r="H2462">
        <f t="shared" si="156"/>
        <v>0.1649448736869531</v>
      </c>
    </row>
    <row r="2463" spans="1:8" x14ac:dyDescent="0.25">
      <c r="A2463" t="str">
        <f t="shared" si="154"/>
        <v>Multihop,STnet,20</v>
      </c>
      <c r="B2463" t="s">
        <v>34</v>
      </c>
      <c r="C2463" t="s">
        <v>5</v>
      </c>
      <c r="D2463">
        <v>20</v>
      </c>
      <c r="E2463">
        <v>45.076000000000001</v>
      </c>
      <c r="F2463">
        <f t="shared" si="153"/>
        <v>46</v>
      </c>
      <c r="G2463">
        <f t="shared" si="155"/>
        <v>2.0086956521739121</v>
      </c>
      <c r="H2463">
        <f t="shared" si="156"/>
        <v>2.0498713284231065</v>
      </c>
    </row>
    <row r="2464" spans="1:8" x14ac:dyDescent="0.25">
      <c r="A2464" t="str">
        <f t="shared" si="154"/>
        <v>Multihop,STnet,20</v>
      </c>
      <c r="B2464" t="s">
        <v>34</v>
      </c>
      <c r="C2464" t="s">
        <v>5</v>
      </c>
      <c r="D2464">
        <v>20</v>
      </c>
      <c r="E2464">
        <v>46.295000000000002</v>
      </c>
      <c r="F2464">
        <f t="shared" si="153"/>
        <v>46</v>
      </c>
      <c r="G2464">
        <f t="shared" si="155"/>
        <v>0.64130434782609069</v>
      </c>
      <c r="H2464">
        <f t="shared" si="156"/>
        <v>0.63721784209958243</v>
      </c>
    </row>
    <row r="2465" spans="1:8" x14ac:dyDescent="0.25">
      <c r="A2465" t="str">
        <f t="shared" si="154"/>
        <v>Multihop,STnet,20</v>
      </c>
      <c r="B2465" t="s">
        <v>34</v>
      </c>
      <c r="C2465" t="s">
        <v>5</v>
      </c>
      <c r="D2465">
        <v>20</v>
      </c>
      <c r="E2465">
        <v>46.368000000000002</v>
      </c>
      <c r="F2465">
        <f t="shared" si="153"/>
        <v>46</v>
      </c>
      <c r="G2465">
        <f t="shared" si="155"/>
        <v>0.80000000000000449</v>
      </c>
      <c r="H2465">
        <f t="shared" si="156"/>
        <v>0.79365079365079816</v>
      </c>
    </row>
    <row r="2466" spans="1:8" x14ac:dyDescent="0.25">
      <c r="A2466" t="str">
        <f t="shared" si="154"/>
        <v>Multihop,STnet,20</v>
      </c>
      <c r="B2466" t="s">
        <v>34</v>
      </c>
      <c r="C2466" t="s">
        <v>5</v>
      </c>
      <c r="D2466">
        <v>20</v>
      </c>
      <c r="E2466">
        <v>43.93</v>
      </c>
      <c r="F2466">
        <f t="shared" si="153"/>
        <v>46</v>
      </c>
      <c r="G2466">
        <f t="shared" si="155"/>
        <v>4.5000000000000009</v>
      </c>
      <c r="H2466">
        <f t="shared" si="156"/>
        <v>4.7120418848167551</v>
      </c>
    </row>
    <row r="2467" spans="1:8" x14ac:dyDescent="0.25">
      <c r="A2467" t="str">
        <f t="shared" si="154"/>
        <v>Multihop,STnet,20</v>
      </c>
      <c r="B2467" t="s">
        <v>34</v>
      </c>
      <c r="C2467" t="s">
        <v>5</v>
      </c>
      <c r="D2467">
        <v>20</v>
      </c>
      <c r="E2467">
        <v>46.149000000000001</v>
      </c>
      <c r="F2467">
        <f t="shared" si="153"/>
        <v>46</v>
      </c>
      <c r="G2467">
        <f t="shared" si="155"/>
        <v>0.32391304347826283</v>
      </c>
      <c r="H2467">
        <f t="shared" si="156"/>
        <v>0.32286723439294657</v>
      </c>
    </row>
    <row r="2468" spans="1:8" x14ac:dyDescent="0.25">
      <c r="A2468" t="str">
        <f t="shared" si="154"/>
        <v>Multihop,STnet,20</v>
      </c>
      <c r="B2468" t="s">
        <v>34</v>
      </c>
      <c r="C2468" t="s">
        <v>5</v>
      </c>
      <c r="D2468">
        <v>20</v>
      </c>
      <c r="E2468">
        <v>44.149000000000001</v>
      </c>
      <c r="F2468">
        <f t="shared" si="153"/>
        <v>46</v>
      </c>
      <c r="G2468">
        <f t="shared" si="155"/>
        <v>4.0239130434782586</v>
      </c>
      <c r="H2468">
        <f t="shared" si="156"/>
        <v>4.1926204444041746</v>
      </c>
    </row>
    <row r="2469" spans="1:8" x14ac:dyDescent="0.25">
      <c r="A2469" t="str">
        <f t="shared" si="154"/>
        <v>Multihop,STnet,20</v>
      </c>
      <c r="B2469" t="s">
        <v>34</v>
      </c>
      <c r="C2469" t="s">
        <v>5</v>
      </c>
      <c r="D2469">
        <v>20</v>
      </c>
      <c r="E2469">
        <v>45.149000000000001</v>
      </c>
      <c r="F2469">
        <f t="shared" si="153"/>
        <v>46</v>
      </c>
      <c r="G2469">
        <f t="shared" si="155"/>
        <v>1.8499999999999981</v>
      </c>
      <c r="H2469">
        <f t="shared" si="156"/>
        <v>1.8848700967906244</v>
      </c>
    </row>
    <row r="2470" spans="1:8" x14ac:dyDescent="0.25">
      <c r="A2470" t="str">
        <f t="shared" si="154"/>
        <v>Multihop,STnet,20</v>
      </c>
      <c r="B2470" t="s">
        <v>34</v>
      </c>
      <c r="C2470" t="s">
        <v>5</v>
      </c>
      <c r="D2470">
        <v>20</v>
      </c>
      <c r="E2470">
        <v>48.441000000000003</v>
      </c>
      <c r="F2470">
        <f t="shared" si="153"/>
        <v>46</v>
      </c>
      <c r="G2470">
        <f t="shared" si="155"/>
        <v>5.3065217391304405</v>
      </c>
      <c r="H2470">
        <f t="shared" si="156"/>
        <v>5.039119753927463</v>
      </c>
    </row>
    <row r="2471" spans="1:8" x14ac:dyDescent="0.25">
      <c r="A2471" t="str">
        <f t="shared" si="154"/>
        <v>Multihop,STnet,20</v>
      </c>
      <c r="B2471" t="s">
        <v>34</v>
      </c>
      <c r="C2471" t="s">
        <v>5</v>
      </c>
      <c r="D2471">
        <v>20</v>
      </c>
      <c r="E2471">
        <v>46.441000000000003</v>
      </c>
      <c r="F2471">
        <f t="shared" si="153"/>
        <v>46</v>
      </c>
      <c r="G2471">
        <f t="shared" si="155"/>
        <v>0.9586956521739185</v>
      </c>
      <c r="H2471">
        <f t="shared" si="156"/>
        <v>0.94959195538425645</v>
      </c>
    </row>
    <row r="2472" spans="1:8" x14ac:dyDescent="0.25">
      <c r="A2472" t="str">
        <f t="shared" si="154"/>
        <v>Multihop,STnet,20</v>
      </c>
      <c r="B2472" t="s">
        <v>34</v>
      </c>
      <c r="C2472" t="s">
        <v>5</v>
      </c>
      <c r="D2472">
        <v>20</v>
      </c>
      <c r="E2472">
        <v>44.076000000000001</v>
      </c>
      <c r="F2472">
        <f t="shared" si="153"/>
        <v>46</v>
      </c>
      <c r="G2472">
        <f t="shared" si="155"/>
        <v>4.1826086956521724</v>
      </c>
      <c r="H2472">
        <f t="shared" si="156"/>
        <v>4.3651874035756411</v>
      </c>
    </row>
    <row r="2473" spans="1:8" x14ac:dyDescent="0.25">
      <c r="A2473" t="str">
        <f t="shared" si="154"/>
        <v>Multihop,STnet,20</v>
      </c>
      <c r="B2473" t="s">
        <v>34</v>
      </c>
      <c r="C2473" t="s">
        <v>5</v>
      </c>
      <c r="D2473">
        <v>20</v>
      </c>
      <c r="E2473">
        <v>45.222000000000001</v>
      </c>
      <c r="F2473">
        <f t="shared" si="153"/>
        <v>46</v>
      </c>
      <c r="G2473">
        <f t="shared" si="155"/>
        <v>1.6913043478260841</v>
      </c>
      <c r="H2473">
        <f t="shared" si="156"/>
        <v>1.7204015744549086</v>
      </c>
    </row>
    <row r="2474" spans="1:8" x14ac:dyDescent="0.25">
      <c r="A2474" t="str">
        <f t="shared" si="154"/>
        <v>Multihop,STnet,20</v>
      </c>
      <c r="B2474" t="s">
        <v>34</v>
      </c>
      <c r="C2474" t="s">
        <v>5</v>
      </c>
      <c r="D2474">
        <v>20</v>
      </c>
      <c r="E2474">
        <v>46.368000000000002</v>
      </c>
      <c r="F2474">
        <f t="shared" si="153"/>
        <v>46</v>
      </c>
      <c r="G2474">
        <f t="shared" si="155"/>
        <v>0.80000000000000449</v>
      </c>
      <c r="H2474">
        <f t="shared" si="156"/>
        <v>0.79365079365079816</v>
      </c>
    </row>
    <row r="2475" spans="1:8" x14ac:dyDescent="0.25">
      <c r="A2475" t="str">
        <f t="shared" si="154"/>
        <v>Multihop,STnet,20</v>
      </c>
      <c r="B2475" t="s">
        <v>34</v>
      </c>
      <c r="C2475" t="s">
        <v>5</v>
      </c>
      <c r="D2475">
        <v>20</v>
      </c>
      <c r="E2475">
        <v>45.076000000000001</v>
      </c>
      <c r="F2475">
        <f t="shared" si="153"/>
        <v>46</v>
      </c>
      <c r="G2475">
        <f t="shared" si="155"/>
        <v>2.0086956521739121</v>
      </c>
      <c r="H2475">
        <f t="shared" si="156"/>
        <v>2.0498713284231065</v>
      </c>
    </row>
    <row r="2476" spans="1:8" x14ac:dyDescent="0.25">
      <c r="A2476" t="str">
        <f t="shared" si="154"/>
        <v>Multihop,STnet,20</v>
      </c>
      <c r="B2476" t="s">
        <v>34</v>
      </c>
      <c r="C2476" t="s">
        <v>5</v>
      </c>
      <c r="D2476">
        <v>20</v>
      </c>
      <c r="E2476">
        <v>42.564999999999998</v>
      </c>
      <c r="F2476">
        <f t="shared" si="153"/>
        <v>46</v>
      </c>
      <c r="G2476">
        <f t="shared" si="155"/>
        <v>7.4673913043478315</v>
      </c>
      <c r="H2476">
        <f t="shared" si="156"/>
        <v>8.0700105720662574</v>
      </c>
    </row>
    <row r="2477" spans="1:8" x14ac:dyDescent="0.25">
      <c r="A2477" t="str">
        <f t="shared" si="154"/>
        <v>Multihop,STnet,20</v>
      </c>
      <c r="B2477" t="s">
        <v>34</v>
      </c>
      <c r="C2477" t="s">
        <v>5</v>
      </c>
      <c r="D2477">
        <v>20</v>
      </c>
      <c r="E2477">
        <v>45.076000000000001</v>
      </c>
      <c r="F2477">
        <f t="shared" si="153"/>
        <v>46</v>
      </c>
      <c r="G2477">
        <f t="shared" si="155"/>
        <v>2.0086956521739121</v>
      </c>
      <c r="H2477">
        <f t="shared" si="156"/>
        <v>2.0498713284231065</v>
      </c>
    </row>
    <row r="2478" spans="1:8" x14ac:dyDescent="0.25">
      <c r="A2478" t="str">
        <f t="shared" si="154"/>
        <v>Multihop,STnet,20</v>
      </c>
      <c r="B2478" t="s">
        <v>34</v>
      </c>
      <c r="C2478" t="s">
        <v>5</v>
      </c>
      <c r="D2478">
        <v>20</v>
      </c>
      <c r="E2478">
        <v>43.856999999999999</v>
      </c>
      <c r="F2478">
        <f t="shared" si="153"/>
        <v>46</v>
      </c>
      <c r="G2478">
        <f t="shared" si="155"/>
        <v>4.6586956521739147</v>
      </c>
      <c r="H2478">
        <f t="shared" si="156"/>
        <v>4.8863351346421346</v>
      </c>
    </row>
    <row r="2479" spans="1:8" x14ac:dyDescent="0.25">
      <c r="A2479" t="str">
        <f t="shared" si="154"/>
        <v>Multihop,STnet,20</v>
      </c>
      <c r="B2479" t="s">
        <v>34</v>
      </c>
      <c r="C2479" t="s">
        <v>5</v>
      </c>
      <c r="D2479">
        <v>20</v>
      </c>
      <c r="E2479">
        <v>43.93</v>
      </c>
      <c r="F2479">
        <f t="shared" si="153"/>
        <v>46</v>
      </c>
      <c r="G2479">
        <f t="shared" si="155"/>
        <v>4.5000000000000009</v>
      </c>
      <c r="H2479">
        <f t="shared" si="156"/>
        <v>4.7120418848167551</v>
      </c>
    </row>
    <row r="2480" spans="1:8" x14ac:dyDescent="0.25">
      <c r="A2480" t="str">
        <f t="shared" si="154"/>
        <v>Multihop,STnet,20</v>
      </c>
      <c r="B2480" t="s">
        <v>34</v>
      </c>
      <c r="C2480" t="s">
        <v>5</v>
      </c>
      <c r="D2480">
        <v>20</v>
      </c>
      <c r="E2480">
        <v>49.222000000000001</v>
      </c>
      <c r="F2480">
        <f t="shared" si="153"/>
        <v>46</v>
      </c>
      <c r="G2480">
        <f t="shared" si="155"/>
        <v>7.0043478260869598</v>
      </c>
      <c r="H2480">
        <f t="shared" si="156"/>
        <v>6.5458534801511554</v>
      </c>
    </row>
    <row r="2481" spans="1:8" x14ac:dyDescent="0.25">
      <c r="A2481" t="str">
        <f t="shared" si="154"/>
        <v>Multihop,STnet,20</v>
      </c>
      <c r="B2481" t="s">
        <v>34</v>
      </c>
      <c r="C2481" t="s">
        <v>5</v>
      </c>
      <c r="D2481">
        <v>20</v>
      </c>
      <c r="E2481">
        <v>43.93</v>
      </c>
      <c r="F2481">
        <f t="shared" si="153"/>
        <v>46</v>
      </c>
      <c r="G2481">
        <f t="shared" si="155"/>
        <v>4.5000000000000009</v>
      </c>
      <c r="H2481">
        <f t="shared" si="156"/>
        <v>4.7120418848167551</v>
      </c>
    </row>
    <row r="2482" spans="1:8" x14ac:dyDescent="0.25">
      <c r="A2482" t="str">
        <f t="shared" si="154"/>
        <v>Multihop,STnet,20</v>
      </c>
      <c r="B2482" t="s">
        <v>34</v>
      </c>
      <c r="C2482" t="s">
        <v>5</v>
      </c>
      <c r="D2482">
        <v>20</v>
      </c>
      <c r="E2482">
        <v>46.222000000000001</v>
      </c>
      <c r="F2482">
        <f t="shared" si="153"/>
        <v>46</v>
      </c>
      <c r="G2482">
        <f t="shared" si="155"/>
        <v>0.48260869565217673</v>
      </c>
      <c r="H2482">
        <f t="shared" si="156"/>
        <v>0.48029077062870779</v>
      </c>
    </row>
    <row r="2483" spans="1:8" x14ac:dyDescent="0.25">
      <c r="A2483" t="str">
        <f t="shared" si="154"/>
        <v>Multihop,STnet,20</v>
      </c>
      <c r="B2483" t="s">
        <v>34</v>
      </c>
      <c r="C2483" t="s">
        <v>5</v>
      </c>
      <c r="D2483">
        <v>20</v>
      </c>
      <c r="E2483">
        <v>43.93</v>
      </c>
      <c r="F2483">
        <f t="shared" si="153"/>
        <v>46</v>
      </c>
      <c r="G2483">
        <f t="shared" si="155"/>
        <v>4.5000000000000009</v>
      </c>
      <c r="H2483">
        <f t="shared" si="156"/>
        <v>4.7120418848167551</v>
      </c>
    </row>
    <row r="2484" spans="1:8" x14ac:dyDescent="0.25">
      <c r="A2484" t="str">
        <f t="shared" si="154"/>
        <v>Multihop,STnet,20</v>
      </c>
      <c r="B2484" t="s">
        <v>34</v>
      </c>
      <c r="C2484" t="s">
        <v>5</v>
      </c>
      <c r="D2484">
        <v>20</v>
      </c>
      <c r="E2484">
        <v>46.368000000000002</v>
      </c>
      <c r="F2484">
        <f t="shared" si="153"/>
        <v>46</v>
      </c>
      <c r="G2484">
        <f t="shared" si="155"/>
        <v>0.80000000000000449</v>
      </c>
      <c r="H2484">
        <f t="shared" si="156"/>
        <v>0.79365079365079816</v>
      </c>
    </row>
    <row r="2485" spans="1:8" x14ac:dyDescent="0.25">
      <c r="A2485" t="str">
        <f t="shared" si="154"/>
        <v>Multihop,STnet,20</v>
      </c>
      <c r="B2485" t="s">
        <v>34</v>
      </c>
      <c r="C2485" t="s">
        <v>5</v>
      </c>
      <c r="D2485">
        <v>20</v>
      </c>
      <c r="E2485">
        <v>44.856999999999999</v>
      </c>
      <c r="F2485">
        <f t="shared" si="153"/>
        <v>46</v>
      </c>
      <c r="G2485">
        <f t="shared" si="155"/>
        <v>2.4847826086956535</v>
      </c>
      <c r="H2485">
        <f t="shared" si="156"/>
        <v>2.5480972869340364</v>
      </c>
    </row>
    <row r="2486" spans="1:8" x14ac:dyDescent="0.25">
      <c r="A2486" t="str">
        <f t="shared" si="154"/>
        <v>Multihop,STnet,20</v>
      </c>
      <c r="B2486" t="s">
        <v>34</v>
      </c>
      <c r="C2486" t="s">
        <v>5</v>
      </c>
      <c r="D2486">
        <v>20</v>
      </c>
      <c r="E2486">
        <v>45.295000000000002</v>
      </c>
      <c r="F2486">
        <f t="shared" si="153"/>
        <v>46</v>
      </c>
      <c r="G2486">
        <f t="shared" si="155"/>
        <v>1.5326086956521701</v>
      </c>
      <c r="H2486">
        <f t="shared" si="156"/>
        <v>1.5564631857820914</v>
      </c>
    </row>
    <row r="2487" spans="1:8" x14ac:dyDescent="0.25">
      <c r="A2487" t="str">
        <f t="shared" si="154"/>
        <v>Multihop,STnet,20</v>
      </c>
      <c r="B2487" t="s">
        <v>34</v>
      </c>
      <c r="C2487" t="s">
        <v>5</v>
      </c>
      <c r="D2487">
        <v>20</v>
      </c>
      <c r="E2487">
        <v>45.222000000000001</v>
      </c>
      <c r="F2487">
        <f t="shared" si="153"/>
        <v>46</v>
      </c>
      <c r="G2487">
        <f t="shared" si="155"/>
        <v>1.6913043478260841</v>
      </c>
      <c r="H2487">
        <f t="shared" si="156"/>
        <v>1.7204015744549086</v>
      </c>
    </row>
    <row r="2488" spans="1:8" x14ac:dyDescent="0.25">
      <c r="A2488" t="str">
        <f t="shared" si="154"/>
        <v>Multihop,STnet,20</v>
      </c>
      <c r="B2488" t="s">
        <v>34</v>
      </c>
      <c r="C2488" t="s">
        <v>5</v>
      </c>
      <c r="D2488">
        <v>20</v>
      </c>
      <c r="E2488">
        <v>44.076000000000001</v>
      </c>
      <c r="F2488">
        <f t="shared" si="153"/>
        <v>46</v>
      </c>
      <c r="G2488">
        <f t="shared" si="155"/>
        <v>4.1826086956521724</v>
      </c>
      <c r="H2488">
        <f t="shared" si="156"/>
        <v>4.3651874035756411</v>
      </c>
    </row>
    <row r="2489" spans="1:8" x14ac:dyDescent="0.25">
      <c r="A2489" t="str">
        <f t="shared" si="154"/>
        <v>Multihop,STnet,20</v>
      </c>
      <c r="B2489" t="s">
        <v>34</v>
      </c>
      <c r="C2489" t="s">
        <v>5</v>
      </c>
      <c r="D2489">
        <v>20</v>
      </c>
      <c r="E2489">
        <v>46.149000000000001</v>
      </c>
      <c r="F2489">
        <f t="shared" si="153"/>
        <v>46</v>
      </c>
      <c r="G2489">
        <f t="shared" si="155"/>
        <v>0.32391304347826283</v>
      </c>
      <c r="H2489">
        <f t="shared" si="156"/>
        <v>0.32286723439294657</v>
      </c>
    </row>
    <row r="2490" spans="1:8" x14ac:dyDescent="0.25">
      <c r="A2490" t="str">
        <f t="shared" si="154"/>
        <v>Multihop,STnet,20</v>
      </c>
      <c r="B2490" t="s">
        <v>34</v>
      </c>
      <c r="C2490" t="s">
        <v>5</v>
      </c>
      <c r="D2490">
        <v>20</v>
      </c>
      <c r="E2490">
        <v>44.149000000000001</v>
      </c>
      <c r="F2490">
        <f t="shared" si="153"/>
        <v>46</v>
      </c>
      <c r="G2490">
        <f t="shared" si="155"/>
        <v>4.0239130434782586</v>
      </c>
      <c r="H2490">
        <f t="shared" si="156"/>
        <v>4.1926204444041746</v>
      </c>
    </row>
    <row r="2491" spans="1:8" x14ac:dyDescent="0.25">
      <c r="A2491" t="str">
        <f t="shared" si="154"/>
        <v>Multihop,STnet,20</v>
      </c>
      <c r="B2491" t="s">
        <v>34</v>
      </c>
      <c r="C2491" t="s">
        <v>5</v>
      </c>
      <c r="D2491">
        <v>20</v>
      </c>
      <c r="E2491">
        <v>43.076000000000001</v>
      </c>
      <c r="F2491">
        <f t="shared" si="153"/>
        <v>46</v>
      </c>
      <c r="G2491">
        <f t="shared" si="155"/>
        <v>6.3565217391304341</v>
      </c>
      <c r="H2491">
        <f t="shared" si="156"/>
        <v>6.788002600055715</v>
      </c>
    </row>
    <row r="2492" spans="1:8" x14ac:dyDescent="0.25">
      <c r="A2492" t="str">
        <f t="shared" si="154"/>
        <v>Multihop,STnet,20</v>
      </c>
      <c r="B2492" t="s">
        <v>34</v>
      </c>
      <c r="C2492" t="s">
        <v>5</v>
      </c>
      <c r="D2492">
        <v>20</v>
      </c>
      <c r="E2492">
        <v>47.295000000000002</v>
      </c>
      <c r="F2492">
        <f t="shared" si="153"/>
        <v>46</v>
      </c>
      <c r="G2492">
        <f t="shared" si="155"/>
        <v>2.8152173913043517</v>
      </c>
      <c r="H2492">
        <f t="shared" si="156"/>
        <v>2.738132995031191</v>
      </c>
    </row>
    <row r="2493" spans="1:8" x14ac:dyDescent="0.25">
      <c r="A2493" t="str">
        <f t="shared" si="154"/>
        <v>Multihop,STnet,20</v>
      </c>
      <c r="B2493" t="s">
        <v>34</v>
      </c>
      <c r="C2493" t="s">
        <v>5</v>
      </c>
      <c r="D2493">
        <v>20</v>
      </c>
      <c r="E2493">
        <v>46.295000000000002</v>
      </c>
      <c r="F2493">
        <f t="shared" si="153"/>
        <v>46</v>
      </c>
      <c r="G2493">
        <f t="shared" si="155"/>
        <v>0.64130434782609069</v>
      </c>
      <c r="H2493">
        <f t="shared" si="156"/>
        <v>0.63721784209958243</v>
      </c>
    </row>
    <row r="2494" spans="1:8" x14ac:dyDescent="0.25">
      <c r="A2494" t="str">
        <f t="shared" si="154"/>
        <v>Multihop,STnet,20</v>
      </c>
      <c r="B2494" t="s">
        <v>34</v>
      </c>
      <c r="C2494" t="s">
        <v>5</v>
      </c>
      <c r="D2494">
        <v>20</v>
      </c>
      <c r="E2494">
        <v>45.076000000000001</v>
      </c>
      <c r="F2494">
        <f t="shared" si="153"/>
        <v>46</v>
      </c>
      <c r="G2494">
        <f t="shared" si="155"/>
        <v>2.0086956521739121</v>
      </c>
      <c r="H2494">
        <f t="shared" si="156"/>
        <v>2.0498713284231065</v>
      </c>
    </row>
    <row r="2495" spans="1:8" x14ac:dyDescent="0.25">
      <c r="A2495" t="str">
        <f t="shared" si="154"/>
        <v>Multihop,STnet,20</v>
      </c>
      <c r="B2495" t="s">
        <v>34</v>
      </c>
      <c r="C2495" t="s">
        <v>5</v>
      </c>
      <c r="D2495">
        <v>20</v>
      </c>
      <c r="E2495">
        <v>46.295000000000002</v>
      </c>
      <c r="F2495">
        <f t="shared" si="153"/>
        <v>46</v>
      </c>
      <c r="G2495">
        <f t="shared" si="155"/>
        <v>0.64130434782609069</v>
      </c>
      <c r="H2495">
        <f t="shared" si="156"/>
        <v>0.63721784209958243</v>
      </c>
    </row>
    <row r="2496" spans="1:8" x14ac:dyDescent="0.25">
      <c r="A2496" t="str">
        <f t="shared" si="154"/>
        <v>Multihop,STnet,20</v>
      </c>
      <c r="B2496" t="s">
        <v>34</v>
      </c>
      <c r="C2496" t="s">
        <v>5</v>
      </c>
      <c r="D2496">
        <v>20</v>
      </c>
      <c r="E2496">
        <v>46.295000000000002</v>
      </c>
      <c r="F2496">
        <f t="shared" si="153"/>
        <v>46</v>
      </c>
      <c r="G2496">
        <f t="shared" si="155"/>
        <v>0.64130434782609069</v>
      </c>
      <c r="H2496">
        <f t="shared" si="156"/>
        <v>0.63721784209958243</v>
      </c>
    </row>
    <row r="2497" spans="1:8" x14ac:dyDescent="0.25">
      <c r="A2497" t="str">
        <f t="shared" si="154"/>
        <v>Multihop,STnet,20</v>
      </c>
      <c r="B2497" t="s">
        <v>34</v>
      </c>
      <c r="C2497" t="s">
        <v>5</v>
      </c>
      <c r="D2497">
        <v>20</v>
      </c>
      <c r="E2497">
        <v>45.149000000000001</v>
      </c>
      <c r="F2497">
        <f t="shared" si="153"/>
        <v>46</v>
      </c>
      <c r="G2497">
        <f t="shared" si="155"/>
        <v>1.8499999999999981</v>
      </c>
      <c r="H2497">
        <f t="shared" si="156"/>
        <v>1.8848700967906244</v>
      </c>
    </row>
    <row r="2498" spans="1:8" x14ac:dyDescent="0.25">
      <c r="A2498" t="str">
        <f t="shared" si="154"/>
        <v>Multihop,STnet,20</v>
      </c>
      <c r="B2498" t="s">
        <v>34</v>
      </c>
      <c r="C2498" t="s">
        <v>5</v>
      </c>
      <c r="D2498">
        <v>20</v>
      </c>
      <c r="E2498">
        <v>44.149000000000001</v>
      </c>
      <c r="F2498">
        <f t="shared" si="153"/>
        <v>46</v>
      </c>
      <c r="G2498">
        <f t="shared" si="155"/>
        <v>4.0239130434782586</v>
      </c>
      <c r="H2498">
        <f t="shared" si="156"/>
        <v>4.1926204444041746</v>
      </c>
    </row>
    <row r="2499" spans="1:8" x14ac:dyDescent="0.25">
      <c r="A2499" t="str">
        <f t="shared" si="154"/>
        <v>Multihop,STnet,20</v>
      </c>
      <c r="B2499" t="s">
        <v>34</v>
      </c>
      <c r="C2499" t="s">
        <v>5</v>
      </c>
      <c r="D2499">
        <v>20</v>
      </c>
      <c r="E2499">
        <v>46.149000000000001</v>
      </c>
      <c r="F2499">
        <f t="shared" ref="F2499:F2562" si="157">_xlfn.XLOOKUP(A2499,$J$3:$J$36,$N$3:$N$36)</f>
        <v>46</v>
      </c>
      <c r="G2499">
        <f t="shared" si="155"/>
        <v>0.32391304347826283</v>
      </c>
      <c r="H2499">
        <f t="shared" si="156"/>
        <v>0.32286723439294657</v>
      </c>
    </row>
    <row r="2500" spans="1:8" x14ac:dyDescent="0.25">
      <c r="A2500" t="str">
        <f t="shared" ref="A2500:A2563" si="158">B2500&amp;","&amp;C2500&amp;","&amp;D2500</f>
        <v>Multihop,STnet,20</v>
      </c>
      <c r="B2500" t="s">
        <v>34</v>
      </c>
      <c r="C2500" t="s">
        <v>5</v>
      </c>
      <c r="D2500">
        <v>20</v>
      </c>
      <c r="E2500">
        <v>46.295000000000002</v>
      </c>
      <c r="F2500">
        <f t="shared" si="157"/>
        <v>46</v>
      </c>
      <c r="G2500">
        <f t="shared" ref="G2500:G2563" si="159">ABS((E2500-F2500)/F2500)*100</f>
        <v>0.64130434782609069</v>
      </c>
      <c r="H2500">
        <f t="shared" ref="H2500:H2563" si="160">ABS((F2500-E2500)/E2500)*100</f>
        <v>0.63721784209958243</v>
      </c>
    </row>
    <row r="2501" spans="1:8" x14ac:dyDescent="0.25">
      <c r="A2501" t="str">
        <f t="shared" si="158"/>
        <v>Multihop,STnet,20</v>
      </c>
      <c r="B2501" t="s">
        <v>34</v>
      </c>
      <c r="C2501" t="s">
        <v>5</v>
      </c>
      <c r="D2501">
        <v>20</v>
      </c>
      <c r="E2501">
        <v>46.149000000000001</v>
      </c>
      <c r="F2501">
        <f t="shared" si="157"/>
        <v>46</v>
      </c>
      <c r="G2501">
        <f t="shared" si="159"/>
        <v>0.32391304347826283</v>
      </c>
      <c r="H2501">
        <f t="shared" si="160"/>
        <v>0.32286723439294657</v>
      </c>
    </row>
    <row r="2502" spans="1:8" x14ac:dyDescent="0.25">
      <c r="A2502" t="str">
        <f t="shared" si="158"/>
        <v>Multihop,STnet,20</v>
      </c>
      <c r="B2502" t="s">
        <v>34</v>
      </c>
      <c r="C2502" t="s">
        <v>5</v>
      </c>
      <c r="D2502">
        <v>20</v>
      </c>
      <c r="E2502">
        <v>46.003</v>
      </c>
      <c r="F2502">
        <f t="shared" si="157"/>
        <v>46</v>
      </c>
      <c r="G2502">
        <f t="shared" si="159"/>
        <v>6.5217391304350303E-3</v>
      </c>
      <c r="H2502">
        <f t="shared" si="160"/>
        <v>6.5213138273593329E-3</v>
      </c>
    </row>
    <row r="2503" spans="1:8" x14ac:dyDescent="0.25">
      <c r="A2503" t="str">
        <f t="shared" si="158"/>
        <v>Multihop,STnet,40</v>
      </c>
      <c r="B2503" t="s">
        <v>34</v>
      </c>
      <c r="C2503" t="s">
        <v>5</v>
      </c>
      <c r="D2503">
        <v>40</v>
      </c>
      <c r="E2503">
        <v>82.266000000000005</v>
      </c>
      <c r="F2503">
        <f t="shared" si="157"/>
        <v>79.7</v>
      </c>
      <c r="G2503">
        <f t="shared" si="159"/>
        <v>3.219573400250944</v>
      </c>
      <c r="H2503">
        <f t="shared" si="160"/>
        <v>3.1191500741497125</v>
      </c>
    </row>
    <row r="2504" spans="1:8" x14ac:dyDescent="0.25">
      <c r="A2504" t="str">
        <f t="shared" si="158"/>
        <v>Multihop,STnet,40</v>
      </c>
      <c r="B2504" t="s">
        <v>34</v>
      </c>
      <c r="C2504" t="s">
        <v>5</v>
      </c>
      <c r="D2504">
        <v>40</v>
      </c>
      <c r="E2504">
        <v>71.316999999999993</v>
      </c>
      <c r="F2504">
        <f t="shared" si="157"/>
        <v>79.7</v>
      </c>
      <c r="G2504">
        <f t="shared" si="159"/>
        <v>10.518193224592233</v>
      </c>
      <c r="H2504">
        <f t="shared" si="160"/>
        <v>11.754560623694225</v>
      </c>
    </row>
    <row r="2505" spans="1:8" x14ac:dyDescent="0.25">
      <c r="A2505" t="str">
        <f t="shared" si="158"/>
        <v>Multihop,STnet,40</v>
      </c>
      <c r="B2505" t="s">
        <v>34</v>
      </c>
      <c r="C2505" t="s">
        <v>5</v>
      </c>
      <c r="D2505">
        <v>40</v>
      </c>
      <c r="E2505">
        <v>66.462999999999994</v>
      </c>
      <c r="F2505">
        <f t="shared" si="157"/>
        <v>79.7</v>
      </c>
      <c r="G2505">
        <f t="shared" si="159"/>
        <v>16.608531994981192</v>
      </c>
      <c r="H2505">
        <f t="shared" si="160"/>
        <v>19.916344432240511</v>
      </c>
    </row>
    <row r="2506" spans="1:8" x14ac:dyDescent="0.25">
      <c r="A2506" t="str">
        <f t="shared" si="158"/>
        <v>Multihop,STnet,40</v>
      </c>
      <c r="B2506" t="s">
        <v>34</v>
      </c>
      <c r="C2506" t="s">
        <v>5</v>
      </c>
      <c r="D2506">
        <v>40</v>
      </c>
      <c r="E2506">
        <v>76.608999999999995</v>
      </c>
      <c r="F2506">
        <f t="shared" si="157"/>
        <v>79.7</v>
      </c>
      <c r="G2506">
        <f t="shared" si="159"/>
        <v>3.8782936010037745</v>
      </c>
      <c r="H2506">
        <f t="shared" si="160"/>
        <v>4.0347739821692077</v>
      </c>
    </row>
    <row r="2507" spans="1:8" x14ac:dyDescent="0.25">
      <c r="A2507" t="str">
        <f t="shared" si="158"/>
        <v>Multihop,STnet,40</v>
      </c>
      <c r="B2507" t="s">
        <v>34</v>
      </c>
      <c r="C2507" t="s">
        <v>5</v>
      </c>
      <c r="D2507">
        <v>40</v>
      </c>
      <c r="E2507">
        <v>69.097999999999999</v>
      </c>
      <c r="F2507">
        <f t="shared" si="157"/>
        <v>79.7</v>
      </c>
      <c r="G2507">
        <f t="shared" si="159"/>
        <v>13.302383939774156</v>
      </c>
      <c r="H2507">
        <f t="shared" si="160"/>
        <v>15.343425280037055</v>
      </c>
    </row>
    <row r="2508" spans="1:8" x14ac:dyDescent="0.25">
      <c r="A2508" t="str">
        <f t="shared" si="158"/>
        <v>Multihop,STnet,40</v>
      </c>
      <c r="B2508" t="s">
        <v>34</v>
      </c>
      <c r="C2508" t="s">
        <v>5</v>
      </c>
      <c r="D2508">
        <v>40</v>
      </c>
      <c r="E2508">
        <v>84.191999999999993</v>
      </c>
      <c r="F2508">
        <f t="shared" si="157"/>
        <v>79.7</v>
      </c>
      <c r="G2508">
        <f t="shared" si="159"/>
        <v>5.6361355081555704</v>
      </c>
      <c r="H2508">
        <f t="shared" si="160"/>
        <v>5.3354237932345008</v>
      </c>
    </row>
    <row r="2509" spans="1:8" x14ac:dyDescent="0.25">
      <c r="A2509" t="str">
        <f t="shared" si="158"/>
        <v>Multihop,STnet,40</v>
      </c>
      <c r="B2509" t="s">
        <v>34</v>
      </c>
      <c r="C2509" t="s">
        <v>5</v>
      </c>
      <c r="D2509">
        <v>40</v>
      </c>
      <c r="E2509">
        <v>77.900999999999996</v>
      </c>
      <c r="F2509">
        <f t="shared" si="157"/>
        <v>79.7</v>
      </c>
      <c r="G2509">
        <f t="shared" si="159"/>
        <v>2.257214554579682</v>
      </c>
      <c r="H2509">
        <f t="shared" si="160"/>
        <v>2.3093413435000922</v>
      </c>
    </row>
    <row r="2510" spans="1:8" x14ac:dyDescent="0.25">
      <c r="A2510" t="str">
        <f t="shared" si="158"/>
        <v>Multihop,STnet,40</v>
      </c>
      <c r="B2510" t="s">
        <v>34</v>
      </c>
      <c r="C2510" t="s">
        <v>5</v>
      </c>
      <c r="D2510">
        <v>40</v>
      </c>
      <c r="E2510">
        <v>75.828000000000003</v>
      </c>
      <c r="F2510">
        <f t="shared" si="157"/>
        <v>79.7</v>
      </c>
      <c r="G2510">
        <f t="shared" si="159"/>
        <v>4.8582183186951067</v>
      </c>
      <c r="H2510">
        <f t="shared" si="160"/>
        <v>5.1062931898507147</v>
      </c>
    </row>
    <row r="2511" spans="1:8" x14ac:dyDescent="0.25">
      <c r="A2511" t="str">
        <f t="shared" si="158"/>
        <v>Multihop,STnet,40</v>
      </c>
      <c r="B2511" t="s">
        <v>34</v>
      </c>
      <c r="C2511" t="s">
        <v>5</v>
      </c>
      <c r="D2511">
        <v>40</v>
      </c>
      <c r="E2511">
        <v>84.12</v>
      </c>
      <c r="F2511">
        <f t="shared" si="157"/>
        <v>79.7</v>
      </c>
      <c r="G2511">
        <f t="shared" si="159"/>
        <v>5.5457967377666266</v>
      </c>
      <c r="H2511">
        <f t="shared" si="160"/>
        <v>5.2543984783642435</v>
      </c>
    </row>
    <row r="2512" spans="1:8" x14ac:dyDescent="0.25">
      <c r="A2512" t="str">
        <f t="shared" si="158"/>
        <v>Multihop,STnet,40</v>
      </c>
      <c r="B2512" t="s">
        <v>34</v>
      </c>
      <c r="C2512" t="s">
        <v>5</v>
      </c>
      <c r="D2512">
        <v>40</v>
      </c>
      <c r="E2512">
        <v>78.046000000000006</v>
      </c>
      <c r="F2512">
        <f t="shared" si="157"/>
        <v>79.7</v>
      </c>
      <c r="G2512">
        <f t="shared" si="159"/>
        <v>2.075282308657461</v>
      </c>
      <c r="H2512">
        <f t="shared" si="160"/>
        <v>2.1192629987443254</v>
      </c>
    </row>
    <row r="2513" spans="1:8" x14ac:dyDescent="0.25">
      <c r="A2513" t="str">
        <f t="shared" si="158"/>
        <v>Multihop,STnet,40</v>
      </c>
      <c r="B2513" t="s">
        <v>34</v>
      </c>
      <c r="C2513" t="s">
        <v>5</v>
      </c>
      <c r="D2513">
        <v>40</v>
      </c>
      <c r="E2513">
        <v>87.266000000000005</v>
      </c>
      <c r="F2513">
        <f t="shared" si="157"/>
        <v>79.7</v>
      </c>
      <c r="G2513">
        <f t="shared" si="159"/>
        <v>9.4930991217064005</v>
      </c>
      <c r="H2513">
        <f t="shared" si="160"/>
        <v>8.6700433158389316</v>
      </c>
    </row>
    <row r="2514" spans="1:8" x14ac:dyDescent="0.25">
      <c r="A2514" t="str">
        <f t="shared" si="158"/>
        <v>Multihop,STnet,40</v>
      </c>
      <c r="B2514" t="s">
        <v>34</v>
      </c>
      <c r="C2514" t="s">
        <v>5</v>
      </c>
      <c r="D2514">
        <v>40</v>
      </c>
      <c r="E2514">
        <v>70.462999999999994</v>
      </c>
      <c r="F2514">
        <f t="shared" si="157"/>
        <v>79.7</v>
      </c>
      <c r="G2514">
        <f t="shared" si="159"/>
        <v>11.589711417816824</v>
      </c>
      <c r="H2514">
        <f t="shared" si="160"/>
        <v>13.109007564253595</v>
      </c>
    </row>
    <row r="2515" spans="1:8" x14ac:dyDescent="0.25">
      <c r="A2515" t="str">
        <f t="shared" si="158"/>
        <v>Multihop,STnet,40</v>
      </c>
      <c r="B2515" t="s">
        <v>34</v>
      </c>
      <c r="C2515" t="s">
        <v>5</v>
      </c>
      <c r="D2515">
        <v>40</v>
      </c>
      <c r="E2515">
        <v>67.754000000000005</v>
      </c>
      <c r="F2515">
        <f t="shared" si="157"/>
        <v>79.7</v>
      </c>
      <c r="G2515">
        <f t="shared" si="159"/>
        <v>14.988707653701377</v>
      </c>
      <c r="H2515">
        <f t="shared" si="160"/>
        <v>17.631431354606367</v>
      </c>
    </row>
    <row r="2516" spans="1:8" x14ac:dyDescent="0.25">
      <c r="A2516" t="str">
        <f t="shared" si="158"/>
        <v>Multihop,STnet,40</v>
      </c>
      <c r="B2516" t="s">
        <v>34</v>
      </c>
      <c r="C2516" t="s">
        <v>5</v>
      </c>
      <c r="D2516">
        <v>40</v>
      </c>
      <c r="E2516">
        <v>79.900000000000006</v>
      </c>
      <c r="F2516">
        <f t="shared" si="157"/>
        <v>79.7</v>
      </c>
      <c r="G2516">
        <f t="shared" si="159"/>
        <v>0.25094102885822184</v>
      </c>
      <c r="H2516">
        <f t="shared" si="160"/>
        <v>0.25031289111389587</v>
      </c>
    </row>
    <row r="2517" spans="1:8" x14ac:dyDescent="0.25">
      <c r="A2517" t="str">
        <f t="shared" si="158"/>
        <v>Multihop,STnet,40</v>
      </c>
      <c r="B2517" t="s">
        <v>34</v>
      </c>
      <c r="C2517" t="s">
        <v>5</v>
      </c>
      <c r="D2517">
        <v>40</v>
      </c>
      <c r="E2517">
        <v>87.483999999999995</v>
      </c>
      <c r="F2517">
        <f t="shared" si="157"/>
        <v>79.7</v>
      </c>
      <c r="G2517">
        <f t="shared" si="159"/>
        <v>9.7666248431618463</v>
      </c>
      <c r="H2517">
        <f t="shared" si="160"/>
        <v>8.8976269946504409</v>
      </c>
    </row>
    <row r="2518" spans="1:8" x14ac:dyDescent="0.25">
      <c r="A2518" t="str">
        <f t="shared" si="158"/>
        <v>Multihop,STnet,40</v>
      </c>
      <c r="B2518" t="s">
        <v>34</v>
      </c>
      <c r="C2518" t="s">
        <v>5</v>
      </c>
      <c r="D2518">
        <v>40</v>
      </c>
      <c r="E2518">
        <v>76.608999999999995</v>
      </c>
      <c r="F2518">
        <f t="shared" si="157"/>
        <v>79.7</v>
      </c>
      <c r="G2518">
        <f t="shared" si="159"/>
        <v>3.8782936010037745</v>
      </c>
      <c r="H2518">
        <f t="shared" si="160"/>
        <v>4.0347739821692077</v>
      </c>
    </row>
    <row r="2519" spans="1:8" x14ac:dyDescent="0.25">
      <c r="A2519" t="str">
        <f t="shared" si="158"/>
        <v>Multihop,STnet,40</v>
      </c>
      <c r="B2519" t="s">
        <v>34</v>
      </c>
      <c r="C2519" t="s">
        <v>5</v>
      </c>
      <c r="D2519">
        <v>40</v>
      </c>
      <c r="E2519">
        <v>82.900999999999996</v>
      </c>
      <c r="F2519">
        <f t="shared" si="157"/>
        <v>79.7</v>
      </c>
      <c r="G2519">
        <f t="shared" si="159"/>
        <v>4.0163111668757763</v>
      </c>
      <c r="H2519">
        <f t="shared" si="160"/>
        <v>3.8612320719894742</v>
      </c>
    </row>
    <row r="2520" spans="1:8" x14ac:dyDescent="0.25">
      <c r="A2520" t="str">
        <f t="shared" si="158"/>
        <v>Multihop,STnet,40</v>
      </c>
      <c r="B2520" t="s">
        <v>34</v>
      </c>
      <c r="C2520" t="s">
        <v>5</v>
      </c>
      <c r="D2520">
        <v>40</v>
      </c>
      <c r="E2520">
        <v>74.826999999999998</v>
      </c>
      <c r="F2520">
        <f t="shared" si="157"/>
        <v>79.7</v>
      </c>
      <c r="G2520">
        <f t="shared" si="159"/>
        <v>6.1141781681304952</v>
      </c>
      <c r="H2520">
        <f t="shared" si="160"/>
        <v>6.5123551659160537</v>
      </c>
    </row>
    <row r="2521" spans="1:8" x14ac:dyDescent="0.25">
      <c r="A2521" t="str">
        <f t="shared" si="158"/>
        <v>Multihop,STnet,40</v>
      </c>
      <c r="B2521" t="s">
        <v>34</v>
      </c>
      <c r="C2521" t="s">
        <v>5</v>
      </c>
      <c r="D2521">
        <v>40</v>
      </c>
      <c r="E2521">
        <v>75.119</v>
      </c>
      <c r="F2521">
        <f t="shared" si="157"/>
        <v>79.7</v>
      </c>
      <c r="G2521">
        <f t="shared" si="159"/>
        <v>5.7478042659974946</v>
      </c>
      <c r="H2521">
        <f t="shared" si="160"/>
        <v>6.0983239925984147</v>
      </c>
    </row>
    <row r="2522" spans="1:8" x14ac:dyDescent="0.25">
      <c r="A2522" t="str">
        <f t="shared" si="158"/>
        <v>Multihop,STnet,40</v>
      </c>
      <c r="B2522" t="s">
        <v>34</v>
      </c>
      <c r="C2522" t="s">
        <v>5</v>
      </c>
      <c r="D2522">
        <v>40</v>
      </c>
      <c r="E2522">
        <v>70.39</v>
      </c>
      <c r="F2522">
        <f t="shared" si="157"/>
        <v>79.7</v>
      </c>
      <c r="G2522">
        <f t="shared" si="159"/>
        <v>11.681304893350065</v>
      </c>
      <c r="H2522">
        <f t="shared" si="160"/>
        <v>13.226310555476633</v>
      </c>
    </row>
    <row r="2523" spans="1:8" x14ac:dyDescent="0.25">
      <c r="A2523" t="str">
        <f t="shared" si="158"/>
        <v>Multihop,STnet,40</v>
      </c>
      <c r="B2523" t="s">
        <v>34</v>
      </c>
      <c r="C2523" t="s">
        <v>5</v>
      </c>
      <c r="D2523">
        <v>40</v>
      </c>
      <c r="E2523">
        <v>68.680999999999997</v>
      </c>
      <c r="F2523">
        <f t="shared" si="157"/>
        <v>79.7</v>
      </c>
      <c r="G2523">
        <f t="shared" si="159"/>
        <v>13.825595984943545</v>
      </c>
      <c r="H2523">
        <f t="shared" si="160"/>
        <v>16.043738442946385</v>
      </c>
    </row>
    <row r="2524" spans="1:8" x14ac:dyDescent="0.25">
      <c r="A2524" t="str">
        <f t="shared" si="158"/>
        <v>Multihop,STnet,40</v>
      </c>
      <c r="B2524" t="s">
        <v>34</v>
      </c>
      <c r="C2524" t="s">
        <v>5</v>
      </c>
      <c r="D2524">
        <v>40</v>
      </c>
      <c r="E2524">
        <v>70.316999999999993</v>
      </c>
      <c r="F2524">
        <f t="shared" si="157"/>
        <v>79.7</v>
      </c>
      <c r="G2524">
        <f t="shared" si="159"/>
        <v>11.772898368883324</v>
      </c>
      <c r="H2524">
        <f t="shared" si="160"/>
        <v>13.343857104256454</v>
      </c>
    </row>
    <row r="2525" spans="1:8" x14ac:dyDescent="0.25">
      <c r="A2525" t="str">
        <f t="shared" si="158"/>
        <v>Multihop,STnet,40</v>
      </c>
      <c r="B2525" t="s">
        <v>34</v>
      </c>
      <c r="C2525" t="s">
        <v>5</v>
      </c>
      <c r="D2525">
        <v>40</v>
      </c>
      <c r="E2525">
        <v>83.411000000000001</v>
      </c>
      <c r="F2525">
        <f t="shared" si="157"/>
        <v>79.7</v>
      </c>
      <c r="G2525">
        <f t="shared" si="159"/>
        <v>4.6562107904642387</v>
      </c>
      <c r="H2525">
        <f t="shared" si="160"/>
        <v>4.4490534821546301</v>
      </c>
    </row>
    <row r="2526" spans="1:8" x14ac:dyDescent="0.25">
      <c r="A2526" t="str">
        <f t="shared" si="158"/>
        <v>Multihop,STnet,40</v>
      </c>
      <c r="B2526" t="s">
        <v>34</v>
      </c>
      <c r="C2526" t="s">
        <v>5</v>
      </c>
      <c r="D2526">
        <v>40</v>
      </c>
      <c r="E2526">
        <v>72.536000000000001</v>
      </c>
      <c r="F2526">
        <f t="shared" si="157"/>
        <v>79.7</v>
      </c>
      <c r="G2526">
        <f t="shared" si="159"/>
        <v>8.9887076537013826</v>
      </c>
      <c r="H2526">
        <f t="shared" si="160"/>
        <v>9.8764751295908262</v>
      </c>
    </row>
    <row r="2527" spans="1:8" x14ac:dyDescent="0.25">
      <c r="A2527" t="str">
        <f t="shared" si="158"/>
        <v>Multihop,STnet,40</v>
      </c>
      <c r="B2527" t="s">
        <v>34</v>
      </c>
      <c r="C2527" t="s">
        <v>5</v>
      </c>
      <c r="D2527">
        <v>40</v>
      </c>
      <c r="E2527">
        <v>74.680999999999997</v>
      </c>
      <c r="F2527">
        <f t="shared" si="157"/>
        <v>79.7</v>
      </c>
      <c r="G2527">
        <f t="shared" si="159"/>
        <v>6.2973651191969964</v>
      </c>
      <c r="H2527">
        <f t="shared" si="160"/>
        <v>6.7205848877224543</v>
      </c>
    </row>
    <row r="2528" spans="1:8" x14ac:dyDescent="0.25">
      <c r="A2528" t="str">
        <f t="shared" si="158"/>
        <v>Multihop,STnet,40</v>
      </c>
      <c r="B2528" t="s">
        <v>34</v>
      </c>
      <c r="C2528" t="s">
        <v>5</v>
      </c>
      <c r="D2528">
        <v>40</v>
      </c>
      <c r="E2528">
        <v>75.900999999999996</v>
      </c>
      <c r="F2528">
        <f t="shared" si="157"/>
        <v>79.7</v>
      </c>
      <c r="G2528">
        <f t="shared" si="159"/>
        <v>4.766624843161865</v>
      </c>
      <c r="H2528">
        <f t="shared" si="160"/>
        <v>5.0052041475079463</v>
      </c>
    </row>
    <row r="2529" spans="1:8" x14ac:dyDescent="0.25">
      <c r="A2529" t="str">
        <f t="shared" si="158"/>
        <v>Multihop,STnet,40</v>
      </c>
      <c r="B2529" t="s">
        <v>34</v>
      </c>
      <c r="C2529" t="s">
        <v>5</v>
      </c>
      <c r="D2529">
        <v>40</v>
      </c>
      <c r="E2529">
        <v>74.682000000000002</v>
      </c>
      <c r="F2529">
        <f t="shared" si="157"/>
        <v>79.7</v>
      </c>
      <c r="G2529">
        <f t="shared" si="159"/>
        <v>6.2961104140526984</v>
      </c>
      <c r="H2529">
        <f t="shared" si="160"/>
        <v>6.7191558876302198</v>
      </c>
    </row>
    <row r="2530" spans="1:8" x14ac:dyDescent="0.25">
      <c r="A2530" t="str">
        <f t="shared" si="158"/>
        <v>Multihop,STnet,40</v>
      </c>
      <c r="B2530" t="s">
        <v>34</v>
      </c>
      <c r="C2530" t="s">
        <v>5</v>
      </c>
      <c r="D2530">
        <v>40</v>
      </c>
      <c r="E2530">
        <v>67.171000000000006</v>
      </c>
      <c r="F2530">
        <f t="shared" si="157"/>
        <v>79.7</v>
      </c>
      <c r="G2530">
        <f t="shared" si="159"/>
        <v>15.720200752823082</v>
      </c>
      <c r="H2530">
        <f t="shared" si="160"/>
        <v>18.652394634589324</v>
      </c>
    </row>
    <row r="2531" spans="1:8" x14ac:dyDescent="0.25">
      <c r="A2531" t="str">
        <f t="shared" si="158"/>
        <v>Multihop,STnet,40</v>
      </c>
      <c r="B2531" t="s">
        <v>34</v>
      </c>
      <c r="C2531" t="s">
        <v>5</v>
      </c>
      <c r="D2531">
        <v>40</v>
      </c>
      <c r="E2531">
        <v>82.900999999999996</v>
      </c>
      <c r="F2531">
        <f t="shared" si="157"/>
        <v>79.7</v>
      </c>
      <c r="G2531">
        <f t="shared" si="159"/>
        <v>4.0163111668757763</v>
      </c>
      <c r="H2531">
        <f t="shared" si="160"/>
        <v>3.8612320719894742</v>
      </c>
    </row>
    <row r="2532" spans="1:8" x14ac:dyDescent="0.25">
      <c r="A2532" t="str">
        <f t="shared" si="158"/>
        <v>Multihop,STnet,40</v>
      </c>
      <c r="B2532" t="s">
        <v>34</v>
      </c>
      <c r="C2532" t="s">
        <v>5</v>
      </c>
      <c r="D2532">
        <v>40</v>
      </c>
      <c r="E2532">
        <v>71.608999999999995</v>
      </c>
      <c r="F2532">
        <f t="shared" si="157"/>
        <v>79.7</v>
      </c>
      <c r="G2532">
        <f t="shared" si="159"/>
        <v>10.151819322459232</v>
      </c>
      <c r="H2532">
        <f t="shared" si="160"/>
        <v>11.298859081958984</v>
      </c>
    </row>
    <row r="2533" spans="1:8" x14ac:dyDescent="0.25">
      <c r="A2533" t="str">
        <f t="shared" si="158"/>
        <v>Multihop,STnet,40</v>
      </c>
      <c r="B2533" t="s">
        <v>34</v>
      </c>
      <c r="C2533" t="s">
        <v>5</v>
      </c>
      <c r="D2533">
        <v>40</v>
      </c>
      <c r="E2533">
        <v>68.171000000000006</v>
      </c>
      <c r="F2533">
        <f t="shared" si="157"/>
        <v>79.7</v>
      </c>
      <c r="G2533">
        <f t="shared" si="159"/>
        <v>14.46549560853199</v>
      </c>
      <c r="H2533">
        <f t="shared" si="160"/>
        <v>16.911883352158537</v>
      </c>
    </row>
    <row r="2534" spans="1:8" x14ac:dyDescent="0.25">
      <c r="A2534" t="str">
        <f t="shared" si="158"/>
        <v>Multihop,STnet,40</v>
      </c>
      <c r="B2534" t="s">
        <v>34</v>
      </c>
      <c r="C2534" t="s">
        <v>5</v>
      </c>
      <c r="D2534">
        <v>40</v>
      </c>
      <c r="E2534">
        <v>81.265000000000001</v>
      </c>
      <c r="F2534">
        <f t="shared" si="157"/>
        <v>79.7</v>
      </c>
      <c r="G2534">
        <f t="shared" si="159"/>
        <v>1.9636135508155554</v>
      </c>
      <c r="H2534">
        <f t="shared" si="160"/>
        <v>1.9257983141573836</v>
      </c>
    </row>
    <row r="2535" spans="1:8" x14ac:dyDescent="0.25">
      <c r="A2535" t="str">
        <f t="shared" si="158"/>
        <v>Multihop,STnet,40</v>
      </c>
      <c r="B2535" t="s">
        <v>34</v>
      </c>
      <c r="C2535" t="s">
        <v>5</v>
      </c>
      <c r="D2535">
        <v>40</v>
      </c>
      <c r="E2535">
        <v>73.536000000000001</v>
      </c>
      <c r="F2535">
        <f t="shared" si="157"/>
        <v>79.7</v>
      </c>
      <c r="G2535">
        <f t="shared" si="159"/>
        <v>7.7340025094102902</v>
      </c>
      <c r="H2535">
        <f t="shared" si="160"/>
        <v>8.382288946910359</v>
      </c>
    </row>
    <row r="2536" spans="1:8" x14ac:dyDescent="0.25">
      <c r="A2536" t="str">
        <f t="shared" si="158"/>
        <v>Multihop,STnet,40</v>
      </c>
      <c r="B2536" t="s">
        <v>34</v>
      </c>
      <c r="C2536" t="s">
        <v>5</v>
      </c>
      <c r="D2536">
        <v>40</v>
      </c>
      <c r="E2536">
        <v>69.316999999999993</v>
      </c>
      <c r="F2536">
        <f t="shared" si="157"/>
        <v>79.7</v>
      </c>
      <c r="G2536">
        <f t="shared" si="159"/>
        <v>13.027603513174416</v>
      </c>
      <c r="H2536">
        <f t="shared" si="160"/>
        <v>14.979009478194397</v>
      </c>
    </row>
    <row r="2537" spans="1:8" x14ac:dyDescent="0.25">
      <c r="A2537" t="str">
        <f t="shared" si="158"/>
        <v>Multihop,STnet,40</v>
      </c>
      <c r="B2537" t="s">
        <v>34</v>
      </c>
      <c r="C2537" t="s">
        <v>5</v>
      </c>
      <c r="D2537">
        <v>40</v>
      </c>
      <c r="E2537">
        <v>78.046000000000006</v>
      </c>
      <c r="F2537">
        <f t="shared" si="157"/>
        <v>79.7</v>
      </c>
      <c r="G2537">
        <f t="shared" si="159"/>
        <v>2.075282308657461</v>
      </c>
      <c r="H2537">
        <f t="shared" si="160"/>
        <v>2.1192629987443254</v>
      </c>
    </row>
    <row r="2538" spans="1:8" x14ac:dyDescent="0.25">
      <c r="A2538" t="str">
        <f t="shared" si="158"/>
        <v>Multihop,STnet,40</v>
      </c>
      <c r="B2538" t="s">
        <v>34</v>
      </c>
      <c r="C2538" t="s">
        <v>5</v>
      </c>
      <c r="D2538">
        <v>40</v>
      </c>
      <c r="E2538">
        <v>70.536000000000001</v>
      </c>
      <c r="F2538">
        <f t="shared" si="157"/>
        <v>79.7</v>
      </c>
      <c r="G2538">
        <f t="shared" si="159"/>
        <v>11.498117942283564</v>
      </c>
      <c r="H2538">
        <f t="shared" si="160"/>
        <v>12.991947374390383</v>
      </c>
    </row>
    <row r="2539" spans="1:8" x14ac:dyDescent="0.25">
      <c r="A2539" t="str">
        <f t="shared" si="158"/>
        <v>Multihop,STnet,40</v>
      </c>
      <c r="B2539" t="s">
        <v>34</v>
      </c>
      <c r="C2539" t="s">
        <v>5</v>
      </c>
      <c r="D2539">
        <v>40</v>
      </c>
      <c r="E2539">
        <v>77.046000000000006</v>
      </c>
      <c r="F2539">
        <f t="shared" si="157"/>
        <v>79.7</v>
      </c>
      <c r="G2539">
        <f t="shared" si="159"/>
        <v>3.3299874529485525</v>
      </c>
      <c r="H2539">
        <f t="shared" si="160"/>
        <v>3.4446953767878883</v>
      </c>
    </row>
    <row r="2540" spans="1:8" x14ac:dyDescent="0.25">
      <c r="A2540" t="str">
        <f t="shared" si="158"/>
        <v>Multihop,STnet,40</v>
      </c>
      <c r="B2540" t="s">
        <v>34</v>
      </c>
      <c r="C2540" t="s">
        <v>5</v>
      </c>
      <c r="D2540">
        <v>40</v>
      </c>
      <c r="E2540">
        <v>87.483999999999995</v>
      </c>
      <c r="F2540">
        <f t="shared" si="157"/>
        <v>79.7</v>
      </c>
      <c r="G2540">
        <f t="shared" si="159"/>
        <v>9.7666248431618463</v>
      </c>
      <c r="H2540">
        <f t="shared" si="160"/>
        <v>8.8976269946504409</v>
      </c>
    </row>
    <row r="2541" spans="1:8" x14ac:dyDescent="0.25">
      <c r="A2541" t="str">
        <f t="shared" si="158"/>
        <v>Multihop,STnet,40</v>
      </c>
      <c r="B2541" t="s">
        <v>34</v>
      </c>
      <c r="C2541" t="s">
        <v>5</v>
      </c>
      <c r="D2541">
        <v>40</v>
      </c>
      <c r="E2541">
        <v>77.900999999999996</v>
      </c>
      <c r="F2541">
        <f t="shared" si="157"/>
        <v>79.7</v>
      </c>
      <c r="G2541">
        <f t="shared" si="159"/>
        <v>2.257214554579682</v>
      </c>
      <c r="H2541">
        <f t="shared" si="160"/>
        <v>2.3093413435000922</v>
      </c>
    </row>
    <row r="2542" spans="1:8" x14ac:dyDescent="0.25">
      <c r="A2542" t="str">
        <f t="shared" si="158"/>
        <v>Multihop,STnet,40</v>
      </c>
      <c r="B2542" t="s">
        <v>34</v>
      </c>
      <c r="C2542" t="s">
        <v>5</v>
      </c>
      <c r="D2542">
        <v>40</v>
      </c>
      <c r="E2542">
        <v>80.12</v>
      </c>
      <c r="F2542">
        <f t="shared" si="157"/>
        <v>79.7</v>
      </c>
      <c r="G2542">
        <f t="shared" si="159"/>
        <v>0.5269761606022606</v>
      </c>
      <c r="H2542">
        <f t="shared" si="160"/>
        <v>0.5242136794807809</v>
      </c>
    </row>
    <row r="2543" spans="1:8" x14ac:dyDescent="0.25">
      <c r="A2543" t="str">
        <f t="shared" si="158"/>
        <v>Multihop,STnet,40</v>
      </c>
      <c r="B2543" t="s">
        <v>34</v>
      </c>
      <c r="C2543" t="s">
        <v>5</v>
      </c>
      <c r="D2543">
        <v>40</v>
      </c>
      <c r="E2543">
        <v>75.828000000000003</v>
      </c>
      <c r="F2543">
        <f t="shared" si="157"/>
        <v>79.7</v>
      </c>
      <c r="G2543">
        <f t="shared" si="159"/>
        <v>4.8582183186951067</v>
      </c>
      <c r="H2543">
        <f t="shared" si="160"/>
        <v>5.1062931898507147</v>
      </c>
    </row>
    <row r="2544" spans="1:8" x14ac:dyDescent="0.25">
      <c r="A2544" t="str">
        <f t="shared" si="158"/>
        <v>Multihop,STnet,40</v>
      </c>
      <c r="B2544" t="s">
        <v>34</v>
      </c>
      <c r="C2544" t="s">
        <v>5</v>
      </c>
      <c r="D2544">
        <v>40</v>
      </c>
      <c r="E2544">
        <v>78.119</v>
      </c>
      <c r="F2544">
        <f t="shared" si="157"/>
        <v>79.7</v>
      </c>
      <c r="G2544">
        <f t="shared" si="159"/>
        <v>1.9836888331242197</v>
      </c>
      <c r="H2544">
        <f t="shared" si="160"/>
        <v>2.0238354305610708</v>
      </c>
    </row>
    <row r="2545" spans="1:8" x14ac:dyDescent="0.25">
      <c r="A2545" t="str">
        <f t="shared" si="158"/>
        <v>Multihop,STnet,40</v>
      </c>
      <c r="B2545" t="s">
        <v>34</v>
      </c>
      <c r="C2545" t="s">
        <v>5</v>
      </c>
      <c r="D2545">
        <v>40</v>
      </c>
      <c r="E2545">
        <v>72.900000000000006</v>
      </c>
      <c r="F2545">
        <f t="shared" si="157"/>
        <v>79.7</v>
      </c>
      <c r="G2545">
        <f t="shared" si="159"/>
        <v>8.5319949811794196</v>
      </c>
      <c r="H2545">
        <f t="shared" si="160"/>
        <v>9.3278463648833974</v>
      </c>
    </row>
    <row r="2546" spans="1:8" x14ac:dyDescent="0.25">
      <c r="A2546" t="str">
        <f t="shared" si="158"/>
        <v>Multihop,STnet,40</v>
      </c>
      <c r="B2546" t="s">
        <v>34</v>
      </c>
      <c r="C2546" t="s">
        <v>5</v>
      </c>
      <c r="D2546">
        <v>40</v>
      </c>
      <c r="E2546">
        <v>75.828000000000003</v>
      </c>
      <c r="F2546">
        <f t="shared" si="157"/>
        <v>79.7</v>
      </c>
      <c r="G2546">
        <f t="shared" si="159"/>
        <v>4.8582183186951067</v>
      </c>
      <c r="H2546">
        <f t="shared" si="160"/>
        <v>5.1062931898507147</v>
      </c>
    </row>
    <row r="2547" spans="1:8" x14ac:dyDescent="0.25">
      <c r="A2547" t="str">
        <f t="shared" si="158"/>
        <v>Multihop,STnet,40</v>
      </c>
      <c r="B2547" t="s">
        <v>34</v>
      </c>
      <c r="C2547" t="s">
        <v>5</v>
      </c>
      <c r="D2547">
        <v>40</v>
      </c>
      <c r="E2547">
        <v>84.411000000000001</v>
      </c>
      <c r="F2547">
        <f t="shared" si="157"/>
        <v>79.7</v>
      </c>
      <c r="G2547">
        <f t="shared" si="159"/>
        <v>5.9109159347553311</v>
      </c>
      <c r="H2547">
        <f t="shared" si="160"/>
        <v>5.5810261695750532</v>
      </c>
    </row>
    <row r="2548" spans="1:8" x14ac:dyDescent="0.25">
      <c r="A2548" t="str">
        <f t="shared" si="158"/>
        <v>Multihop,STnet,40</v>
      </c>
      <c r="B2548" t="s">
        <v>34</v>
      </c>
      <c r="C2548" t="s">
        <v>5</v>
      </c>
      <c r="D2548">
        <v>40</v>
      </c>
      <c r="E2548">
        <v>70.244</v>
      </c>
      <c r="F2548">
        <f t="shared" si="157"/>
        <v>79.7</v>
      </c>
      <c r="G2548">
        <f t="shared" si="159"/>
        <v>11.864491844416564</v>
      </c>
      <c r="H2548">
        <f t="shared" si="160"/>
        <v>13.461647969933379</v>
      </c>
    </row>
    <row r="2549" spans="1:8" x14ac:dyDescent="0.25">
      <c r="A2549" t="str">
        <f t="shared" si="158"/>
        <v>Multihop,STnet,40</v>
      </c>
      <c r="B2549" t="s">
        <v>34</v>
      </c>
      <c r="C2549" t="s">
        <v>5</v>
      </c>
      <c r="D2549">
        <v>40</v>
      </c>
      <c r="E2549">
        <v>75.682000000000002</v>
      </c>
      <c r="F2549">
        <f t="shared" si="157"/>
        <v>79.7</v>
      </c>
      <c r="G2549">
        <f t="shared" si="159"/>
        <v>5.041405269761607</v>
      </c>
      <c r="H2549">
        <f t="shared" si="160"/>
        <v>5.3090563145794256</v>
      </c>
    </row>
    <row r="2550" spans="1:8" x14ac:dyDescent="0.25">
      <c r="A2550" t="str">
        <f t="shared" si="158"/>
        <v>Multihop,STnet,40</v>
      </c>
      <c r="B2550" t="s">
        <v>34</v>
      </c>
      <c r="C2550" t="s">
        <v>5</v>
      </c>
      <c r="D2550">
        <v>40</v>
      </c>
      <c r="E2550">
        <v>75.900999999999996</v>
      </c>
      <c r="F2550">
        <f t="shared" si="157"/>
        <v>79.7</v>
      </c>
      <c r="G2550">
        <f t="shared" si="159"/>
        <v>4.766624843161865</v>
      </c>
      <c r="H2550">
        <f t="shared" si="160"/>
        <v>5.0052041475079463</v>
      </c>
    </row>
    <row r="2551" spans="1:8" x14ac:dyDescent="0.25">
      <c r="A2551" t="str">
        <f t="shared" si="158"/>
        <v>Multihop,STnet,40</v>
      </c>
      <c r="B2551" t="s">
        <v>34</v>
      </c>
      <c r="C2551" t="s">
        <v>5</v>
      </c>
      <c r="D2551">
        <v>40</v>
      </c>
      <c r="E2551">
        <v>75.608999999999995</v>
      </c>
      <c r="F2551">
        <f t="shared" si="157"/>
        <v>79.7</v>
      </c>
      <c r="G2551">
        <f t="shared" si="159"/>
        <v>5.1329987452948656</v>
      </c>
      <c r="H2551">
        <f t="shared" si="160"/>
        <v>5.4107315266701166</v>
      </c>
    </row>
    <row r="2552" spans="1:8" x14ac:dyDescent="0.25">
      <c r="A2552" t="str">
        <f t="shared" si="158"/>
        <v>Multihop,STnet,40</v>
      </c>
      <c r="B2552" t="s">
        <v>34</v>
      </c>
      <c r="C2552" t="s">
        <v>5</v>
      </c>
      <c r="D2552">
        <v>40</v>
      </c>
      <c r="E2552">
        <v>78.974000000000004</v>
      </c>
      <c r="F2552">
        <f t="shared" si="157"/>
        <v>79.7</v>
      </c>
      <c r="G2552">
        <f t="shared" si="159"/>
        <v>0.91091593475533128</v>
      </c>
      <c r="H2552">
        <f t="shared" si="160"/>
        <v>0.91928989287613527</v>
      </c>
    </row>
    <row r="2553" spans="1:8" x14ac:dyDescent="0.25">
      <c r="A2553" t="str">
        <f t="shared" si="158"/>
        <v>Multihop,STnet,40</v>
      </c>
      <c r="B2553" t="s">
        <v>34</v>
      </c>
      <c r="C2553" t="s">
        <v>5</v>
      </c>
      <c r="D2553">
        <v>40</v>
      </c>
      <c r="E2553">
        <v>80.265000000000001</v>
      </c>
      <c r="F2553">
        <f t="shared" si="157"/>
        <v>79.7</v>
      </c>
      <c r="G2553">
        <f t="shared" si="159"/>
        <v>0.70890840652446385</v>
      </c>
      <c r="H2553">
        <f t="shared" si="160"/>
        <v>0.70391827072821</v>
      </c>
    </row>
    <row r="2554" spans="1:8" x14ac:dyDescent="0.25">
      <c r="A2554" t="str">
        <f t="shared" si="158"/>
        <v>Multihop,STnet,40</v>
      </c>
      <c r="B2554" t="s">
        <v>34</v>
      </c>
      <c r="C2554" t="s">
        <v>5</v>
      </c>
      <c r="D2554">
        <v>40</v>
      </c>
      <c r="E2554">
        <v>70.316999999999993</v>
      </c>
      <c r="F2554">
        <f t="shared" si="157"/>
        <v>79.7</v>
      </c>
      <c r="G2554">
        <f t="shared" si="159"/>
        <v>11.772898368883324</v>
      </c>
      <c r="H2554">
        <f t="shared" si="160"/>
        <v>13.343857104256454</v>
      </c>
    </row>
    <row r="2555" spans="1:8" x14ac:dyDescent="0.25">
      <c r="A2555" t="str">
        <f t="shared" si="158"/>
        <v>Multihop,STnet,40</v>
      </c>
      <c r="B2555" t="s">
        <v>34</v>
      </c>
      <c r="C2555" t="s">
        <v>5</v>
      </c>
      <c r="D2555">
        <v>40</v>
      </c>
      <c r="E2555">
        <v>86.483999999999995</v>
      </c>
      <c r="F2555">
        <f t="shared" si="157"/>
        <v>79.7</v>
      </c>
      <c r="G2555">
        <f t="shared" si="159"/>
        <v>8.5119196988707557</v>
      </c>
      <c r="H2555">
        <f t="shared" si="160"/>
        <v>7.8442255214837333</v>
      </c>
    </row>
    <row r="2556" spans="1:8" x14ac:dyDescent="0.25">
      <c r="A2556" t="str">
        <f t="shared" si="158"/>
        <v>Multihop,STnet,40</v>
      </c>
      <c r="B2556" t="s">
        <v>34</v>
      </c>
      <c r="C2556" t="s">
        <v>5</v>
      </c>
      <c r="D2556">
        <v>40</v>
      </c>
      <c r="E2556">
        <v>86.900999999999996</v>
      </c>
      <c r="F2556">
        <f t="shared" si="157"/>
        <v>79.7</v>
      </c>
      <c r="G2556">
        <f t="shared" si="159"/>
        <v>9.0351317440401431</v>
      </c>
      <c r="H2556">
        <f t="shared" si="160"/>
        <v>8.2864408925098605</v>
      </c>
    </row>
    <row r="2557" spans="1:8" x14ac:dyDescent="0.25">
      <c r="A2557" t="str">
        <f t="shared" si="158"/>
        <v>Multihop,STnet,40</v>
      </c>
      <c r="B2557" t="s">
        <v>34</v>
      </c>
      <c r="C2557" t="s">
        <v>5</v>
      </c>
      <c r="D2557">
        <v>40</v>
      </c>
      <c r="E2557">
        <v>82.411000000000001</v>
      </c>
      <c r="F2557">
        <f t="shared" si="157"/>
        <v>79.7</v>
      </c>
      <c r="G2557">
        <f t="shared" si="159"/>
        <v>3.4015056461731472</v>
      </c>
      <c r="H2557">
        <f t="shared" si="160"/>
        <v>3.2896093968038227</v>
      </c>
    </row>
    <row r="2558" spans="1:8" x14ac:dyDescent="0.25">
      <c r="A2558" t="str">
        <f t="shared" si="158"/>
        <v>Multihop,STnet,40</v>
      </c>
      <c r="B2558" t="s">
        <v>34</v>
      </c>
      <c r="C2558" t="s">
        <v>5</v>
      </c>
      <c r="D2558">
        <v>40</v>
      </c>
      <c r="E2558">
        <v>79.119</v>
      </c>
      <c r="F2558">
        <f t="shared" si="157"/>
        <v>79.7</v>
      </c>
      <c r="G2558">
        <f t="shared" si="159"/>
        <v>0.72898368883312803</v>
      </c>
      <c r="H2558">
        <f t="shared" si="160"/>
        <v>0.73433688494546578</v>
      </c>
    </row>
    <row r="2559" spans="1:8" x14ac:dyDescent="0.25">
      <c r="A2559" t="str">
        <f t="shared" si="158"/>
        <v>Multihop,STnet,40</v>
      </c>
      <c r="B2559" t="s">
        <v>34</v>
      </c>
      <c r="C2559" t="s">
        <v>5</v>
      </c>
      <c r="D2559">
        <v>40</v>
      </c>
      <c r="E2559">
        <v>74.462999999999994</v>
      </c>
      <c r="F2559">
        <f t="shared" si="157"/>
        <v>79.7</v>
      </c>
      <c r="G2559">
        <f t="shared" si="159"/>
        <v>6.5708908406524573</v>
      </c>
      <c r="H2559">
        <f t="shared" si="160"/>
        <v>7.0330231121496709</v>
      </c>
    </row>
    <row r="2560" spans="1:8" x14ac:dyDescent="0.25">
      <c r="A2560" t="str">
        <f t="shared" si="158"/>
        <v>Multihop,STnet,40</v>
      </c>
      <c r="B2560" t="s">
        <v>34</v>
      </c>
      <c r="C2560" t="s">
        <v>5</v>
      </c>
      <c r="D2560">
        <v>40</v>
      </c>
      <c r="E2560">
        <v>74.754999999999995</v>
      </c>
      <c r="F2560">
        <f t="shared" si="157"/>
        <v>79.7</v>
      </c>
      <c r="G2560">
        <f t="shared" si="159"/>
        <v>6.2045169385194567</v>
      </c>
      <c r="H2560">
        <f t="shared" si="160"/>
        <v>6.6149421443381815</v>
      </c>
    </row>
    <row r="2561" spans="1:8" x14ac:dyDescent="0.25">
      <c r="A2561" t="str">
        <f t="shared" si="158"/>
        <v>Multihop,STnet,40</v>
      </c>
      <c r="B2561" t="s">
        <v>34</v>
      </c>
      <c r="C2561" t="s">
        <v>5</v>
      </c>
      <c r="D2561">
        <v>40</v>
      </c>
      <c r="E2561">
        <v>76.608999999999995</v>
      </c>
      <c r="F2561">
        <f t="shared" si="157"/>
        <v>79.7</v>
      </c>
      <c r="G2561">
        <f t="shared" si="159"/>
        <v>3.8782936010037745</v>
      </c>
      <c r="H2561">
        <f t="shared" si="160"/>
        <v>4.0347739821692077</v>
      </c>
    </row>
    <row r="2562" spans="1:8" x14ac:dyDescent="0.25">
      <c r="A2562" t="str">
        <f t="shared" si="158"/>
        <v>Multihop,STnet,40</v>
      </c>
      <c r="B2562" t="s">
        <v>34</v>
      </c>
      <c r="C2562" t="s">
        <v>5</v>
      </c>
      <c r="D2562">
        <v>40</v>
      </c>
      <c r="E2562">
        <v>73.682000000000002</v>
      </c>
      <c r="F2562">
        <f t="shared" si="157"/>
        <v>79.7</v>
      </c>
      <c r="G2562">
        <f t="shared" si="159"/>
        <v>7.5508155583437899</v>
      </c>
      <c r="H2562">
        <f t="shared" si="160"/>
        <v>8.1675307402079209</v>
      </c>
    </row>
    <row r="2563" spans="1:8" x14ac:dyDescent="0.25">
      <c r="A2563" t="str">
        <f t="shared" si="158"/>
        <v>Multihop,STnet,40</v>
      </c>
      <c r="B2563" t="s">
        <v>34</v>
      </c>
      <c r="C2563" t="s">
        <v>5</v>
      </c>
      <c r="D2563">
        <v>40</v>
      </c>
      <c r="E2563">
        <v>79.900999999999996</v>
      </c>
      <c r="F2563">
        <f t="shared" ref="F2563:F2626" si="161">_xlfn.XLOOKUP(A2563,$J$3:$J$36,$N$3:$N$36)</f>
        <v>79.7</v>
      </c>
      <c r="G2563">
        <f t="shared" si="159"/>
        <v>0.25219573400250112</v>
      </c>
      <c r="H2563">
        <f t="shared" si="160"/>
        <v>0.2515613071175497</v>
      </c>
    </row>
    <row r="2564" spans="1:8" x14ac:dyDescent="0.25">
      <c r="A2564" t="str">
        <f t="shared" ref="A2564:A2627" si="162">B2564&amp;","&amp;C2564&amp;","&amp;D2564</f>
        <v>Multihop,STnet,40</v>
      </c>
      <c r="B2564" t="s">
        <v>34</v>
      </c>
      <c r="C2564" t="s">
        <v>5</v>
      </c>
      <c r="D2564">
        <v>40</v>
      </c>
      <c r="E2564">
        <v>78.191999999999993</v>
      </c>
      <c r="F2564">
        <f t="shared" si="161"/>
        <v>79.7</v>
      </c>
      <c r="G2564">
        <f t="shared" ref="G2564:G2627" si="163">ABS((E2564-F2564)/F2564)*100</f>
        <v>1.8920953575909782</v>
      </c>
      <c r="H2564">
        <f t="shared" ref="H2564:H2627" si="164">ABS((F2564-E2564)/E2564)*100</f>
        <v>1.9285860446081566</v>
      </c>
    </row>
    <row r="2565" spans="1:8" x14ac:dyDescent="0.25">
      <c r="A2565" t="str">
        <f t="shared" si="162"/>
        <v>Multihop,STnet,40</v>
      </c>
      <c r="B2565" t="s">
        <v>34</v>
      </c>
      <c r="C2565" t="s">
        <v>5</v>
      </c>
      <c r="D2565">
        <v>40</v>
      </c>
      <c r="E2565">
        <v>74.536000000000001</v>
      </c>
      <c r="F2565">
        <f t="shared" si="161"/>
        <v>79.7</v>
      </c>
      <c r="G2565">
        <f t="shared" si="163"/>
        <v>6.4792973651191996</v>
      </c>
      <c r="H2565">
        <f t="shared" si="164"/>
        <v>6.9281957711709792</v>
      </c>
    </row>
    <row r="2566" spans="1:8" x14ac:dyDescent="0.25">
      <c r="A2566" t="str">
        <f t="shared" si="162"/>
        <v>Multihop,STnet,40</v>
      </c>
      <c r="B2566" t="s">
        <v>34</v>
      </c>
      <c r="C2566" t="s">
        <v>5</v>
      </c>
      <c r="D2566">
        <v>40</v>
      </c>
      <c r="E2566">
        <v>87.483999999999995</v>
      </c>
      <c r="F2566">
        <f t="shared" si="161"/>
        <v>79.7</v>
      </c>
      <c r="G2566">
        <f t="shared" si="163"/>
        <v>9.7666248431618463</v>
      </c>
      <c r="H2566">
        <f t="shared" si="164"/>
        <v>8.8976269946504409</v>
      </c>
    </row>
    <row r="2567" spans="1:8" x14ac:dyDescent="0.25">
      <c r="A2567" t="str">
        <f t="shared" si="162"/>
        <v>Multihop,STnet,40</v>
      </c>
      <c r="B2567" t="s">
        <v>34</v>
      </c>
      <c r="C2567" t="s">
        <v>5</v>
      </c>
      <c r="D2567">
        <v>40</v>
      </c>
      <c r="E2567">
        <v>68.462999999999994</v>
      </c>
      <c r="F2567">
        <f t="shared" si="161"/>
        <v>79.7</v>
      </c>
      <c r="G2567">
        <f t="shared" si="163"/>
        <v>14.099121706399007</v>
      </c>
      <c r="H2567">
        <f t="shared" si="164"/>
        <v>16.413245110497655</v>
      </c>
    </row>
    <row r="2568" spans="1:8" x14ac:dyDescent="0.25">
      <c r="A2568" t="str">
        <f t="shared" si="162"/>
        <v>Multihop,STnet,40</v>
      </c>
      <c r="B2568" t="s">
        <v>34</v>
      </c>
      <c r="C2568" t="s">
        <v>5</v>
      </c>
      <c r="D2568">
        <v>40</v>
      </c>
      <c r="E2568">
        <v>85.265000000000001</v>
      </c>
      <c r="F2568">
        <f t="shared" si="161"/>
        <v>79.7</v>
      </c>
      <c r="G2568">
        <f t="shared" si="163"/>
        <v>6.9824341279799214</v>
      </c>
      <c r="H2568">
        <f t="shared" si="164"/>
        <v>6.5267108426669775</v>
      </c>
    </row>
    <row r="2569" spans="1:8" x14ac:dyDescent="0.25">
      <c r="A2569" t="str">
        <f t="shared" si="162"/>
        <v>Multihop,STnet,40</v>
      </c>
      <c r="B2569" t="s">
        <v>34</v>
      </c>
      <c r="C2569" t="s">
        <v>5</v>
      </c>
      <c r="D2569">
        <v>40</v>
      </c>
      <c r="E2569">
        <v>73.536000000000001</v>
      </c>
      <c r="F2569">
        <f t="shared" si="161"/>
        <v>79.7</v>
      </c>
      <c r="G2569">
        <f t="shared" si="163"/>
        <v>7.7340025094102902</v>
      </c>
      <c r="H2569">
        <f t="shared" si="164"/>
        <v>8.382288946910359</v>
      </c>
    </row>
    <row r="2570" spans="1:8" x14ac:dyDescent="0.25">
      <c r="A2570" t="str">
        <f t="shared" si="162"/>
        <v>Multihop,STnet,40</v>
      </c>
      <c r="B2570" t="s">
        <v>34</v>
      </c>
      <c r="C2570" t="s">
        <v>5</v>
      </c>
      <c r="D2570">
        <v>40</v>
      </c>
      <c r="E2570">
        <v>73.682000000000002</v>
      </c>
      <c r="F2570">
        <f t="shared" si="161"/>
        <v>79.7</v>
      </c>
      <c r="G2570">
        <f t="shared" si="163"/>
        <v>7.5508155583437899</v>
      </c>
      <c r="H2570">
        <f t="shared" si="164"/>
        <v>8.1675307402079209</v>
      </c>
    </row>
    <row r="2571" spans="1:8" x14ac:dyDescent="0.25">
      <c r="A2571" t="str">
        <f t="shared" si="162"/>
        <v>Multihop,STnet,40</v>
      </c>
      <c r="B2571" t="s">
        <v>34</v>
      </c>
      <c r="C2571" t="s">
        <v>5</v>
      </c>
      <c r="D2571">
        <v>40</v>
      </c>
      <c r="E2571">
        <v>77.828000000000003</v>
      </c>
      <c r="F2571">
        <f t="shared" si="161"/>
        <v>79.7</v>
      </c>
      <c r="G2571">
        <f t="shared" si="163"/>
        <v>2.3488080301129233</v>
      </c>
      <c r="H2571">
        <f t="shared" si="164"/>
        <v>2.4053040037004676</v>
      </c>
    </row>
    <row r="2572" spans="1:8" x14ac:dyDescent="0.25">
      <c r="A2572" t="str">
        <f t="shared" si="162"/>
        <v>Multihop,STnet,40</v>
      </c>
      <c r="B2572" t="s">
        <v>34</v>
      </c>
      <c r="C2572" t="s">
        <v>5</v>
      </c>
      <c r="D2572">
        <v>40</v>
      </c>
      <c r="E2572">
        <v>82.119</v>
      </c>
      <c r="F2572">
        <f t="shared" si="161"/>
        <v>79.7</v>
      </c>
      <c r="G2572">
        <f t="shared" si="163"/>
        <v>3.0351317440401466</v>
      </c>
      <c r="H2572">
        <f t="shared" si="164"/>
        <v>2.9457251062482457</v>
      </c>
    </row>
    <row r="2573" spans="1:8" x14ac:dyDescent="0.25">
      <c r="A2573" t="str">
        <f t="shared" si="162"/>
        <v>Multihop,STnet,40</v>
      </c>
      <c r="B2573" t="s">
        <v>34</v>
      </c>
      <c r="C2573" t="s">
        <v>5</v>
      </c>
      <c r="D2573">
        <v>40</v>
      </c>
      <c r="E2573">
        <v>75.462999999999994</v>
      </c>
      <c r="F2573">
        <f t="shared" si="161"/>
        <v>79.7</v>
      </c>
      <c r="G2573">
        <f t="shared" si="163"/>
        <v>5.3161856963613658</v>
      </c>
      <c r="H2573">
        <f t="shared" si="164"/>
        <v>5.6146720909584955</v>
      </c>
    </row>
    <row r="2574" spans="1:8" x14ac:dyDescent="0.25">
      <c r="A2574" t="str">
        <f t="shared" si="162"/>
        <v>Multihop,STnet,40</v>
      </c>
      <c r="B2574" t="s">
        <v>34</v>
      </c>
      <c r="C2574" t="s">
        <v>5</v>
      </c>
      <c r="D2574">
        <v>40</v>
      </c>
      <c r="E2574">
        <v>77.680999999999997</v>
      </c>
      <c r="F2574">
        <f t="shared" si="161"/>
        <v>79.7</v>
      </c>
      <c r="G2574">
        <f t="shared" si="163"/>
        <v>2.5332496863237206</v>
      </c>
      <c r="H2574">
        <f t="shared" si="164"/>
        <v>2.5990911548512576</v>
      </c>
    </row>
    <row r="2575" spans="1:8" x14ac:dyDescent="0.25">
      <c r="A2575" t="str">
        <f t="shared" si="162"/>
        <v>Multihop,STnet,40</v>
      </c>
      <c r="B2575" t="s">
        <v>34</v>
      </c>
      <c r="C2575" t="s">
        <v>5</v>
      </c>
      <c r="D2575">
        <v>40</v>
      </c>
      <c r="E2575">
        <v>85.557000000000002</v>
      </c>
      <c r="F2575">
        <f t="shared" si="161"/>
        <v>79.7</v>
      </c>
      <c r="G2575">
        <f t="shared" si="163"/>
        <v>7.3488080301129228</v>
      </c>
      <c r="H2575">
        <f t="shared" si="164"/>
        <v>6.8457285786084121</v>
      </c>
    </row>
    <row r="2576" spans="1:8" x14ac:dyDescent="0.25">
      <c r="A2576" t="str">
        <f t="shared" si="162"/>
        <v>Multihop,STnet,40</v>
      </c>
      <c r="B2576" t="s">
        <v>34</v>
      </c>
      <c r="C2576" t="s">
        <v>5</v>
      </c>
      <c r="D2576">
        <v>40</v>
      </c>
      <c r="E2576">
        <v>77.828000000000003</v>
      </c>
      <c r="F2576">
        <f t="shared" si="161"/>
        <v>79.7</v>
      </c>
      <c r="G2576">
        <f t="shared" si="163"/>
        <v>2.3488080301129233</v>
      </c>
      <c r="H2576">
        <f t="shared" si="164"/>
        <v>2.4053040037004676</v>
      </c>
    </row>
    <row r="2577" spans="1:8" x14ac:dyDescent="0.25">
      <c r="A2577" t="str">
        <f t="shared" si="162"/>
        <v>Multihop,STnet,40</v>
      </c>
      <c r="B2577" t="s">
        <v>34</v>
      </c>
      <c r="C2577" t="s">
        <v>5</v>
      </c>
      <c r="D2577">
        <v>40</v>
      </c>
      <c r="E2577">
        <v>86.12</v>
      </c>
      <c r="F2577">
        <f t="shared" si="161"/>
        <v>79.7</v>
      </c>
      <c r="G2577">
        <f t="shared" si="163"/>
        <v>8.0552070263488105</v>
      </c>
      <c r="H2577">
        <f t="shared" si="164"/>
        <v>7.454714352066885</v>
      </c>
    </row>
    <row r="2578" spans="1:8" x14ac:dyDescent="0.25">
      <c r="A2578" t="str">
        <f t="shared" si="162"/>
        <v>Multihop,STnet,40</v>
      </c>
      <c r="B2578" t="s">
        <v>34</v>
      </c>
      <c r="C2578" t="s">
        <v>5</v>
      </c>
      <c r="D2578">
        <v>40</v>
      </c>
      <c r="E2578">
        <v>79.828000000000003</v>
      </c>
      <c r="F2578">
        <f t="shared" si="161"/>
        <v>79.7</v>
      </c>
      <c r="G2578">
        <f t="shared" si="163"/>
        <v>0.16060225846925985</v>
      </c>
      <c r="H2578">
        <f t="shared" si="164"/>
        <v>0.16034474119356631</v>
      </c>
    </row>
    <row r="2579" spans="1:8" x14ac:dyDescent="0.25">
      <c r="A2579" t="str">
        <f t="shared" si="162"/>
        <v>Multihop,STnet,40</v>
      </c>
      <c r="B2579" t="s">
        <v>34</v>
      </c>
      <c r="C2579" t="s">
        <v>5</v>
      </c>
      <c r="D2579">
        <v>40</v>
      </c>
      <c r="E2579">
        <v>73.608999999999995</v>
      </c>
      <c r="F2579">
        <f t="shared" si="161"/>
        <v>79.7</v>
      </c>
      <c r="G2579">
        <f t="shared" si="163"/>
        <v>7.6424090338770485</v>
      </c>
      <c r="H2579">
        <f t="shared" si="164"/>
        <v>8.2748033528508866</v>
      </c>
    </row>
    <row r="2580" spans="1:8" x14ac:dyDescent="0.25">
      <c r="A2580" t="str">
        <f t="shared" si="162"/>
        <v>Multihop,STnet,40</v>
      </c>
      <c r="B2580" t="s">
        <v>34</v>
      </c>
      <c r="C2580" t="s">
        <v>5</v>
      </c>
      <c r="D2580">
        <v>40</v>
      </c>
      <c r="E2580">
        <v>81.337999999999994</v>
      </c>
      <c r="F2580">
        <f t="shared" si="161"/>
        <v>79.7</v>
      </c>
      <c r="G2580">
        <f t="shared" si="163"/>
        <v>2.0552070263487967</v>
      </c>
      <c r="H2580">
        <f t="shared" si="164"/>
        <v>2.0138188792446226</v>
      </c>
    </row>
    <row r="2581" spans="1:8" x14ac:dyDescent="0.25">
      <c r="A2581" t="str">
        <f t="shared" si="162"/>
        <v>Multihop,STnet,40</v>
      </c>
      <c r="B2581" t="s">
        <v>34</v>
      </c>
      <c r="C2581" t="s">
        <v>5</v>
      </c>
      <c r="D2581">
        <v>40</v>
      </c>
      <c r="E2581">
        <v>77.754999999999995</v>
      </c>
      <c r="F2581">
        <f t="shared" si="161"/>
        <v>79.7</v>
      </c>
      <c r="G2581">
        <f t="shared" si="163"/>
        <v>2.4404015056461823</v>
      </c>
      <c r="H2581">
        <f t="shared" si="164"/>
        <v>2.5014468522924669</v>
      </c>
    </row>
    <row r="2582" spans="1:8" x14ac:dyDescent="0.25">
      <c r="A2582" t="str">
        <f t="shared" si="162"/>
        <v>Multihop,STnet,40</v>
      </c>
      <c r="B2582" t="s">
        <v>34</v>
      </c>
      <c r="C2582" t="s">
        <v>5</v>
      </c>
      <c r="D2582">
        <v>40</v>
      </c>
      <c r="E2582">
        <v>76.900000000000006</v>
      </c>
      <c r="F2582">
        <f t="shared" si="161"/>
        <v>79.7</v>
      </c>
      <c r="G2582">
        <f t="shared" si="163"/>
        <v>3.5131744040150528</v>
      </c>
      <c r="H2582">
        <f t="shared" si="164"/>
        <v>3.6410923276983054</v>
      </c>
    </row>
    <row r="2583" spans="1:8" x14ac:dyDescent="0.25">
      <c r="A2583" t="str">
        <f t="shared" si="162"/>
        <v>Multihop,STnet,40</v>
      </c>
      <c r="B2583" t="s">
        <v>34</v>
      </c>
      <c r="C2583" t="s">
        <v>5</v>
      </c>
      <c r="D2583">
        <v>40</v>
      </c>
      <c r="E2583">
        <v>78.462999999999994</v>
      </c>
      <c r="F2583">
        <f t="shared" si="161"/>
        <v>79.7</v>
      </c>
      <c r="G2583">
        <f t="shared" si="163"/>
        <v>1.5520702634880916</v>
      </c>
      <c r="H2583">
        <f t="shared" si="164"/>
        <v>1.5765392605431976</v>
      </c>
    </row>
    <row r="2584" spans="1:8" x14ac:dyDescent="0.25">
      <c r="A2584" t="str">
        <f t="shared" si="162"/>
        <v>Multihop,STnet,40</v>
      </c>
      <c r="B2584" t="s">
        <v>34</v>
      </c>
      <c r="C2584" t="s">
        <v>5</v>
      </c>
      <c r="D2584">
        <v>40</v>
      </c>
      <c r="E2584">
        <v>71.39</v>
      </c>
      <c r="F2584">
        <f t="shared" si="161"/>
        <v>79.7</v>
      </c>
      <c r="G2584">
        <f t="shared" si="163"/>
        <v>10.426599749058973</v>
      </c>
      <c r="H2584">
        <f t="shared" si="164"/>
        <v>11.64028575430733</v>
      </c>
    </row>
    <row r="2585" spans="1:8" x14ac:dyDescent="0.25">
      <c r="A2585" t="str">
        <f t="shared" si="162"/>
        <v>Multihop,STnet,40</v>
      </c>
      <c r="B2585" t="s">
        <v>34</v>
      </c>
      <c r="C2585" t="s">
        <v>5</v>
      </c>
      <c r="D2585">
        <v>40</v>
      </c>
      <c r="E2585">
        <v>82.191999999999993</v>
      </c>
      <c r="F2585">
        <f t="shared" si="161"/>
        <v>79.7</v>
      </c>
      <c r="G2585">
        <f t="shared" si="163"/>
        <v>3.1267252195733874</v>
      </c>
      <c r="H2585">
        <f t="shared" si="164"/>
        <v>3.0319252481993266</v>
      </c>
    </row>
    <row r="2586" spans="1:8" x14ac:dyDescent="0.25">
      <c r="A2586" t="str">
        <f t="shared" si="162"/>
        <v>Multihop,STnet,40</v>
      </c>
      <c r="B2586" t="s">
        <v>34</v>
      </c>
      <c r="C2586" t="s">
        <v>5</v>
      </c>
      <c r="D2586">
        <v>40</v>
      </c>
      <c r="E2586">
        <v>73.608999999999995</v>
      </c>
      <c r="F2586">
        <f t="shared" si="161"/>
        <v>79.7</v>
      </c>
      <c r="G2586">
        <f t="shared" si="163"/>
        <v>7.6424090338770485</v>
      </c>
      <c r="H2586">
        <f t="shared" si="164"/>
        <v>8.2748033528508866</v>
      </c>
    </row>
    <row r="2587" spans="1:8" x14ac:dyDescent="0.25">
      <c r="A2587" t="str">
        <f t="shared" si="162"/>
        <v>Multihop,STnet,40</v>
      </c>
      <c r="B2587" t="s">
        <v>34</v>
      </c>
      <c r="C2587" t="s">
        <v>5</v>
      </c>
      <c r="D2587">
        <v>40</v>
      </c>
      <c r="E2587">
        <v>69.39</v>
      </c>
      <c r="F2587">
        <f t="shared" si="161"/>
        <v>79.7</v>
      </c>
      <c r="G2587">
        <f t="shared" si="163"/>
        <v>12.936010037641157</v>
      </c>
      <c r="H2587">
        <f t="shared" si="164"/>
        <v>14.85804871018879</v>
      </c>
    </row>
    <row r="2588" spans="1:8" x14ac:dyDescent="0.25">
      <c r="A2588" t="str">
        <f t="shared" si="162"/>
        <v>Multihop,STnet,40</v>
      </c>
      <c r="B2588" t="s">
        <v>34</v>
      </c>
      <c r="C2588" t="s">
        <v>5</v>
      </c>
      <c r="D2588">
        <v>40</v>
      </c>
      <c r="E2588">
        <v>82.191999999999993</v>
      </c>
      <c r="F2588">
        <f t="shared" si="161"/>
        <v>79.7</v>
      </c>
      <c r="G2588">
        <f t="shared" si="163"/>
        <v>3.1267252195733874</v>
      </c>
      <c r="H2588">
        <f t="shared" si="164"/>
        <v>3.0319252481993266</v>
      </c>
    </row>
    <row r="2589" spans="1:8" x14ac:dyDescent="0.25">
      <c r="A2589" t="str">
        <f t="shared" si="162"/>
        <v>Multihop,STnet,40</v>
      </c>
      <c r="B2589" t="s">
        <v>34</v>
      </c>
      <c r="C2589" t="s">
        <v>5</v>
      </c>
      <c r="D2589">
        <v>40</v>
      </c>
      <c r="E2589">
        <v>73.536000000000001</v>
      </c>
      <c r="F2589">
        <f t="shared" si="161"/>
        <v>79.7</v>
      </c>
      <c r="G2589">
        <f t="shared" si="163"/>
        <v>7.7340025094102902</v>
      </c>
      <c r="H2589">
        <f t="shared" si="164"/>
        <v>8.382288946910359</v>
      </c>
    </row>
    <row r="2590" spans="1:8" x14ac:dyDescent="0.25">
      <c r="A2590" t="str">
        <f t="shared" si="162"/>
        <v>Multihop,STnet,40</v>
      </c>
      <c r="B2590" t="s">
        <v>34</v>
      </c>
      <c r="C2590" t="s">
        <v>5</v>
      </c>
      <c r="D2590">
        <v>40</v>
      </c>
      <c r="E2590">
        <v>81.337999999999994</v>
      </c>
      <c r="F2590">
        <f t="shared" si="161"/>
        <v>79.7</v>
      </c>
      <c r="G2590">
        <f t="shared" si="163"/>
        <v>2.0552070263487967</v>
      </c>
      <c r="H2590">
        <f t="shared" si="164"/>
        <v>2.0138188792446226</v>
      </c>
    </row>
    <row r="2591" spans="1:8" x14ac:dyDescent="0.25">
      <c r="A2591" t="str">
        <f t="shared" si="162"/>
        <v>Multihop,STnet,40</v>
      </c>
      <c r="B2591" t="s">
        <v>34</v>
      </c>
      <c r="C2591" t="s">
        <v>5</v>
      </c>
      <c r="D2591">
        <v>40</v>
      </c>
      <c r="E2591">
        <v>83.046999999999997</v>
      </c>
      <c r="F2591">
        <f t="shared" si="161"/>
        <v>79.7</v>
      </c>
      <c r="G2591">
        <f t="shared" si="163"/>
        <v>4.1994981179422766</v>
      </c>
      <c r="H2591">
        <f t="shared" si="164"/>
        <v>4.0302479318939808</v>
      </c>
    </row>
    <row r="2592" spans="1:8" x14ac:dyDescent="0.25">
      <c r="A2592" t="str">
        <f t="shared" si="162"/>
        <v>Multihop,STnet,40</v>
      </c>
      <c r="B2592" t="s">
        <v>34</v>
      </c>
      <c r="C2592" t="s">
        <v>5</v>
      </c>
      <c r="D2592">
        <v>40</v>
      </c>
      <c r="E2592">
        <v>71.536000000000001</v>
      </c>
      <c r="F2592">
        <f t="shared" si="161"/>
        <v>79.7</v>
      </c>
      <c r="G2592">
        <f t="shared" si="163"/>
        <v>10.243412797992473</v>
      </c>
      <c r="H2592">
        <f t="shared" si="164"/>
        <v>11.412435696712146</v>
      </c>
    </row>
    <row r="2593" spans="1:8" x14ac:dyDescent="0.25">
      <c r="A2593" t="str">
        <f t="shared" si="162"/>
        <v>Multihop,STnet,40</v>
      </c>
      <c r="B2593" t="s">
        <v>34</v>
      </c>
      <c r="C2593" t="s">
        <v>5</v>
      </c>
      <c r="D2593">
        <v>40</v>
      </c>
      <c r="E2593">
        <v>79.191999999999993</v>
      </c>
      <c r="F2593">
        <f t="shared" si="161"/>
        <v>79.7</v>
      </c>
      <c r="G2593">
        <f t="shared" si="163"/>
        <v>0.63739021329988677</v>
      </c>
      <c r="H2593">
        <f t="shared" si="164"/>
        <v>0.64147893726640293</v>
      </c>
    </row>
    <row r="2594" spans="1:8" x14ac:dyDescent="0.25">
      <c r="A2594" t="str">
        <f t="shared" si="162"/>
        <v>Multihop,STnet,40</v>
      </c>
      <c r="B2594" t="s">
        <v>34</v>
      </c>
      <c r="C2594" t="s">
        <v>5</v>
      </c>
      <c r="D2594">
        <v>40</v>
      </c>
      <c r="E2594">
        <v>81.046999999999997</v>
      </c>
      <c r="F2594">
        <f t="shared" si="161"/>
        <v>79.7</v>
      </c>
      <c r="G2594">
        <f t="shared" si="163"/>
        <v>1.6900878293600929</v>
      </c>
      <c r="H2594">
        <f t="shared" si="164"/>
        <v>1.6619985934087558</v>
      </c>
    </row>
    <row r="2595" spans="1:8" x14ac:dyDescent="0.25">
      <c r="A2595" t="str">
        <f t="shared" si="162"/>
        <v>Multihop,STnet,40</v>
      </c>
      <c r="B2595" t="s">
        <v>34</v>
      </c>
      <c r="C2595" t="s">
        <v>5</v>
      </c>
      <c r="D2595">
        <v>40</v>
      </c>
      <c r="E2595">
        <v>74.608999999999995</v>
      </c>
      <c r="F2595">
        <f t="shared" si="161"/>
        <v>79.7</v>
      </c>
      <c r="G2595">
        <f t="shared" si="163"/>
        <v>6.3877038895859579</v>
      </c>
      <c r="H2595">
        <f t="shared" si="164"/>
        <v>6.8235735635111165</v>
      </c>
    </row>
    <row r="2596" spans="1:8" x14ac:dyDescent="0.25">
      <c r="A2596" t="str">
        <f t="shared" si="162"/>
        <v>Multihop,STnet,40</v>
      </c>
      <c r="B2596" t="s">
        <v>34</v>
      </c>
      <c r="C2596" t="s">
        <v>5</v>
      </c>
      <c r="D2596">
        <v>40</v>
      </c>
      <c r="E2596">
        <v>73.39</v>
      </c>
      <c r="F2596">
        <f t="shared" si="161"/>
        <v>79.7</v>
      </c>
      <c r="G2596">
        <f t="shared" si="163"/>
        <v>7.9171894604767905</v>
      </c>
      <c r="H2596">
        <f t="shared" si="164"/>
        <v>8.5979016214743194</v>
      </c>
    </row>
    <row r="2597" spans="1:8" x14ac:dyDescent="0.25">
      <c r="A2597" t="str">
        <f t="shared" si="162"/>
        <v>Multihop,STnet,40</v>
      </c>
      <c r="B2597" t="s">
        <v>34</v>
      </c>
      <c r="C2597" t="s">
        <v>5</v>
      </c>
      <c r="D2597">
        <v>40</v>
      </c>
      <c r="E2597">
        <v>75.119</v>
      </c>
      <c r="F2597">
        <f t="shared" si="161"/>
        <v>79.7</v>
      </c>
      <c r="G2597">
        <f t="shared" si="163"/>
        <v>5.7478042659974946</v>
      </c>
      <c r="H2597">
        <f t="shared" si="164"/>
        <v>6.0983239925984147</v>
      </c>
    </row>
    <row r="2598" spans="1:8" x14ac:dyDescent="0.25">
      <c r="A2598" t="str">
        <f t="shared" si="162"/>
        <v>Multihop,STnet,40</v>
      </c>
      <c r="B2598" t="s">
        <v>34</v>
      </c>
      <c r="C2598" t="s">
        <v>5</v>
      </c>
      <c r="D2598">
        <v>40</v>
      </c>
      <c r="E2598">
        <v>77.754999999999995</v>
      </c>
      <c r="F2598">
        <f t="shared" si="161"/>
        <v>79.7</v>
      </c>
      <c r="G2598">
        <f t="shared" si="163"/>
        <v>2.4404015056461823</v>
      </c>
      <c r="H2598">
        <f t="shared" si="164"/>
        <v>2.5014468522924669</v>
      </c>
    </row>
    <row r="2599" spans="1:8" x14ac:dyDescent="0.25">
      <c r="A2599" t="str">
        <f t="shared" si="162"/>
        <v>Multihop,STnet,40</v>
      </c>
      <c r="B2599" t="s">
        <v>34</v>
      </c>
      <c r="C2599" t="s">
        <v>5</v>
      </c>
      <c r="D2599">
        <v>40</v>
      </c>
      <c r="E2599">
        <v>71.316999999999993</v>
      </c>
      <c r="F2599">
        <f t="shared" si="161"/>
        <v>79.7</v>
      </c>
      <c r="G2599">
        <f t="shared" si="163"/>
        <v>10.518193224592233</v>
      </c>
      <c r="H2599">
        <f t="shared" si="164"/>
        <v>11.754560623694225</v>
      </c>
    </row>
    <row r="2600" spans="1:8" x14ac:dyDescent="0.25">
      <c r="A2600" t="str">
        <f t="shared" si="162"/>
        <v>Multihop,STnet,40</v>
      </c>
      <c r="B2600" t="s">
        <v>34</v>
      </c>
      <c r="C2600" t="s">
        <v>5</v>
      </c>
      <c r="D2600">
        <v>40</v>
      </c>
      <c r="E2600">
        <v>69.462999999999994</v>
      </c>
      <c r="F2600">
        <f t="shared" si="161"/>
        <v>79.7</v>
      </c>
      <c r="G2600">
        <f t="shared" si="163"/>
        <v>12.844416562107916</v>
      </c>
      <c r="H2600">
        <f t="shared" si="164"/>
        <v>14.737342182168939</v>
      </c>
    </row>
    <row r="2601" spans="1:8" x14ac:dyDescent="0.25">
      <c r="A2601" t="str">
        <f t="shared" si="162"/>
        <v>Multihop,STnet,40</v>
      </c>
      <c r="B2601" t="s">
        <v>34</v>
      </c>
      <c r="C2601" t="s">
        <v>5</v>
      </c>
      <c r="D2601">
        <v>40</v>
      </c>
      <c r="E2601">
        <v>83.191999999999993</v>
      </c>
      <c r="F2601">
        <f t="shared" si="161"/>
        <v>79.7</v>
      </c>
      <c r="G2601">
        <f t="shared" si="163"/>
        <v>4.3814303638644798</v>
      </c>
      <c r="H2601">
        <f t="shared" si="164"/>
        <v>4.1975189922107781</v>
      </c>
    </row>
    <row r="2602" spans="1:8" x14ac:dyDescent="0.25">
      <c r="A2602" t="str">
        <f t="shared" si="162"/>
        <v>Multihop,STnet,40</v>
      </c>
      <c r="B2602" t="s">
        <v>34</v>
      </c>
      <c r="C2602" t="s">
        <v>5</v>
      </c>
      <c r="D2602">
        <v>40</v>
      </c>
      <c r="E2602">
        <v>77.900999999999996</v>
      </c>
      <c r="F2602">
        <f t="shared" si="161"/>
        <v>79.7</v>
      </c>
      <c r="G2602">
        <f t="shared" si="163"/>
        <v>2.257214554579682</v>
      </c>
      <c r="H2602">
        <f t="shared" si="164"/>
        <v>2.3093413435000922</v>
      </c>
    </row>
    <row r="2603" spans="1:8" x14ac:dyDescent="0.25">
      <c r="A2603" t="str">
        <f t="shared" si="162"/>
        <v>Multihop,STnet,60</v>
      </c>
      <c r="B2603" t="s">
        <v>34</v>
      </c>
      <c r="C2603" t="s">
        <v>5</v>
      </c>
      <c r="D2603">
        <v>60</v>
      </c>
      <c r="E2603">
        <v>116.09</v>
      </c>
      <c r="F2603">
        <f t="shared" si="161"/>
        <v>110.5</v>
      </c>
      <c r="G2603">
        <f t="shared" si="163"/>
        <v>5.058823529411768</v>
      </c>
      <c r="H2603">
        <f t="shared" si="164"/>
        <v>4.8152295632698792</v>
      </c>
    </row>
    <row r="2604" spans="1:8" x14ac:dyDescent="0.25">
      <c r="A2604" t="str">
        <f t="shared" si="162"/>
        <v>Multihop,STnet,60</v>
      </c>
      <c r="B2604" t="s">
        <v>34</v>
      </c>
      <c r="C2604" t="s">
        <v>5</v>
      </c>
      <c r="D2604">
        <v>60</v>
      </c>
      <c r="E2604">
        <v>103.57899999999999</v>
      </c>
      <c r="F2604">
        <f t="shared" si="161"/>
        <v>110.5</v>
      </c>
      <c r="G2604">
        <f t="shared" si="163"/>
        <v>6.2633484162895989</v>
      </c>
      <c r="H2604">
        <f t="shared" si="164"/>
        <v>6.6818563608453525</v>
      </c>
    </row>
    <row r="2605" spans="1:8" x14ac:dyDescent="0.25">
      <c r="A2605" t="str">
        <f t="shared" si="162"/>
        <v>Multihop,STnet,60</v>
      </c>
      <c r="B2605" t="s">
        <v>34</v>
      </c>
      <c r="C2605" t="s">
        <v>5</v>
      </c>
      <c r="D2605">
        <v>60</v>
      </c>
      <c r="E2605">
        <v>104.652</v>
      </c>
      <c r="F2605">
        <f t="shared" si="161"/>
        <v>110.5</v>
      </c>
      <c r="G2605">
        <f t="shared" si="163"/>
        <v>5.2923076923076913</v>
      </c>
      <c r="H2605">
        <f t="shared" si="164"/>
        <v>5.5880441845354119</v>
      </c>
    </row>
    <row r="2606" spans="1:8" x14ac:dyDescent="0.25">
      <c r="A2606" t="str">
        <f t="shared" si="162"/>
        <v>Multihop,STnet,60</v>
      </c>
      <c r="B2606" t="s">
        <v>34</v>
      </c>
      <c r="C2606" t="s">
        <v>5</v>
      </c>
      <c r="D2606">
        <v>60</v>
      </c>
      <c r="E2606">
        <v>120.871</v>
      </c>
      <c r="F2606">
        <f t="shared" si="161"/>
        <v>110.5</v>
      </c>
      <c r="G2606">
        <f t="shared" si="163"/>
        <v>9.3855203619909453</v>
      </c>
      <c r="H2606">
        <f t="shared" si="164"/>
        <v>8.5802218894523872</v>
      </c>
    </row>
    <row r="2607" spans="1:8" x14ac:dyDescent="0.25">
      <c r="A2607" t="str">
        <f t="shared" si="162"/>
        <v>Multihop,STnet,60</v>
      </c>
      <c r="B2607" t="s">
        <v>34</v>
      </c>
      <c r="C2607" t="s">
        <v>5</v>
      </c>
      <c r="D2607">
        <v>60</v>
      </c>
      <c r="E2607">
        <v>121.798</v>
      </c>
      <c r="F2607">
        <f t="shared" si="161"/>
        <v>110.5</v>
      </c>
      <c r="G2607">
        <f t="shared" si="163"/>
        <v>10.224434389140272</v>
      </c>
      <c r="H2607">
        <f t="shared" si="164"/>
        <v>9.2760143844726528</v>
      </c>
    </row>
    <row r="2608" spans="1:8" x14ac:dyDescent="0.25">
      <c r="A2608" t="str">
        <f t="shared" si="162"/>
        <v>Multihop,STnet,60</v>
      </c>
      <c r="B2608" t="s">
        <v>34</v>
      </c>
      <c r="C2608" t="s">
        <v>5</v>
      </c>
      <c r="D2608">
        <v>60</v>
      </c>
      <c r="E2608">
        <v>102.995</v>
      </c>
      <c r="F2608">
        <f t="shared" si="161"/>
        <v>110.5</v>
      </c>
      <c r="G2608">
        <f t="shared" si="163"/>
        <v>6.7918552036199049</v>
      </c>
      <c r="H2608">
        <f t="shared" si="164"/>
        <v>7.2867614932763685</v>
      </c>
    </row>
    <row r="2609" spans="1:8" x14ac:dyDescent="0.25">
      <c r="A2609" t="str">
        <f t="shared" si="162"/>
        <v>Multihop,STnet,60</v>
      </c>
      <c r="B2609" t="s">
        <v>34</v>
      </c>
      <c r="C2609" t="s">
        <v>5</v>
      </c>
      <c r="D2609">
        <v>60</v>
      </c>
      <c r="E2609">
        <v>101.214</v>
      </c>
      <c r="F2609">
        <f t="shared" si="161"/>
        <v>110.5</v>
      </c>
      <c r="G2609">
        <f t="shared" si="163"/>
        <v>8.4036199095022628</v>
      </c>
      <c r="H2609">
        <f t="shared" si="164"/>
        <v>9.1746201118422377</v>
      </c>
    </row>
    <row r="2610" spans="1:8" x14ac:dyDescent="0.25">
      <c r="A2610" t="str">
        <f t="shared" si="162"/>
        <v>Multihop,STnet,60</v>
      </c>
      <c r="B2610" t="s">
        <v>34</v>
      </c>
      <c r="C2610" t="s">
        <v>5</v>
      </c>
      <c r="D2610">
        <v>60</v>
      </c>
      <c r="E2610">
        <v>109.28700000000001</v>
      </c>
      <c r="F2610">
        <f t="shared" si="161"/>
        <v>110.5</v>
      </c>
      <c r="G2610">
        <f t="shared" si="163"/>
        <v>1.0977375565610803</v>
      </c>
      <c r="H2610">
        <f t="shared" si="164"/>
        <v>1.1099215826218982</v>
      </c>
    </row>
    <row r="2611" spans="1:8" x14ac:dyDescent="0.25">
      <c r="A2611" t="str">
        <f t="shared" si="162"/>
        <v>Multihop,STnet,60</v>
      </c>
      <c r="B2611" t="s">
        <v>34</v>
      </c>
      <c r="C2611" t="s">
        <v>5</v>
      </c>
      <c r="D2611">
        <v>60</v>
      </c>
      <c r="E2611">
        <v>121.455</v>
      </c>
      <c r="F2611">
        <f t="shared" si="161"/>
        <v>110.5</v>
      </c>
      <c r="G2611">
        <f t="shared" si="163"/>
        <v>9.9140271493212655</v>
      </c>
      <c r="H2611">
        <f t="shared" si="164"/>
        <v>9.0198015725989045</v>
      </c>
    </row>
    <row r="2612" spans="1:8" x14ac:dyDescent="0.25">
      <c r="A2612" t="str">
        <f t="shared" si="162"/>
        <v>Multihop,STnet,60</v>
      </c>
      <c r="B2612" t="s">
        <v>34</v>
      </c>
      <c r="C2612" t="s">
        <v>5</v>
      </c>
      <c r="D2612">
        <v>60</v>
      </c>
      <c r="E2612">
        <v>105.652</v>
      </c>
      <c r="F2612">
        <f t="shared" si="161"/>
        <v>110.5</v>
      </c>
      <c r="G2612">
        <f t="shared" si="163"/>
        <v>4.3873303167420801</v>
      </c>
      <c r="H2612">
        <f t="shared" si="164"/>
        <v>4.5886495286411986</v>
      </c>
    </row>
    <row r="2613" spans="1:8" x14ac:dyDescent="0.25">
      <c r="A2613" t="str">
        <f t="shared" si="162"/>
        <v>Multihop,STnet,60</v>
      </c>
      <c r="B2613" t="s">
        <v>34</v>
      </c>
      <c r="C2613" t="s">
        <v>5</v>
      </c>
      <c r="D2613">
        <v>60</v>
      </c>
      <c r="E2613">
        <v>107.944</v>
      </c>
      <c r="F2613">
        <f t="shared" si="161"/>
        <v>110.5</v>
      </c>
      <c r="G2613">
        <f t="shared" si="163"/>
        <v>2.3131221719456989</v>
      </c>
      <c r="H2613">
        <f t="shared" si="164"/>
        <v>2.36789446379604</v>
      </c>
    </row>
    <row r="2614" spans="1:8" x14ac:dyDescent="0.25">
      <c r="A2614" t="str">
        <f t="shared" si="162"/>
        <v>Multihop,STnet,60</v>
      </c>
      <c r="B2614" t="s">
        <v>34</v>
      </c>
      <c r="C2614" t="s">
        <v>5</v>
      </c>
      <c r="D2614">
        <v>60</v>
      </c>
      <c r="E2614">
        <v>93.775999999999996</v>
      </c>
      <c r="F2614">
        <f t="shared" si="161"/>
        <v>110.5</v>
      </c>
      <c r="G2614">
        <f t="shared" si="163"/>
        <v>15.134841628959281</v>
      </c>
      <c r="H2614">
        <f t="shared" si="164"/>
        <v>17.833987374168238</v>
      </c>
    </row>
    <row r="2615" spans="1:8" x14ac:dyDescent="0.25">
      <c r="A2615" t="str">
        <f t="shared" si="162"/>
        <v>Multihop,STnet,60</v>
      </c>
      <c r="B2615" t="s">
        <v>34</v>
      </c>
      <c r="C2615" t="s">
        <v>5</v>
      </c>
      <c r="D2615">
        <v>60</v>
      </c>
      <c r="E2615">
        <v>102.36</v>
      </c>
      <c r="F2615">
        <f t="shared" si="161"/>
        <v>110.5</v>
      </c>
      <c r="G2615">
        <f t="shared" si="163"/>
        <v>7.3665158371040738</v>
      </c>
      <c r="H2615">
        <f t="shared" si="164"/>
        <v>7.9523251270027364</v>
      </c>
    </row>
    <row r="2616" spans="1:8" x14ac:dyDescent="0.25">
      <c r="A2616" t="str">
        <f t="shared" si="162"/>
        <v>Multihop,STnet,60</v>
      </c>
      <c r="B2616" t="s">
        <v>34</v>
      </c>
      <c r="C2616" t="s">
        <v>5</v>
      </c>
      <c r="D2616">
        <v>60</v>
      </c>
      <c r="E2616">
        <v>113.506</v>
      </c>
      <c r="F2616">
        <f t="shared" si="161"/>
        <v>110.5</v>
      </c>
      <c r="G2616">
        <f t="shared" si="163"/>
        <v>2.7203619909502263</v>
      </c>
      <c r="H2616">
        <f t="shared" si="164"/>
        <v>2.6483181505823481</v>
      </c>
    </row>
    <row r="2617" spans="1:8" x14ac:dyDescent="0.25">
      <c r="A2617" t="str">
        <f t="shared" si="162"/>
        <v>Multihop,STnet,60</v>
      </c>
      <c r="B2617" t="s">
        <v>34</v>
      </c>
      <c r="C2617" t="s">
        <v>5</v>
      </c>
      <c r="D2617">
        <v>60</v>
      </c>
      <c r="E2617">
        <v>106.28700000000001</v>
      </c>
      <c r="F2617">
        <f t="shared" si="161"/>
        <v>110.5</v>
      </c>
      <c r="G2617">
        <f t="shared" si="163"/>
        <v>3.812669683257913</v>
      </c>
      <c r="H2617">
        <f t="shared" si="164"/>
        <v>3.9637961368746826</v>
      </c>
    </row>
    <row r="2618" spans="1:8" x14ac:dyDescent="0.25">
      <c r="A2618" t="str">
        <f t="shared" si="162"/>
        <v>Multihop,STnet,60</v>
      </c>
      <c r="B2618" t="s">
        <v>34</v>
      </c>
      <c r="C2618" t="s">
        <v>5</v>
      </c>
      <c r="D2618">
        <v>60</v>
      </c>
      <c r="E2618">
        <v>106.798</v>
      </c>
      <c r="F2618">
        <f t="shared" si="161"/>
        <v>110.5</v>
      </c>
      <c r="G2618">
        <f t="shared" si="163"/>
        <v>3.3502262443438893</v>
      </c>
      <c r="H2618">
        <f t="shared" si="164"/>
        <v>3.4663570478847903</v>
      </c>
    </row>
    <row r="2619" spans="1:8" x14ac:dyDescent="0.25">
      <c r="A2619" t="str">
        <f t="shared" si="162"/>
        <v>Multihop,STnet,60</v>
      </c>
      <c r="B2619" t="s">
        <v>34</v>
      </c>
      <c r="C2619" t="s">
        <v>5</v>
      </c>
      <c r="D2619">
        <v>60</v>
      </c>
      <c r="E2619">
        <v>100.14100000000001</v>
      </c>
      <c r="F2619">
        <f t="shared" si="161"/>
        <v>110.5</v>
      </c>
      <c r="G2619">
        <f t="shared" si="163"/>
        <v>9.374660633484158</v>
      </c>
      <c r="H2619">
        <f t="shared" si="164"/>
        <v>10.344414375730214</v>
      </c>
    </row>
    <row r="2620" spans="1:8" x14ac:dyDescent="0.25">
      <c r="A2620" t="str">
        <f t="shared" si="162"/>
        <v>Multihop,STnet,60</v>
      </c>
      <c r="B2620" t="s">
        <v>34</v>
      </c>
      <c r="C2620" t="s">
        <v>5</v>
      </c>
      <c r="D2620">
        <v>60</v>
      </c>
      <c r="E2620">
        <v>111.871</v>
      </c>
      <c r="F2620">
        <f t="shared" si="161"/>
        <v>110.5</v>
      </c>
      <c r="G2620">
        <f t="shared" si="163"/>
        <v>1.2407239819004481</v>
      </c>
      <c r="H2620">
        <f t="shared" si="164"/>
        <v>1.225518677762776</v>
      </c>
    </row>
    <row r="2621" spans="1:8" x14ac:dyDescent="0.25">
      <c r="A2621" t="str">
        <f t="shared" si="162"/>
        <v>Multihop,STnet,60</v>
      </c>
      <c r="B2621" t="s">
        <v>34</v>
      </c>
      <c r="C2621" t="s">
        <v>5</v>
      </c>
      <c r="D2621">
        <v>60</v>
      </c>
      <c r="E2621">
        <v>96.921999999999997</v>
      </c>
      <c r="F2621">
        <f t="shared" si="161"/>
        <v>110.5</v>
      </c>
      <c r="G2621">
        <f t="shared" si="163"/>
        <v>12.287782805429867</v>
      </c>
      <c r="H2621">
        <f t="shared" si="164"/>
        <v>14.009203276861809</v>
      </c>
    </row>
    <row r="2622" spans="1:8" x14ac:dyDescent="0.25">
      <c r="A2622" t="str">
        <f t="shared" si="162"/>
        <v>Multihop,STnet,60</v>
      </c>
      <c r="B2622" t="s">
        <v>34</v>
      </c>
      <c r="C2622" t="s">
        <v>5</v>
      </c>
      <c r="D2622">
        <v>60</v>
      </c>
      <c r="E2622">
        <v>107.43300000000001</v>
      </c>
      <c r="F2622">
        <f t="shared" si="161"/>
        <v>110.5</v>
      </c>
      <c r="G2622">
        <f t="shared" si="163"/>
        <v>2.7755656108597222</v>
      </c>
      <c r="H2622">
        <f t="shared" si="164"/>
        <v>2.8548025280872662</v>
      </c>
    </row>
    <row r="2623" spans="1:8" x14ac:dyDescent="0.25">
      <c r="A2623" t="str">
        <f t="shared" si="162"/>
        <v>Multihop,STnet,60</v>
      </c>
      <c r="B2623" t="s">
        <v>34</v>
      </c>
      <c r="C2623" t="s">
        <v>5</v>
      </c>
      <c r="D2623">
        <v>60</v>
      </c>
      <c r="E2623">
        <v>115.09</v>
      </c>
      <c r="F2623">
        <f t="shared" si="161"/>
        <v>110.5</v>
      </c>
      <c r="G2623">
        <f t="shared" si="163"/>
        <v>4.1538461538461569</v>
      </c>
      <c r="H2623">
        <f t="shared" si="164"/>
        <v>3.988183161004434</v>
      </c>
    </row>
    <row r="2624" spans="1:8" x14ac:dyDescent="0.25">
      <c r="A2624" t="str">
        <f t="shared" si="162"/>
        <v>Multihop,STnet,60</v>
      </c>
      <c r="B2624" t="s">
        <v>34</v>
      </c>
      <c r="C2624" t="s">
        <v>5</v>
      </c>
      <c r="D2624">
        <v>60</v>
      </c>
      <c r="E2624">
        <v>114.09</v>
      </c>
      <c r="F2624">
        <f t="shared" si="161"/>
        <v>110.5</v>
      </c>
      <c r="G2624">
        <f t="shared" si="163"/>
        <v>3.2488687782805461</v>
      </c>
      <c r="H2624">
        <f t="shared" si="164"/>
        <v>3.1466386186344142</v>
      </c>
    </row>
    <row r="2625" spans="1:8" x14ac:dyDescent="0.25">
      <c r="A2625" t="str">
        <f t="shared" si="162"/>
        <v>Multihop,STnet,60</v>
      </c>
      <c r="B2625" t="s">
        <v>34</v>
      </c>
      <c r="C2625" t="s">
        <v>5</v>
      </c>
      <c r="D2625">
        <v>60</v>
      </c>
      <c r="E2625">
        <v>105.43300000000001</v>
      </c>
      <c r="F2625">
        <f t="shared" si="161"/>
        <v>110.5</v>
      </c>
      <c r="G2625">
        <f t="shared" si="163"/>
        <v>4.5855203619909437</v>
      </c>
      <c r="H2625">
        <f t="shared" si="164"/>
        <v>4.8058956873085208</v>
      </c>
    </row>
    <row r="2626" spans="1:8" x14ac:dyDescent="0.25">
      <c r="A2626" t="str">
        <f t="shared" si="162"/>
        <v>Multihop,STnet,60</v>
      </c>
      <c r="B2626" t="s">
        <v>34</v>
      </c>
      <c r="C2626" t="s">
        <v>5</v>
      </c>
      <c r="D2626">
        <v>60</v>
      </c>
      <c r="E2626">
        <v>117.017</v>
      </c>
      <c r="F2626">
        <f t="shared" si="161"/>
        <v>110.5</v>
      </c>
      <c r="G2626">
        <f t="shared" si="163"/>
        <v>5.8977375565610819</v>
      </c>
      <c r="H2626">
        <f t="shared" si="164"/>
        <v>5.5692762590050986</v>
      </c>
    </row>
    <row r="2627" spans="1:8" x14ac:dyDescent="0.25">
      <c r="A2627" t="str">
        <f t="shared" si="162"/>
        <v>Multihop,STnet,60</v>
      </c>
      <c r="B2627" t="s">
        <v>34</v>
      </c>
      <c r="C2627" t="s">
        <v>5</v>
      </c>
      <c r="D2627">
        <v>60</v>
      </c>
      <c r="E2627">
        <v>119.09</v>
      </c>
      <c r="F2627">
        <f t="shared" ref="F2627:F2690" si="165">_xlfn.XLOOKUP(A2627,$J$3:$J$36,$N$3:$N$36)</f>
        <v>110.5</v>
      </c>
      <c r="G2627">
        <f t="shared" si="163"/>
        <v>7.7737556561086008</v>
      </c>
      <c r="H2627">
        <f t="shared" si="164"/>
        <v>7.2130321605508456</v>
      </c>
    </row>
    <row r="2628" spans="1:8" x14ac:dyDescent="0.25">
      <c r="A2628" t="str">
        <f t="shared" ref="A2628:A2691" si="166">B2628&amp;","&amp;C2628&amp;","&amp;D2628</f>
        <v>Multihop,STnet,60</v>
      </c>
      <c r="B2628" t="s">
        <v>34</v>
      </c>
      <c r="C2628" t="s">
        <v>5</v>
      </c>
      <c r="D2628">
        <v>60</v>
      </c>
      <c r="E2628">
        <v>103.43300000000001</v>
      </c>
      <c r="F2628">
        <f t="shared" si="165"/>
        <v>110.5</v>
      </c>
      <c r="G2628">
        <f t="shared" ref="G2628:G2691" si="167">ABS((E2628-F2628)/F2628)*100</f>
        <v>6.3954751131221661</v>
      </c>
      <c r="H2628">
        <f t="shared" ref="H2628:H2691" si="168">ABS((F2628-E2628)/E2628)*100</f>
        <v>6.8324422573066546</v>
      </c>
    </row>
    <row r="2629" spans="1:8" x14ac:dyDescent="0.25">
      <c r="A2629" t="str">
        <f t="shared" si="166"/>
        <v>Multihop,STnet,60</v>
      </c>
      <c r="B2629" t="s">
        <v>34</v>
      </c>
      <c r="C2629" t="s">
        <v>5</v>
      </c>
      <c r="D2629">
        <v>60</v>
      </c>
      <c r="E2629">
        <v>107.43300000000001</v>
      </c>
      <c r="F2629">
        <f t="shared" si="165"/>
        <v>110.5</v>
      </c>
      <c r="G2629">
        <f t="shared" si="167"/>
        <v>2.7755656108597222</v>
      </c>
      <c r="H2629">
        <f t="shared" si="168"/>
        <v>2.8548025280872662</v>
      </c>
    </row>
    <row r="2630" spans="1:8" x14ac:dyDescent="0.25">
      <c r="A2630" t="str">
        <f t="shared" si="166"/>
        <v>Multihop,STnet,60</v>
      </c>
      <c r="B2630" t="s">
        <v>34</v>
      </c>
      <c r="C2630" t="s">
        <v>5</v>
      </c>
      <c r="D2630">
        <v>60</v>
      </c>
      <c r="E2630">
        <v>104.36</v>
      </c>
      <c r="F2630">
        <f t="shared" si="165"/>
        <v>110.5</v>
      </c>
      <c r="G2630">
        <f t="shared" si="167"/>
        <v>5.5565610859728514</v>
      </c>
      <c r="H2630">
        <f t="shared" si="168"/>
        <v>5.8834802606362597</v>
      </c>
    </row>
    <row r="2631" spans="1:8" x14ac:dyDescent="0.25">
      <c r="A2631" t="str">
        <f t="shared" si="166"/>
        <v>Multihop,STnet,60</v>
      </c>
      <c r="B2631" t="s">
        <v>34</v>
      </c>
      <c r="C2631" t="s">
        <v>5</v>
      </c>
      <c r="D2631">
        <v>60</v>
      </c>
      <c r="E2631">
        <v>110.652</v>
      </c>
      <c r="F2631">
        <f t="shared" si="165"/>
        <v>110.5</v>
      </c>
      <c r="G2631">
        <f t="shared" si="167"/>
        <v>0.13755656108597378</v>
      </c>
      <c r="H2631">
        <f t="shared" si="168"/>
        <v>0.13736760293532971</v>
      </c>
    </row>
    <row r="2632" spans="1:8" x14ac:dyDescent="0.25">
      <c r="A2632" t="str">
        <f t="shared" si="166"/>
        <v>Multihop,STnet,60</v>
      </c>
      <c r="B2632" t="s">
        <v>34</v>
      </c>
      <c r="C2632" t="s">
        <v>5</v>
      </c>
      <c r="D2632">
        <v>60</v>
      </c>
      <c r="E2632">
        <v>92.995000000000005</v>
      </c>
      <c r="F2632">
        <f t="shared" si="165"/>
        <v>110.5</v>
      </c>
      <c r="G2632">
        <f t="shared" si="167"/>
        <v>15.841628959276013</v>
      </c>
      <c r="H2632">
        <f t="shared" si="168"/>
        <v>18.823592666272372</v>
      </c>
    </row>
    <row r="2633" spans="1:8" x14ac:dyDescent="0.25">
      <c r="A2633" t="str">
        <f t="shared" si="166"/>
        <v>Multihop,STnet,60</v>
      </c>
      <c r="B2633" t="s">
        <v>34</v>
      </c>
      <c r="C2633" t="s">
        <v>5</v>
      </c>
      <c r="D2633">
        <v>60</v>
      </c>
      <c r="E2633">
        <v>108.14100000000001</v>
      </c>
      <c r="F2633">
        <f t="shared" si="165"/>
        <v>110.5</v>
      </c>
      <c r="G2633">
        <f t="shared" si="167"/>
        <v>2.1348416289592711</v>
      </c>
      <c r="H2633">
        <f t="shared" si="168"/>
        <v>2.1814113056102631</v>
      </c>
    </row>
    <row r="2634" spans="1:8" x14ac:dyDescent="0.25">
      <c r="A2634" t="str">
        <f t="shared" si="166"/>
        <v>Multihop,STnet,60</v>
      </c>
      <c r="B2634" t="s">
        <v>34</v>
      </c>
      <c r="C2634" t="s">
        <v>5</v>
      </c>
      <c r="D2634">
        <v>60</v>
      </c>
      <c r="E2634">
        <v>106.506</v>
      </c>
      <c r="F2634">
        <f t="shared" si="165"/>
        <v>110.5</v>
      </c>
      <c r="G2634">
        <f t="shared" si="167"/>
        <v>3.6144796380090494</v>
      </c>
      <c r="H2634">
        <f t="shared" si="168"/>
        <v>3.7500234728559891</v>
      </c>
    </row>
    <row r="2635" spans="1:8" x14ac:dyDescent="0.25">
      <c r="A2635" t="str">
        <f t="shared" si="166"/>
        <v>Multihop,STnet,60</v>
      </c>
      <c r="B2635" t="s">
        <v>34</v>
      </c>
      <c r="C2635" t="s">
        <v>5</v>
      </c>
      <c r="D2635">
        <v>60</v>
      </c>
      <c r="E2635">
        <v>107.43300000000001</v>
      </c>
      <c r="F2635">
        <f t="shared" si="165"/>
        <v>110.5</v>
      </c>
      <c r="G2635">
        <f t="shared" si="167"/>
        <v>2.7755656108597222</v>
      </c>
      <c r="H2635">
        <f t="shared" si="168"/>
        <v>2.8548025280872662</v>
      </c>
    </row>
    <row r="2636" spans="1:8" x14ac:dyDescent="0.25">
      <c r="A2636" t="str">
        <f t="shared" si="166"/>
        <v>Multihop,STnet,60</v>
      </c>
      <c r="B2636" t="s">
        <v>34</v>
      </c>
      <c r="C2636" t="s">
        <v>5</v>
      </c>
      <c r="D2636">
        <v>60</v>
      </c>
      <c r="E2636">
        <v>110.14100000000001</v>
      </c>
      <c r="F2636">
        <f t="shared" si="165"/>
        <v>110.5</v>
      </c>
      <c r="G2636">
        <f t="shared" si="167"/>
        <v>0.32488687782804948</v>
      </c>
      <c r="H2636">
        <f t="shared" si="168"/>
        <v>0.32594583306851638</v>
      </c>
    </row>
    <row r="2637" spans="1:8" x14ac:dyDescent="0.25">
      <c r="A2637" t="str">
        <f t="shared" si="166"/>
        <v>Multihop,STnet,60</v>
      </c>
      <c r="B2637" t="s">
        <v>34</v>
      </c>
      <c r="C2637" t="s">
        <v>5</v>
      </c>
      <c r="D2637">
        <v>60</v>
      </c>
      <c r="E2637">
        <v>103.849</v>
      </c>
      <c r="F2637">
        <f t="shared" si="165"/>
        <v>110.5</v>
      </c>
      <c r="G2637">
        <f t="shared" si="167"/>
        <v>6.0190045248868742</v>
      </c>
      <c r="H2637">
        <f t="shared" si="168"/>
        <v>6.4044911361688568</v>
      </c>
    </row>
    <row r="2638" spans="1:8" x14ac:dyDescent="0.25">
      <c r="A2638" t="str">
        <f t="shared" si="166"/>
        <v>Multihop,STnet,60</v>
      </c>
      <c r="B2638" t="s">
        <v>34</v>
      </c>
      <c r="C2638" t="s">
        <v>5</v>
      </c>
      <c r="D2638">
        <v>60</v>
      </c>
      <c r="E2638">
        <v>98.067999999999998</v>
      </c>
      <c r="F2638">
        <f t="shared" si="165"/>
        <v>110.5</v>
      </c>
      <c r="G2638">
        <f t="shared" si="167"/>
        <v>11.250678733031675</v>
      </c>
      <c r="H2638">
        <f t="shared" si="168"/>
        <v>12.676918056858508</v>
      </c>
    </row>
    <row r="2639" spans="1:8" x14ac:dyDescent="0.25">
      <c r="A2639" t="str">
        <f t="shared" si="166"/>
        <v>Multihop,STnet,60</v>
      </c>
      <c r="B2639" t="s">
        <v>34</v>
      </c>
      <c r="C2639" t="s">
        <v>5</v>
      </c>
      <c r="D2639">
        <v>60</v>
      </c>
      <c r="E2639">
        <v>115.506</v>
      </c>
      <c r="F2639">
        <f t="shared" si="165"/>
        <v>110.5</v>
      </c>
      <c r="G2639">
        <f t="shared" si="167"/>
        <v>4.5303167420814479</v>
      </c>
      <c r="H2639">
        <f t="shared" si="168"/>
        <v>4.3339739926930205</v>
      </c>
    </row>
    <row r="2640" spans="1:8" x14ac:dyDescent="0.25">
      <c r="A2640" t="str">
        <f t="shared" si="166"/>
        <v>Multihop,STnet,60</v>
      </c>
      <c r="B2640" t="s">
        <v>34</v>
      </c>
      <c r="C2640" t="s">
        <v>5</v>
      </c>
      <c r="D2640">
        <v>60</v>
      </c>
      <c r="E2640">
        <v>126.38200000000001</v>
      </c>
      <c r="F2640">
        <f t="shared" si="165"/>
        <v>110.5</v>
      </c>
      <c r="G2640">
        <f t="shared" si="167"/>
        <v>14.372850678733037</v>
      </c>
      <c r="H2640">
        <f t="shared" si="168"/>
        <v>12.566662974157715</v>
      </c>
    </row>
    <row r="2641" spans="1:8" x14ac:dyDescent="0.25">
      <c r="A2641" t="str">
        <f t="shared" si="166"/>
        <v>Multihop,STnet,60</v>
      </c>
      <c r="B2641" t="s">
        <v>34</v>
      </c>
      <c r="C2641" t="s">
        <v>5</v>
      </c>
      <c r="D2641">
        <v>60</v>
      </c>
      <c r="E2641">
        <v>108.36</v>
      </c>
      <c r="F2641">
        <f t="shared" si="165"/>
        <v>110.5</v>
      </c>
      <c r="G2641">
        <f t="shared" si="167"/>
        <v>1.9366515837104077</v>
      </c>
      <c r="H2641">
        <f t="shared" si="168"/>
        <v>1.9748984865263941</v>
      </c>
    </row>
    <row r="2642" spans="1:8" x14ac:dyDescent="0.25">
      <c r="A2642" t="str">
        <f t="shared" si="166"/>
        <v>Multihop,STnet,60</v>
      </c>
      <c r="B2642" t="s">
        <v>34</v>
      </c>
      <c r="C2642" t="s">
        <v>5</v>
      </c>
      <c r="D2642">
        <v>60</v>
      </c>
      <c r="E2642">
        <v>106.944</v>
      </c>
      <c r="F2642">
        <f t="shared" si="165"/>
        <v>110.5</v>
      </c>
      <c r="G2642">
        <f t="shared" si="167"/>
        <v>3.2180995475113097</v>
      </c>
      <c r="H2642">
        <f t="shared" si="168"/>
        <v>3.3251047277079566</v>
      </c>
    </row>
    <row r="2643" spans="1:8" x14ac:dyDescent="0.25">
      <c r="A2643" t="str">
        <f t="shared" si="166"/>
        <v>Multihop,STnet,60</v>
      </c>
      <c r="B2643" t="s">
        <v>34</v>
      </c>
      <c r="C2643" t="s">
        <v>5</v>
      </c>
      <c r="D2643">
        <v>60</v>
      </c>
      <c r="E2643">
        <v>105.43300000000001</v>
      </c>
      <c r="F2643">
        <f t="shared" si="165"/>
        <v>110.5</v>
      </c>
      <c r="G2643">
        <f t="shared" si="167"/>
        <v>4.5855203619909437</v>
      </c>
      <c r="H2643">
        <f t="shared" si="168"/>
        <v>4.8058956873085208</v>
      </c>
    </row>
    <row r="2644" spans="1:8" x14ac:dyDescent="0.25">
      <c r="A2644" t="str">
        <f t="shared" si="166"/>
        <v>Multihop,STnet,60</v>
      </c>
      <c r="B2644" t="s">
        <v>34</v>
      </c>
      <c r="C2644" t="s">
        <v>5</v>
      </c>
      <c r="D2644">
        <v>60</v>
      </c>
      <c r="E2644">
        <v>118.798</v>
      </c>
      <c r="F2644">
        <f t="shared" si="165"/>
        <v>110.5</v>
      </c>
      <c r="G2644">
        <f t="shared" si="167"/>
        <v>7.5095022624434407</v>
      </c>
      <c r="H2644">
        <f t="shared" si="168"/>
        <v>6.9849660768699824</v>
      </c>
    </row>
    <row r="2645" spans="1:8" x14ac:dyDescent="0.25">
      <c r="A2645" t="str">
        <f t="shared" si="166"/>
        <v>Multihop,STnet,60</v>
      </c>
      <c r="B2645" t="s">
        <v>34</v>
      </c>
      <c r="C2645" t="s">
        <v>5</v>
      </c>
      <c r="D2645">
        <v>60</v>
      </c>
      <c r="E2645">
        <v>119.652</v>
      </c>
      <c r="F2645">
        <f t="shared" si="165"/>
        <v>110.5</v>
      </c>
      <c r="G2645">
        <f t="shared" si="167"/>
        <v>8.2823529411764714</v>
      </c>
      <c r="H2645">
        <f t="shared" si="168"/>
        <v>7.6488483268144298</v>
      </c>
    </row>
    <row r="2646" spans="1:8" x14ac:dyDescent="0.25">
      <c r="A2646" t="str">
        <f t="shared" si="166"/>
        <v>Multihop,STnet,60</v>
      </c>
      <c r="B2646" t="s">
        <v>34</v>
      </c>
      <c r="C2646" t="s">
        <v>5</v>
      </c>
      <c r="D2646">
        <v>60</v>
      </c>
      <c r="E2646">
        <v>108.506</v>
      </c>
      <c r="F2646">
        <f t="shared" si="165"/>
        <v>110.5</v>
      </c>
      <c r="G2646">
        <f t="shared" si="167"/>
        <v>1.8045248868778279</v>
      </c>
      <c r="H2646">
        <f t="shared" si="168"/>
        <v>1.8376863952223839</v>
      </c>
    </row>
    <row r="2647" spans="1:8" x14ac:dyDescent="0.25">
      <c r="A2647" t="str">
        <f t="shared" si="166"/>
        <v>Multihop,STnet,60</v>
      </c>
      <c r="B2647" t="s">
        <v>34</v>
      </c>
      <c r="C2647" t="s">
        <v>5</v>
      </c>
      <c r="D2647">
        <v>60</v>
      </c>
      <c r="E2647">
        <v>103.923</v>
      </c>
      <c r="F2647">
        <f t="shared" si="165"/>
        <v>110.5</v>
      </c>
      <c r="G2647">
        <f t="shared" si="167"/>
        <v>5.952036199095021</v>
      </c>
      <c r="H2647">
        <f t="shared" si="168"/>
        <v>6.3287241515352699</v>
      </c>
    </row>
    <row r="2648" spans="1:8" x14ac:dyDescent="0.25">
      <c r="A2648" t="str">
        <f t="shared" si="166"/>
        <v>Multihop,STnet,60</v>
      </c>
      <c r="B2648" t="s">
        <v>34</v>
      </c>
      <c r="C2648" t="s">
        <v>5</v>
      </c>
      <c r="D2648">
        <v>60</v>
      </c>
      <c r="E2648">
        <v>118.944</v>
      </c>
      <c r="F2648">
        <f t="shared" si="165"/>
        <v>110.5</v>
      </c>
      <c r="G2648">
        <f t="shared" si="167"/>
        <v>7.6416289592760203</v>
      </c>
      <c r="H2648">
        <f t="shared" si="168"/>
        <v>7.099139090664516</v>
      </c>
    </row>
    <row r="2649" spans="1:8" x14ac:dyDescent="0.25">
      <c r="A2649" t="str">
        <f t="shared" si="166"/>
        <v>Multihop,STnet,60</v>
      </c>
      <c r="B2649" t="s">
        <v>34</v>
      </c>
      <c r="C2649" t="s">
        <v>5</v>
      </c>
      <c r="D2649">
        <v>60</v>
      </c>
      <c r="E2649">
        <v>101.36</v>
      </c>
      <c r="F2649">
        <f t="shared" si="165"/>
        <v>110.5</v>
      </c>
      <c r="G2649">
        <f t="shared" si="167"/>
        <v>8.2714932126696841</v>
      </c>
      <c r="H2649">
        <f t="shared" si="168"/>
        <v>9.0173638516179953</v>
      </c>
    </row>
    <row r="2650" spans="1:8" x14ac:dyDescent="0.25">
      <c r="A2650" t="str">
        <f t="shared" si="166"/>
        <v>Multihop,STnet,60</v>
      </c>
      <c r="B2650" t="s">
        <v>34</v>
      </c>
      <c r="C2650" t="s">
        <v>5</v>
      </c>
      <c r="D2650">
        <v>60</v>
      </c>
      <c r="E2650">
        <v>120.309</v>
      </c>
      <c r="F2650">
        <f t="shared" si="165"/>
        <v>110.5</v>
      </c>
      <c r="G2650">
        <f t="shared" si="167"/>
        <v>8.8769230769230756</v>
      </c>
      <c r="H2650">
        <f t="shared" si="168"/>
        <v>8.1531722481277349</v>
      </c>
    </row>
    <row r="2651" spans="1:8" x14ac:dyDescent="0.25">
      <c r="A2651" t="str">
        <f t="shared" si="166"/>
        <v>Multihop,STnet,60</v>
      </c>
      <c r="B2651" t="s">
        <v>34</v>
      </c>
      <c r="C2651" t="s">
        <v>5</v>
      </c>
      <c r="D2651">
        <v>60</v>
      </c>
      <c r="E2651">
        <v>97.067999999999998</v>
      </c>
      <c r="F2651">
        <f t="shared" si="165"/>
        <v>110.5</v>
      </c>
      <c r="G2651">
        <f t="shared" si="167"/>
        <v>12.155656108597288</v>
      </c>
      <c r="H2651">
        <f t="shared" si="168"/>
        <v>13.837722009313062</v>
      </c>
    </row>
    <row r="2652" spans="1:8" x14ac:dyDescent="0.25">
      <c r="A2652" t="str">
        <f t="shared" si="166"/>
        <v>Multihop,STnet,60</v>
      </c>
      <c r="B2652" t="s">
        <v>34</v>
      </c>
      <c r="C2652" t="s">
        <v>5</v>
      </c>
      <c r="D2652">
        <v>60</v>
      </c>
      <c r="E2652">
        <v>102.142</v>
      </c>
      <c r="F2652">
        <f t="shared" si="165"/>
        <v>110.5</v>
      </c>
      <c r="G2652">
        <f t="shared" si="167"/>
        <v>7.5638009049773789</v>
      </c>
      <c r="H2652">
        <f t="shared" si="168"/>
        <v>8.1827260088895883</v>
      </c>
    </row>
    <row r="2653" spans="1:8" x14ac:dyDescent="0.25">
      <c r="A2653" t="str">
        <f t="shared" si="166"/>
        <v>Multihop,STnet,60</v>
      </c>
      <c r="B2653" t="s">
        <v>34</v>
      </c>
      <c r="C2653" t="s">
        <v>5</v>
      </c>
      <c r="D2653">
        <v>60</v>
      </c>
      <c r="E2653">
        <v>100.36</v>
      </c>
      <c r="F2653">
        <f t="shared" si="165"/>
        <v>110.5</v>
      </c>
      <c r="G2653">
        <f t="shared" si="167"/>
        <v>9.1764705882352935</v>
      </c>
      <c r="H2653">
        <f t="shared" si="168"/>
        <v>10.103626943005182</v>
      </c>
    </row>
    <row r="2654" spans="1:8" x14ac:dyDescent="0.25">
      <c r="A2654" t="str">
        <f t="shared" si="166"/>
        <v>Multihop,STnet,60</v>
      </c>
      <c r="B2654" t="s">
        <v>34</v>
      </c>
      <c r="C2654" t="s">
        <v>5</v>
      </c>
      <c r="D2654">
        <v>60</v>
      </c>
      <c r="E2654">
        <v>105.72499999999999</v>
      </c>
      <c r="F2654">
        <f t="shared" si="165"/>
        <v>110.5</v>
      </c>
      <c r="G2654">
        <f t="shared" si="167"/>
        <v>4.3212669683257969</v>
      </c>
      <c r="H2654">
        <f t="shared" si="168"/>
        <v>4.5164341451879935</v>
      </c>
    </row>
    <row r="2655" spans="1:8" x14ac:dyDescent="0.25">
      <c r="A2655" t="str">
        <f t="shared" si="166"/>
        <v>Multihop,STnet,60</v>
      </c>
      <c r="B2655" t="s">
        <v>34</v>
      </c>
      <c r="C2655" t="s">
        <v>5</v>
      </c>
      <c r="D2655">
        <v>60</v>
      </c>
      <c r="E2655">
        <v>105.57899999999999</v>
      </c>
      <c r="F2655">
        <f t="shared" si="165"/>
        <v>110.5</v>
      </c>
      <c r="G2655">
        <f t="shared" si="167"/>
        <v>4.4533936651583765</v>
      </c>
      <c r="H2655">
        <f t="shared" si="168"/>
        <v>4.6609647751920429</v>
      </c>
    </row>
    <row r="2656" spans="1:8" x14ac:dyDescent="0.25">
      <c r="A2656" t="str">
        <f t="shared" si="166"/>
        <v>Multihop,STnet,60</v>
      </c>
      <c r="B2656" t="s">
        <v>34</v>
      </c>
      <c r="C2656" t="s">
        <v>5</v>
      </c>
      <c r="D2656">
        <v>60</v>
      </c>
      <c r="E2656">
        <v>101.14100000000001</v>
      </c>
      <c r="F2656">
        <f t="shared" si="165"/>
        <v>110.5</v>
      </c>
      <c r="G2656">
        <f t="shared" si="167"/>
        <v>8.4696832579185468</v>
      </c>
      <c r="H2656">
        <f t="shared" si="168"/>
        <v>9.2534184949723599</v>
      </c>
    </row>
    <row r="2657" spans="1:8" x14ac:dyDescent="0.25">
      <c r="A2657" t="str">
        <f t="shared" si="166"/>
        <v>Multihop,STnet,60</v>
      </c>
      <c r="B2657" t="s">
        <v>34</v>
      </c>
      <c r="C2657" t="s">
        <v>5</v>
      </c>
      <c r="D2657">
        <v>60</v>
      </c>
      <c r="E2657">
        <v>109.944</v>
      </c>
      <c r="F2657">
        <f t="shared" si="165"/>
        <v>110.5</v>
      </c>
      <c r="G2657">
        <f t="shared" si="167"/>
        <v>0.5031674208144773</v>
      </c>
      <c r="H2657">
        <f t="shared" si="168"/>
        <v>0.50571199883576856</v>
      </c>
    </row>
    <row r="2658" spans="1:8" x14ac:dyDescent="0.25">
      <c r="A2658" t="str">
        <f t="shared" si="166"/>
        <v>Multihop,STnet,60</v>
      </c>
      <c r="B2658" t="s">
        <v>34</v>
      </c>
      <c r="C2658" t="s">
        <v>5</v>
      </c>
      <c r="D2658">
        <v>60</v>
      </c>
      <c r="E2658">
        <v>121.09</v>
      </c>
      <c r="F2658">
        <f t="shared" si="165"/>
        <v>110.5</v>
      </c>
      <c r="G2658">
        <f t="shared" si="167"/>
        <v>9.5837104072398223</v>
      </c>
      <c r="H2658">
        <f t="shared" si="168"/>
        <v>8.7455611528615105</v>
      </c>
    </row>
    <row r="2659" spans="1:8" x14ac:dyDescent="0.25">
      <c r="A2659" t="str">
        <f t="shared" si="166"/>
        <v>Multihop,STnet,60</v>
      </c>
      <c r="B2659" t="s">
        <v>34</v>
      </c>
      <c r="C2659" t="s">
        <v>5</v>
      </c>
      <c r="D2659">
        <v>60</v>
      </c>
      <c r="E2659">
        <v>102.506</v>
      </c>
      <c r="F2659">
        <f t="shared" si="165"/>
        <v>110.5</v>
      </c>
      <c r="G2659">
        <f t="shared" si="167"/>
        <v>7.2343891402714924</v>
      </c>
      <c r="H2659">
        <f t="shared" si="168"/>
        <v>7.7985678887089529</v>
      </c>
    </row>
    <row r="2660" spans="1:8" x14ac:dyDescent="0.25">
      <c r="A2660" t="str">
        <f t="shared" si="166"/>
        <v>Multihop,STnet,60</v>
      </c>
      <c r="B2660" t="s">
        <v>34</v>
      </c>
      <c r="C2660" t="s">
        <v>5</v>
      </c>
      <c r="D2660">
        <v>60</v>
      </c>
      <c r="E2660">
        <v>108.923</v>
      </c>
      <c r="F2660">
        <f t="shared" si="165"/>
        <v>110.5</v>
      </c>
      <c r="G2660">
        <f t="shared" si="167"/>
        <v>1.4271493212669666</v>
      </c>
      <c r="H2660">
        <f t="shared" si="168"/>
        <v>1.4478117569292051</v>
      </c>
    </row>
    <row r="2661" spans="1:8" x14ac:dyDescent="0.25">
      <c r="A2661" t="str">
        <f t="shared" si="166"/>
        <v>Multihop,STnet,60</v>
      </c>
      <c r="B2661" t="s">
        <v>34</v>
      </c>
      <c r="C2661" t="s">
        <v>5</v>
      </c>
      <c r="D2661">
        <v>60</v>
      </c>
      <c r="E2661">
        <v>104.871</v>
      </c>
      <c r="F2661">
        <f t="shared" si="165"/>
        <v>110.5</v>
      </c>
      <c r="G2661">
        <f t="shared" si="167"/>
        <v>5.0941176470588285</v>
      </c>
      <c r="H2661">
        <f t="shared" si="168"/>
        <v>5.3675467955869642</v>
      </c>
    </row>
    <row r="2662" spans="1:8" x14ac:dyDescent="0.25">
      <c r="A2662" t="str">
        <f t="shared" si="166"/>
        <v>Multihop,STnet,60</v>
      </c>
      <c r="B2662" t="s">
        <v>34</v>
      </c>
      <c r="C2662" t="s">
        <v>5</v>
      </c>
      <c r="D2662">
        <v>60</v>
      </c>
      <c r="E2662">
        <v>111.43300000000001</v>
      </c>
      <c r="F2662">
        <f t="shared" si="165"/>
        <v>110.5</v>
      </c>
      <c r="G2662">
        <f t="shared" si="167"/>
        <v>0.84434389140272126</v>
      </c>
      <c r="H2662">
        <f t="shared" si="168"/>
        <v>0.83727441601680552</v>
      </c>
    </row>
    <row r="2663" spans="1:8" x14ac:dyDescent="0.25">
      <c r="A2663" t="str">
        <f t="shared" si="166"/>
        <v>Multihop,STnet,60</v>
      </c>
      <c r="B2663" t="s">
        <v>34</v>
      </c>
      <c r="C2663" t="s">
        <v>5</v>
      </c>
      <c r="D2663">
        <v>60</v>
      </c>
      <c r="E2663">
        <v>102.798</v>
      </c>
      <c r="F2663">
        <f t="shared" si="165"/>
        <v>110.5</v>
      </c>
      <c r="G2663">
        <f t="shared" si="167"/>
        <v>6.9701357466063332</v>
      </c>
      <c r="H2663">
        <f t="shared" si="168"/>
        <v>7.4923636646627347</v>
      </c>
    </row>
    <row r="2664" spans="1:8" x14ac:dyDescent="0.25">
      <c r="A2664" t="str">
        <f t="shared" si="166"/>
        <v>Multihop,STnet,60</v>
      </c>
      <c r="B2664" t="s">
        <v>34</v>
      </c>
      <c r="C2664" t="s">
        <v>5</v>
      </c>
      <c r="D2664">
        <v>60</v>
      </c>
      <c r="E2664">
        <v>89.63</v>
      </c>
      <c r="F2664">
        <f t="shared" si="165"/>
        <v>110.5</v>
      </c>
      <c r="G2664">
        <f t="shared" si="167"/>
        <v>18.886877828054303</v>
      </c>
      <c r="H2664">
        <f t="shared" si="168"/>
        <v>23.28461452638626</v>
      </c>
    </row>
    <row r="2665" spans="1:8" x14ac:dyDescent="0.25">
      <c r="A2665" t="str">
        <f t="shared" si="166"/>
        <v>Multihop,STnet,60</v>
      </c>
      <c r="B2665" t="s">
        <v>34</v>
      </c>
      <c r="C2665" t="s">
        <v>5</v>
      </c>
      <c r="D2665">
        <v>60</v>
      </c>
      <c r="E2665">
        <v>120.163</v>
      </c>
      <c r="F2665">
        <f t="shared" si="165"/>
        <v>110.5</v>
      </c>
      <c r="G2665">
        <f t="shared" si="167"/>
        <v>8.7447963800904951</v>
      </c>
      <c r="H2665">
        <f t="shared" si="168"/>
        <v>8.0415768581010774</v>
      </c>
    </row>
    <row r="2666" spans="1:8" x14ac:dyDescent="0.25">
      <c r="A2666" t="str">
        <f t="shared" si="166"/>
        <v>Multihop,STnet,60</v>
      </c>
      <c r="B2666" t="s">
        <v>34</v>
      </c>
      <c r="C2666" t="s">
        <v>5</v>
      </c>
      <c r="D2666">
        <v>60</v>
      </c>
      <c r="E2666">
        <v>108.798</v>
      </c>
      <c r="F2666">
        <f t="shared" si="165"/>
        <v>110.5</v>
      </c>
      <c r="G2666">
        <f t="shared" si="167"/>
        <v>1.5402714932126682</v>
      </c>
      <c r="H2666">
        <f t="shared" si="168"/>
        <v>1.5643669920402929</v>
      </c>
    </row>
    <row r="2667" spans="1:8" x14ac:dyDescent="0.25">
      <c r="A2667" t="str">
        <f t="shared" si="166"/>
        <v>Multihop,STnet,60</v>
      </c>
      <c r="B2667" t="s">
        <v>34</v>
      </c>
      <c r="C2667" t="s">
        <v>5</v>
      </c>
      <c r="D2667">
        <v>60</v>
      </c>
      <c r="E2667">
        <v>108.506</v>
      </c>
      <c r="F2667">
        <f t="shared" si="165"/>
        <v>110.5</v>
      </c>
      <c r="G2667">
        <f t="shared" si="167"/>
        <v>1.8045248868778279</v>
      </c>
      <c r="H2667">
        <f t="shared" si="168"/>
        <v>1.8376863952223839</v>
      </c>
    </row>
    <row r="2668" spans="1:8" x14ac:dyDescent="0.25">
      <c r="A2668" t="str">
        <f t="shared" si="166"/>
        <v>Multihop,STnet,60</v>
      </c>
      <c r="B2668" t="s">
        <v>34</v>
      </c>
      <c r="C2668" t="s">
        <v>5</v>
      </c>
      <c r="D2668">
        <v>60</v>
      </c>
      <c r="E2668">
        <v>99.36</v>
      </c>
      <c r="F2668">
        <f t="shared" si="165"/>
        <v>110.5</v>
      </c>
      <c r="G2668">
        <f t="shared" si="167"/>
        <v>10.081447963800906</v>
      </c>
      <c r="H2668">
        <f t="shared" si="168"/>
        <v>11.211755233494365</v>
      </c>
    </row>
    <row r="2669" spans="1:8" x14ac:dyDescent="0.25">
      <c r="A2669" t="str">
        <f t="shared" si="166"/>
        <v>Multihop,STnet,60</v>
      </c>
      <c r="B2669" t="s">
        <v>34</v>
      </c>
      <c r="C2669" t="s">
        <v>5</v>
      </c>
      <c r="D2669">
        <v>60</v>
      </c>
      <c r="E2669">
        <v>124.601</v>
      </c>
      <c r="F2669">
        <f t="shared" si="165"/>
        <v>110.5</v>
      </c>
      <c r="G2669">
        <f t="shared" si="167"/>
        <v>12.761085972850678</v>
      </c>
      <c r="H2669">
        <f t="shared" si="168"/>
        <v>11.316923620195665</v>
      </c>
    </row>
    <row r="2670" spans="1:8" x14ac:dyDescent="0.25">
      <c r="A2670" t="str">
        <f t="shared" si="166"/>
        <v>Multihop,STnet,60</v>
      </c>
      <c r="B2670" t="s">
        <v>34</v>
      </c>
      <c r="C2670" t="s">
        <v>5</v>
      </c>
      <c r="D2670">
        <v>60</v>
      </c>
      <c r="E2670">
        <v>101.43300000000001</v>
      </c>
      <c r="F2670">
        <f t="shared" si="165"/>
        <v>110.5</v>
      </c>
      <c r="G2670">
        <f t="shared" si="167"/>
        <v>8.2054298642533876</v>
      </c>
      <c r="H2670">
        <f t="shared" si="168"/>
        <v>8.9389054844084193</v>
      </c>
    </row>
    <row r="2671" spans="1:8" x14ac:dyDescent="0.25">
      <c r="A2671" t="str">
        <f t="shared" si="166"/>
        <v>Multihop,STnet,60</v>
      </c>
      <c r="B2671" t="s">
        <v>34</v>
      </c>
      <c r="C2671" t="s">
        <v>5</v>
      </c>
      <c r="D2671">
        <v>60</v>
      </c>
      <c r="E2671">
        <v>104.068</v>
      </c>
      <c r="F2671">
        <f t="shared" si="165"/>
        <v>110.5</v>
      </c>
      <c r="G2671">
        <f t="shared" si="167"/>
        <v>5.8208144796380115</v>
      </c>
      <c r="H2671">
        <f t="shared" si="168"/>
        <v>6.1805742399200545</v>
      </c>
    </row>
    <row r="2672" spans="1:8" x14ac:dyDescent="0.25">
      <c r="A2672" t="str">
        <f t="shared" si="166"/>
        <v>Multihop,STnet,60</v>
      </c>
      <c r="B2672" t="s">
        <v>34</v>
      </c>
      <c r="C2672" t="s">
        <v>5</v>
      </c>
      <c r="D2672">
        <v>60</v>
      </c>
      <c r="E2672">
        <v>105.995</v>
      </c>
      <c r="F2672">
        <f t="shared" si="165"/>
        <v>110.5</v>
      </c>
      <c r="G2672">
        <f t="shared" si="167"/>
        <v>4.0769230769230731</v>
      </c>
      <c r="H2672">
        <f t="shared" si="168"/>
        <v>4.2502004811547671</v>
      </c>
    </row>
    <row r="2673" spans="1:8" x14ac:dyDescent="0.25">
      <c r="A2673" t="str">
        <f t="shared" si="166"/>
        <v>Multihop,STnet,60</v>
      </c>
      <c r="B2673" t="s">
        <v>34</v>
      </c>
      <c r="C2673" t="s">
        <v>5</v>
      </c>
      <c r="D2673">
        <v>60</v>
      </c>
      <c r="E2673">
        <v>96.557000000000002</v>
      </c>
      <c r="F2673">
        <f t="shared" si="165"/>
        <v>110.5</v>
      </c>
      <c r="G2673">
        <f t="shared" si="167"/>
        <v>12.61809954751131</v>
      </c>
      <c r="H2673">
        <f t="shared" si="168"/>
        <v>14.440175233281893</v>
      </c>
    </row>
    <row r="2674" spans="1:8" x14ac:dyDescent="0.25">
      <c r="A2674" t="str">
        <f t="shared" si="166"/>
        <v>Multihop,STnet,60</v>
      </c>
      <c r="B2674" t="s">
        <v>34</v>
      </c>
      <c r="C2674" t="s">
        <v>5</v>
      </c>
      <c r="D2674">
        <v>60</v>
      </c>
      <c r="E2674">
        <v>111.72499999999999</v>
      </c>
      <c r="F2674">
        <f t="shared" si="165"/>
        <v>110.5</v>
      </c>
      <c r="G2674">
        <f t="shared" si="167"/>
        <v>1.1085972850678683</v>
      </c>
      <c r="H2674">
        <f t="shared" si="168"/>
        <v>1.0964421570821163</v>
      </c>
    </row>
    <row r="2675" spans="1:8" x14ac:dyDescent="0.25">
      <c r="A2675" t="str">
        <f t="shared" si="166"/>
        <v>Multihop,STnet,60</v>
      </c>
      <c r="B2675" t="s">
        <v>34</v>
      </c>
      <c r="C2675" t="s">
        <v>5</v>
      </c>
      <c r="D2675">
        <v>60</v>
      </c>
      <c r="E2675">
        <v>90.557000000000002</v>
      </c>
      <c r="F2675">
        <f t="shared" si="165"/>
        <v>110.5</v>
      </c>
      <c r="G2675">
        <f t="shared" si="167"/>
        <v>18.047963800904977</v>
      </c>
      <c r="H2675">
        <f t="shared" si="168"/>
        <v>22.022593504643481</v>
      </c>
    </row>
    <row r="2676" spans="1:8" x14ac:dyDescent="0.25">
      <c r="A2676" t="str">
        <f t="shared" si="166"/>
        <v>Multihop,STnet,60</v>
      </c>
      <c r="B2676" t="s">
        <v>34</v>
      </c>
      <c r="C2676" t="s">
        <v>5</v>
      </c>
      <c r="D2676">
        <v>60</v>
      </c>
      <c r="E2676">
        <v>96.483999999999995</v>
      </c>
      <c r="F2676">
        <f t="shared" si="165"/>
        <v>110.5</v>
      </c>
      <c r="G2676">
        <f t="shared" si="167"/>
        <v>12.684162895927606</v>
      </c>
      <c r="H2676">
        <f t="shared" si="168"/>
        <v>14.526760913726635</v>
      </c>
    </row>
    <row r="2677" spans="1:8" x14ac:dyDescent="0.25">
      <c r="A2677" t="str">
        <f t="shared" si="166"/>
        <v>Multihop,STnet,60</v>
      </c>
      <c r="B2677" t="s">
        <v>34</v>
      </c>
      <c r="C2677" t="s">
        <v>5</v>
      </c>
      <c r="D2677">
        <v>60</v>
      </c>
      <c r="E2677">
        <v>105.57899999999999</v>
      </c>
      <c r="F2677">
        <f t="shared" si="165"/>
        <v>110.5</v>
      </c>
      <c r="G2677">
        <f t="shared" si="167"/>
        <v>4.4533936651583765</v>
      </c>
      <c r="H2677">
        <f t="shared" si="168"/>
        <v>4.6609647751920429</v>
      </c>
    </row>
    <row r="2678" spans="1:8" x14ac:dyDescent="0.25">
      <c r="A2678" t="str">
        <f t="shared" si="166"/>
        <v>Multihop,STnet,60</v>
      </c>
      <c r="B2678" t="s">
        <v>34</v>
      </c>
      <c r="C2678" t="s">
        <v>5</v>
      </c>
      <c r="D2678">
        <v>60</v>
      </c>
      <c r="E2678">
        <v>117.871</v>
      </c>
      <c r="F2678">
        <f t="shared" si="165"/>
        <v>110.5</v>
      </c>
      <c r="G2678">
        <f t="shared" si="167"/>
        <v>6.6705882352941126</v>
      </c>
      <c r="H2678">
        <f t="shared" si="168"/>
        <v>6.2534465644645376</v>
      </c>
    </row>
    <row r="2679" spans="1:8" x14ac:dyDescent="0.25">
      <c r="A2679" t="str">
        <f t="shared" si="166"/>
        <v>Multihop,STnet,60</v>
      </c>
      <c r="B2679" t="s">
        <v>34</v>
      </c>
      <c r="C2679" t="s">
        <v>5</v>
      </c>
      <c r="D2679">
        <v>60</v>
      </c>
      <c r="E2679">
        <v>116.309</v>
      </c>
      <c r="F2679">
        <f t="shared" si="165"/>
        <v>110.5</v>
      </c>
      <c r="G2679">
        <f t="shared" si="167"/>
        <v>5.2570135746606317</v>
      </c>
      <c r="H2679">
        <f t="shared" si="168"/>
        <v>4.9944544274303775</v>
      </c>
    </row>
    <row r="2680" spans="1:8" x14ac:dyDescent="0.25">
      <c r="A2680" t="str">
        <f t="shared" si="166"/>
        <v>Multihop,STnet,60</v>
      </c>
      <c r="B2680" t="s">
        <v>34</v>
      </c>
      <c r="C2680" t="s">
        <v>5</v>
      </c>
      <c r="D2680">
        <v>60</v>
      </c>
      <c r="E2680">
        <v>106.43300000000001</v>
      </c>
      <c r="F2680">
        <f t="shared" si="165"/>
        <v>110.5</v>
      </c>
      <c r="G2680">
        <f t="shared" si="167"/>
        <v>3.680542986425333</v>
      </c>
      <c r="H2680">
        <f t="shared" si="168"/>
        <v>3.8211832796219145</v>
      </c>
    </row>
    <row r="2681" spans="1:8" x14ac:dyDescent="0.25">
      <c r="A2681" t="str">
        <f t="shared" si="166"/>
        <v>Multihop,STnet,60</v>
      </c>
      <c r="B2681" t="s">
        <v>34</v>
      </c>
      <c r="C2681" t="s">
        <v>5</v>
      </c>
      <c r="D2681">
        <v>60</v>
      </c>
      <c r="E2681">
        <v>97.213999999999999</v>
      </c>
      <c r="F2681">
        <f t="shared" si="165"/>
        <v>110.5</v>
      </c>
      <c r="G2681">
        <f t="shared" si="167"/>
        <v>12.023529411764706</v>
      </c>
      <c r="H2681">
        <f t="shared" si="168"/>
        <v>13.666755817063386</v>
      </c>
    </row>
    <row r="2682" spans="1:8" x14ac:dyDescent="0.25">
      <c r="A2682" t="str">
        <f t="shared" si="166"/>
        <v>Multihop,STnet,60</v>
      </c>
      <c r="B2682" t="s">
        <v>34</v>
      </c>
      <c r="C2682" t="s">
        <v>5</v>
      </c>
      <c r="D2682">
        <v>60</v>
      </c>
      <c r="E2682">
        <v>104.068</v>
      </c>
      <c r="F2682">
        <f t="shared" si="165"/>
        <v>110.5</v>
      </c>
      <c r="G2682">
        <f t="shared" si="167"/>
        <v>5.8208144796380115</v>
      </c>
      <c r="H2682">
        <f t="shared" si="168"/>
        <v>6.1805742399200545</v>
      </c>
    </row>
    <row r="2683" spans="1:8" x14ac:dyDescent="0.25">
      <c r="A2683" t="str">
        <f t="shared" si="166"/>
        <v>Multihop,STnet,60</v>
      </c>
      <c r="B2683" t="s">
        <v>34</v>
      </c>
      <c r="C2683" t="s">
        <v>5</v>
      </c>
      <c r="D2683">
        <v>60</v>
      </c>
      <c r="E2683">
        <v>107.57899999999999</v>
      </c>
      <c r="F2683">
        <f t="shared" si="165"/>
        <v>110.5</v>
      </c>
      <c r="G2683">
        <f t="shared" si="167"/>
        <v>2.643438914027155</v>
      </c>
      <c r="H2683">
        <f t="shared" si="168"/>
        <v>2.7152139358053216</v>
      </c>
    </row>
    <row r="2684" spans="1:8" x14ac:dyDescent="0.25">
      <c r="A2684" t="str">
        <f t="shared" si="166"/>
        <v>Multihop,STnet,60</v>
      </c>
      <c r="B2684" t="s">
        <v>34</v>
      </c>
      <c r="C2684" t="s">
        <v>5</v>
      </c>
      <c r="D2684">
        <v>60</v>
      </c>
      <c r="E2684">
        <v>105.28700000000001</v>
      </c>
      <c r="F2684">
        <f t="shared" si="165"/>
        <v>110.5</v>
      </c>
      <c r="G2684">
        <f t="shared" si="167"/>
        <v>4.7176470588235233</v>
      </c>
      <c r="H2684">
        <f t="shared" si="168"/>
        <v>4.9512285467341588</v>
      </c>
    </row>
    <row r="2685" spans="1:8" x14ac:dyDescent="0.25">
      <c r="A2685" t="str">
        <f t="shared" si="166"/>
        <v>Multihop,STnet,60</v>
      </c>
      <c r="B2685" t="s">
        <v>34</v>
      </c>
      <c r="C2685" t="s">
        <v>5</v>
      </c>
      <c r="D2685">
        <v>60</v>
      </c>
      <c r="E2685">
        <v>111.652</v>
      </c>
      <c r="F2685">
        <f t="shared" si="165"/>
        <v>110.5</v>
      </c>
      <c r="G2685">
        <f t="shared" si="167"/>
        <v>1.0425339366515847</v>
      </c>
      <c r="H2685">
        <f t="shared" si="168"/>
        <v>1.0317773080643438</v>
      </c>
    </row>
    <row r="2686" spans="1:8" x14ac:dyDescent="0.25">
      <c r="A2686" t="str">
        <f t="shared" si="166"/>
        <v>Multihop,STnet,60</v>
      </c>
      <c r="B2686" t="s">
        <v>34</v>
      </c>
      <c r="C2686" t="s">
        <v>5</v>
      </c>
      <c r="D2686">
        <v>60</v>
      </c>
      <c r="E2686">
        <v>96.067999999999998</v>
      </c>
      <c r="F2686">
        <f t="shared" si="165"/>
        <v>110.5</v>
      </c>
      <c r="G2686">
        <f t="shared" si="167"/>
        <v>13.060633484162897</v>
      </c>
      <c r="H2686">
        <f t="shared" si="168"/>
        <v>15.022692259649418</v>
      </c>
    </row>
    <row r="2687" spans="1:8" x14ac:dyDescent="0.25">
      <c r="A2687" t="str">
        <f t="shared" si="166"/>
        <v>Multihop,STnet,60</v>
      </c>
      <c r="B2687" t="s">
        <v>34</v>
      </c>
      <c r="C2687" t="s">
        <v>5</v>
      </c>
      <c r="D2687">
        <v>60</v>
      </c>
      <c r="E2687">
        <v>111.871</v>
      </c>
      <c r="F2687">
        <f t="shared" si="165"/>
        <v>110.5</v>
      </c>
      <c r="G2687">
        <f t="shared" si="167"/>
        <v>1.2407239819004481</v>
      </c>
      <c r="H2687">
        <f t="shared" si="168"/>
        <v>1.225518677762776</v>
      </c>
    </row>
    <row r="2688" spans="1:8" x14ac:dyDescent="0.25">
      <c r="A2688" t="str">
        <f t="shared" si="166"/>
        <v>Multihop,STnet,60</v>
      </c>
      <c r="B2688" t="s">
        <v>34</v>
      </c>
      <c r="C2688" t="s">
        <v>5</v>
      </c>
      <c r="D2688">
        <v>60</v>
      </c>
      <c r="E2688">
        <v>121.309</v>
      </c>
      <c r="F2688">
        <f t="shared" si="165"/>
        <v>110.5</v>
      </c>
      <c r="G2688">
        <f t="shared" si="167"/>
        <v>9.781900452488685</v>
      </c>
      <c r="H2688">
        <f t="shared" si="168"/>
        <v>8.910303439975598</v>
      </c>
    </row>
    <row r="2689" spans="1:8" x14ac:dyDescent="0.25">
      <c r="A2689" t="str">
        <f t="shared" si="166"/>
        <v>Multihop,STnet,60</v>
      </c>
      <c r="B2689" t="s">
        <v>34</v>
      </c>
      <c r="C2689" t="s">
        <v>5</v>
      </c>
      <c r="D2689">
        <v>60</v>
      </c>
      <c r="E2689">
        <v>117.236</v>
      </c>
      <c r="F2689">
        <f t="shared" si="165"/>
        <v>110.5</v>
      </c>
      <c r="G2689">
        <f t="shared" si="167"/>
        <v>6.095927601809958</v>
      </c>
      <c r="H2689">
        <f t="shared" si="168"/>
        <v>5.7456753898120061</v>
      </c>
    </row>
    <row r="2690" spans="1:8" x14ac:dyDescent="0.25">
      <c r="A2690" t="str">
        <f t="shared" si="166"/>
        <v>Multihop,STnet,60</v>
      </c>
      <c r="B2690" t="s">
        <v>34</v>
      </c>
      <c r="C2690" t="s">
        <v>5</v>
      </c>
      <c r="D2690">
        <v>60</v>
      </c>
      <c r="E2690">
        <v>119.163</v>
      </c>
      <c r="F2690">
        <f t="shared" si="165"/>
        <v>110.5</v>
      </c>
      <c r="G2690">
        <f t="shared" si="167"/>
        <v>7.8398190045248839</v>
      </c>
      <c r="H2690">
        <f t="shared" si="168"/>
        <v>7.2698740380822882</v>
      </c>
    </row>
    <row r="2691" spans="1:8" x14ac:dyDescent="0.25">
      <c r="A2691" t="str">
        <f t="shared" si="166"/>
        <v>Multihop,STnet,60</v>
      </c>
      <c r="B2691" t="s">
        <v>34</v>
      </c>
      <c r="C2691" t="s">
        <v>5</v>
      </c>
      <c r="D2691">
        <v>60</v>
      </c>
      <c r="E2691">
        <v>115.163</v>
      </c>
      <c r="F2691">
        <f t="shared" ref="F2691:F2754" si="169">_xlfn.XLOOKUP(A2691,$J$3:$J$36,$N$3:$N$36)</f>
        <v>110.5</v>
      </c>
      <c r="G2691">
        <f t="shared" si="167"/>
        <v>4.21990950226244</v>
      </c>
      <c r="H2691">
        <f t="shared" si="168"/>
        <v>4.0490435296058598</v>
      </c>
    </row>
    <row r="2692" spans="1:8" x14ac:dyDescent="0.25">
      <c r="A2692" t="str">
        <f t="shared" ref="A2692:A2755" si="170">B2692&amp;","&amp;C2692&amp;","&amp;D2692</f>
        <v>Multihop,STnet,60</v>
      </c>
      <c r="B2692" t="s">
        <v>34</v>
      </c>
      <c r="C2692" t="s">
        <v>5</v>
      </c>
      <c r="D2692">
        <v>60</v>
      </c>
      <c r="E2692">
        <v>122.38200000000001</v>
      </c>
      <c r="F2692">
        <f t="shared" si="169"/>
        <v>110.5</v>
      </c>
      <c r="G2692">
        <f t="shared" ref="G2692:G2755" si="171">ABS((E2692-F2692)/F2692)*100</f>
        <v>10.752941176470593</v>
      </c>
      <c r="H2692">
        <f t="shared" ref="H2692:H2755" si="172">ABS((F2692-E2692)/E2692)*100</f>
        <v>9.7089441257701328</v>
      </c>
    </row>
    <row r="2693" spans="1:8" x14ac:dyDescent="0.25">
      <c r="A2693" t="str">
        <f t="shared" si="170"/>
        <v>Multihop,STnet,60</v>
      </c>
      <c r="B2693" t="s">
        <v>34</v>
      </c>
      <c r="C2693" t="s">
        <v>5</v>
      </c>
      <c r="D2693">
        <v>60</v>
      </c>
      <c r="E2693">
        <v>98.631</v>
      </c>
      <c r="F2693">
        <f t="shared" si="169"/>
        <v>110.5</v>
      </c>
      <c r="G2693">
        <f t="shared" si="171"/>
        <v>10.741176470588234</v>
      </c>
      <c r="H2693">
        <f t="shared" si="172"/>
        <v>12.033741926980362</v>
      </c>
    </row>
    <row r="2694" spans="1:8" x14ac:dyDescent="0.25">
      <c r="A2694" t="str">
        <f t="shared" si="170"/>
        <v>Multihop,STnet,60</v>
      </c>
      <c r="B2694" t="s">
        <v>34</v>
      </c>
      <c r="C2694" t="s">
        <v>5</v>
      </c>
      <c r="D2694">
        <v>60</v>
      </c>
      <c r="E2694">
        <v>106.43300000000001</v>
      </c>
      <c r="F2694">
        <f t="shared" si="169"/>
        <v>110.5</v>
      </c>
      <c r="G2694">
        <f t="shared" si="171"/>
        <v>3.680542986425333</v>
      </c>
      <c r="H2694">
        <f t="shared" si="172"/>
        <v>3.8211832796219145</v>
      </c>
    </row>
    <row r="2695" spans="1:8" x14ac:dyDescent="0.25">
      <c r="A2695" t="str">
        <f t="shared" si="170"/>
        <v>Multihop,STnet,60</v>
      </c>
      <c r="B2695" t="s">
        <v>34</v>
      </c>
      <c r="C2695" t="s">
        <v>5</v>
      </c>
      <c r="D2695">
        <v>60</v>
      </c>
      <c r="E2695">
        <v>99.213999999999999</v>
      </c>
      <c r="F2695">
        <f t="shared" si="169"/>
        <v>110.5</v>
      </c>
      <c r="G2695">
        <f t="shared" si="171"/>
        <v>10.213574660633485</v>
      </c>
      <c r="H2695">
        <f t="shared" si="172"/>
        <v>11.375410728324633</v>
      </c>
    </row>
    <row r="2696" spans="1:8" x14ac:dyDescent="0.25">
      <c r="A2696" t="str">
        <f t="shared" si="170"/>
        <v>Multihop,STnet,60</v>
      </c>
      <c r="B2696" t="s">
        <v>34</v>
      </c>
      <c r="C2696" t="s">
        <v>5</v>
      </c>
      <c r="D2696">
        <v>60</v>
      </c>
      <c r="E2696">
        <v>122.309</v>
      </c>
      <c r="F2696">
        <f t="shared" si="169"/>
        <v>110.5</v>
      </c>
      <c r="G2696">
        <f t="shared" si="171"/>
        <v>10.686877828054296</v>
      </c>
      <c r="H2696">
        <f t="shared" si="172"/>
        <v>9.6550540025672671</v>
      </c>
    </row>
    <row r="2697" spans="1:8" x14ac:dyDescent="0.25">
      <c r="A2697" t="str">
        <f t="shared" si="170"/>
        <v>Multihop,STnet,60</v>
      </c>
      <c r="B2697" t="s">
        <v>34</v>
      </c>
      <c r="C2697" t="s">
        <v>5</v>
      </c>
      <c r="D2697">
        <v>60</v>
      </c>
      <c r="E2697">
        <v>112.871</v>
      </c>
      <c r="F2697">
        <f t="shared" si="169"/>
        <v>110.5</v>
      </c>
      <c r="G2697">
        <f t="shared" si="171"/>
        <v>2.1457013574660588</v>
      </c>
      <c r="H2697">
        <f t="shared" si="172"/>
        <v>2.1006281507207301</v>
      </c>
    </row>
    <row r="2698" spans="1:8" x14ac:dyDescent="0.25">
      <c r="A2698" t="str">
        <f t="shared" si="170"/>
        <v>Multihop,STnet,60</v>
      </c>
      <c r="B2698" t="s">
        <v>34</v>
      </c>
      <c r="C2698" t="s">
        <v>5</v>
      </c>
      <c r="D2698">
        <v>60</v>
      </c>
      <c r="E2698">
        <v>105.14100000000001</v>
      </c>
      <c r="F2698">
        <f t="shared" si="169"/>
        <v>110.5</v>
      </c>
      <c r="G2698">
        <f t="shared" si="171"/>
        <v>4.8497737556561038</v>
      </c>
      <c r="H2698">
        <f t="shared" si="172"/>
        <v>5.0969650279148899</v>
      </c>
    </row>
    <row r="2699" spans="1:8" x14ac:dyDescent="0.25">
      <c r="A2699" t="str">
        <f t="shared" si="170"/>
        <v>Multihop,STnet,60</v>
      </c>
      <c r="B2699" t="s">
        <v>34</v>
      </c>
      <c r="C2699" t="s">
        <v>5</v>
      </c>
      <c r="D2699">
        <v>60</v>
      </c>
      <c r="E2699">
        <v>105.43300000000001</v>
      </c>
      <c r="F2699">
        <f t="shared" si="169"/>
        <v>110.5</v>
      </c>
      <c r="G2699">
        <f t="shared" si="171"/>
        <v>4.5855203619909437</v>
      </c>
      <c r="H2699">
        <f t="shared" si="172"/>
        <v>4.8058956873085208</v>
      </c>
    </row>
    <row r="2700" spans="1:8" x14ac:dyDescent="0.25">
      <c r="A2700" t="str">
        <f t="shared" si="170"/>
        <v>Multihop,STnet,60</v>
      </c>
      <c r="B2700" t="s">
        <v>34</v>
      </c>
      <c r="C2700" t="s">
        <v>5</v>
      </c>
      <c r="D2700">
        <v>60</v>
      </c>
      <c r="E2700">
        <v>95.775999999999996</v>
      </c>
      <c r="F2700">
        <f t="shared" si="169"/>
        <v>110.5</v>
      </c>
      <c r="G2700">
        <f t="shared" si="171"/>
        <v>13.324886877828057</v>
      </c>
      <c r="H2700">
        <f t="shared" si="172"/>
        <v>15.373371199465424</v>
      </c>
    </row>
    <row r="2701" spans="1:8" x14ac:dyDescent="0.25">
      <c r="A2701" t="str">
        <f t="shared" si="170"/>
        <v>Multihop,STnet,60</v>
      </c>
      <c r="B2701" t="s">
        <v>34</v>
      </c>
      <c r="C2701" t="s">
        <v>5</v>
      </c>
      <c r="D2701">
        <v>60</v>
      </c>
      <c r="E2701">
        <v>108.506</v>
      </c>
      <c r="F2701">
        <f t="shared" si="169"/>
        <v>110.5</v>
      </c>
      <c r="G2701">
        <f t="shared" si="171"/>
        <v>1.8045248868778279</v>
      </c>
      <c r="H2701">
        <f t="shared" si="172"/>
        <v>1.8376863952223839</v>
      </c>
    </row>
    <row r="2702" spans="1:8" x14ac:dyDescent="0.25">
      <c r="A2702" t="str">
        <f t="shared" si="170"/>
        <v>Multihop,STnet,60</v>
      </c>
      <c r="B2702" t="s">
        <v>34</v>
      </c>
      <c r="C2702" t="s">
        <v>5</v>
      </c>
      <c r="D2702">
        <v>60</v>
      </c>
      <c r="E2702">
        <v>97.921999999999997</v>
      </c>
      <c r="F2702">
        <f t="shared" si="169"/>
        <v>110.5</v>
      </c>
      <c r="G2702">
        <f t="shared" si="171"/>
        <v>11.382805429864257</v>
      </c>
      <c r="H2702">
        <f t="shared" si="172"/>
        <v>12.844917383223386</v>
      </c>
    </row>
    <row r="2703" spans="1:8" x14ac:dyDescent="0.25">
      <c r="A2703" t="str">
        <f t="shared" si="170"/>
        <v>Multihop,STnet,80</v>
      </c>
      <c r="B2703" t="s">
        <v>34</v>
      </c>
      <c r="C2703" t="s">
        <v>5</v>
      </c>
      <c r="D2703">
        <v>80</v>
      </c>
      <c r="E2703">
        <v>161.62</v>
      </c>
      <c r="F2703">
        <f t="shared" si="169"/>
        <v>144.5</v>
      </c>
      <c r="G2703">
        <f t="shared" si="171"/>
        <v>11.847750865051907</v>
      </c>
      <c r="H2703">
        <f t="shared" si="172"/>
        <v>10.592748422224975</v>
      </c>
    </row>
    <row r="2704" spans="1:8" x14ac:dyDescent="0.25">
      <c r="A2704" t="str">
        <f t="shared" si="170"/>
        <v>Multihop,STnet,80</v>
      </c>
      <c r="B2704" t="s">
        <v>34</v>
      </c>
      <c r="C2704" t="s">
        <v>5</v>
      </c>
      <c r="D2704">
        <v>80</v>
      </c>
      <c r="E2704">
        <v>145.33099999999999</v>
      </c>
      <c r="F2704">
        <f t="shared" si="169"/>
        <v>144.5</v>
      </c>
      <c r="G2704">
        <f t="shared" si="171"/>
        <v>0.57508650519030369</v>
      </c>
      <c r="H2704">
        <f t="shared" si="172"/>
        <v>0.57179817107154629</v>
      </c>
    </row>
    <row r="2705" spans="1:8" x14ac:dyDescent="0.25">
      <c r="A2705" t="str">
        <f t="shared" si="170"/>
        <v>Multihop,STnet,80</v>
      </c>
      <c r="B2705" t="s">
        <v>34</v>
      </c>
      <c r="C2705" t="s">
        <v>5</v>
      </c>
      <c r="D2705">
        <v>80</v>
      </c>
      <c r="E2705">
        <v>131.52799999999999</v>
      </c>
      <c r="F2705">
        <f t="shared" si="169"/>
        <v>144.5</v>
      </c>
      <c r="G2705">
        <f t="shared" si="171"/>
        <v>8.9771626297577907</v>
      </c>
      <c r="H2705">
        <f t="shared" si="172"/>
        <v>9.8625387750136913</v>
      </c>
    </row>
    <row r="2706" spans="1:8" x14ac:dyDescent="0.25">
      <c r="A2706" t="str">
        <f t="shared" si="170"/>
        <v>Multihop,STnet,80</v>
      </c>
      <c r="B2706" t="s">
        <v>34</v>
      </c>
      <c r="C2706" t="s">
        <v>5</v>
      </c>
      <c r="D2706">
        <v>80</v>
      </c>
      <c r="E2706">
        <v>124.163</v>
      </c>
      <c r="F2706">
        <f t="shared" si="169"/>
        <v>144.5</v>
      </c>
      <c r="G2706">
        <f t="shared" si="171"/>
        <v>14.074048442906575</v>
      </c>
      <c r="H2706">
        <f t="shared" si="172"/>
        <v>16.379275629615911</v>
      </c>
    </row>
    <row r="2707" spans="1:8" x14ac:dyDescent="0.25">
      <c r="A2707" t="str">
        <f t="shared" si="170"/>
        <v>Multihop,STnet,80</v>
      </c>
      <c r="B2707" t="s">
        <v>34</v>
      </c>
      <c r="C2707" t="s">
        <v>5</v>
      </c>
      <c r="D2707">
        <v>80</v>
      </c>
      <c r="E2707">
        <v>124.163</v>
      </c>
      <c r="F2707">
        <f t="shared" si="169"/>
        <v>144.5</v>
      </c>
      <c r="G2707">
        <f t="shared" si="171"/>
        <v>14.074048442906575</v>
      </c>
      <c r="H2707">
        <f t="shared" si="172"/>
        <v>16.379275629615911</v>
      </c>
    </row>
    <row r="2708" spans="1:8" x14ac:dyDescent="0.25">
      <c r="A2708" t="str">
        <f t="shared" si="170"/>
        <v>Multihop,STnet,80</v>
      </c>
      <c r="B2708" t="s">
        <v>34</v>
      </c>
      <c r="C2708" t="s">
        <v>5</v>
      </c>
      <c r="D2708">
        <v>80</v>
      </c>
      <c r="E2708">
        <v>134.08699999999999</v>
      </c>
      <c r="F2708">
        <f t="shared" si="169"/>
        <v>144.5</v>
      </c>
      <c r="G2708">
        <f t="shared" si="171"/>
        <v>7.2062283737024293</v>
      </c>
      <c r="H2708">
        <f t="shared" si="172"/>
        <v>7.7658535130176762</v>
      </c>
    </row>
    <row r="2709" spans="1:8" x14ac:dyDescent="0.25">
      <c r="A2709" t="str">
        <f t="shared" si="170"/>
        <v>Multihop,STnet,80</v>
      </c>
      <c r="B2709" t="s">
        <v>34</v>
      </c>
      <c r="C2709" t="s">
        <v>5</v>
      </c>
      <c r="D2709">
        <v>80</v>
      </c>
      <c r="E2709">
        <v>156.035</v>
      </c>
      <c r="F2709">
        <f t="shared" si="169"/>
        <v>144.5</v>
      </c>
      <c r="G2709">
        <f t="shared" si="171"/>
        <v>7.9826989619377136</v>
      </c>
      <c r="H2709">
        <f t="shared" si="172"/>
        <v>7.3925721793187407</v>
      </c>
    </row>
    <row r="2710" spans="1:8" x14ac:dyDescent="0.25">
      <c r="A2710" t="str">
        <f t="shared" si="170"/>
        <v>Multihop,STnet,80</v>
      </c>
      <c r="B2710" t="s">
        <v>34</v>
      </c>
      <c r="C2710" t="s">
        <v>5</v>
      </c>
      <c r="D2710">
        <v>80</v>
      </c>
      <c r="E2710">
        <v>128.601</v>
      </c>
      <c r="F2710">
        <f t="shared" si="169"/>
        <v>144.5</v>
      </c>
      <c r="G2710">
        <f t="shared" si="171"/>
        <v>11.002768166089966</v>
      </c>
      <c r="H2710">
        <f t="shared" si="172"/>
        <v>12.363045388449546</v>
      </c>
    </row>
    <row r="2711" spans="1:8" x14ac:dyDescent="0.25">
      <c r="A2711" t="str">
        <f t="shared" si="170"/>
        <v>Multihop,STnet,80</v>
      </c>
      <c r="B2711" t="s">
        <v>34</v>
      </c>
      <c r="C2711" t="s">
        <v>5</v>
      </c>
      <c r="D2711">
        <v>80</v>
      </c>
      <c r="E2711">
        <v>144.67099999999999</v>
      </c>
      <c r="F2711">
        <f t="shared" si="169"/>
        <v>144.5</v>
      </c>
      <c r="G2711">
        <f t="shared" si="171"/>
        <v>0.1183391003460154</v>
      </c>
      <c r="H2711">
        <f t="shared" si="172"/>
        <v>0.11819922444718865</v>
      </c>
    </row>
    <row r="2712" spans="1:8" x14ac:dyDescent="0.25">
      <c r="A2712" t="str">
        <f t="shared" si="170"/>
        <v>Multihop,STnet,80</v>
      </c>
      <c r="B2712" t="s">
        <v>34</v>
      </c>
      <c r="C2712" t="s">
        <v>5</v>
      </c>
      <c r="D2712">
        <v>80</v>
      </c>
      <c r="E2712">
        <v>142.33099999999999</v>
      </c>
      <c r="F2712">
        <f t="shared" si="169"/>
        <v>144.5</v>
      </c>
      <c r="G2712">
        <f t="shared" si="171"/>
        <v>1.5010380622837447</v>
      </c>
      <c r="H2712">
        <f t="shared" si="172"/>
        <v>1.5239125699953007</v>
      </c>
    </row>
    <row r="2713" spans="1:8" x14ac:dyDescent="0.25">
      <c r="A2713" t="str">
        <f t="shared" si="170"/>
        <v>Multihop,STnet,80</v>
      </c>
      <c r="B2713" t="s">
        <v>34</v>
      </c>
      <c r="C2713" t="s">
        <v>5</v>
      </c>
      <c r="D2713">
        <v>80</v>
      </c>
      <c r="E2713">
        <v>139.30600000000001</v>
      </c>
      <c r="F2713">
        <f t="shared" si="169"/>
        <v>144.5</v>
      </c>
      <c r="G2713">
        <f t="shared" si="171"/>
        <v>3.5944636678200608</v>
      </c>
      <c r="H2713">
        <f t="shared" si="172"/>
        <v>3.7284826209926263</v>
      </c>
    </row>
    <row r="2714" spans="1:8" x14ac:dyDescent="0.25">
      <c r="A2714" t="str">
        <f t="shared" si="170"/>
        <v>Multihop,STnet,80</v>
      </c>
      <c r="B2714" t="s">
        <v>34</v>
      </c>
      <c r="C2714" t="s">
        <v>5</v>
      </c>
      <c r="D2714">
        <v>80</v>
      </c>
      <c r="E2714">
        <v>137.601</v>
      </c>
      <c r="F2714">
        <f t="shared" si="169"/>
        <v>144.5</v>
      </c>
      <c r="G2714">
        <f t="shared" si="171"/>
        <v>4.7743944636678206</v>
      </c>
      <c r="H2714">
        <f t="shared" si="172"/>
        <v>5.013771702240537</v>
      </c>
    </row>
    <row r="2715" spans="1:8" x14ac:dyDescent="0.25">
      <c r="A2715" t="str">
        <f t="shared" si="170"/>
        <v>Multihop,STnet,80</v>
      </c>
      <c r="B2715" t="s">
        <v>34</v>
      </c>
      <c r="C2715" t="s">
        <v>5</v>
      </c>
      <c r="D2715">
        <v>80</v>
      </c>
      <c r="E2715">
        <v>121.017</v>
      </c>
      <c r="F2715">
        <f t="shared" si="169"/>
        <v>144.5</v>
      </c>
      <c r="G2715">
        <f t="shared" si="171"/>
        <v>16.251211072664361</v>
      </c>
      <c r="H2715">
        <f t="shared" si="172"/>
        <v>19.404711734714962</v>
      </c>
    </row>
    <row r="2716" spans="1:8" x14ac:dyDescent="0.25">
      <c r="A2716" t="str">
        <f t="shared" si="170"/>
        <v>Multihop,STnet,80</v>
      </c>
      <c r="B2716" t="s">
        <v>34</v>
      </c>
      <c r="C2716" t="s">
        <v>5</v>
      </c>
      <c r="D2716">
        <v>80</v>
      </c>
      <c r="E2716">
        <v>115.36</v>
      </c>
      <c r="F2716">
        <f t="shared" si="169"/>
        <v>144.5</v>
      </c>
      <c r="G2716">
        <f t="shared" si="171"/>
        <v>20.166089965397923</v>
      </c>
      <c r="H2716">
        <f t="shared" si="172"/>
        <v>25.260055478502082</v>
      </c>
    </row>
    <row r="2717" spans="1:8" x14ac:dyDescent="0.25">
      <c r="A2717" t="str">
        <f t="shared" si="170"/>
        <v>Multihop,STnet,80</v>
      </c>
      <c r="B2717" t="s">
        <v>34</v>
      </c>
      <c r="C2717" t="s">
        <v>5</v>
      </c>
      <c r="D2717">
        <v>80</v>
      </c>
      <c r="E2717">
        <v>128.601</v>
      </c>
      <c r="F2717">
        <f t="shared" si="169"/>
        <v>144.5</v>
      </c>
      <c r="G2717">
        <f t="shared" si="171"/>
        <v>11.002768166089966</v>
      </c>
      <c r="H2717">
        <f t="shared" si="172"/>
        <v>12.363045388449546</v>
      </c>
    </row>
    <row r="2718" spans="1:8" x14ac:dyDescent="0.25">
      <c r="A2718" t="str">
        <f t="shared" si="170"/>
        <v>Multihop,STnet,80</v>
      </c>
      <c r="B2718" t="s">
        <v>34</v>
      </c>
      <c r="C2718" t="s">
        <v>5</v>
      </c>
      <c r="D2718">
        <v>80</v>
      </c>
      <c r="E2718">
        <v>140.08699999999999</v>
      </c>
      <c r="F2718">
        <f t="shared" si="169"/>
        <v>144.5</v>
      </c>
      <c r="G2718">
        <f t="shared" si="171"/>
        <v>3.0539792387543327</v>
      </c>
      <c r="H2718">
        <f t="shared" si="172"/>
        <v>3.1501852420281766</v>
      </c>
    </row>
    <row r="2719" spans="1:8" x14ac:dyDescent="0.25">
      <c r="A2719" t="str">
        <f t="shared" si="170"/>
        <v>Multihop,STnet,80</v>
      </c>
      <c r="B2719" t="s">
        <v>34</v>
      </c>
      <c r="C2719" t="s">
        <v>5</v>
      </c>
      <c r="D2719">
        <v>80</v>
      </c>
      <c r="E2719">
        <v>122.38200000000001</v>
      </c>
      <c r="F2719">
        <f t="shared" si="169"/>
        <v>144.5</v>
      </c>
      <c r="G2719">
        <f t="shared" si="171"/>
        <v>15.306574394463665</v>
      </c>
      <c r="H2719">
        <f t="shared" si="172"/>
        <v>18.072919220146748</v>
      </c>
    </row>
    <row r="2720" spans="1:8" x14ac:dyDescent="0.25">
      <c r="A2720" t="str">
        <f t="shared" si="170"/>
        <v>Multihop,STnet,80</v>
      </c>
      <c r="B2720" t="s">
        <v>34</v>
      </c>
      <c r="C2720" t="s">
        <v>5</v>
      </c>
      <c r="D2720">
        <v>80</v>
      </c>
      <c r="E2720">
        <v>150.327</v>
      </c>
      <c r="F2720">
        <f t="shared" si="169"/>
        <v>144.5</v>
      </c>
      <c r="G2720">
        <f t="shared" si="171"/>
        <v>4.0325259515570924</v>
      </c>
      <c r="H2720">
        <f t="shared" si="172"/>
        <v>3.8762165146646965</v>
      </c>
    </row>
    <row r="2721" spans="1:8" x14ac:dyDescent="0.25">
      <c r="A2721" t="str">
        <f t="shared" si="170"/>
        <v>Multihop,STnet,80</v>
      </c>
      <c r="B2721" t="s">
        <v>34</v>
      </c>
      <c r="C2721" t="s">
        <v>5</v>
      </c>
      <c r="D2721">
        <v>80</v>
      </c>
      <c r="E2721">
        <v>135.67400000000001</v>
      </c>
      <c r="F2721">
        <f t="shared" si="169"/>
        <v>144.5</v>
      </c>
      <c r="G2721">
        <f t="shared" si="171"/>
        <v>6.107958477508646</v>
      </c>
      <c r="H2721">
        <f t="shared" si="172"/>
        <v>6.5052994678420282</v>
      </c>
    </row>
    <row r="2722" spans="1:8" x14ac:dyDescent="0.25">
      <c r="A2722" t="str">
        <f t="shared" si="170"/>
        <v>Multihop,STnet,80</v>
      </c>
      <c r="B2722" t="s">
        <v>34</v>
      </c>
      <c r="C2722" t="s">
        <v>5</v>
      </c>
      <c r="D2722">
        <v>80</v>
      </c>
      <c r="E2722">
        <v>142.37899999999999</v>
      </c>
      <c r="F2722">
        <f t="shared" si="169"/>
        <v>144.5</v>
      </c>
      <c r="G2722">
        <f t="shared" si="171"/>
        <v>1.4678200692041588</v>
      </c>
      <c r="H2722">
        <f t="shared" si="172"/>
        <v>1.4896859789716246</v>
      </c>
    </row>
    <row r="2723" spans="1:8" x14ac:dyDescent="0.25">
      <c r="A2723" t="str">
        <f t="shared" si="170"/>
        <v>Multihop,STnet,80</v>
      </c>
      <c r="B2723" t="s">
        <v>34</v>
      </c>
      <c r="C2723" t="s">
        <v>5</v>
      </c>
      <c r="D2723">
        <v>80</v>
      </c>
      <c r="E2723">
        <v>136.45500000000001</v>
      </c>
      <c r="F2723">
        <f t="shared" si="169"/>
        <v>144.5</v>
      </c>
      <c r="G2723">
        <f t="shared" si="171"/>
        <v>5.5674740484428975</v>
      </c>
      <c r="H2723">
        <f t="shared" si="172"/>
        <v>5.8957165365871438</v>
      </c>
    </row>
    <row r="2724" spans="1:8" x14ac:dyDescent="0.25">
      <c r="A2724" t="str">
        <f t="shared" si="170"/>
        <v>Multihop,STnet,80</v>
      </c>
      <c r="B2724" t="s">
        <v>34</v>
      </c>
      <c r="C2724" t="s">
        <v>5</v>
      </c>
      <c r="D2724">
        <v>80</v>
      </c>
      <c r="E2724">
        <v>139.30600000000001</v>
      </c>
      <c r="F2724">
        <f t="shared" si="169"/>
        <v>144.5</v>
      </c>
      <c r="G2724">
        <f t="shared" si="171"/>
        <v>3.5944636678200608</v>
      </c>
      <c r="H2724">
        <f t="shared" si="172"/>
        <v>3.7284826209926263</v>
      </c>
    </row>
    <row r="2725" spans="1:8" x14ac:dyDescent="0.25">
      <c r="A2725" t="str">
        <f t="shared" si="170"/>
        <v>Multihop,STnet,80</v>
      </c>
      <c r="B2725" t="s">
        <v>34</v>
      </c>
      <c r="C2725" t="s">
        <v>5</v>
      </c>
      <c r="D2725">
        <v>80</v>
      </c>
      <c r="E2725">
        <v>145.55000000000001</v>
      </c>
      <c r="F2725">
        <f t="shared" si="169"/>
        <v>144.5</v>
      </c>
      <c r="G2725">
        <f t="shared" si="171"/>
        <v>0.72664359861592476</v>
      </c>
      <c r="H2725">
        <f t="shared" si="172"/>
        <v>0.72140158021299305</v>
      </c>
    </row>
    <row r="2726" spans="1:8" x14ac:dyDescent="0.25">
      <c r="A2726" t="str">
        <f t="shared" si="170"/>
        <v>Multihop,STnet,80</v>
      </c>
      <c r="B2726" t="s">
        <v>34</v>
      </c>
      <c r="C2726" t="s">
        <v>5</v>
      </c>
      <c r="D2726">
        <v>80</v>
      </c>
      <c r="E2726">
        <v>124.944</v>
      </c>
      <c r="F2726">
        <f t="shared" si="169"/>
        <v>144.5</v>
      </c>
      <c r="G2726">
        <f t="shared" si="171"/>
        <v>13.533564013840829</v>
      </c>
      <c r="H2726">
        <f t="shared" si="172"/>
        <v>15.651812011781274</v>
      </c>
    </row>
    <row r="2727" spans="1:8" x14ac:dyDescent="0.25">
      <c r="A2727" t="str">
        <f t="shared" si="170"/>
        <v>Multihop,STnet,80</v>
      </c>
      <c r="B2727" t="s">
        <v>34</v>
      </c>
      <c r="C2727" t="s">
        <v>5</v>
      </c>
      <c r="D2727">
        <v>80</v>
      </c>
      <c r="E2727">
        <v>143.768</v>
      </c>
      <c r="F2727">
        <f t="shared" si="169"/>
        <v>144.5</v>
      </c>
      <c r="G2727">
        <f t="shared" si="171"/>
        <v>0.50657439446366737</v>
      </c>
      <c r="H2727">
        <f t="shared" si="172"/>
        <v>0.5091536364142224</v>
      </c>
    </row>
    <row r="2728" spans="1:8" x14ac:dyDescent="0.25">
      <c r="A2728" t="str">
        <f t="shared" si="170"/>
        <v>Multihop,STnet,80</v>
      </c>
      <c r="B2728" t="s">
        <v>34</v>
      </c>
      <c r="C2728" t="s">
        <v>5</v>
      </c>
      <c r="D2728">
        <v>80</v>
      </c>
      <c r="E2728">
        <v>125.455</v>
      </c>
      <c r="F2728">
        <f t="shared" si="169"/>
        <v>144.5</v>
      </c>
      <c r="G2728">
        <f t="shared" si="171"/>
        <v>13.179930795847753</v>
      </c>
      <c r="H2728">
        <f t="shared" si="172"/>
        <v>15.180742098760513</v>
      </c>
    </row>
    <row r="2729" spans="1:8" x14ac:dyDescent="0.25">
      <c r="A2729" t="str">
        <f t="shared" si="170"/>
        <v>Multihop,STnet,80</v>
      </c>
      <c r="B2729" t="s">
        <v>34</v>
      </c>
      <c r="C2729" t="s">
        <v>5</v>
      </c>
      <c r="D2729">
        <v>80</v>
      </c>
      <c r="E2729">
        <v>140.03899999999999</v>
      </c>
      <c r="F2729">
        <f t="shared" si="169"/>
        <v>144.5</v>
      </c>
      <c r="G2729">
        <f t="shared" si="171"/>
        <v>3.0871972318339189</v>
      </c>
      <c r="H2729">
        <f t="shared" si="172"/>
        <v>3.185541170673893</v>
      </c>
    </row>
    <row r="2730" spans="1:8" x14ac:dyDescent="0.25">
      <c r="A2730" t="str">
        <f t="shared" si="170"/>
        <v>Multihop,STnet,80</v>
      </c>
      <c r="B2730" t="s">
        <v>34</v>
      </c>
      <c r="C2730" t="s">
        <v>5</v>
      </c>
      <c r="D2730">
        <v>80</v>
      </c>
      <c r="E2730">
        <v>125.236</v>
      </c>
      <c r="F2730">
        <f t="shared" si="169"/>
        <v>144.5</v>
      </c>
      <c r="G2730">
        <f t="shared" si="171"/>
        <v>13.331487889273353</v>
      </c>
      <c r="H2730">
        <f t="shared" si="172"/>
        <v>15.382158484780732</v>
      </c>
    </row>
    <row r="2731" spans="1:8" x14ac:dyDescent="0.25">
      <c r="A2731" t="str">
        <f t="shared" si="170"/>
        <v>Multihop,STnet,80</v>
      </c>
      <c r="B2731" t="s">
        <v>34</v>
      </c>
      <c r="C2731" t="s">
        <v>5</v>
      </c>
      <c r="D2731">
        <v>80</v>
      </c>
      <c r="E2731">
        <v>124.52800000000001</v>
      </c>
      <c r="F2731">
        <f t="shared" si="169"/>
        <v>144.5</v>
      </c>
      <c r="G2731">
        <f t="shared" si="171"/>
        <v>13.821453287197228</v>
      </c>
      <c r="H2731">
        <f t="shared" si="172"/>
        <v>16.038160092509308</v>
      </c>
    </row>
    <row r="2732" spans="1:8" x14ac:dyDescent="0.25">
      <c r="A2732" t="str">
        <f t="shared" si="170"/>
        <v>Multihop,STnet,80</v>
      </c>
      <c r="B2732" t="s">
        <v>34</v>
      </c>
      <c r="C2732" t="s">
        <v>5</v>
      </c>
      <c r="D2732">
        <v>80</v>
      </c>
      <c r="E2732">
        <v>142.11199999999999</v>
      </c>
      <c r="F2732">
        <f t="shared" si="169"/>
        <v>144.5</v>
      </c>
      <c r="G2732">
        <f t="shared" si="171"/>
        <v>1.6525951557093461</v>
      </c>
      <c r="H2732">
        <f t="shared" si="172"/>
        <v>1.6803647827066015</v>
      </c>
    </row>
    <row r="2733" spans="1:8" x14ac:dyDescent="0.25">
      <c r="A2733" t="str">
        <f t="shared" si="170"/>
        <v>Multihop,STnet,80</v>
      </c>
      <c r="B2733" t="s">
        <v>34</v>
      </c>
      <c r="C2733" t="s">
        <v>5</v>
      </c>
      <c r="D2733">
        <v>80</v>
      </c>
      <c r="E2733">
        <v>132.23599999999999</v>
      </c>
      <c r="F2733">
        <f t="shared" si="169"/>
        <v>144.5</v>
      </c>
      <c r="G2733">
        <f t="shared" si="171"/>
        <v>8.4871972318339157</v>
      </c>
      <c r="H2733">
        <f t="shared" si="172"/>
        <v>9.2743277171118379</v>
      </c>
    </row>
    <row r="2734" spans="1:8" x14ac:dyDescent="0.25">
      <c r="A2734" t="str">
        <f t="shared" si="170"/>
        <v>Multihop,STnet,80</v>
      </c>
      <c r="B2734" t="s">
        <v>34</v>
      </c>
      <c r="C2734" t="s">
        <v>5</v>
      </c>
      <c r="D2734">
        <v>80</v>
      </c>
      <c r="E2734">
        <v>142.696</v>
      </c>
      <c r="F2734">
        <f t="shared" si="169"/>
        <v>144.5</v>
      </c>
      <c r="G2734">
        <f t="shared" si="171"/>
        <v>1.2484429065743958</v>
      </c>
      <c r="H2734">
        <f t="shared" si="172"/>
        <v>1.2642260469809961</v>
      </c>
    </row>
    <row r="2735" spans="1:8" x14ac:dyDescent="0.25">
      <c r="A2735" t="str">
        <f t="shared" si="170"/>
        <v>Multihop,STnet,80</v>
      </c>
      <c r="B2735" t="s">
        <v>34</v>
      </c>
      <c r="C2735" t="s">
        <v>5</v>
      </c>
      <c r="D2735">
        <v>80</v>
      </c>
      <c r="E2735">
        <v>148.54900000000001</v>
      </c>
      <c r="F2735">
        <f t="shared" si="169"/>
        <v>144.5</v>
      </c>
      <c r="G2735">
        <f t="shared" si="171"/>
        <v>2.8020761245674786</v>
      </c>
      <c r="H2735">
        <f t="shared" si="172"/>
        <v>2.7256999373943995</v>
      </c>
    </row>
    <row r="2736" spans="1:8" x14ac:dyDescent="0.25">
      <c r="A2736" t="str">
        <f t="shared" si="170"/>
        <v>Multihop,STnet,80</v>
      </c>
      <c r="B2736" t="s">
        <v>34</v>
      </c>
      <c r="C2736" t="s">
        <v>5</v>
      </c>
      <c r="D2736">
        <v>80</v>
      </c>
      <c r="E2736">
        <v>138.30600000000001</v>
      </c>
      <c r="F2736">
        <f t="shared" si="169"/>
        <v>144.5</v>
      </c>
      <c r="G2736">
        <f t="shared" si="171"/>
        <v>4.2865051903114102</v>
      </c>
      <c r="H2736">
        <f t="shared" si="172"/>
        <v>4.4784752649921096</v>
      </c>
    </row>
    <row r="2737" spans="1:8" x14ac:dyDescent="0.25">
      <c r="A2737" t="str">
        <f t="shared" si="170"/>
        <v>Multihop,STnet,80</v>
      </c>
      <c r="B2737" t="s">
        <v>34</v>
      </c>
      <c r="C2737" t="s">
        <v>5</v>
      </c>
      <c r="D2737">
        <v>80</v>
      </c>
      <c r="E2737">
        <v>156.44800000000001</v>
      </c>
      <c r="F2737">
        <f t="shared" si="169"/>
        <v>144.5</v>
      </c>
      <c r="G2737">
        <f t="shared" si="171"/>
        <v>8.2685121107266486</v>
      </c>
      <c r="H2737">
        <f t="shared" si="172"/>
        <v>7.6370423399468246</v>
      </c>
    </row>
    <row r="2738" spans="1:8" x14ac:dyDescent="0.25">
      <c r="A2738" t="str">
        <f t="shared" si="170"/>
        <v>Multihop,STnet,80</v>
      </c>
      <c r="B2738" t="s">
        <v>34</v>
      </c>
      <c r="C2738" t="s">
        <v>5</v>
      </c>
      <c r="D2738">
        <v>80</v>
      </c>
      <c r="E2738">
        <v>131.37899999999999</v>
      </c>
      <c r="F2738">
        <f t="shared" si="169"/>
        <v>144.5</v>
      </c>
      <c r="G2738">
        <f t="shared" si="171"/>
        <v>9.080276816609004</v>
      </c>
      <c r="H2738">
        <f t="shared" si="172"/>
        <v>9.9871364525533082</v>
      </c>
    </row>
    <row r="2739" spans="1:8" x14ac:dyDescent="0.25">
      <c r="A2739" t="str">
        <f t="shared" si="170"/>
        <v>Multihop,STnet,80</v>
      </c>
      <c r="B2739" t="s">
        <v>34</v>
      </c>
      <c r="C2739" t="s">
        <v>5</v>
      </c>
      <c r="D2739">
        <v>80</v>
      </c>
      <c r="E2739">
        <v>157.18199999999999</v>
      </c>
      <c r="F2739">
        <f t="shared" si="169"/>
        <v>144.5</v>
      </c>
      <c r="G2739">
        <f t="shared" si="171"/>
        <v>8.776470588235286</v>
      </c>
      <c r="H2739">
        <f t="shared" si="172"/>
        <v>8.0683538827601051</v>
      </c>
    </row>
    <row r="2740" spans="1:8" x14ac:dyDescent="0.25">
      <c r="A2740" t="str">
        <f t="shared" si="170"/>
        <v>Multihop,STnet,80</v>
      </c>
      <c r="B2740" t="s">
        <v>34</v>
      </c>
      <c r="C2740" t="s">
        <v>5</v>
      </c>
      <c r="D2740">
        <v>80</v>
      </c>
      <c r="E2740">
        <v>129.45500000000001</v>
      </c>
      <c r="F2740">
        <f t="shared" si="169"/>
        <v>144.5</v>
      </c>
      <c r="G2740">
        <f t="shared" si="171"/>
        <v>10.411764705882344</v>
      </c>
      <c r="H2740">
        <f t="shared" si="172"/>
        <v>11.621799080761644</v>
      </c>
    </row>
    <row r="2741" spans="1:8" x14ac:dyDescent="0.25">
      <c r="A2741" t="str">
        <f t="shared" si="170"/>
        <v>Multihop,STnet,80</v>
      </c>
      <c r="B2741" t="s">
        <v>34</v>
      </c>
      <c r="C2741" t="s">
        <v>5</v>
      </c>
      <c r="D2741">
        <v>80</v>
      </c>
      <c r="E2741">
        <v>131.185</v>
      </c>
      <c r="F2741">
        <f t="shared" si="169"/>
        <v>144.5</v>
      </c>
      <c r="G2741">
        <f t="shared" si="171"/>
        <v>9.2145328719723167</v>
      </c>
      <c r="H2741">
        <f t="shared" si="172"/>
        <v>10.149788466669206</v>
      </c>
    </row>
    <row r="2742" spans="1:8" x14ac:dyDescent="0.25">
      <c r="A2742" t="str">
        <f t="shared" si="170"/>
        <v>Multihop,STnet,80</v>
      </c>
      <c r="B2742" t="s">
        <v>34</v>
      </c>
      <c r="C2742" t="s">
        <v>5</v>
      </c>
      <c r="D2742">
        <v>80</v>
      </c>
      <c r="E2742">
        <v>132.45500000000001</v>
      </c>
      <c r="F2742">
        <f t="shared" si="169"/>
        <v>144.5</v>
      </c>
      <c r="G2742">
        <f t="shared" si="171"/>
        <v>8.3356401384082961</v>
      </c>
      <c r="H2742">
        <f t="shared" si="172"/>
        <v>9.0936544486806739</v>
      </c>
    </row>
    <row r="2743" spans="1:8" x14ac:dyDescent="0.25">
      <c r="A2743" t="str">
        <f t="shared" si="170"/>
        <v>Multihop,STnet,80</v>
      </c>
      <c r="B2743" t="s">
        <v>34</v>
      </c>
      <c r="C2743" t="s">
        <v>5</v>
      </c>
      <c r="D2743">
        <v>80</v>
      </c>
      <c r="E2743">
        <v>128.309</v>
      </c>
      <c r="F2743">
        <f t="shared" si="169"/>
        <v>144.5</v>
      </c>
      <c r="G2743">
        <f t="shared" si="171"/>
        <v>11.204844290657441</v>
      </c>
      <c r="H2743">
        <f t="shared" si="172"/>
        <v>12.618756283658982</v>
      </c>
    </row>
    <row r="2744" spans="1:8" x14ac:dyDescent="0.25">
      <c r="A2744" t="str">
        <f t="shared" si="170"/>
        <v>Multihop,STnet,80</v>
      </c>
      <c r="B2744" t="s">
        <v>34</v>
      </c>
      <c r="C2744" t="s">
        <v>5</v>
      </c>
      <c r="D2744">
        <v>80</v>
      </c>
      <c r="E2744">
        <v>135.893</v>
      </c>
      <c r="F2744">
        <f t="shared" si="169"/>
        <v>144.5</v>
      </c>
      <c r="G2744">
        <f t="shared" si="171"/>
        <v>5.956401384083045</v>
      </c>
      <c r="H2744">
        <f t="shared" si="172"/>
        <v>6.3336595703972973</v>
      </c>
    </row>
    <row r="2745" spans="1:8" x14ac:dyDescent="0.25">
      <c r="A2745" t="str">
        <f t="shared" si="170"/>
        <v>Multihop,STnet,80</v>
      </c>
      <c r="B2745" t="s">
        <v>34</v>
      </c>
      <c r="C2745" t="s">
        <v>5</v>
      </c>
      <c r="D2745">
        <v>80</v>
      </c>
      <c r="E2745">
        <v>146.33099999999999</v>
      </c>
      <c r="F2745">
        <f t="shared" si="169"/>
        <v>144.5</v>
      </c>
      <c r="G2745">
        <f t="shared" si="171"/>
        <v>1.2671280276816532</v>
      </c>
      <c r="H2745">
        <f t="shared" si="172"/>
        <v>1.2512727993384785</v>
      </c>
    </row>
    <row r="2746" spans="1:8" x14ac:dyDescent="0.25">
      <c r="A2746" t="str">
        <f t="shared" si="170"/>
        <v>Multihop,STnet,80</v>
      </c>
      <c r="B2746" t="s">
        <v>34</v>
      </c>
      <c r="C2746" t="s">
        <v>5</v>
      </c>
      <c r="D2746">
        <v>80</v>
      </c>
      <c r="E2746">
        <v>137.74700000000001</v>
      </c>
      <c r="F2746">
        <f t="shared" si="169"/>
        <v>144.5</v>
      </c>
      <c r="G2746">
        <f t="shared" si="171"/>
        <v>4.6733564013840736</v>
      </c>
      <c r="H2746">
        <f t="shared" si="172"/>
        <v>4.9024661154144811</v>
      </c>
    </row>
    <row r="2747" spans="1:8" x14ac:dyDescent="0.25">
      <c r="A2747" t="str">
        <f t="shared" si="170"/>
        <v>Multihop,STnet,80</v>
      </c>
      <c r="B2747" t="s">
        <v>34</v>
      </c>
      <c r="C2747" t="s">
        <v>5</v>
      </c>
      <c r="D2747">
        <v>80</v>
      </c>
      <c r="E2747">
        <v>162.42500000000001</v>
      </c>
      <c r="F2747">
        <f t="shared" si="169"/>
        <v>144.5</v>
      </c>
      <c r="G2747">
        <f t="shared" si="171"/>
        <v>12.404844290657447</v>
      </c>
      <c r="H2747">
        <f t="shared" si="172"/>
        <v>11.03586270586425</v>
      </c>
    </row>
    <row r="2748" spans="1:8" x14ac:dyDescent="0.25">
      <c r="A2748" t="str">
        <f t="shared" si="170"/>
        <v>Multihop,STnet,80</v>
      </c>
      <c r="B2748" t="s">
        <v>34</v>
      </c>
      <c r="C2748" t="s">
        <v>5</v>
      </c>
      <c r="D2748">
        <v>80</v>
      </c>
      <c r="E2748">
        <v>142.11199999999999</v>
      </c>
      <c r="F2748">
        <f t="shared" si="169"/>
        <v>144.5</v>
      </c>
      <c r="G2748">
        <f t="shared" si="171"/>
        <v>1.6525951557093461</v>
      </c>
      <c r="H2748">
        <f t="shared" si="172"/>
        <v>1.6803647827066015</v>
      </c>
    </row>
    <row r="2749" spans="1:8" x14ac:dyDescent="0.25">
      <c r="A2749" t="str">
        <f t="shared" si="170"/>
        <v>Multihop,STnet,80</v>
      </c>
      <c r="B2749" t="s">
        <v>34</v>
      </c>
      <c r="C2749" t="s">
        <v>5</v>
      </c>
      <c r="D2749">
        <v>80</v>
      </c>
      <c r="E2749">
        <v>142.30600000000001</v>
      </c>
      <c r="F2749">
        <f t="shared" si="169"/>
        <v>144.5</v>
      </c>
      <c r="G2749">
        <f t="shared" si="171"/>
        <v>1.5183391003460127</v>
      </c>
      <c r="H2749">
        <f t="shared" si="172"/>
        <v>1.5417480640310235</v>
      </c>
    </row>
    <row r="2750" spans="1:8" x14ac:dyDescent="0.25">
      <c r="A2750" t="str">
        <f t="shared" si="170"/>
        <v>Multihop,STnet,80</v>
      </c>
      <c r="B2750" t="s">
        <v>34</v>
      </c>
      <c r="C2750" t="s">
        <v>5</v>
      </c>
      <c r="D2750">
        <v>80</v>
      </c>
      <c r="E2750">
        <v>133.74700000000001</v>
      </c>
      <c r="F2750">
        <f t="shared" si="169"/>
        <v>144.5</v>
      </c>
      <c r="G2750">
        <f t="shared" si="171"/>
        <v>7.4415224913494713</v>
      </c>
      <c r="H2750">
        <f t="shared" si="172"/>
        <v>8.0398065003327073</v>
      </c>
    </row>
    <row r="2751" spans="1:8" x14ac:dyDescent="0.25">
      <c r="A2751" t="str">
        <f t="shared" si="170"/>
        <v>Multihop,STnet,80</v>
      </c>
      <c r="B2751" t="s">
        <v>34</v>
      </c>
      <c r="C2751" t="s">
        <v>5</v>
      </c>
      <c r="D2751">
        <v>80</v>
      </c>
      <c r="E2751">
        <v>144.81700000000001</v>
      </c>
      <c r="F2751">
        <f t="shared" si="169"/>
        <v>144.5</v>
      </c>
      <c r="G2751">
        <f t="shared" si="171"/>
        <v>0.21937716262976281</v>
      </c>
      <c r="H2751">
        <f t="shared" si="172"/>
        <v>0.21889695270583373</v>
      </c>
    </row>
    <row r="2752" spans="1:8" x14ac:dyDescent="0.25">
      <c r="A2752" t="str">
        <f t="shared" si="170"/>
        <v>Multihop,STnet,80</v>
      </c>
      <c r="B2752" t="s">
        <v>34</v>
      </c>
      <c r="C2752" t="s">
        <v>5</v>
      </c>
      <c r="D2752">
        <v>80</v>
      </c>
      <c r="E2752">
        <v>149.62299999999999</v>
      </c>
      <c r="F2752">
        <f t="shared" si="169"/>
        <v>144.5</v>
      </c>
      <c r="G2752">
        <f t="shared" si="171"/>
        <v>3.5453287197231766</v>
      </c>
      <c r="H2752">
        <f t="shared" si="172"/>
        <v>3.4239388329334335</v>
      </c>
    </row>
    <row r="2753" spans="1:8" x14ac:dyDescent="0.25">
      <c r="A2753" t="str">
        <f t="shared" si="170"/>
        <v>Multihop,STnet,80</v>
      </c>
      <c r="B2753" t="s">
        <v>34</v>
      </c>
      <c r="C2753" t="s">
        <v>5</v>
      </c>
      <c r="D2753">
        <v>80</v>
      </c>
      <c r="E2753">
        <v>138.696</v>
      </c>
      <c r="F2753">
        <f t="shared" si="169"/>
        <v>144.5</v>
      </c>
      <c r="G2753">
        <f t="shared" si="171"/>
        <v>4.0166089965397935</v>
      </c>
      <c r="H2753">
        <f t="shared" si="172"/>
        <v>4.1846916998327295</v>
      </c>
    </row>
    <row r="2754" spans="1:8" x14ac:dyDescent="0.25">
      <c r="A2754" t="str">
        <f t="shared" si="170"/>
        <v>Multihop,STnet,80</v>
      </c>
      <c r="B2754" t="s">
        <v>34</v>
      </c>
      <c r="C2754" t="s">
        <v>5</v>
      </c>
      <c r="D2754">
        <v>80</v>
      </c>
      <c r="E2754">
        <v>129.74700000000001</v>
      </c>
      <c r="F2754">
        <f t="shared" si="169"/>
        <v>144.5</v>
      </c>
      <c r="G2754">
        <f t="shared" si="171"/>
        <v>10.209688581314868</v>
      </c>
      <c r="H2754">
        <f t="shared" si="172"/>
        <v>11.37059045681209</v>
      </c>
    </row>
    <row r="2755" spans="1:8" x14ac:dyDescent="0.25">
      <c r="A2755" t="str">
        <f t="shared" si="170"/>
        <v>Multihop,STnet,80</v>
      </c>
      <c r="B2755" t="s">
        <v>34</v>
      </c>
      <c r="C2755" t="s">
        <v>5</v>
      </c>
      <c r="D2755">
        <v>80</v>
      </c>
      <c r="E2755">
        <v>126.014</v>
      </c>
      <c r="F2755">
        <f t="shared" ref="F2755:F2818" si="173">_xlfn.XLOOKUP(A2755,$J$3:$J$36,$N$3:$N$36)</f>
        <v>144.5</v>
      </c>
      <c r="G2755">
        <f t="shared" si="171"/>
        <v>12.793079584775088</v>
      </c>
      <c r="H2755">
        <f t="shared" si="172"/>
        <v>14.669798593807041</v>
      </c>
    </row>
    <row r="2756" spans="1:8" x14ac:dyDescent="0.25">
      <c r="A2756" t="str">
        <f t="shared" ref="A2756:A2819" si="174">B2756&amp;","&amp;C2756&amp;","&amp;D2756</f>
        <v>Multihop,STnet,80</v>
      </c>
      <c r="B2756" t="s">
        <v>34</v>
      </c>
      <c r="C2756" t="s">
        <v>5</v>
      </c>
      <c r="D2756">
        <v>80</v>
      </c>
      <c r="E2756">
        <v>134.74700000000001</v>
      </c>
      <c r="F2756">
        <f t="shared" si="173"/>
        <v>144.5</v>
      </c>
      <c r="G2756">
        <f t="shared" ref="G2756:G2819" si="175">ABS((E2756-F2756)/F2756)*100</f>
        <v>6.7494809688581219</v>
      </c>
      <c r="H2756">
        <f t="shared" ref="H2756:H2819" si="176">ABS((F2756-E2756)/E2756)*100</f>
        <v>7.2380090094770093</v>
      </c>
    </row>
    <row r="2757" spans="1:8" x14ac:dyDescent="0.25">
      <c r="A2757" t="str">
        <f t="shared" si="174"/>
        <v>Multihop,STnet,80</v>
      </c>
      <c r="B2757" t="s">
        <v>34</v>
      </c>
      <c r="C2757" t="s">
        <v>5</v>
      </c>
      <c r="D2757">
        <v>80</v>
      </c>
      <c r="E2757">
        <v>132.82</v>
      </c>
      <c r="F2757">
        <f t="shared" si="173"/>
        <v>144.5</v>
      </c>
      <c r="G2757">
        <f t="shared" si="175"/>
        <v>8.0830449826989668</v>
      </c>
      <c r="H2757">
        <f t="shared" si="176"/>
        <v>8.7938563469357085</v>
      </c>
    </row>
    <row r="2758" spans="1:8" x14ac:dyDescent="0.25">
      <c r="A2758" t="str">
        <f t="shared" si="174"/>
        <v>Multihop,STnet,80</v>
      </c>
      <c r="B2758" t="s">
        <v>34</v>
      </c>
      <c r="C2758" t="s">
        <v>5</v>
      </c>
      <c r="D2758">
        <v>80</v>
      </c>
      <c r="E2758">
        <v>122.017</v>
      </c>
      <c r="F2758">
        <f t="shared" si="173"/>
        <v>144.5</v>
      </c>
      <c r="G2758">
        <f t="shared" si="175"/>
        <v>15.559169550173014</v>
      </c>
      <c r="H2758">
        <f t="shared" si="176"/>
        <v>18.426120950359383</v>
      </c>
    </row>
    <row r="2759" spans="1:8" x14ac:dyDescent="0.25">
      <c r="A2759" t="str">
        <f t="shared" si="174"/>
        <v>Multihop,STnet,80</v>
      </c>
      <c r="B2759" t="s">
        <v>34</v>
      </c>
      <c r="C2759" t="s">
        <v>5</v>
      </c>
      <c r="D2759">
        <v>80</v>
      </c>
      <c r="E2759">
        <v>131.59800000000001</v>
      </c>
      <c r="F2759">
        <f t="shared" si="173"/>
        <v>144.5</v>
      </c>
      <c r="G2759">
        <f t="shared" si="175"/>
        <v>8.9287197231833808</v>
      </c>
      <c r="H2759">
        <f t="shared" si="176"/>
        <v>9.8041003662669528</v>
      </c>
    </row>
    <row r="2760" spans="1:8" x14ac:dyDescent="0.25">
      <c r="A2760" t="str">
        <f t="shared" si="174"/>
        <v>Multihop,STnet,80</v>
      </c>
      <c r="B2760" t="s">
        <v>34</v>
      </c>
      <c r="C2760" t="s">
        <v>5</v>
      </c>
      <c r="D2760">
        <v>80</v>
      </c>
      <c r="E2760">
        <v>118.747</v>
      </c>
      <c r="F2760">
        <f t="shared" si="173"/>
        <v>144.5</v>
      </c>
      <c r="G2760">
        <f t="shared" si="175"/>
        <v>17.822145328719724</v>
      </c>
      <c r="H2760">
        <f t="shared" si="176"/>
        <v>21.687284731403743</v>
      </c>
    </row>
    <row r="2761" spans="1:8" x14ac:dyDescent="0.25">
      <c r="A2761" t="str">
        <f t="shared" si="174"/>
        <v>Multihop,STnet,80</v>
      </c>
      <c r="B2761" t="s">
        <v>34</v>
      </c>
      <c r="C2761" t="s">
        <v>5</v>
      </c>
      <c r="D2761">
        <v>80</v>
      </c>
      <c r="E2761">
        <v>146.55000000000001</v>
      </c>
      <c r="F2761">
        <f t="shared" si="173"/>
        <v>144.5</v>
      </c>
      <c r="G2761">
        <f t="shared" si="175"/>
        <v>1.4186851211072744</v>
      </c>
      <c r="H2761">
        <f t="shared" si="176"/>
        <v>1.3988399863527883</v>
      </c>
    </row>
    <row r="2762" spans="1:8" x14ac:dyDescent="0.25">
      <c r="A2762" t="str">
        <f t="shared" si="174"/>
        <v>Multihop,STnet,80</v>
      </c>
      <c r="B2762" t="s">
        <v>34</v>
      </c>
      <c r="C2762" t="s">
        <v>5</v>
      </c>
      <c r="D2762">
        <v>80</v>
      </c>
      <c r="E2762">
        <v>136.185</v>
      </c>
      <c r="F2762">
        <f t="shared" si="173"/>
        <v>144.5</v>
      </c>
      <c r="G2762">
        <f t="shared" si="175"/>
        <v>5.7543252595155696</v>
      </c>
      <c r="H2762">
        <f t="shared" si="176"/>
        <v>6.1056650879318557</v>
      </c>
    </row>
    <row r="2763" spans="1:8" x14ac:dyDescent="0.25">
      <c r="A2763" t="str">
        <f t="shared" si="174"/>
        <v>Multihop,STnet,80</v>
      </c>
      <c r="B2763" t="s">
        <v>34</v>
      </c>
      <c r="C2763" t="s">
        <v>5</v>
      </c>
      <c r="D2763">
        <v>80</v>
      </c>
      <c r="E2763">
        <v>135.67400000000001</v>
      </c>
      <c r="F2763">
        <f t="shared" si="173"/>
        <v>144.5</v>
      </c>
      <c r="G2763">
        <f t="shared" si="175"/>
        <v>6.107958477508646</v>
      </c>
      <c r="H2763">
        <f t="shared" si="176"/>
        <v>6.5052994678420282</v>
      </c>
    </row>
    <row r="2764" spans="1:8" x14ac:dyDescent="0.25">
      <c r="A2764" t="str">
        <f t="shared" si="174"/>
        <v>Multihop,STnet,80</v>
      </c>
      <c r="B2764" t="s">
        <v>34</v>
      </c>
      <c r="C2764" t="s">
        <v>5</v>
      </c>
      <c r="D2764">
        <v>80</v>
      </c>
      <c r="E2764">
        <v>138.03899999999999</v>
      </c>
      <c r="F2764">
        <f t="shared" si="173"/>
        <v>144.5</v>
      </c>
      <c r="G2764">
        <f t="shared" si="175"/>
        <v>4.4712802768166178</v>
      </c>
      <c r="H2764">
        <f t="shared" si="176"/>
        <v>4.6805612906497531</v>
      </c>
    </row>
    <row r="2765" spans="1:8" x14ac:dyDescent="0.25">
      <c r="A2765" t="str">
        <f t="shared" si="174"/>
        <v>Multihop,STnet,80</v>
      </c>
      <c r="B2765" t="s">
        <v>34</v>
      </c>
      <c r="C2765" t="s">
        <v>5</v>
      </c>
      <c r="D2765">
        <v>80</v>
      </c>
      <c r="E2765">
        <v>134.03899999999999</v>
      </c>
      <c r="F2765">
        <f t="shared" si="173"/>
        <v>144.5</v>
      </c>
      <c r="G2765">
        <f t="shared" si="175"/>
        <v>7.2394463667820155</v>
      </c>
      <c r="H2765">
        <f t="shared" si="176"/>
        <v>7.8044449749699822</v>
      </c>
    </row>
    <row r="2766" spans="1:8" x14ac:dyDescent="0.25">
      <c r="A2766" t="str">
        <f t="shared" si="174"/>
        <v>Multihop,STnet,80</v>
      </c>
      <c r="B2766" t="s">
        <v>34</v>
      </c>
      <c r="C2766" t="s">
        <v>5</v>
      </c>
      <c r="D2766">
        <v>80</v>
      </c>
      <c r="E2766">
        <v>136.233</v>
      </c>
      <c r="F2766">
        <f t="shared" si="173"/>
        <v>144.5</v>
      </c>
      <c r="G2766">
        <f t="shared" si="175"/>
        <v>5.7211072664359834</v>
      </c>
      <c r="H2766">
        <f t="shared" si="176"/>
        <v>6.0682800789823288</v>
      </c>
    </row>
    <row r="2767" spans="1:8" x14ac:dyDescent="0.25">
      <c r="A2767" t="str">
        <f t="shared" si="174"/>
        <v>Multihop,STnet,80</v>
      </c>
      <c r="B2767" t="s">
        <v>34</v>
      </c>
      <c r="C2767" t="s">
        <v>5</v>
      </c>
      <c r="D2767">
        <v>80</v>
      </c>
      <c r="E2767">
        <v>142.54900000000001</v>
      </c>
      <c r="F2767">
        <f t="shared" si="173"/>
        <v>144.5</v>
      </c>
      <c r="G2767">
        <f t="shared" si="175"/>
        <v>1.3501730103806182</v>
      </c>
      <c r="H2767">
        <f t="shared" si="176"/>
        <v>1.3686521827582048</v>
      </c>
    </row>
    <row r="2768" spans="1:8" x14ac:dyDescent="0.25">
      <c r="A2768" t="str">
        <f t="shared" si="174"/>
        <v>Multihop,STnet,80</v>
      </c>
      <c r="B2768" t="s">
        <v>34</v>
      </c>
      <c r="C2768" t="s">
        <v>5</v>
      </c>
      <c r="D2768">
        <v>80</v>
      </c>
      <c r="E2768">
        <v>141.52500000000001</v>
      </c>
      <c r="F2768">
        <f t="shared" si="173"/>
        <v>144.5</v>
      </c>
      <c r="G2768">
        <f t="shared" si="175"/>
        <v>2.0588235294117609</v>
      </c>
      <c r="H2768">
        <f t="shared" si="176"/>
        <v>2.1021021021020982</v>
      </c>
    </row>
    <row r="2769" spans="1:8" x14ac:dyDescent="0.25">
      <c r="A2769" t="str">
        <f t="shared" si="174"/>
        <v>Multihop,STnet,80</v>
      </c>
      <c r="B2769" t="s">
        <v>34</v>
      </c>
      <c r="C2769" t="s">
        <v>5</v>
      </c>
      <c r="D2769">
        <v>80</v>
      </c>
      <c r="E2769">
        <v>144.93799999999999</v>
      </c>
      <c r="F2769">
        <f t="shared" si="173"/>
        <v>144.5</v>
      </c>
      <c r="G2769">
        <f t="shared" si="175"/>
        <v>0.30311418685120289</v>
      </c>
      <c r="H2769">
        <f t="shared" si="176"/>
        <v>0.30219818129130266</v>
      </c>
    </row>
    <row r="2770" spans="1:8" x14ac:dyDescent="0.25">
      <c r="A2770" t="str">
        <f t="shared" si="174"/>
        <v>Multihop,STnet,80</v>
      </c>
      <c r="B2770" t="s">
        <v>34</v>
      </c>
      <c r="C2770" t="s">
        <v>5</v>
      </c>
      <c r="D2770">
        <v>80</v>
      </c>
      <c r="E2770">
        <v>145.01400000000001</v>
      </c>
      <c r="F2770">
        <f t="shared" si="173"/>
        <v>144.5</v>
      </c>
      <c r="G2770">
        <f t="shared" si="175"/>
        <v>0.35570934256056058</v>
      </c>
      <c r="H2770">
        <f t="shared" si="176"/>
        <v>0.35444853600342724</v>
      </c>
    </row>
    <row r="2771" spans="1:8" x14ac:dyDescent="0.25">
      <c r="A2771" t="str">
        <f t="shared" si="174"/>
        <v>Multihop,STnet,80</v>
      </c>
      <c r="B2771" t="s">
        <v>34</v>
      </c>
      <c r="C2771" t="s">
        <v>5</v>
      </c>
      <c r="D2771">
        <v>80</v>
      </c>
      <c r="E2771">
        <v>169.595</v>
      </c>
      <c r="F2771">
        <f t="shared" si="173"/>
        <v>144.5</v>
      </c>
      <c r="G2771">
        <f t="shared" si="175"/>
        <v>17.366782006920413</v>
      </c>
      <c r="H2771">
        <f t="shared" si="176"/>
        <v>14.797016421474691</v>
      </c>
    </row>
    <row r="2772" spans="1:8" x14ac:dyDescent="0.25">
      <c r="A2772" t="str">
        <f t="shared" si="174"/>
        <v>Multihop,STnet,80</v>
      </c>
      <c r="B2772" t="s">
        <v>34</v>
      </c>
      <c r="C2772" t="s">
        <v>5</v>
      </c>
      <c r="D2772">
        <v>80</v>
      </c>
      <c r="E2772">
        <v>143.25800000000001</v>
      </c>
      <c r="F2772">
        <f t="shared" si="173"/>
        <v>144.5</v>
      </c>
      <c r="G2772">
        <f t="shared" si="175"/>
        <v>0.85951557093424924</v>
      </c>
      <c r="H2772">
        <f t="shared" si="176"/>
        <v>0.86696728978485682</v>
      </c>
    </row>
    <row r="2773" spans="1:8" x14ac:dyDescent="0.25">
      <c r="A2773" t="str">
        <f t="shared" si="174"/>
        <v>Multihop,STnet,80</v>
      </c>
      <c r="B2773" t="s">
        <v>34</v>
      </c>
      <c r="C2773" t="s">
        <v>5</v>
      </c>
      <c r="D2773">
        <v>80</v>
      </c>
      <c r="E2773">
        <v>152.81700000000001</v>
      </c>
      <c r="F2773">
        <f t="shared" si="173"/>
        <v>144.5</v>
      </c>
      <c r="G2773">
        <f t="shared" si="175"/>
        <v>5.755709342560559</v>
      </c>
      <c r="H2773">
        <f t="shared" si="176"/>
        <v>5.4424573182303062</v>
      </c>
    </row>
    <row r="2774" spans="1:8" x14ac:dyDescent="0.25">
      <c r="A2774" t="str">
        <f t="shared" si="174"/>
        <v>Multihop,STnet,80</v>
      </c>
      <c r="B2774" t="s">
        <v>34</v>
      </c>
      <c r="C2774" t="s">
        <v>5</v>
      </c>
      <c r="D2774">
        <v>80</v>
      </c>
      <c r="E2774">
        <v>134.893</v>
      </c>
      <c r="F2774">
        <f t="shared" si="173"/>
        <v>144.5</v>
      </c>
      <c r="G2774">
        <f t="shared" si="175"/>
        <v>6.6484429065743935</v>
      </c>
      <c r="H2774">
        <f t="shared" si="176"/>
        <v>7.1219410940523229</v>
      </c>
    </row>
    <row r="2775" spans="1:8" x14ac:dyDescent="0.25">
      <c r="A2775" t="str">
        <f t="shared" si="174"/>
        <v>Multihop,STnet,80</v>
      </c>
      <c r="B2775" t="s">
        <v>34</v>
      </c>
      <c r="C2775" t="s">
        <v>5</v>
      </c>
      <c r="D2775">
        <v>80</v>
      </c>
      <c r="E2775">
        <v>142.33099999999999</v>
      </c>
      <c r="F2775">
        <f t="shared" si="173"/>
        <v>144.5</v>
      </c>
      <c r="G2775">
        <f t="shared" si="175"/>
        <v>1.5010380622837447</v>
      </c>
      <c r="H2775">
        <f t="shared" si="176"/>
        <v>1.5239125699953007</v>
      </c>
    </row>
    <row r="2776" spans="1:8" x14ac:dyDescent="0.25">
      <c r="A2776" t="str">
        <f t="shared" si="174"/>
        <v>Multihop,STnet,80</v>
      </c>
      <c r="B2776" t="s">
        <v>34</v>
      </c>
      <c r="C2776" t="s">
        <v>5</v>
      </c>
      <c r="D2776">
        <v>80</v>
      </c>
      <c r="E2776">
        <v>146.696</v>
      </c>
      <c r="F2776">
        <f t="shared" si="173"/>
        <v>144.5</v>
      </c>
      <c r="G2776">
        <f t="shared" si="175"/>
        <v>1.5197231833910021</v>
      </c>
      <c r="H2776">
        <f t="shared" si="176"/>
        <v>1.4969733326062047</v>
      </c>
    </row>
    <row r="2777" spans="1:8" x14ac:dyDescent="0.25">
      <c r="A2777" t="str">
        <f t="shared" si="174"/>
        <v>Multihop,STnet,80</v>
      </c>
      <c r="B2777" t="s">
        <v>34</v>
      </c>
      <c r="C2777" t="s">
        <v>5</v>
      </c>
      <c r="D2777">
        <v>80</v>
      </c>
      <c r="E2777">
        <v>142.452</v>
      </c>
      <c r="F2777">
        <f t="shared" si="173"/>
        <v>144.5</v>
      </c>
      <c r="G2777">
        <f t="shared" si="175"/>
        <v>1.417301038062285</v>
      </c>
      <c r="H2777">
        <f t="shared" si="176"/>
        <v>1.4376772526886261</v>
      </c>
    </row>
    <row r="2778" spans="1:8" x14ac:dyDescent="0.25">
      <c r="A2778" t="str">
        <f t="shared" si="174"/>
        <v>Multihop,STnet,80</v>
      </c>
      <c r="B2778" t="s">
        <v>34</v>
      </c>
      <c r="C2778" t="s">
        <v>5</v>
      </c>
      <c r="D2778">
        <v>80</v>
      </c>
      <c r="E2778">
        <v>146.91399999999999</v>
      </c>
      <c r="F2778">
        <f t="shared" si="173"/>
        <v>144.5</v>
      </c>
      <c r="G2778">
        <f t="shared" si="175"/>
        <v>1.6705882352941088</v>
      </c>
      <c r="H2778">
        <f t="shared" si="176"/>
        <v>1.6431381624623844</v>
      </c>
    </row>
    <row r="2779" spans="1:8" x14ac:dyDescent="0.25">
      <c r="A2779" t="str">
        <f t="shared" si="174"/>
        <v>Multihop,STnet,80</v>
      </c>
      <c r="B2779" t="s">
        <v>34</v>
      </c>
      <c r="C2779" t="s">
        <v>5</v>
      </c>
      <c r="D2779">
        <v>80</v>
      </c>
      <c r="E2779">
        <v>135.893</v>
      </c>
      <c r="F2779">
        <f t="shared" si="173"/>
        <v>144.5</v>
      </c>
      <c r="G2779">
        <f t="shared" si="175"/>
        <v>5.956401384083045</v>
      </c>
      <c r="H2779">
        <f t="shared" si="176"/>
        <v>6.3336595703972973</v>
      </c>
    </row>
    <row r="2780" spans="1:8" x14ac:dyDescent="0.25">
      <c r="A2780" t="str">
        <f t="shared" si="174"/>
        <v>Multihop,STnet,80</v>
      </c>
      <c r="B2780" t="s">
        <v>34</v>
      </c>
      <c r="C2780" t="s">
        <v>5</v>
      </c>
      <c r="D2780">
        <v>80</v>
      </c>
      <c r="E2780">
        <v>118.944</v>
      </c>
      <c r="F2780">
        <f t="shared" si="173"/>
        <v>144.5</v>
      </c>
      <c r="G2780">
        <f t="shared" si="175"/>
        <v>17.685813148788927</v>
      </c>
      <c r="H2780">
        <f t="shared" si="176"/>
        <v>21.485741189131016</v>
      </c>
    </row>
    <row r="2781" spans="1:8" x14ac:dyDescent="0.25">
      <c r="A2781" t="str">
        <f t="shared" si="174"/>
        <v>Multihop,STnet,80</v>
      </c>
      <c r="B2781" t="s">
        <v>34</v>
      </c>
      <c r="C2781" t="s">
        <v>5</v>
      </c>
      <c r="D2781">
        <v>80</v>
      </c>
      <c r="E2781">
        <v>133.40299999999999</v>
      </c>
      <c r="F2781">
        <f t="shared" si="173"/>
        <v>144.5</v>
      </c>
      <c r="G2781">
        <f t="shared" si="175"/>
        <v>7.6795847750865107</v>
      </c>
      <c r="H2781">
        <f t="shared" si="176"/>
        <v>8.3184036341011893</v>
      </c>
    </row>
    <row r="2782" spans="1:8" x14ac:dyDescent="0.25">
      <c r="A2782" t="str">
        <f t="shared" si="174"/>
        <v>Multihop,STnet,80</v>
      </c>
      <c r="B2782" t="s">
        <v>34</v>
      </c>
      <c r="C2782" t="s">
        <v>5</v>
      </c>
      <c r="D2782">
        <v>80</v>
      </c>
      <c r="E2782">
        <v>137.67400000000001</v>
      </c>
      <c r="F2782">
        <f t="shared" si="173"/>
        <v>144.5</v>
      </c>
      <c r="G2782">
        <f t="shared" si="175"/>
        <v>4.7238754325259471</v>
      </c>
      <c r="H2782">
        <f t="shared" si="176"/>
        <v>4.9580893995961421</v>
      </c>
    </row>
    <row r="2783" spans="1:8" x14ac:dyDescent="0.25">
      <c r="A2783" t="str">
        <f t="shared" si="174"/>
        <v>Multihop,STnet,80</v>
      </c>
      <c r="B2783" t="s">
        <v>34</v>
      </c>
      <c r="C2783" t="s">
        <v>5</v>
      </c>
      <c r="D2783">
        <v>80</v>
      </c>
      <c r="E2783">
        <v>152.98699999999999</v>
      </c>
      <c r="F2783">
        <f t="shared" si="173"/>
        <v>144.5</v>
      </c>
      <c r="G2783">
        <f t="shared" si="175"/>
        <v>5.8733564013840791</v>
      </c>
      <c r="H2783">
        <f t="shared" si="176"/>
        <v>5.5475301823030687</v>
      </c>
    </row>
    <row r="2784" spans="1:8" x14ac:dyDescent="0.25">
      <c r="A2784" t="str">
        <f t="shared" si="174"/>
        <v>Multihop,STnet,80</v>
      </c>
      <c r="B2784" t="s">
        <v>34</v>
      </c>
      <c r="C2784" t="s">
        <v>5</v>
      </c>
      <c r="D2784">
        <v>80</v>
      </c>
      <c r="E2784">
        <v>137.71899999999999</v>
      </c>
      <c r="F2784">
        <f t="shared" si="173"/>
        <v>144.5</v>
      </c>
      <c r="G2784">
        <f t="shared" si="175"/>
        <v>4.692733564013845</v>
      </c>
      <c r="H2784">
        <f t="shared" si="176"/>
        <v>4.9237941024840488</v>
      </c>
    </row>
    <row r="2785" spans="1:8" x14ac:dyDescent="0.25">
      <c r="A2785" t="str">
        <f t="shared" si="174"/>
        <v>Multihop,STnet,80</v>
      </c>
      <c r="B2785" t="s">
        <v>34</v>
      </c>
      <c r="C2785" t="s">
        <v>5</v>
      </c>
      <c r="D2785">
        <v>80</v>
      </c>
      <c r="E2785">
        <v>136.25800000000001</v>
      </c>
      <c r="F2785">
        <f t="shared" si="173"/>
        <v>144.5</v>
      </c>
      <c r="G2785">
        <f t="shared" si="175"/>
        <v>5.7038062283736961</v>
      </c>
      <c r="H2785">
        <f t="shared" si="176"/>
        <v>6.0488191519029995</v>
      </c>
    </row>
    <row r="2786" spans="1:8" x14ac:dyDescent="0.25">
      <c r="A2786" t="str">
        <f t="shared" si="174"/>
        <v>Multihop,STnet,80</v>
      </c>
      <c r="B2786" t="s">
        <v>34</v>
      </c>
      <c r="C2786" t="s">
        <v>5</v>
      </c>
      <c r="D2786">
        <v>80</v>
      </c>
      <c r="E2786">
        <v>128.03800000000001</v>
      </c>
      <c r="F2786">
        <f t="shared" si="173"/>
        <v>144.5</v>
      </c>
      <c r="G2786">
        <f t="shared" si="175"/>
        <v>11.392387543252587</v>
      </c>
      <c r="H2786">
        <f t="shared" si="176"/>
        <v>12.857120542338984</v>
      </c>
    </row>
    <row r="2787" spans="1:8" x14ac:dyDescent="0.25">
      <c r="A2787" t="str">
        <f t="shared" si="174"/>
        <v>Multihop,STnet,80</v>
      </c>
      <c r="B2787" t="s">
        <v>34</v>
      </c>
      <c r="C2787" t="s">
        <v>5</v>
      </c>
      <c r="D2787">
        <v>80</v>
      </c>
      <c r="E2787">
        <v>128.893</v>
      </c>
      <c r="F2787">
        <f t="shared" si="173"/>
        <v>144.5</v>
      </c>
      <c r="G2787">
        <f t="shared" si="175"/>
        <v>10.80069204152249</v>
      </c>
      <c r="H2787">
        <f t="shared" si="176"/>
        <v>12.108493091168643</v>
      </c>
    </row>
    <row r="2788" spans="1:8" x14ac:dyDescent="0.25">
      <c r="A2788" t="str">
        <f t="shared" si="174"/>
        <v>Multihop,STnet,80</v>
      </c>
      <c r="B2788" t="s">
        <v>34</v>
      </c>
      <c r="C2788" t="s">
        <v>5</v>
      </c>
      <c r="D2788">
        <v>80</v>
      </c>
      <c r="E2788">
        <v>130.893</v>
      </c>
      <c r="F2788">
        <f t="shared" si="173"/>
        <v>144.5</v>
      </c>
      <c r="G2788">
        <f t="shared" si="175"/>
        <v>9.416608996539793</v>
      </c>
      <c r="H2788">
        <f t="shared" si="176"/>
        <v>10.395513893027127</v>
      </c>
    </row>
    <row r="2789" spans="1:8" x14ac:dyDescent="0.25">
      <c r="A2789" t="str">
        <f t="shared" si="174"/>
        <v>Multihop,STnet,80</v>
      </c>
      <c r="B2789" t="s">
        <v>34</v>
      </c>
      <c r="C2789" t="s">
        <v>5</v>
      </c>
      <c r="D2789">
        <v>80</v>
      </c>
      <c r="E2789">
        <v>155.10900000000001</v>
      </c>
      <c r="F2789">
        <f t="shared" si="173"/>
        <v>144.5</v>
      </c>
      <c r="G2789">
        <f t="shared" si="175"/>
        <v>7.3418685121107332</v>
      </c>
      <c r="H2789">
        <f t="shared" si="176"/>
        <v>6.8397062710738945</v>
      </c>
    </row>
    <row r="2790" spans="1:8" x14ac:dyDescent="0.25">
      <c r="A2790" t="str">
        <f t="shared" si="174"/>
        <v>Multihop,STnet,80</v>
      </c>
      <c r="B2790" t="s">
        <v>34</v>
      </c>
      <c r="C2790" t="s">
        <v>5</v>
      </c>
      <c r="D2790">
        <v>80</v>
      </c>
      <c r="E2790">
        <v>134.11099999999999</v>
      </c>
      <c r="F2790">
        <f t="shared" si="173"/>
        <v>144.5</v>
      </c>
      <c r="G2790">
        <f t="shared" si="175"/>
        <v>7.1896193771626375</v>
      </c>
      <c r="H2790">
        <f t="shared" si="176"/>
        <v>7.7465681413157839</v>
      </c>
    </row>
    <row r="2791" spans="1:8" x14ac:dyDescent="0.25">
      <c r="A2791" t="str">
        <f t="shared" si="174"/>
        <v>Multihop,STnet,80</v>
      </c>
      <c r="B2791" t="s">
        <v>34</v>
      </c>
      <c r="C2791" t="s">
        <v>5</v>
      </c>
      <c r="D2791">
        <v>80</v>
      </c>
      <c r="E2791">
        <v>136.82</v>
      </c>
      <c r="F2791">
        <f t="shared" si="173"/>
        <v>144.5</v>
      </c>
      <c r="G2791">
        <f t="shared" si="175"/>
        <v>5.3148788927335691</v>
      </c>
      <c r="H2791">
        <f t="shared" si="176"/>
        <v>5.6132144423329979</v>
      </c>
    </row>
    <row r="2792" spans="1:8" x14ac:dyDescent="0.25">
      <c r="A2792" t="str">
        <f t="shared" si="174"/>
        <v>Multihop,STnet,80</v>
      </c>
      <c r="B2792" t="s">
        <v>34</v>
      </c>
      <c r="C2792" t="s">
        <v>5</v>
      </c>
      <c r="D2792">
        <v>80</v>
      </c>
      <c r="E2792">
        <v>141.69399999999999</v>
      </c>
      <c r="F2792">
        <f t="shared" si="173"/>
        <v>144.5</v>
      </c>
      <c r="G2792">
        <f t="shared" si="175"/>
        <v>1.9418685121107349</v>
      </c>
      <c r="H2792">
        <f t="shared" si="176"/>
        <v>1.980323796349889</v>
      </c>
    </row>
    <row r="2793" spans="1:8" x14ac:dyDescent="0.25">
      <c r="A2793" t="str">
        <f t="shared" si="174"/>
        <v>Multihop,STnet,80</v>
      </c>
      <c r="B2793" t="s">
        <v>34</v>
      </c>
      <c r="C2793" t="s">
        <v>5</v>
      </c>
      <c r="D2793">
        <v>80</v>
      </c>
      <c r="E2793">
        <v>135.017</v>
      </c>
      <c r="F2793">
        <f t="shared" si="173"/>
        <v>144.5</v>
      </c>
      <c r="G2793">
        <f t="shared" si="175"/>
        <v>6.5626297577854693</v>
      </c>
      <c r="H2793">
        <f t="shared" si="176"/>
        <v>7.0235599961486361</v>
      </c>
    </row>
    <row r="2794" spans="1:8" x14ac:dyDescent="0.25">
      <c r="A2794" t="str">
        <f t="shared" si="174"/>
        <v>Multihop,STnet,80</v>
      </c>
      <c r="B2794" t="s">
        <v>34</v>
      </c>
      <c r="C2794" t="s">
        <v>5</v>
      </c>
      <c r="D2794">
        <v>80</v>
      </c>
      <c r="E2794">
        <v>143.11199999999999</v>
      </c>
      <c r="F2794">
        <f t="shared" si="173"/>
        <v>144.5</v>
      </c>
      <c r="G2794">
        <f t="shared" si="175"/>
        <v>0.96055363321799669</v>
      </c>
      <c r="H2794">
        <f t="shared" si="176"/>
        <v>0.96986975236179029</v>
      </c>
    </row>
    <row r="2795" spans="1:8" x14ac:dyDescent="0.25">
      <c r="A2795" t="str">
        <f t="shared" si="174"/>
        <v>Multihop,STnet,80</v>
      </c>
      <c r="B2795" t="s">
        <v>34</v>
      </c>
      <c r="C2795" t="s">
        <v>5</v>
      </c>
      <c r="D2795">
        <v>80</v>
      </c>
      <c r="E2795">
        <v>164.91499999999999</v>
      </c>
      <c r="F2795">
        <f t="shared" si="173"/>
        <v>144.5</v>
      </c>
      <c r="G2795">
        <f t="shared" si="175"/>
        <v>14.128027681660893</v>
      </c>
      <c r="H2795">
        <f t="shared" si="176"/>
        <v>12.379104387108507</v>
      </c>
    </row>
    <row r="2796" spans="1:8" x14ac:dyDescent="0.25">
      <c r="A2796" t="str">
        <f t="shared" si="174"/>
        <v>Multihop,STnet,80</v>
      </c>
      <c r="B2796" t="s">
        <v>34</v>
      </c>
      <c r="C2796" t="s">
        <v>5</v>
      </c>
      <c r="D2796">
        <v>80</v>
      </c>
      <c r="E2796">
        <v>144.768</v>
      </c>
      <c r="F2796">
        <f t="shared" si="173"/>
        <v>144.5</v>
      </c>
      <c r="G2796">
        <f t="shared" si="175"/>
        <v>0.18546712802768212</v>
      </c>
      <c r="H2796">
        <f t="shared" si="176"/>
        <v>0.18512378426171577</v>
      </c>
    </row>
    <row r="2797" spans="1:8" x14ac:dyDescent="0.25">
      <c r="A2797" t="str">
        <f t="shared" si="174"/>
        <v>Multihop,STnet,80</v>
      </c>
      <c r="B2797" t="s">
        <v>34</v>
      </c>
      <c r="C2797" t="s">
        <v>5</v>
      </c>
      <c r="D2797">
        <v>80</v>
      </c>
      <c r="E2797">
        <v>153.54900000000001</v>
      </c>
      <c r="F2797">
        <f t="shared" si="173"/>
        <v>144.5</v>
      </c>
      <c r="G2797">
        <f t="shared" si="175"/>
        <v>6.2622837370242257</v>
      </c>
      <c r="H2797">
        <f t="shared" si="176"/>
        <v>5.8932327791128607</v>
      </c>
    </row>
    <row r="2798" spans="1:8" x14ac:dyDescent="0.25">
      <c r="A2798" t="str">
        <f t="shared" si="174"/>
        <v>Multihop,STnet,80</v>
      </c>
      <c r="B2798" t="s">
        <v>34</v>
      </c>
      <c r="C2798" t="s">
        <v>5</v>
      </c>
      <c r="D2798">
        <v>80</v>
      </c>
      <c r="E2798">
        <v>149.40299999999999</v>
      </c>
      <c r="F2798">
        <f t="shared" si="173"/>
        <v>144.5</v>
      </c>
      <c r="G2798">
        <f t="shared" si="175"/>
        <v>3.3930795847750805</v>
      </c>
      <c r="H2798">
        <f t="shared" si="176"/>
        <v>3.2817279438833169</v>
      </c>
    </row>
    <row r="2799" spans="1:8" x14ac:dyDescent="0.25">
      <c r="A2799" t="str">
        <f t="shared" si="174"/>
        <v>Multihop,STnet,80</v>
      </c>
      <c r="B2799" t="s">
        <v>34</v>
      </c>
      <c r="C2799" t="s">
        <v>5</v>
      </c>
      <c r="D2799">
        <v>80</v>
      </c>
      <c r="E2799">
        <v>138.11099999999999</v>
      </c>
      <c r="F2799">
        <f t="shared" si="173"/>
        <v>144.5</v>
      </c>
      <c r="G2799">
        <f t="shared" si="175"/>
        <v>4.421453287197239</v>
      </c>
      <c r="H2799">
        <f t="shared" si="176"/>
        <v>4.6259892405384155</v>
      </c>
    </row>
    <row r="2800" spans="1:8" x14ac:dyDescent="0.25">
      <c r="A2800" t="str">
        <f t="shared" si="174"/>
        <v>Multihop,STnet,80</v>
      </c>
      <c r="B2800" t="s">
        <v>34</v>
      </c>
      <c r="C2800" t="s">
        <v>5</v>
      </c>
      <c r="D2800">
        <v>80</v>
      </c>
      <c r="E2800">
        <v>144.96600000000001</v>
      </c>
      <c r="F2800">
        <f t="shared" si="173"/>
        <v>144.5</v>
      </c>
      <c r="G2800">
        <f t="shared" si="175"/>
        <v>0.32249134948097452</v>
      </c>
      <c r="H2800">
        <f t="shared" si="176"/>
        <v>0.32145468592636078</v>
      </c>
    </row>
    <row r="2801" spans="1:8" x14ac:dyDescent="0.25">
      <c r="A2801" t="str">
        <f t="shared" si="174"/>
        <v>Multihop,STnet,80</v>
      </c>
      <c r="B2801" t="s">
        <v>34</v>
      </c>
      <c r="C2801" t="s">
        <v>5</v>
      </c>
      <c r="D2801">
        <v>80</v>
      </c>
      <c r="E2801">
        <v>152.10900000000001</v>
      </c>
      <c r="F2801">
        <f t="shared" si="173"/>
        <v>144.5</v>
      </c>
      <c r="G2801">
        <f t="shared" si="175"/>
        <v>5.2657439446366849</v>
      </c>
      <c r="H2801">
        <f t="shared" si="176"/>
        <v>5.0023338526977419</v>
      </c>
    </row>
    <row r="2802" spans="1:8" x14ac:dyDescent="0.25">
      <c r="A2802" t="str">
        <f t="shared" si="174"/>
        <v>Multihop,STnet,80</v>
      </c>
      <c r="B2802" t="s">
        <v>34</v>
      </c>
      <c r="C2802" t="s">
        <v>5</v>
      </c>
      <c r="D2802">
        <v>80</v>
      </c>
      <c r="E2802">
        <v>127.527</v>
      </c>
      <c r="F2802">
        <f t="shared" si="173"/>
        <v>144.5</v>
      </c>
      <c r="G2802">
        <f t="shared" si="175"/>
        <v>11.746020761245674</v>
      </c>
      <c r="H2802">
        <f t="shared" si="176"/>
        <v>13.309338414610238</v>
      </c>
    </row>
    <row r="2803" spans="1:8" x14ac:dyDescent="0.25">
      <c r="A2803" t="str">
        <f t="shared" si="174"/>
        <v>Multihop,STnet,100</v>
      </c>
      <c r="B2803" t="s">
        <v>34</v>
      </c>
      <c r="C2803" t="s">
        <v>5</v>
      </c>
      <c r="D2803">
        <v>100</v>
      </c>
      <c r="E2803">
        <v>187.90700000000001</v>
      </c>
      <c r="F2803">
        <f t="shared" si="173"/>
        <v>176</v>
      </c>
      <c r="G2803">
        <f t="shared" si="175"/>
        <v>6.7653409090909156</v>
      </c>
      <c r="H2803">
        <f t="shared" si="176"/>
        <v>6.336645255365692</v>
      </c>
    </row>
    <row r="2804" spans="1:8" x14ac:dyDescent="0.25">
      <c r="A2804" t="str">
        <f t="shared" si="174"/>
        <v>Multihop,STnet,100</v>
      </c>
      <c r="B2804" t="s">
        <v>34</v>
      </c>
      <c r="C2804" t="s">
        <v>5</v>
      </c>
      <c r="D2804">
        <v>100</v>
      </c>
      <c r="E2804">
        <v>157.91</v>
      </c>
      <c r="F2804">
        <f t="shared" si="173"/>
        <v>176</v>
      </c>
      <c r="G2804">
        <f t="shared" si="175"/>
        <v>10.278409090909092</v>
      </c>
      <c r="H2804">
        <f t="shared" si="176"/>
        <v>11.455892597048955</v>
      </c>
    </row>
    <row r="2805" spans="1:8" x14ac:dyDescent="0.25">
      <c r="A2805" t="str">
        <f t="shared" si="174"/>
        <v>Multihop,STnet,100</v>
      </c>
      <c r="B2805" t="s">
        <v>34</v>
      </c>
      <c r="C2805" t="s">
        <v>5</v>
      </c>
      <c r="D2805">
        <v>100</v>
      </c>
      <c r="E2805">
        <v>152.69499999999999</v>
      </c>
      <c r="F2805">
        <f t="shared" si="173"/>
        <v>176</v>
      </c>
      <c r="G2805">
        <f t="shared" si="175"/>
        <v>13.241477272727275</v>
      </c>
      <c r="H2805">
        <f t="shared" si="176"/>
        <v>15.26245129179083</v>
      </c>
    </row>
    <row r="2806" spans="1:8" x14ac:dyDescent="0.25">
      <c r="A2806" t="str">
        <f t="shared" si="174"/>
        <v>Multihop,STnet,100</v>
      </c>
      <c r="B2806" t="s">
        <v>34</v>
      </c>
      <c r="C2806" t="s">
        <v>5</v>
      </c>
      <c r="D2806">
        <v>100</v>
      </c>
      <c r="E2806">
        <v>172.34899999999999</v>
      </c>
      <c r="F2806">
        <f t="shared" si="173"/>
        <v>176</v>
      </c>
      <c r="G2806">
        <f t="shared" si="175"/>
        <v>2.0744318181818242</v>
      </c>
      <c r="H2806">
        <f t="shared" si="176"/>
        <v>2.1183760857330247</v>
      </c>
    </row>
    <row r="2807" spans="1:8" x14ac:dyDescent="0.25">
      <c r="A2807" t="str">
        <f t="shared" si="174"/>
        <v>Multihop,STnet,100</v>
      </c>
      <c r="B2807" t="s">
        <v>34</v>
      </c>
      <c r="C2807" t="s">
        <v>5</v>
      </c>
      <c r="D2807">
        <v>100</v>
      </c>
      <c r="E2807">
        <v>171.911</v>
      </c>
      <c r="F2807">
        <f t="shared" si="173"/>
        <v>176</v>
      </c>
      <c r="G2807">
        <f t="shared" si="175"/>
        <v>2.3232954545454541</v>
      </c>
      <c r="H2807">
        <f t="shared" si="176"/>
        <v>2.3785563460162518</v>
      </c>
    </row>
    <row r="2808" spans="1:8" x14ac:dyDescent="0.25">
      <c r="A2808" t="str">
        <f t="shared" si="174"/>
        <v>Multihop,STnet,100</v>
      </c>
      <c r="B2808" t="s">
        <v>34</v>
      </c>
      <c r="C2808" t="s">
        <v>5</v>
      </c>
      <c r="D2808">
        <v>100</v>
      </c>
      <c r="E2808">
        <v>169.202</v>
      </c>
      <c r="F2808">
        <f t="shared" si="173"/>
        <v>176</v>
      </c>
      <c r="G2808">
        <f t="shared" si="175"/>
        <v>3.8625000000000012</v>
      </c>
      <c r="H2808">
        <f t="shared" si="176"/>
        <v>4.0176830061110396</v>
      </c>
    </row>
    <row r="2809" spans="1:8" x14ac:dyDescent="0.25">
      <c r="A2809" t="str">
        <f t="shared" si="174"/>
        <v>Multihop,STnet,100</v>
      </c>
      <c r="B2809" t="s">
        <v>34</v>
      </c>
      <c r="C2809" t="s">
        <v>5</v>
      </c>
      <c r="D2809">
        <v>100</v>
      </c>
      <c r="E2809">
        <v>162.59399999999999</v>
      </c>
      <c r="F2809">
        <f t="shared" si="173"/>
        <v>176</v>
      </c>
      <c r="G2809">
        <f t="shared" si="175"/>
        <v>7.6170454545454582</v>
      </c>
      <c r="H2809">
        <f t="shared" si="176"/>
        <v>8.2450766940969569</v>
      </c>
    </row>
    <row r="2810" spans="1:8" x14ac:dyDescent="0.25">
      <c r="A2810" t="str">
        <f t="shared" si="174"/>
        <v>Multihop,STnet,100</v>
      </c>
      <c r="B2810" t="s">
        <v>34</v>
      </c>
      <c r="C2810" t="s">
        <v>5</v>
      </c>
      <c r="D2810">
        <v>100</v>
      </c>
      <c r="E2810">
        <v>178.05699999999999</v>
      </c>
      <c r="F2810">
        <f t="shared" si="173"/>
        <v>176</v>
      </c>
      <c r="G2810">
        <f t="shared" si="175"/>
        <v>1.1687499999999933</v>
      </c>
      <c r="H2810">
        <f t="shared" si="176"/>
        <v>1.1552480385494466</v>
      </c>
    </row>
    <row r="2811" spans="1:8" x14ac:dyDescent="0.25">
      <c r="A2811" t="str">
        <f t="shared" si="174"/>
        <v>Multihop,STnet,100</v>
      </c>
      <c r="B2811" t="s">
        <v>34</v>
      </c>
      <c r="C2811" t="s">
        <v>5</v>
      </c>
      <c r="D2811">
        <v>100</v>
      </c>
      <c r="E2811">
        <v>193.328</v>
      </c>
      <c r="F2811">
        <f t="shared" si="173"/>
        <v>176</v>
      </c>
      <c r="G2811">
        <f t="shared" si="175"/>
        <v>9.8454545454545475</v>
      </c>
      <c r="H2811">
        <f t="shared" si="176"/>
        <v>8.9630058760241678</v>
      </c>
    </row>
    <row r="2812" spans="1:8" x14ac:dyDescent="0.25">
      <c r="A2812" t="str">
        <f t="shared" si="174"/>
        <v>Multihop,STnet,100</v>
      </c>
      <c r="B2812" t="s">
        <v>34</v>
      </c>
      <c r="C2812" t="s">
        <v>5</v>
      </c>
      <c r="D2812">
        <v>100</v>
      </c>
      <c r="E2812">
        <v>201.75800000000001</v>
      </c>
      <c r="F2812">
        <f t="shared" si="173"/>
        <v>176</v>
      </c>
      <c r="G2812">
        <f t="shared" si="175"/>
        <v>14.635227272727278</v>
      </c>
      <c r="H2812">
        <f t="shared" si="176"/>
        <v>12.766780003766891</v>
      </c>
    </row>
    <row r="2813" spans="1:8" x14ac:dyDescent="0.25">
      <c r="A2813" t="str">
        <f t="shared" si="174"/>
        <v>Multihop,STnet,100</v>
      </c>
      <c r="B2813" t="s">
        <v>34</v>
      </c>
      <c r="C2813" t="s">
        <v>5</v>
      </c>
      <c r="D2813">
        <v>100</v>
      </c>
      <c r="E2813">
        <v>139.30799999999999</v>
      </c>
      <c r="F2813">
        <f t="shared" si="173"/>
        <v>176</v>
      </c>
      <c r="G2813">
        <f t="shared" si="175"/>
        <v>20.847727272727276</v>
      </c>
      <c r="H2813">
        <f t="shared" si="176"/>
        <v>26.338760157349189</v>
      </c>
    </row>
    <row r="2814" spans="1:8" x14ac:dyDescent="0.25">
      <c r="A2814" t="str">
        <f t="shared" si="174"/>
        <v>Multihop,STnet,100</v>
      </c>
      <c r="B2814" t="s">
        <v>34</v>
      </c>
      <c r="C2814" t="s">
        <v>5</v>
      </c>
      <c r="D2814">
        <v>100</v>
      </c>
      <c r="E2814">
        <v>166.4</v>
      </c>
      <c r="F2814">
        <f t="shared" si="173"/>
        <v>176</v>
      </c>
      <c r="G2814">
        <f t="shared" si="175"/>
        <v>5.4545454545454515</v>
      </c>
      <c r="H2814">
        <f t="shared" si="176"/>
        <v>5.7692307692307656</v>
      </c>
    </row>
    <row r="2815" spans="1:8" x14ac:dyDescent="0.25">
      <c r="A2815" t="str">
        <f t="shared" si="174"/>
        <v>Multihop,STnet,100</v>
      </c>
      <c r="B2815" t="s">
        <v>34</v>
      </c>
      <c r="C2815" t="s">
        <v>5</v>
      </c>
      <c r="D2815">
        <v>100</v>
      </c>
      <c r="E2815">
        <v>166.69499999999999</v>
      </c>
      <c r="F2815">
        <f t="shared" si="173"/>
        <v>176</v>
      </c>
      <c r="G2815">
        <f t="shared" si="175"/>
        <v>5.2869318181818219</v>
      </c>
      <c r="H2815">
        <f t="shared" si="176"/>
        <v>5.5820510513212795</v>
      </c>
    </row>
    <row r="2816" spans="1:8" x14ac:dyDescent="0.25">
      <c r="A2816" t="str">
        <f t="shared" si="174"/>
        <v>Multihop,STnet,100</v>
      </c>
      <c r="B2816" t="s">
        <v>34</v>
      </c>
      <c r="C2816" t="s">
        <v>5</v>
      </c>
      <c r="D2816">
        <v>100</v>
      </c>
      <c r="E2816">
        <v>161.03200000000001</v>
      </c>
      <c r="F2816">
        <f t="shared" si="173"/>
        <v>176</v>
      </c>
      <c r="G2816">
        <f t="shared" si="175"/>
        <v>8.5045454545454486</v>
      </c>
      <c r="H2816">
        <f t="shared" si="176"/>
        <v>9.2950469471906132</v>
      </c>
    </row>
    <row r="2817" spans="1:8" x14ac:dyDescent="0.25">
      <c r="A2817" t="str">
        <f t="shared" si="174"/>
        <v>Multihop,STnet,100</v>
      </c>
      <c r="B2817" t="s">
        <v>34</v>
      </c>
      <c r="C2817" t="s">
        <v>5</v>
      </c>
      <c r="D2817">
        <v>100</v>
      </c>
      <c r="E2817">
        <v>171.39699999999999</v>
      </c>
      <c r="F2817">
        <f t="shared" si="173"/>
        <v>176</v>
      </c>
      <c r="G2817">
        <f t="shared" si="175"/>
        <v>2.6153409090909139</v>
      </c>
      <c r="H2817">
        <f t="shared" si="176"/>
        <v>2.6855779272682772</v>
      </c>
    </row>
    <row r="2818" spans="1:8" x14ac:dyDescent="0.25">
      <c r="A2818" t="str">
        <f t="shared" si="174"/>
        <v>Multihop,STnet,100</v>
      </c>
      <c r="B2818" t="s">
        <v>34</v>
      </c>
      <c r="C2818" t="s">
        <v>5</v>
      </c>
      <c r="D2818">
        <v>100</v>
      </c>
      <c r="E2818">
        <v>181.90700000000001</v>
      </c>
      <c r="F2818">
        <f t="shared" si="173"/>
        <v>176</v>
      </c>
      <c r="G2818">
        <f t="shared" si="175"/>
        <v>3.356250000000006</v>
      </c>
      <c r="H2818">
        <f t="shared" si="176"/>
        <v>3.2472637116768519</v>
      </c>
    </row>
    <row r="2819" spans="1:8" x14ac:dyDescent="0.25">
      <c r="A2819" t="str">
        <f t="shared" si="174"/>
        <v>Multihop,STnet,100</v>
      </c>
      <c r="B2819" t="s">
        <v>34</v>
      </c>
      <c r="C2819" t="s">
        <v>5</v>
      </c>
      <c r="D2819">
        <v>100</v>
      </c>
      <c r="E2819">
        <v>187.27600000000001</v>
      </c>
      <c r="F2819">
        <f t="shared" ref="F2819:F2882" si="177">_xlfn.XLOOKUP(A2819,$J$3:$J$36,$N$3:$N$36)</f>
        <v>176</v>
      </c>
      <c r="G2819">
        <f t="shared" si="175"/>
        <v>6.4068181818181875</v>
      </c>
      <c r="H2819">
        <f t="shared" si="176"/>
        <v>6.0210598261389654</v>
      </c>
    </row>
    <row r="2820" spans="1:8" x14ac:dyDescent="0.25">
      <c r="A2820" t="str">
        <f t="shared" ref="A2820:A2883" si="178">B2820&amp;","&amp;C2820&amp;","&amp;D2820</f>
        <v>Multihop,STnet,100</v>
      </c>
      <c r="B2820" t="s">
        <v>34</v>
      </c>
      <c r="C2820" t="s">
        <v>5</v>
      </c>
      <c r="D2820">
        <v>100</v>
      </c>
      <c r="E2820">
        <v>176.56700000000001</v>
      </c>
      <c r="F2820">
        <f t="shared" si="177"/>
        <v>176</v>
      </c>
      <c r="G2820">
        <f t="shared" ref="G2820:G2883" si="179">ABS((E2820-F2820)/F2820)*100</f>
        <v>0.32215909090909506</v>
      </c>
      <c r="H2820">
        <f t="shared" ref="H2820:H2883" si="180">ABS((F2820-E2820)/E2820)*100</f>
        <v>0.32112455894929814</v>
      </c>
    </row>
    <row r="2821" spans="1:8" x14ac:dyDescent="0.25">
      <c r="A2821" t="str">
        <f t="shared" si="178"/>
        <v>Multihop,STnet,100</v>
      </c>
      <c r="B2821" t="s">
        <v>34</v>
      </c>
      <c r="C2821" t="s">
        <v>5</v>
      </c>
      <c r="D2821">
        <v>100</v>
      </c>
      <c r="E2821">
        <v>139.96600000000001</v>
      </c>
      <c r="F2821">
        <f t="shared" si="177"/>
        <v>176</v>
      </c>
      <c r="G2821">
        <f t="shared" si="179"/>
        <v>20.473863636363632</v>
      </c>
      <c r="H2821">
        <f t="shared" si="180"/>
        <v>25.744823742908984</v>
      </c>
    </row>
    <row r="2822" spans="1:8" x14ac:dyDescent="0.25">
      <c r="A2822" t="str">
        <f t="shared" si="178"/>
        <v>Multihop,STnet,100</v>
      </c>
      <c r="B2822" t="s">
        <v>34</v>
      </c>
      <c r="C2822" t="s">
        <v>5</v>
      </c>
      <c r="D2822">
        <v>100</v>
      </c>
      <c r="E2822">
        <v>165.74799999999999</v>
      </c>
      <c r="F2822">
        <f t="shared" si="177"/>
        <v>176</v>
      </c>
      <c r="G2822">
        <f t="shared" si="179"/>
        <v>5.8250000000000055</v>
      </c>
      <c r="H2822">
        <f t="shared" si="180"/>
        <v>6.1852933368728493</v>
      </c>
    </row>
    <row r="2823" spans="1:8" x14ac:dyDescent="0.25">
      <c r="A2823" t="str">
        <f t="shared" si="178"/>
        <v>Multihop,STnet,100</v>
      </c>
      <c r="B2823" t="s">
        <v>34</v>
      </c>
      <c r="C2823" t="s">
        <v>5</v>
      </c>
      <c r="D2823">
        <v>100</v>
      </c>
      <c r="E2823">
        <v>182.68899999999999</v>
      </c>
      <c r="F2823">
        <f t="shared" si="177"/>
        <v>176</v>
      </c>
      <c r="G2823">
        <f t="shared" si="179"/>
        <v>3.800568181818178</v>
      </c>
      <c r="H2823">
        <f t="shared" si="180"/>
        <v>3.6614136592788804</v>
      </c>
    </row>
    <row r="2824" spans="1:8" x14ac:dyDescent="0.25">
      <c r="A2824" t="str">
        <f t="shared" si="178"/>
        <v>Multihop,STnet,100</v>
      </c>
      <c r="B2824" t="s">
        <v>34</v>
      </c>
      <c r="C2824" t="s">
        <v>5</v>
      </c>
      <c r="D2824">
        <v>100</v>
      </c>
      <c r="E2824">
        <v>127.649</v>
      </c>
      <c r="F2824">
        <f t="shared" si="177"/>
        <v>176</v>
      </c>
      <c r="G2824">
        <f t="shared" si="179"/>
        <v>27.472159090909091</v>
      </c>
      <c r="H2824">
        <f t="shared" si="180"/>
        <v>37.878087568253569</v>
      </c>
    </row>
    <row r="2825" spans="1:8" x14ac:dyDescent="0.25">
      <c r="A2825" t="str">
        <f t="shared" si="178"/>
        <v>Multihop,STnet,100</v>
      </c>
      <c r="B2825" t="s">
        <v>34</v>
      </c>
      <c r="C2825" t="s">
        <v>5</v>
      </c>
      <c r="D2825">
        <v>100</v>
      </c>
      <c r="E2825">
        <v>171.42599999999999</v>
      </c>
      <c r="F2825">
        <f t="shared" si="177"/>
        <v>176</v>
      </c>
      <c r="G2825">
        <f t="shared" si="179"/>
        <v>2.5988636363636433</v>
      </c>
      <c r="H2825">
        <f t="shared" si="180"/>
        <v>2.6682066897670205</v>
      </c>
    </row>
    <row r="2826" spans="1:8" x14ac:dyDescent="0.25">
      <c r="A2826" t="str">
        <f t="shared" si="178"/>
        <v>Multihop,STnet,100</v>
      </c>
      <c r="B2826" t="s">
        <v>34</v>
      </c>
      <c r="C2826" t="s">
        <v>5</v>
      </c>
      <c r="D2826">
        <v>100</v>
      </c>
      <c r="E2826">
        <v>170.91399999999999</v>
      </c>
      <c r="F2826">
        <f t="shared" si="177"/>
        <v>176</v>
      </c>
      <c r="G2826">
        <f t="shared" si="179"/>
        <v>2.8897727272727347</v>
      </c>
      <c r="H2826">
        <f t="shared" si="180"/>
        <v>2.9757655897117927</v>
      </c>
    </row>
    <row r="2827" spans="1:8" x14ac:dyDescent="0.25">
      <c r="A2827" t="str">
        <f t="shared" si="178"/>
        <v>Multihop,STnet,100</v>
      </c>
      <c r="B2827" t="s">
        <v>34</v>
      </c>
      <c r="C2827" t="s">
        <v>5</v>
      </c>
      <c r="D2827">
        <v>100</v>
      </c>
      <c r="E2827">
        <v>175.03899999999999</v>
      </c>
      <c r="F2827">
        <f t="shared" si="177"/>
        <v>176</v>
      </c>
      <c r="G2827">
        <f t="shared" si="179"/>
        <v>0.54602272727273449</v>
      </c>
      <c r="H2827">
        <f t="shared" si="180"/>
        <v>0.54902050400197255</v>
      </c>
    </row>
    <row r="2828" spans="1:8" x14ac:dyDescent="0.25">
      <c r="A2828" t="str">
        <f t="shared" si="178"/>
        <v>Multihop,STnet,100</v>
      </c>
      <c r="B2828" t="s">
        <v>34</v>
      </c>
      <c r="C2828" t="s">
        <v>5</v>
      </c>
      <c r="D2828">
        <v>100</v>
      </c>
      <c r="E2828">
        <v>151.25800000000001</v>
      </c>
      <c r="F2828">
        <f t="shared" si="177"/>
        <v>176</v>
      </c>
      <c r="G2828">
        <f t="shared" si="179"/>
        <v>14.057954545454541</v>
      </c>
      <c r="H2828">
        <f t="shared" si="180"/>
        <v>16.357481918311752</v>
      </c>
    </row>
    <row r="2829" spans="1:8" x14ac:dyDescent="0.25">
      <c r="A2829" t="str">
        <f t="shared" si="178"/>
        <v>Multihop,STnet,100</v>
      </c>
      <c r="B2829" t="s">
        <v>34</v>
      </c>
      <c r="C2829" t="s">
        <v>5</v>
      </c>
      <c r="D2829">
        <v>100</v>
      </c>
      <c r="E2829">
        <v>206.36699999999999</v>
      </c>
      <c r="F2829">
        <f t="shared" si="177"/>
        <v>176</v>
      </c>
      <c r="G2829">
        <f t="shared" si="179"/>
        <v>17.253977272727266</v>
      </c>
      <c r="H2829">
        <f t="shared" si="180"/>
        <v>14.715046494836864</v>
      </c>
    </row>
    <row r="2830" spans="1:8" x14ac:dyDescent="0.25">
      <c r="A2830" t="str">
        <f t="shared" si="178"/>
        <v>Multihop,STnet,100</v>
      </c>
      <c r="B2830" t="s">
        <v>34</v>
      </c>
      <c r="C2830" t="s">
        <v>5</v>
      </c>
      <c r="D2830">
        <v>100</v>
      </c>
      <c r="E2830">
        <v>178.21</v>
      </c>
      <c r="F2830">
        <f t="shared" si="177"/>
        <v>176</v>
      </c>
      <c r="G2830">
        <f t="shared" si="179"/>
        <v>1.2556818181818226</v>
      </c>
      <c r="H2830">
        <f t="shared" si="180"/>
        <v>1.2401099826047965</v>
      </c>
    </row>
    <row r="2831" spans="1:8" x14ac:dyDescent="0.25">
      <c r="A2831" t="str">
        <f t="shared" si="178"/>
        <v>Multihop,STnet,100</v>
      </c>
      <c r="B2831" t="s">
        <v>34</v>
      </c>
      <c r="C2831" t="s">
        <v>5</v>
      </c>
      <c r="D2831">
        <v>100</v>
      </c>
      <c r="E2831">
        <v>164.10400000000001</v>
      </c>
      <c r="F2831">
        <f t="shared" si="177"/>
        <v>176</v>
      </c>
      <c r="G2831">
        <f t="shared" si="179"/>
        <v>6.7590909090909017</v>
      </c>
      <c r="H2831">
        <f t="shared" si="180"/>
        <v>7.2490615707112473</v>
      </c>
    </row>
    <row r="2832" spans="1:8" x14ac:dyDescent="0.25">
      <c r="A2832" t="str">
        <f t="shared" si="178"/>
        <v>Multihop,STnet,100</v>
      </c>
      <c r="B2832" t="s">
        <v>34</v>
      </c>
      <c r="C2832" t="s">
        <v>5</v>
      </c>
      <c r="D2832">
        <v>100</v>
      </c>
      <c r="E2832">
        <v>180.30099999999999</v>
      </c>
      <c r="F2832">
        <f t="shared" si="177"/>
        <v>176</v>
      </c>
      <c r="G2832">
        <f t="shared" si="179"/>
        <v>2.443749999999993</v>
      </c>
      <c r="H2832">
        <f t="shared" si="180"/>
        <v>2.3854554328594895</v>
      </c>
    </row>
    <row r="2833" spans="1:8" x14ac:dyDescent="0.25">
      <c r="A2833" t="str">
        <f t="shared" si="178"/>
        <v>Multihop,STnet,100</v>
      </c>
      <c r="B2833" t="s">
        <v>34</v>
      </c>
      <c r="C2833" t="s">
        <v>5</v>
      </c>
      <c r="D2833">
        <v>100</v>
      </c>
      <c r="E2833">
        <v>168.69300000000001</v>
      </c>
      <c r="F2833">
        <f t="shared" si="177"/>
        <v>176</v>
      </c>
      <c r="G2833">
        <f t="shared" si="179"/>
        <v>4.151704545454538</v>
      </c>
      <c r="H2833">
        <f t="shared" si="180"/>
        <v>4.3315371710740731</v>
      </c>
    </row>
    <row r="2834" spans="1:8" x14ac:dyDescent="0.25">
      <c r="A2834" t="str">
        <f t="shared" si="178"/>
        <v>Multihop,STnet,100</v>
      </c>
      <c r="B2834" t="s">
        <v>34</v>
      </c>
      <c r="C2834" t="s">
        <v>5</v>
      </c>
      <c r="D2834">
        <v>100</v>
      </c>
      <c r="E2834">
        <v>193.12700000000001</v>
      </c>
      <c r="F2834">
        <f t="shared" si="177"/>
        <v>176</v>
      </c>
      <c r="G2834">
        <f t="shared" si="179"/>
        <v>9.7312500000000046</v>
      </c>
      <c r="H2834">
        <f t="shared" si="180"/>
        <v>8.8682576750014288</v>
      </c>
    </row>
    <row r="2835" spans="1:8" x14ac:dyDescent="0.25">
      <c r="A2835" t="str">
        <f t="shared" si="178"/>
        <v>Multihop,STnet,100</v>
      </c>
      <c r="B2835" t="s">
        <v>34</v>
      </c>
      <c r="C2835" t="s">
        <v>5</v>
      </c>
      <c r="D2835">
        <v>100</v>
      </c>
      <c r="E2835">
        <v>182.55</v>
      </c>
      <c r="F2835">
        <f t="shared" si="177"/>
        <v>176</v>
      </c>
      <c r="G2835">
        <f t="shared" si="179"/>
        <v>3.7215909090909154</v>
      </c>
      <c r="H2835">
        <f t="shared" si="180"/>
        <v>3.588058066283216</v>
      </c>
    </row>
    <row r="2836" spans="1:8" x14ac:dyDescent="0.25">
      <c r="A2836" t="str">
        <f t="shared" si="178"/>
        <v>Multihop,STnet,100</v>
      </c>
      <c r="B2836" t="s">
        <v>34</v>
      </c>
      <c r="C2836" t="s">
        <v>5</v>
      </c>
      <c r="D2836">
        <v>100</v>
      </c>
      <c r="E2836">
        <v>179.39699999999999</v>
      </c>
      <c r="F2836">
        <f t="shared" si="177"/>
        <v>176</v>
      </c>
      <c r="G2836">
        <f t="shared" si="179"/>
        <v>1.9301136363636315</v>
      </c>
      <c r="H2836">
        <f t="shared" si="180"/>
        <v>1.8935656672073622</v>
      </c>
    </row>
    <row r="2837" spans="1:8" x14ac:dyDescent="0.25">
      <c r="A2837" t="str">
        <f t="shared" si="178"/>
        <v>Multihop,STnet,100</v>
      </c>
      <c r="B2837" t="s">
        <v>34</v>
      </c>
      <c r="C2837" t="s">
        <v>5</v>
      </c>
      <c r="D2837">
        <v>100</v>
      </c>
      <c r="E2837">
        <v>196.85599999999999</v>
      </c>
      <c r="F2837">
        <f t="shared" si="177"/>
        <v>176</v>
      </c>
      <c r="G2837">
        <f t="shared" si="179"/>
        <v>11.849999999999996</v>
      </c>
      <c r="H2837">
        <f t="shared" si="180"/>
        <v>10.594546267322304</v>
      </c>
    </row>
    <row r="2838" spans="1:8" x14ac:dyDescent="0.25">
      <c r="A2838" t="str">
        <f t="shared" si="178"/>
        <v>Multihop,STnet,100</v>
      </c>
      <c r="B2838" t="s">
        <v>34</v>
      </c>
      <c r="C2838" t="s">
        <v>5</v>
      </c>
      <c r="D2838">
        <v>100</v>
      </c>
      <c r="E2838">
        <v>179.745</v>
      </c>
      <c r="F2838">
        <f t="shared" si="177"/>
        <v>176</v>
      </c>
      <c r="G2838">
        <f t="shared" si="179"/>
        <v>2.1278409090909114</v>
      </c>
      <c r="H2838">
        <f t="shared" si="180"/>
        <v>2.0835071907424432</v>
      </c>
    </row>
    <row r="2839" spans="1:8" x14ac:dyDescent="0.25">
      <c r="A2839" t="str">
        <f t="shared" si="178"/>
        <v>Multihop,STnet,100</v>
      </c>
      <c r="B2839" t="s">
        <v>34</v>
      </c>
      <c r="C2839" t="s">
        <v>5</v>
      </c>
      <c r="D2839">
        <v>100</v>
      </c>
      <c r="E2839">
        <v>150.185</v>
      </c>
      <c r="F2839">
        <f t="shared" si="177"/>
        <v>176</v>
      </c>
      <c r="G2839">
        <f t="shared" si="179"/>
        <v>14.667613636363635</v>
      </c>
      <c r="H2839">
        <f t="shared" si="180"/>
        <v>17.188800479408727</v>
      </c>
    </row>
    <row r="2840" spans="1:8" x14ac:dyDescent="0.25">
      <c r="A2840" t="str">
        <f t="shared" si="178"/>
        <v>Multihop,STnet,100</v>
      </c>
      <c r="B2840" t="s">
        <v>34</v>
      </c>
      <c r="C2840" t="s">
        <v>5</v>
      </c>
      <c r="D2840">
        <v>100</v>
      </c>
      <c r="E2840">
        <v>168.13</v>
      </c>
      <c r="F2840">
        <f t="shared" si="177"/>
        <v>176</v>
      </c>
      <c r="G2840">
        <f t="shared" si="179"/>
        <v>4.4715909090909118</v>
      </c>
      <c r="H2840">
        <f t="shared" si="180"/>
        <v>4.6809016832213199</v>
      </c>
    </row>
    <row r="2841" spans="1:8" x14ac:dyDescent="0.25">
      <c r="A2841" t="str">
        <f t="shared" si="178"/>
        <v>Multihop,STnet,100</v>
      </c>
      <c r="B2841" t="s">
        <v>34</v>
      </c>
      <c r="C2841" t="s">
        <v>5</v>
      </c>
      <c r="D2841">
        <v>100</v>
      </c>
      <c r="E2841">
        <v>193.41800000000001</v>
      </c>
      <c r="F2841">
        <f t="shared" si="177"/>
        <v>176</v>
      </c>
      <c r="G2841">
        <f t="shared" si="179"/>
        <v>9.8965909090909125</v>
      </c>
      <c r="H2841">
        <f t="shared" si="180"/>
        <v>9.0053666153098497</v>
      </c>
    </row>
    <row r="2842" spans="1:8" x14ac:dyDescent="0.25">
      <c r="A2842" t="str">
        <f t="shared" si="178"/>
        <v>Multihop,STnet,100</v>
      </c>
      <c r="B2842" t="s">
        <v>34</v>
      </c>
      <c r="C2842" t="s">
        <v>5</v>
      </c>
      <c r="D2842">
        <v>100</v>
      </c>
      <c r="E2842">
        <v>152.327</v>
      </c>
      <c r="F2842">
        <f t="shared" si="177"/>
        <v>176</v>
      </c>
      <c r="G2842">
        <f t="shared" si="179"/>
        <v>13.450568181818182</v>
      </c>
      <c r="H2842">
        <f t="shared" si="180"/>
        <v>15.540908702987652</v>
      </c>
    </row>
    <row r="2843" spans="1:8" x14ac:dyDescent="0.25">
      <c r="A2843" t="str">
        <f t="shared" si="178"/>
        <v>Multihop,STnet,100</v>
      </c>
      <c r="B2843" t="s">
        <v>34</v>
      </c>
      <c r="C2843" t="s">
        <v>5</v>
      </c>
      <c r="D2843">
        <v>100</v>
      </c>
      <c r="E2843">
        <v>158.13399999999999</v>
      </c>
      <c r="F2843">
        <f t="shared" si="177"/>
        <v>176</v>
      </c>
      <c r="G2843">
        <f t="shared" si="179"/>
        <v>10.151136363636372</v>
      </c>
      <c r="H2843">
        <f t="shared" si="180"/>
        <v>11.298013077516545</v>
      </c>
    </row>
    <row r="2844" spans="1:8" x14ac:dyDescent="0.25">
      <c r="A2844" t="str">
        <f t="shared" si="178"/>
        <v>Multihop,STnet,100</v>
      </c>
      <c r="B2844" t="s">
        <v>34</v>
      </c>
      <c r="C2844" t="s">
        <v>5</v>
      </c>
      <c r="D2844">
        <v>100</v>
      </c>
      <c r="E2844">
        <v>168.71700000000001</v>
      </c>
      <c r="F2844">
        <f t="shared" si="177"/>
        <v>176</v>
      </c>
      <c r="G2844">
        <f t="shared" si="179"/>
        <v>4.1380681818181744</v>
      </c>
      <c r="H2844">
        <f t="shared" si="180"/>
        <v>4.31669600573741</v>
      </c>
    </row>
    <row r="2845" spans="1:8" x14ac:dyDescent="0.25">
      <c r="A2845" t="str">
        <f t="shared" si="178"/>
        <v>Multihop,STnet,100</v>
      </c>
      <c r="B2845" t="s">
        <v>34</v>
      </c>
      <c r="C2845" t="s">
        <v>5</v>
      </c>
      <c r="D2845">
        <v>100</v>
      </c>
      <c r="E2845">
        <v>186.27600000000001</v>
      </c>
      <c r="F2845">
        <f t="shared" si="177"/>
        <v>176</v>
      </c>
      <c r="G2845">
        <f t="shared" si="179"/>
        <v>5.8386363636363692</v>
      </c>
      <c r="H2845">
        <f t="shared" si="180"/>
        <v>5.5165453413214856</v>
      </c>
    </row>
    <row r="2846" spans="1:8" x14ac:dyDescent="0.25">
      <c r="A2846" t="str">
        <f t="shared" si="178"/>
        <v>Multihop,STnet,100</v>
      </c>
      <c r="B2846" t="s">
        <v>34</v>
      </c>
      <c r="C2846" t="s">
        <v>5</v>
      </c>
      <c r="D2846">
        <v>100</v>
      </c>
      <c r="E2846">
        <v>173.44900000000001</v>
      </c>
      <c r="F2846">
        <f t="shared" si="177"/>
        <v>176</v>
      </c>
      <c r="G2846">
        <f t="shared" si="179"/>
        <v>1.4494318181818111</v>
      </c>
      <c r="H2846">
        <f t="shared" si="180"/>
        <v>1.4707493268914711</v>
      </c>
    </row>
    <row r="2847" spans="1:8" x14ac:dyDescent="0.25">
      <c r="A2847" t="str">
        <f t="shared" si="178"/>
        <v>Multihop,STnet,100</v>
      </c>
      <c r="B2847" t="s">
        <v>34</v>
      </c>
      <c r="C2847" t="s">
        <v>5</v>
      </c>
      <c r="D2847">
        <v>100</v>
      </c>
      <c r="E2847">
        <v>185.66499999999999</v>
      </c>
      <c r="F2847">
        <f t="shared" si="177"/>
        <v>176</v>
      </c>
      <c r="G2847">
        <f t="shared" si="179"/>
        <v>5.491477272727268</v>
      </c>
      <c r="H2847">
        <f t="shared" si="180"/>
        <v>5.2056122586378653</v>
      </c>
    </row>
    <row r="2848" spans="1:8" x14ac:dyDescent="0.25">
      <c r="A2848" t="str">
        <f t="shared" si="178"/>
        <v>Multihop,STnet,100</v>
      </c>
      <c r="B2848" t="s">
        <v>34</v>
      </c>
      <c r="C2848" t="s">
        <v>5</v>
      </c>
      <c r="D2848">
        <v>100</v>
      </c>
      <c r="E2848">
        <v>173.572</v>
      </c>
      <c r="F2848">
        <f t="shared" si="177"/>
        <v>176</v>
      </c>
      <c r="G2848">
        <f t="shared" si="179"/>
        <v>1.3795454545454529</v>
      </c>
      <c r="H2848">
        <f t="shared" si="180"/>
        <v>1.3988431313806358</v>
      </c>
    </row>
    <row r="2849" spans="1:8" x14ac:dyDescent="0.25">
      <c r="A2849" t="str">
        <f t="shared" si="178"/>
        <v>Multihop,STnet,100</v>
      </c>
      <c r="B2849" t="s">
        <v>34</v>
      </c>
      <c r="C2849" t="s">
        <v>5</v>
      </c>
      <c r="D2849">
        <v>100</v>
      </c>
      <c r="E2849">
        <v>148.55000000000001</v>
      </c>
      <c r="F2849">
        <f t="shared" si="177"/>
        <v>176</v>
      </c>
      <c r="G2849">
        <f t="shared" si="179"/>
        <v>15.596590909090901</v>
      </c>
      <c r="H2849">
        <f t="shared" si="180"/>
        <v>18.478626725008407</v>
      </c>
    </row>
    <row r="2850" spans="1:8" x14ac:dyDescent="0.25">
      <c r="A2850" t="str">
        <f t="shared" si="178"/>
        <v>Multihop,STnet,100</v>
      </c>
      <c r="B2850" t="s">
        <v>34</v>
      </c>
      <c r="C2850" t="s">
        <v>5</v>
      </c>
      <c r="D2850">
        <v>100</v>
      </c>
      <c r="E2850">
        <v>139.404</v>
      </c>
      <c r="F2850">
        <f t="shared" si="177"/>
        <v>176</v>
      </c>
      <c r="G2850">
        <f t="shared" si="179"/>
        <v>20.793181818181818</v>
      </c>
      <c r="H2850">
        <f t="shared" si="180"/>
        <v>26.251757481851314</v>
      </c>
    </row>
    <row r="2851" spans="1:8" x14ac:dyDescent="0.25">
      <c r="A2851" t="str">
        <f t="shared" si="178"/>
        <v>Multihop,STnet,100</v>
      </c>
      <c r="B2851" t="s">
        <v>34</v>
      </c>
      <c r="C2851" t="s">
        <v>5</v>
      </c>
      <c r="D2851">
        <v>100</v>
      </c>
      <c r="E2851">
        <v>143.45099999999999</v>
      </c>
      <c r="F2851">
        <f t="shared" si="177"/>
        <v>176</v>
      </c>
      <c r="G2851">
        <f t="shared" si="179"/>
        <v>18.493750000000002</v>
      </c>
      <c r="H2851">
        <f t="shared" si="180"/>
        <v>22.689977762441536</v>
      </c>
    </row>
    <row r="2852" spans="1:8" x14ac:dyDescent="0.25">
      <c r="A2852" t="str">
        <f t="shared" si="178"/>
        <v>Multihop,STnet,100</v>
      </c>
      <c r="B2852" t="s">
        <v>34</v>
      </c>
      <c r="C2852" t="s">
        <v>5</v>
      </c>
      <c r="D2852">
        <v>100</v>
      </c>
      <c r="E2852">
        <v>181.273</v>
      </c>
      <c r="F2852">
        <f t="shared" si="177"/>
        <v>176</v>
      </c>
      <c r="G2852">
        <f t="shared" si="179"/>
        <v>2.9960227272727251</v>
      </c>
      <c r="H2852">
        <f t="shared" si="180"/>
        <v>2.9088722534519738</v>
      </c>
    </row>
    <row r="2853" spans="1:8" x14ac:dyDescent="0.25">
      <c r="A2853" t="str">
        <f t="shared" si="178"/>
        <v>Multihop,STnet,100</v>
      </c>
      <c r="B2853" t="s">
        <v>34</v>
      </c>
      <c r="C2853" t="s">
        <v>5</v>
      </c>
      <c r="D2853">
        <v>100</v>
      </c>
      <c r="E2853">
        <v>156.06</v>
      </c>
      <c r="F2853">
        <f t="shared" si="177"/>
        <v>176</v>
      </c>
      <c r="G2853">
        <f t="shared" si="179"/>
        <v>11.329545454545453</v>
      </c>
      <c r="H2853">
        <f t="shared" si="180"/>
        <v>12.777136998590285</v>
      </c>
    </row>
    <row r="2854" spans="1:8" x14ac:dyDescent="0.25">
      <c r="A2854" t="str">
        <f t="shared" si="178"/>
        <v>Multihop,STnet,100</v>
      </c>
      <c r="B2854" t="s">
        <v>34</v>
      </c>
      <c r="C2854" t="s">
        <v>5</v>
      </c>
      <c r="D2854">
        <v>100</v>
      </c>
      <c r="E2854">
        <v>166.279</v>
      </c>
      <c r="F2854">
        <f t="shared" si="177"/>
        <v>176</v>
      </c>
      <c r="G2854">
        <f t="shared" si="179"/>
        <v>5.5232954545454565</v>
      </c>
      <c r="H2854">
        <f t="shared" si="180"/>
        <v>5.8461982571461242</v>
      </c>
    </row>
    <row r="2855" spans="1:8" x14ac:dyDescent="0.25">
      <c r="A2855" t="str">
        <f t="shared" si="178"/>
        <v>Multihop,STnet,100</v>
      </c>
      <c r="B2855" t="s">
        <v>34</v>
      </c>
      <c r="C2855" t="s">
        <v>5</v>
      </c>
      <c r="D2855">
        <v>100</v>
      </c>
      <c r="E2855">
        <v>161.06100000000001</v>
      </c>
      <c r="F2855">
        <f t="shared" si="177"/>
        <v>176</v>
      </c>
      <c r="G2855">
        <f t="shared" si="179"/>
        <v>8.4880681818181767</v>
      </c>
      <c r="H2855">
        <f t="shared" si="180"/>
        <v>9.2753677178211937</v>
      </c>
    </row>
    <row r="2856" spans="1:8" x14ac:dyDescent="0.25">
      <c r="A2856" t="str">
        <f t="shared" si="178"/>
        <v>Multihop,STnet,100</v>
      </c>
      <c r="B2856" t="s">
        <v>34</v>
      </c>
      <c r="C2856" t="s">
        <v>5</v>
      </c>
      <c r="D2856">
        <v>100</v>
      </c>
      <c r="E2856">
        <v>179.93199999999999</v>
      </c>
      <c r="F2856">
        <f t="shared" si="177"/>
        <v>176</v>
      </c>
      <c r="G2856">
        <f t="shared" si="179"/>
        <v>2.2340909090909022</v>
      </c>
      <c r="H2856">
        <f t="shared" si="180"/>
        <v>2.1852699908854389</v>
      </c>
    </row>
    <row r="2857" spans="1:8" x14ac:dyDescent="0.25">
      <c r="A2857" t="str">
        <f t="shared" si="178"/>
        <v>Multihop,STnet,100</v>
      </c>
      <c r="B2857" t="s">
        <v>34</v>
      </c>
      <c r="C2857" t="s">
        <v>5</v>
      </c>
      <c r="D2857">
        <v>100</v>
      </c>
      <c r="E2857">
        <v>179.78700000000001</v>
      </c>
      <c r="F2857">
        <f t="shared" si="177"/>
        <v>176</v>
      </c>
      <c r="G2857">
        <f t="shared" si="179"/>
        <v>2.1517045454545491</v>
      </c>
      <c r="H2857">
        <f t="shared" si="180"/>
        <v>2.1063814402598662</v>
      </c>
    </row>
    <row r="2858" spans="1:8" x14ac:dyDescent="0.25">
      <c r="A2858" t="str">
        <f t="shared" si="178"/>
        <v>Multihop,STnet,100</v>
      </c>
      <c r="B2858" t="s">
        <v>34</v>
      </c>
      <c r="C2858" t="s">
        <v>5</v>
      </c>
      <c r="D2858">
        <v>100</v>
      </c>
      <c r="E2858">
        <v>165.47399999999999</v>
      </c>
      <c r="F2858">
        <f t="shared" si="177"/>
        <v>176</v>
      </c>
      <c r="G2858">
        <f t="shared" si="179"/>
        <v>5.9806818181818242</v>
      </c>
      <c r="H2858">
        <f t="shared" si="180"/>
        <v>6.3611201759793152</v>
      </c>
    </row>
    <row r="2859" spans="1:8" x14ac:dyDescent="0.25">
      <c r="A2859" t="str">
        <f t="shared" si="178"/>
        <v>Multihop,STnet,100</v>
      </c>
      <c r="B2859" t="s">
        <v>34</v>
      </c>
      <c r="C2859" t="s">
        <v>5</v>
      </c>
      <c r="D2859">
        <v>100</v>
      </c>
      <c r="E2859">
        <v>163.959</v>
      </c>
      <c r="F2859">
        <f t="shared" si="177"/>
        <v>176</v>
      </c>
      <c r="G2859">
        <f t="shared" si="179"/>
        <v>6.8414772727272712</v>
      </c>
      <c r="H2859">
        <f t="shared" si="180"/>
        <v>7.3439091480187093</v>
      </c>
    </row>
    <row r="2860" spans="1:8" x14ac:dyDescent="0.25">
      <c r="A2860" t="str">
        <f t="shared" si="178"/>
        <v>Multihop,STnet,100</v>
      </c>
      <c r="B2860" t="s">
        <v>34</v>
      </c>
      <c r="C2860" t="s">
        <v>5</v>
      </c>
      <c r="D2860">
        <v>100</v>
      </c>
      <c r="E2860">
        <v>166.79</v>
      </c>
      <c r="F2860">
        <f t="shared" si="177"/>
        <v>176</v>
      </c>
      <c r="G2860">
        <f t="shared" si="179"/>
        <v>5.2329545454545494</v>
      </c>
      <c r="H2860">
        <f t="shared" si="180"/>
        <v>5.5219137837999925</v>
      </c>
    </row>
    <row r="2861" spans="1:8" x14ac:dyDescent="0.25">
      <c r="A2861" t="str">
        <f t="shared" si="178"/>
        <v>Multihop,STnet,100</v>
      </c>
      <c r="B2861" t="s">
        <v>34</v>
      </c>
      <c r="C2861" t="s">
        <v>5</v>
      </c>
      <c r="D2861">
        <v>100</v>
      </c>
      <c r="E2861">
        <v>141.52500000000001</v>
      </c>
      <c r="F2861">
        <f t="shared" si="177"/>
        <v>176</v>
      </c>
      <c r="G2861">
        <f t="shared" si="179"/>
        <v>19.588068181818176</v>
      </c>
      <c r="H2861">
        <f t="shared" si="180"/>
        <v>24.359653771418472</v>
      </c>
    </row>
    <row r="2862" spans="1:8" x14ac:dyDescent="0.25">
      <c r="A2862" t="str">
        <f t="shared" si="178"/>
        <v>Multihop,STnet,100</v>
      </c>
      <c r="B2862" t="s">
        <v>34</v>
      </c>
      <c r="C2862" t="s">
        <v>5</v>
      </c>
      <c r="D2862">
        <v>100</v>
      </c>
      <c r="E2862">
        <v>175.34899999999999</v>
      </c>
      <c r="F2862">
        <f t="shared" si="177"/>
        <v>176</v>
      </c>
      <c r="G2862">
        <f t="shared" si="179"/>
        <v>0.36988636363636956</v>
      </c>
      <c r="H2862">
        <f t="shared" si="180"/>
        <v>0.37125960227888982</v>
      </c>
    </row>
    <row r="2863" spans="1:8" x14ac:dyDescent="0.25">
      <c r="A2863" t="str">
        <f t="shared" si="178"/>
        <v>Multihop,STnet,100</v>
      </c>
      <c r="B2863" t="s">
        <v>34</v>
      </c>
      <c r="C2863" t="s">
        <v>5</v>
      </c>
      <c r="D2863">
        <v>100</v>
      </c>
      <c r="E2863">
        <v>178.54300000000001</v>
      </c>
      <c r="F2863">
        <f t="shared" si="177"/>
        <v>176</v>
      </c>
      <c r="G2863">
        <f t="shared" si="179"/>
        <v>1.4448863636363674</v>
      </c>
      <c r="H2863">
        <f t="shared" si="180"/>
        <v>1.4243067496345454</v>
      </c>
    </row>
    <row r="2864" spans="1:8" x14ac:dyDescent="0.25">
      <c r="A2864" t="str">
        <f t="shared" si="178"/>
        <v>Multihop,STnet,100</v>
      </c>
      <c r="B2864" t="s">
        <v>34</v>
      </c>
      <c r="C2864" t="s">
        <v>5</v>
      </c>
      <c r="D2864">
        <v>100</v>
      </c>
      <c r="E2864">
        <v>190.053</v>
      </c>
      <c r="F2864">
        <f t="shared" si="177"/>
        <v>176</v>
      </c>
      <c r="G2864">
        <f t="shared" si="179"/>
        <v>7.9846590909090898</v>
      </c>
      <c r="H2864">
        <f t="shared" si="180"/>
        <v>7.3942531820071222</v>
      </c>
    </row>
    <row r="2865" spans="1:8" x14ac:dyDescent="0.25">
      <c r="A2865" t="str">
        <f t="shared" si="178"/>
        <v>Multihop,STnet,100</v>
      </c>
      <c r="B2865" t="s">
        <v>34</v>
      </c>
      <c r="C2865" t="s">
        <v>5</v>
      </c>
      <c r="D2865">
        <v>100</v>
      </c>
      <c r="E2865">
        <v>176.81399999999999</v>
      </c>
      <c r="F2865">
        <f t="shared" si="177"/>
        <v>176</v>
      </c>
      <c r="G2865">
        <f t="shared" si="179"/>
        <v>0.46249999999999597</v>
      </c>
      <c r="H2865">
        <f t="shared" si="180"/>
        <v>0.46037078511882146</v>
      </c>
    </row>
    <row r="2866" spans="1:8" x14ac:dyDescent="0.25">
      <c r="A2866" t="str">
        <f t="shared" si="178"/>
        <v>Multihop,STnet,100</v>
      </c>
      <c r="B2866" t="s">
        <v>34</v>
      </c>
      <c r="C2866" t="s">
        <v>5</v>
      </c>
      <c r="D2866">
        <v>100</v>
      </c>
      <c r="E2866">
        <v>171.20599999999999</v>
      </c>
      <c r="F2866">
        <f t="shared" si="177"/>
        <v>176</v>
      </c>
      <c r="G2866">
        <f t="shared" si="179"/>
        <v>2.7238636363636428</v>
      </c>
      <c r="H2866">
        <f t="shared" si="180"/>
        <v>2.8001355092695417</v>
      </c>
    </row>
    <row r="2867" spans="1:8" x14ac:dyDescent="0.25">
      <c r="A2867" t="str">
        <f t="shared" si="178"/>
        <v>Multihop,STnet,100</v>
      </c>
      <c r="B2867" t="s">
        <v>34</v>
      </c>
      <c r="C2867" t="s">
        <v>5</v>
      </c>
      <c r="D2867">
        <v>100</v>
      </c>
      <c r="E2867">
        <v>173.422</v>
      </c>
      <c r="F2867">
        <f t="shared" si="177"/>
        <v>176</v>
      </c>
      <c r="G2867">
        <f t="shared" si="179"/>
        <v>1.4647727272727289</v>
      </c>
      <c r="H2867">
        <f t="shared" si="180"/>
        <v>1.4865472662061348</v>
      </c>
    </row>
    <row r="2868" spans="1:8" x14ac:dyDescent="0.25">
      <c r="A2868" t="str">
        <f t="shared" si="178"/>
        <v>Multihop,STnet,100</v>
      </c>
      <c r="B2868" t="s">
        <v>34</v>
      </c>
      <c r="C2868" t="s">
        <v>5</v>
      </c>
      <c r="D2868">
        <v>100</v>
      </c>
      <c r="E2868">
        <v>170.56700000000001</v>
      </c>
      <c r="F2868">
        <f t="shared" si="177"/>
        <v>176</v>
      </c>
      <c r="G2868">
        <f t="shared" si="179"/>
        <v>3.0869318181818142</v>
      </c>
      <c r="H2868">
        <f t="shared" si="180"/>
        <v>3.1852585787403145</v>
      </c>
    </row>
    <row r="2869" spans="1:8" x14ac:dyDescent="0.25">
      <c r="A2869" t="str">
        <f t="shared" si="178"/>
        <v>Multihop,STnet,100</v>
      </c>
      <c r="B2869" t="s">
        <v>34</v>
      </c>
      <c r="C2869" t="s">
        <v>5</v>
      </c>
      <c r="D2869">
        <v>100</v>
      </c>
      <c r="E2869">
        <v>173.13</v>
      </c>
      <c r="F2869">
        <f t="shared" si="177"/>
        <v>176</v>
      </c>
      <c r="G2869">
        <f t="shared" si="179"/>
        <v>1.6306818181818208</v>
      </c>
      <c r="H2869">
        <f t="shared" si="180"/>
        <v>1.657713856639522</v>
      </c>
    </row>
    <row r="2870" spans="1:8" x14ac:dyDescent="0.25">
      <c r="A2870" t="str">
        <f t="shared" si="178"/>
        <v>Multihop,STnet,100</v>
      </c>
      <c r="B2870" t="s">
        <v>34</v>
      </c>
      <c r="C2870" t="s">
        <v>5</v>
      </c>
      <c r="D2870">
        <v>100</v>
      </c>
      <c r="E2870">
        <v>155.91399999999999</v>
      </c>
      <c r="F2870">
        <f t="shared" si="177"/>
        <v>176</v>
      </c>
      <c r="G2870">
        <f t="shared" si="179"/>
        <v>11.412500000000007</v>
      </c>
      <c r="H2870">
        <f t="shared" si="180"/>
        <v>12.88274305065614</v>
      </c>
    </row>
    <row r="2871" spans="1:8" x14ac:dyDescent="0.25">
      <c r="A2871" t="str">
        <f t="shared" si="178"/>
        <v>Multihop,STnet,100</v>
      </c>
      <c r="B2871" t="s">
        <v>34</v>
      </c>
      <c r="C2871" t="s">
        <v>5</v>
      </c>
      <c r="D2871">
        <v>100</v>
      </c>
      <c r="E2871">
        <v>153.327</v>
      </c>
      <c r="F2871">
        <f t="shared" si="177"/>
        <v>176</v>
      </c>
      <c r="G2871">
        <f t="shared" si="179"/>
        <v>12.882386363636364</v>
      </c>
      <c r="H2871">
        <f t="shared" si="180"/>
        <v>14.787349912278987</v>
      </c>
    </row>
    <row r="2872" spans="1:8" x14ac:dyDescent="0.25">
      <c r="A2872" t="str">
        <f t="shared" si="178"/>
        <v>Multihop,STnet,100</v>
      </c>
      <c r="B2872" t="s">
        <v>34</v>
      </c>
      <c r="C2872" t="s">
        <v>5</v>
      </c>
      <c r="D2872">
        <v>100</v>
      </c>
      <c r="E2872">
        <v>165.18100000000001</v>
      </c>
      <c r="F2872">
        <f t="shared" si="177"/>
        <v>176</v>
      </c>
      <c r="G2872">
        <f t="shared" si="179"/>
        <v>6.1471590909090841</v>
      </c>
      <c r="H2872">
        <f t="shared" si="180"/>
        <v>6.5497847815426642</v>
      </c>
    </row>
    <row r="2873" spans="1:8" x14ac:dyDescent="0.25">
      <c r="A2873" t="str">
        <f t="shared" si="178"/>
        <v>Multihop,STnet,100</v>
      </c>
      <c r="B2873" t="s">
        <v>34</v>
      </c>
      <c r="C2873" t="s">
        <v>5</v>
      </c>
      <c r="D2873">
        <v>100</v>
      </c>
      <c r="E2873">
        <v>173.911</v>
      </c>
      <c r="F2873">
        <f t="shared" si="177"/>
        <v>176</v>
      </c>
      <c r="G2873">
        <f t="shared" si="179"/>
        <v>1.1869318181818174</v>
      </c>
      <c r="H2873">
        <f t="shared" si="180"/>
        <v>1.2011891139720885</v>
      </c>
    </row>
    <row r="2874" spans="1:8" x14ac:dyDescent="0.25">
      <c r="A2874" t="str">
        <f t="shared" si="178"/>
        <v>Multihop,STnet,100</v>
      </c>
      <c r="B2874" t="s">
        <v>34</v>
      </c>
      <c r="C2874" t="s">
        <v>5</v>
      </c>
      <c r="D2874">
        <v>100</v>
      </c>
      <c r="E2874">
        <v>162.42500000000001</v>
      </c>
      <c r="F2874">
        <f t="shared" si="177"/>
        <v>176</v>
      </c>
      <c r="G2874">
        <f t="shared" si="179"/>
        <v>7.7130681818181754</v>
      </c>
      <c r="H2874">
        <f t="shared" si="180"/>
        <v>8.3577035554871415</v>
      </c>
    </row>
    <row r="2875" spans="1:8" x14ac:dyDescent="0.25">
      <c r="A2875" t="str">
        <f t="shared" si="178"/>
        <v>Multihop,STnet,100</v>
      </c>
      <c r="B2875" t="s">
        <v>34</v>
      </c>
      <c r="C2875" t="s">
        <v>5</v>
      </c>
      <c r="D2875">
        <v>100</v>
      </c>
      <c r="E2875">
        <v>218.732</v>
      </c>
      <c r="F2875">
        <f t="shared" si="177"/>
        <v>176</v>
      </c>
      <c r="G2875">
        <f t="shared" si="179"/>
        <v>24.279545454545453</v>
      </c>
      <c r="H2875">
        <f t="shared" si="180"/>
        <v>19.536236124572536</v>
      </c>
    </row>
    <row r="2876" spans="1:8" x14ac:dyDescent="0.25">
      <c r="A2876" t="str">
        <f t="shared" si="178"/>
        <v>Multihop,STnet,100</v>
      </c>
      <c r="B2876" t="s">
        <v>34</v>
      </c>
      <c r="C2876" t="s">
        <v>5</v>
      </c>
      <c r="D2876">
        <v>100</v>
      </c>
      <c r="E2876">
        <v>167.10400000000001</v>
      </c>
      <c r="F2876">
        <f t="shared" si="177"/>
        <v>176</v>
      </c>
      <c r="G2876">
        <f t="shared" si="179"/>
        <v>5.0545454545454467</v>
      </c>
      <c r="H2876">
        <f t="shared" si="180"/>
        <v>5.3236307927996851</v>
      </c>
    </row>
    <row r="2877" spans="1:8" x14ac:dyDescent="0.25">
      <c r="A2877" t="str">
        <f t="shared" si="178"/>
        <v>Multihop,STnet,100</v>
      </c>
      <c r="B2877" t="s">
        <v>34</v>
      </c>
      <c r="C2877" t="s">
        <v>5</v>
      </c>
      <c r="D2877">
        <v>100</v>
      </c>
      <c r="E2877">
        <v>207.196</v>
      </c>
      <c r="F2877">
        <f t="shared" si="177"/>
        <v>176</v>
      </c>
      <c r="G2877">
        <f t="shared" si="179"/>
        <v>17.724999999999998</v>
      </c>
      <c r="H2877">
        <f t="shared" si="180"/>
        <v>15.056275217668293</v>
      </c>
    </row>
    <row r="2878" spans="1:8" x14ac:dyDescent="0.25">
      <c r="A2878" t="str">
        <f t="shared" si="178"/>
        <v>Multihop,STnet,100</v>
      </c>
      <c r="B2878" t="s">
        <v>34</v>
      </c>
      <c r="C2878" t="s">
        <v>5</v>
      </c>
      <c r="D2878">
        <v>100</v>
      </c>
      <c r="E2878">
        <v>164.886</v>
      </c>
      <c r="F2878">
        <f t="shared" si="177"/>
        <v>176</v>
      </c>
      <c r="G2878">
        <f t="shared" si="179"/>
        <v>6.3147727272727296</v>
      </c>
      <c r="H2878">
        <f t="shared" si="180"/>
        <v>6.740414589473942</v>
      </c>
    </row>
    <row r="2879" spans="1:8" x14ac:dyDescent="0.25">
      <c r="A2879" t="str">
        <f t="shared" si="178"/>
        <v>Multihop,STnet,100</v>
      </c>
      <c r="B2879" t="s">
        <v>34</v>
      </c>
      <c r="C2879" t="s">
        <v>5</v>
      </c>
      <c r="D2879">
        <v>100</v>
      </c>
      <c r="E2879">
        <v>170.98400000000001</v>
      </c>
      <c r="F2879">
        <f t="shared" si="177"/>
        <v>176</v>
      </c>
      <c r="G2879">
        <f t="shared" si="179"/>
        <v>2.8499999999999948</v>
      </c>
      <c r="H2879">
        <f t="shared" si="180"/>
        <v>2.9336078229541891</v>
      </c>
    </row>
    <row r="2880" spans="1:8" x14ac:dyDescent="0.25">
      <c r="A2880" t="str">
        <f t="shared" si="178"/>
        <v>Multihop,STnet,100</v>
      </c>
      <c r="B2880" t="s">
        <v>34</v>
      </c>
      <c r="C2880" t="s">
        <v>5</v>
      </c>
      <c r="D2880">
        <v>100</v>
      </c>
      <c r="E2880">
        <v>178.05699999999999</v>
      </c>
      <c r="F2880">
        <f t="shared" si="177"/>
        <v>176</v>
      </c>
      <c r="G2880">
        <f t="shared" si="179"/>
        <v>1.1687499999999933</v>
      </c>
      <c r="H2880">
        <f t="shared" si="180"/>
        <v>1.1552480385494466</v>
      </c>
    </row>
    <row r="2881" spans="1:8" x14ac:dyDescent="0.25">
      <c r="A2881" t="str">
        <f t="shared" si="178"/>
        <v>Multihop,STnet,100</v>
      </c>
      <c r="B2881" t="s">
        <v>34</v>
      </c>
      <c r="C2881" t="s">
        <v>5</v>
      </c>
      <c r="D2881">
        <v>100</v>
      </c>
      <c r="E2881">
        <v>151.988</v>
      </c>
      <c r="F2881">
        <f t="shared" si="177"/>
        <v>176</v>
      </c>
      <c r="G2881">
        <f t="shared" si="179"/>
        <v>13.643181818181818</v>
      </c>
      <c r="H2881">
        <f t="shared" si="180"/>
        <v>15.798615680185279</v>
      </c>
    </row>
    <row r="2882" spans="1:8" x14ac:dyDescent="0.25">
      <c r="A2882" t="str">
        <f t="shared" si="178"/>
        <v>Multihop,STnet,100</v>
      </c>
      <c r="B2882" t="s">
        <v>34</v>
      </c>
      <c r="C2882" t="s">
        <v>5</v>
      </c>
      <c r="D2882">
        <v>100</v>
      </c>
      <c r="E2882">
        <v>162.898</v>
      </c>
      <c r="F2882">
        <f t="shared" si="177"/>
        <v>176</v>
      </c>
      <c r="G2882">
        <f t="shared" si="179"/>
        <v>7.4443181818181836</v>
      </c>
      <c r="H2882">
        <f t="shared" si="180"/>
        <v>8.0430698964996523</v>
      </c>
    </row>
    <row r="2883" spans="1:8" x14ac:dyDescent="0.25">
      <c r="A2883" t="str">
        <f t="shared" si="178"/>
        <v>Multihop,STnet,100</v>
      </c>
      <c r="B2883" t="s">
        <v>34</v>
      </c>
      <c r="C2883" t="s">
        <v>5</v>
      </c>
      <c r="D2883">
        <v>100</v>
      </c>
      <c r="E2883">
        <v>173.27500000000001</v>
      </c>
      <c r="F2883">
        <f t="shared" ref="F2883:F2946" si="181">_xlfn.XLOOKUP(A2883,$J$3:$J$36,$N$3:$N$36)</f>
        <v>176</v>
      </c>
      <c r="G2883">
        <f t="shared" si="179"/>
        <v>1.5482954545454513</v>
      </c>
      <c r="H2883">
        <f t="shared" si="180"/>
        <v>1.5726446400230816</v>
      </c>
    </row>
    <row r="2884" spans="1:8" x14ac:dyDescent="0.25">
      <c r="A2884" t="str">
        <f t="shared" ref="A2884:A2947" si="182">B2884&amp;","&amp;C2884&amp;","&amp;D2884</f>
        <v>Multihop,STnet,100</v>
      </c>
      <c r="B2884" t="s">
        <v>34</v>
      </c>
      <c r="C2884" t="s">
        <v>5</v>
      </c>
      <c r="D2884">
        <v>100</v>
      </c>
      <c r="E2884">
        <v>179.42099999999999</v>
      </c>
      <c r="F2884">
        <f t="shared" si="181"/>
        <v>176</v>
      </c>
      <c r="G2884">
        <f t="shared" ref="G2884:G2947" si="183">ABS((E2884-F2884)/F2884)*100</f>
        <v>1.9437499999999954</v>
      </c>
      <c r="H2884">
        <f t="shared" ref="H2884:H2947" si="184">ABS((F2884-E2884)/E2884)*100</f>
        <v>1.9066887376616966</v>
      </c>
    </row>
    <row r="2885" spans="1:8" x14ac:dyDescent="0.25">
      <c r="A2885" t="str">
        <f t="shared" si="182"/>
        <v>Multihop,STnet,100</v>
      </c>
      <c r="B2885" t="s">
        <v>34</v>
      </c>
      <c r="C2885" t="s">
        <v>5</v>
      </c>
      <c r="D2885">
        <v>100</v>
      </c>
      <c r="E2885">
        <v>180.98099999999999</v>
      </c>
      <c r="F2885">
        <f t="shared" si="181"/>
        <v>176</v>
      </c>
      <c r="G2885">
        <f t="shared" si="183"/>
        <v>2.8301136363636332</v>
      </c>
      <c r="H2885">
        <f t="shared" si="184"/>
        <v>2.7522226090031521</v>
      </c>
    </row>
    <row r="2886" spans="1:8" x14ac:dyDescent="0.25">
      <c r="A2886" t="str">
        <f t="shared" si="182"/>
        <v>Multihop,STnet,100</v>
      </c>
      <c r="B2886" t="s">
        <v>34</v>
      </c>
      <c r="C2886" t="s">
        <v>5</v>
      </c>
      <c r="D2886">
        <v>100</v>
      </c>
      <c r="E2886">
        <v>200.10300000000001</v>
      </c>
      <c r="F2886">
        <f t="shared" si="181"/>
        <v>176</v>
      </c>
      <c r="G2886">
        <f t="shared" si="183"/>
        <v>13.694886363636369</v>
      </c>
      <c r="H2886">
        <f t="shared" si="184"/>
        <v>12.045296672213814</v>
      </c>
    </row>
    <row r="2887" spans="1:8" x14ac:dyDescent="0.25">
      <c r="A2887" t="str">
        <f t="shared" si="182"/>
        <v>Multihop,STnet,100</v>
      </c>
      <c r="B2887" t="s">
        <v>34</v>
      </c>
      <c r="C2887" t="s">
        <v>5</v>
      </c>
      <c r="D2887">
        <v>100</v>
      </c>
      <c r="E2887">
        <v>160.279</v>
      </c>
      <c r="F2887">
        <f t="shared" si="181"/>
        <v>176</v>
      </c>
      <c r="G2887">
        <f t="shared" si="183"/>
        <v>8.9323863636363665</v>
      </c>
      <c r="H2887">
        <f t="shared" si="184"/>
        <v>9.8085213908247528</v>
      </c>
    </row>
    <row r="2888" spans="1:8" x14ac:dyDescent="0.25">
      <c r="A2888" t="str">
        <f t="shared" si="182"/>
        <v>Multihop,STnet,100</v>
      </c>
      <c r="B2888" t="s">
        <v>34</v>
      </c>
      <c r="C2888" t="s">
        <v>5</v>
      </c>
      <c r="D2888">
        <v>100</v>
      </c>
      <c r="E2888">
        <v>158.744</v>
      </c>
      <c r="F2888">
        <f t="shared" si="181"/>
        <v>176</v>
      </c>
      <c r="G2888">
        <f t="shared" si="183"/>
        <v>9.8045454545454547</v>
      </c>
      <c r="H2888">
        <f t="shared" si="184"/>
        <v>10.870332107040266</v>
      </c>
    </row>
    <row r="2889" spans="1:8" x14ac:dyDescent="0.25">
      <c r="A2889" t="str">
        <f t="shared" si="182"/>
        <v>Multihop,STnet,100</v>
      </c>
      <c r="B2889" t="s">
        <v>34</v>
      </c>
      <c r="C2889" t="s">
        <v>5</v>
      </c>
      <c r="D2889">
        <v>100</v>
      </c>
      <c r="E2889">
        <v>170.76499999999999</v>
      </c>
      <c r="F2889">
        <f t="shared" si="181"/>
        <v>176</v>
      </c>
      <c r="G2889">
        <f t="shared" si="183"/>
        <v>2.9744318181818259</v>
      </c>
      <c r="H2889">
        <f t="shared" si="184"/>
        <v>3.0656164904986469</v>
      </c>
    </row>
    <row r="2890" spans="1:8" x14ac:dyDescent="0.25">
      <c r="A2890" t="str">
        <f t="shared" si="182"/>
        <v>Multihop,STnet,100</v>
      </c>
      <c r="B2890" t="s">
        <v>34</v>
      </c>
      <c r="C2890" t="s">
        <v>5</v>
      </c>
      <c r="D2890">
        <v>100</v>
      </c>
      <c r="E2890">
        <v>185.34899999999999</v>
      </c>
      <c r="F2890">
        <f t="shared" si="181"/>
        <v>176</v>
      </c>
      <c r="G2890">
        <f t="shared" si="183"/>
        <v>5.3119318181818125</v>
      </c>
      <c r="H2890">
        <f t="shared" si="184"/>
        <v>5.0439980792990466</v>
      </c>
    </row>
    <row r="2891" spans="1:8" x14ac:dyDescent="0.25">
      <c r="A2891" t="str">
        <f t="shared" si="182"/>
        <v>Multihop,STnet,100</v>
      </c>
      <c r="B2891" t="s">
        <v>34</v>
      </c>
      <c r="C2891" t="s">
        <v>5</v>
      </c>
      <c r="D2891">
        <v>100</v>
      </c>
      <c r="E2891">
        <v>168.76499999999999</v>
      </c>
      <c r="F2891">
        <f t="shared" si="181"/>
        <v>176</v>
      </c>
      <c r="G2891">
        <f t="shared" si="183"/>
        <v>4.1107954545454621</v>
      </c>
      <c r="H2891">
        <f t="shared" si="184"/>
        <v>4.2870263383995582</v>
      </c>
    </row>
    <row r="2892" spans="1:8" x14ac:dyDescent="0.25">
      <c r="A2892" t="str">
        <f t="shared" si="182"/>
        <v>Multihop,STnet,100</v>
      </c>
      <c r="B2892" t="s">
        <v>34</v>
      </c>
      <c r="C2892" t="s">
        <v>5</v>
      </c>
      <c r="D2892">
        <v>100</v>
      </c>
      <c r="E2892">
        <v>155.619</v>
      </c>
      <c r="F2892">
        <f t="shared" si="181"/>
        <v>176</v>
      </c>
      <c r="G2892">
        <f t="shared" si="183"/>
        <v>11.580113636363636</v>
      </c>
      <c r="H2892">
        <f t="shared" si="184"/>
        <v>13.096729833760659</v>
      </c>
    </row>
    <row r="2893" spans="1:8" x14ac:dyDescent="0.25">
      <c r="A2893" t="str">
        <f t="shared" si="182"/>
        <v>Multihop,STnet,100</v>
      </c>
      <c r="B2893" t="s">
        <v>34</v>
      </c>
      <c r="C2893" t="s">
        <v>5</v>
      </c>
      <c r="D2893">
        <v>100</v>
      </c>
      <c r="E2893">
        <v>141.74700000000001</v>
      </c>
      <c r="F2893">
        <f t="shared" si="181"/>
        <v>176</v>
      </c>
      <c r="G2893">
        <f t="shared" si="183"/>
        <v>19.46193181818181</v>
      </c>
      <c r="H2893">
        <f t="shared" si="184"/>
        <v>24.164885323851639</v>
      </c>
    </row>
    <row r="2894" spans="1:8" x14ac:dyDescent="0.25">
      <c r="A2894" t="str">
        <f t="shared" si="182"/>
        <v>Multihop,STnet,100</v>
      </c>
      <c r="B2894" t="s">
        <v>34</v>
      </c>
      <c r="C2894" t="s">
        <v>5</v>
      </c>
      <c r="D2894">
        <v>100</v>
      </c>
      <c r="E2894">
        <v>144.62299999999999</v>
      </c>
      <c r="F2894">
        <f t="shared" si="181"/>
        <v>176</v>
      </c>
      <c r="G2894">
        <f t="shared" si="183"/>
        <v>17.827840909090913</v>
      </c>
      <c r="H2894">
        <f t="shared" si="184"/>
        <v>21.695719214786038</v>
      </c>
    </row>
    <row r="2895" spans="1:8" x14ac:dyDescent="0.25">
      <c r="A2895" t="str">
        <f t="shared" si="182"/>
        <v>Multihop,STnet,100</v>
      </c>
      <c r="B2895" t="s">
        <v>34</v>
      </c>
      <c r="C2895" t="s">
        <v>5</v>
      </c>
      <c r="D2895">
        <v>100</v>
      </c>
      <c r="E2895">
        <v>173.76499999999999</v>
      </c>
      <c r="F2895">
        <f t="shared" si="181"/>
        <v>176</v>
      </c>
      <c r="G2895">
        <f t="shared" si="183"/>
        <v>1.2698863636363715</v>
      </c>
      <c r="H2895">
        <f t="shared" si="184"/>
        <v>1.2862198946853589</v>
      </c>
    </row>
    <row r="2896" spans="1:8" x14ac:dyDescent="0.25">
      <c r="A2896" t="str">
        <f t="shared" si="182"/>
        <v>Multihop,STnet,100</v>
      </c>
      <c r="B2896" t="s">
        <v>34</v>
      </c>
      <c r="C2896" t="s">
        <v>5</v>
      </c>
      <c r="D2896">
        <v>100</v>
      </c>
      <c r="E2896">
        <v>194.17400000000001</v>
      </c>
      <c r="F2896">
        <f t="shared" si="181"/>
        <v>176</v>
      </c>
      <c r="G2896">
        <f t="shared" si="183"/>
        <v>10.326136363636367</v>
      </c>
      <c r="H2896">
        <f t="shared" si="184"/>
        <v>9.3596465026213629</v>
      </c>
    </row>
    <row r="2897" spans="1:8" x14ac:dyDescent="0.25">
      <c r="A2897" t="str">
        <f t="shared" si="182"/>
        <v>Multihop,STnet,100</v>
      </c>
      <c r="B2897" t="s">
        <v>34</v>
      </c>
      <c r="C2897" t="s">
        <v>5</v>
      </c>
      <c r="D2897">
        <v>100</v>
      </c>
      <c r="E2897">
        <v>164.33099999999999</v>
      </c>
      <c r="F2897">
        <f t="shared" si="181"/>
        <v>176</v>
      </c>
      <c r="G2897">
        <f t="shared" si="183"/>
        <v>6.6301136363636424</v>
      </c>
      <c r="H2897">
        <f t="shared" si="184"/>
        <v>7.1009121833372966</v>
      </c>
    </row>
    <row r="2898" spans="1:8" x14ac:dyDescent="0.25">
      <c r="A2898" t="str">
        <f t="shared" si="182"/>
        <v>Multihop,STnet,100</v>
      </c>
      <c r="B2898" t="s">
        <v>34</v>
      </c>
      <c r="C2898" t="s">
        <v>5</v>
      </c>
      <c r="D2898">
        <v>100</v>
      </c>
      <c r="E2898">
        <v>180.46899999999999</v>
      </c>
      <c r="F2898">
        <f t="shared" si="181"/>
        <v>176</v>
      </c>
      <c r="G2898">
        <f t="shared" si="183"/>
        <v>2.5392045454545422</v>
      </c>
      <c r="H2898">
        <f t="shared" si="184"/>
        <v>2.4763255739212795</v>
      </c>
    </row>
    <row r="2899" spans="1:8" x14ac:dyDescent="0.25">
      <c r="A2899" t="str">
        <f t="shared" si="182"/>
        <v>Multihop,STnet,100</v>
      </c>
      <c r="B2899" t="s">
        <v>34</v>
      </c>
      <c r="C2899" t="s">
        <v>5</v>
      </c>
      <c r="D2899">
        <v>100</v>
      </c>
      <c r="E2899">
        <v>179.90700000000001</v>
      </c>
      <c r="F2899">
        <f t="shared" si="181"/>
        <v>176</v>
      </c>
      <c r="G2899">
        <f t="shared" si="183"/>
        <v>2.2198863636363697</v>
      </c>
      <c r="H2899">
        <f t="shared" si="184"/>
        <v>2.1716775889765323</v>
      </c>
    </row>
    <row r="2900" spans="1:8" x14ac:dyDescent="0.25">
      <c r="A2900" t="str">
        <f t="shared" si="182"/>
        <v>Multihop,STnet,100</v>
      </c>
      <c r="B2900" t="s">
        <v>34</v>
      </c>
      <c r="C2900" t="s">
        <v>5</v>
      </c>
      <c r="D2900">
        <v>100</v>
      </c>
      <c r="E2900">
        <v>176.64400000000001</v>
      </c>
      <c r="F2900">
        <f t="shared" si="181"/>
        <v>176</v>
      </c>
      <c r="G2900">
        <f t="shared" si="183"/>
        <v>0.36590909090909401</v>
      </c>
      <c r="H2900">
        <f t="shared" si="184"/>
        <v>0.36457507755712365</v>
      </c>
    </row>
    <row r="2901" spans="1:8" x14ac:dyDescent="0.25">
      <c r="A2901" t="str">
        <f t="shared" si="182"/>
        <v>Multihop,STnet,100</v>
      </c>
      <c r="B2901" t="s">
        <v>34</v>
      </c>
      <c r="C2901" t="s">
        <v>5</v>
      </c>
      <c r="D2901">
        <v>100</v>
      </c>
      <c r="E2901">
        <v>178.154</v>
      </c>
      <c r="F2901">
        <f t="shared" si="181"/>
        <v>176</v>
      </c>
      <c r="G2901">
        <f t="shared" si="183"/>
        <v>1.2238636363636342</v>
      </c>
      <c r="H2901">
        <f t="shared" si="184"/>
        <v>1.2090663134142352</v>
      </c>
    </row>
    <row r="2902" spans="1:8" x14ac:dyDescent="0.25">
      <c r="A2902" t="str">
        <f t="shared" si="182"/>
        <v>Multihop,STnet,100</v>
      </c>
      <c r="B2902" t="s">
        <v>34</v>
      </c>
      <c r="C2902" t="s">
        <v>5</v>
      </c>
      <c r="D2902">
        <v>100</v>
      </c>
      <c r="E2902">
        <v>165.279</v>
      </c>
      <c r="F2902">
        <f t="shared" si="181"/>
        <v>176</v>
      </c>
      <c r="G2902">
        <f t="shared" si="183"/>
        <v>6.0914772727272748</v>
      </c>
      <c r="H2902">
        <f t="shared" si="184"/>
        <v>6.4866074939950042</v>
      </c>
    </row>
    <row r="2903" spans="1:8" x14ac:dyDescent="0.25">
      <c r="A2903" t="str">
        <f t="shared" si="182"/>
        <v>Multihop,STnet,120</v>
      </c>
      <c r="B2903" t="s">
        <v>34</v>
      </c>
      <c r="C2903" t="s">
        <v>5</v>
      </c>
      <c r="D2903">
        <v>120</v>
      </c>
      <c r="E2903">
        <v>233.87799999999999</v>
      </c>
      <c r="F2903" t="e">
        <f t="shared" si="181"/>
        <v>#N/A</v>
      </c>
      <c r="G2903" t="e">
        <f t="shared" si="183"/>
        <v>#N/A</v>
      </c>
      <c r="H2903" t="e">
        <f t="shared" si="184"/>
        <v>#N/A</v>
      </c>
    </row>
    <row r="2904" spans="1:8" x14ac:dyDescent="0.25">
      <c r="A2904" t="str">
        <f t="shared" si="182"/>
        <v>Multihop,STnet,120</v>
      </c>
      <c r="B2904" t="s">
        <v>34</v>
      </c>
      <c r="C2904" t="s">
        <v>5</v>
      </c>
      <c r="D2904">
        <v>120</v>
      </c>
      <c r="E2904">
        <v>187.036</v>
      </c>
      <c r="F2904" t="e">
        <f t="shared" si="181"/>
        <v>#N/A</v>
      </c>
      <c r="G2904" t="e">
        <f t="shared" si="183"/>
        <v>#N/A</v>
      </c>
      <c r="H2904" t="e">
        <f t="shared" si="184"/>
        <v>#N/A</v>
      </c>
    </row>
    <row r="2905" spans="1:8" x14ac:dyDescent="0.25">
      <c r="A2905" t="str">
        <f t="shared" si="182"/>
        <v>Multihop,STnet,120</v>
      </c>
      <c r="B2905" t="s">
        <v>34</v>
      </c>
      <c r="C2905" t="s">
        <v>5</v>
      </c>
      <c r="D2905">
        <v>120</v>
      </c>
      <c r="E2905">
        <v>206.148</v>
      </c>
      <c r="F2905" t="e">
        <f t="shared" si="181"/>
        <v>#N/A</v>
      </c>
      <c r="G2905" t="e">
        <f t="shared" si="183"/>
        <v>#N/A</v>
      </c>
      <c r="H2905" t="e">
        <f t="shared" si="184"/>
        <v>#N/A</v>
      </c>
    </row>
    <row r="2906" spans="1:8" x14ac:dyDescent="0.25">
      <c r="A2906" t="str">
        <f t="shared" si="182"/>
        <v>Multihop,STnet,120</v>
      </c>
      <c r="B2906" t="s">
        <v>34</v>
      </c>
      <c r="C2906" t="s">
        <v>5</v>
      </c>
      <c r="D2906">
        <v>120</v>
      </c>
      <c r="E2906">
        <v>176.27600000000001</v>
      </c>
      <c r="F2906" t="e">
        <f t="shared" si="181"/>
        <v>#N/A</v>
      </c>
      <c r="G2906" t="e">
        <f t="shared" si="183"/>
        <v>#N/A</v>
      </c>
      <c r="H2906" t="e">
        <f t="shared" si="184"/>
        <v>#N/A</v>
      </c>
    </row>
    <row r="2907" spans="1:8" x14ac:dyDescent="0.25">
      <c r="A2907" t="str">
        <f t="shared" si="182"/>
        <v>Multihop,STnet,120</v>
      </c>
      <c r="B2907" t="s">
        <v>34</v>
      </c>
      <c r="C2907" t="s">
        <v>5</v>
      </c>
      <c r="D2907">
        <v>120</v>
      </c>
      <c r="E2907">
        <v>189.37</v>
      </c>
      <c r="F2907" t="e">
        <f t="shared" si="181"/>
        <v>#N/A</v>
      </c>
      <c r="G2907" t="e">
        <f t="shared" si="183"/>
        <v>#N/A</v>
      </c>
      <c r="H2907" t="e">
        <f t="shared" si="184"/>
        <v>#N/A</v>
      </c>
    </row>
    <row r="2908" spans="1:8" x14ac:dyDescent="0.25">
      <c r="A2908" t="str">
        <f t="shared" si="182"/>
        <v>Multihop,STnet,120</v>
      </c>
      <c r="B2908" t="s">
        <v>34</v>
      </c>
      <c r="C2908" t="s">
        <v>5</v>
      </c>
      <c r="D2908">
        <v>120</v>
      </c>
      <c r="E2908">
        <v>170.86199999999999</v>
      </c>
      <c r="F2908" t="e">
        <f t="shared" si="181"/>
        <v>#N/A</v>
      </c>
      <c r="G2908" t="e">
        <f t="shared" si="183"/>
        <v>#N/A</v>
      </c>
      <c r="H2908" t="e">
        <f t="shared" si="184"/>
        <v>#N/A</v>
      </c>
    </row>
    <row r="2909" spans="1:8" x14ac:dyDescent="0.25">
      <c r="A2909" t="str">
        <f t="shared" si="182"/>
        <v>Multihop,STnet,120</v>
      </c>
      <c r="B2909" t="s">
        <v>34</v>
      </c>
      <c r="C2909" t="s">
        <v>5</v>
      </c>
      <c r="D2909">
        <v>120</v>
      </c>
      <c r="E2909">
        <v>251.077</v>
      </c>
      <c r="F2909" t="e">
        <f t="shared" si="181"/>
        <v>#N/A</v>
      </c>
      <c r="G2909" t="e">
        <f t="shared" si="183"/>
        <v>#N/A</v>
      </c>
      <c r="H2909" t="e">
        <f t="shared" si="184"/>
        <v>#N/A</v>
      </c>
    </row>
    <row r="2910" spans="1:8" x14ac:dyDescent="0.25">
      <c r="A2910" t="str">
        <f t="shared" si="182"/>
        <v>Multihop,STnet,120</v>
      </c>
      <c r="B2910" t="s">
        <v>34</v>
      </c>
      <c r="C2910" t="s">
        <v>5</v>
      </c>
      <c r="D2910">
        <v>120</v>
      </c>
      <c r="E2910">
        <v>164.571</v>
      </c>
      <c r="F2910" t="e">
        <f t="shared" si="181"/>
        <v>#N/A</v>
      </c>
      <c r="G2910" t="e">
        <f t="shared" si="183"/>
        <v>#N/A</v>
      </c>
      <c r="H2910" t="e">
        <f t="shared" si="184"/>
        <v>#N/A</v>
      </c>
    </row>
    <row r="2911" spans="1:8" x14ac:dyDescent="0.25">
      <c r="A2911" t="str">
        <f t="shared" si="182"/>
        <v>Multihop,STnet,120</v>
      </c>
      <c r="B2911" t="s">
        <v>34</v>
      </c>
      <c r="C2911" t="s">
        <v>5</v>
      </c>
      <c r="D2911">
        <v>120</v>
      </c>
      <c r="E2911">
        <v>216.71100000000001</v>
      </c>
      <c r="F2911" t="e">
        <f t="shared" si="181"/>
        <v>#N/A</v>
      </c>
      <c r="G2911" t="e">
        <f t="shared" si="183"/>
        <v>#N/A</v>
      </c>
      <c r="H2911" t="e">
        <f t="shared" si="184"/>
        <v>#N/A</v>
      </c>
    </row>
    <row r="2912" spans="1:8" x14ac:dyDescent="0.25">
      <c r="A2912" t="str">
        <f t="shared" si="182"/>
        <v>Multihop,STnet,120</v>
      </c>
      <c r="B2912" t="s">
        <v>34</v>
      </c>
      <c r="C2912" t="s">
        <v>5</v>
      </c>
      <c r="D2912">
        <v>120</v>
      </c>
      <c r="E2912">
        <v>210.334</v>
      </c>
      <c r="F2912" t="e">
        <f t="shared" si="181"/>
        <v>#N/A</v>
      </c>
      <c r="G2912" t="e">
        <f t="shared" si="183"/>
        <v>#N/A</v>
      </c>
      <c r="H2912" t="e">
        <f t="shared" si="184"/>
        <v>#N/A</v>
      </c>
    </row>
    <row r="2913" spans="1:8" x14ac:dyDescent="0.25">
      <c r="A2913" t="str">
        <f t="shared" si="182"/>
        <v>Multihop,STnet,120</v>
      </c>
      <c r="B2913" t="s">
        <v>34</v>
      </c>
      <c r="C2913" t="s">
        <v>5</v>
      </c>
      <c r="D2913">
        <v>120</v>
      </c>
      <c r="E2913">
        <v>225.62200000000001</v>
      </c>
      <c r="F2913" t="e">
        <f t="shared" si="181"/>
        <v>#N/A</v>
      </c>
      <c r="G2913" t="e">
        <f t="shared" si="183"/>
        <v>#N/A</v>
      </c>
      <c r="H2913" t="e">
        <f t="shared" si="184"/>
        <v>#N/A</v>
      </c>
    </row>
    <row r="2914" spans="1:8" x14ac:dyDescent="0.25">
      <c r="A2914" t="str">
        <f t="shared" si="182"/>
        <v>Multihop,STnet,120</v>
      </c>
      <c r="B2914" t="s">
        <v>34</v>
      </c>
      <c r="C2914" t="s">
        <v>5</v>
      </c>
      <c r="D2914">
        <v>120</v>
      </c>
      <c r="E2914">
        <v>185.15899999999999</v>
      </c>
      <c r="F2914" t="e">
        <f t="shared" si="181"/>
        <v>#N/A</v>
      </c>
      <c r="G2914" t="e">
        <f t="shared" si="183"/>
        <v>#N/A</v>
      </c>
      <c r="H2914" t="e">
        <f t="shared" si="184"/>
        <v>#N/A</v>
      </c>
    </row>
    <row r="2915" spans="1:8" x14ac:dyDescent="0.25">
      <c r="A2915" t="str">
        <f t="shared" si="182"/>
        <v>Multihop,STnet,120</v>
      </c>
      <c r="B2915" t="s">
        <v>34</v>
      </c>
      <c r="C2915" t="s">
        <v>5</v>
      </c>
      <c r="D2915">
        <v>120</v>
      </c>
      <c r="E2915">
        <v>183.30699999999999</v>
      </c>
      <c r="F2915" t="e">
        <f t="shared" si="181"/>
        <v>#N/A</v>
      </c>
      <c r="G2915" t="e">
        <f t="shared" si="183"/>
        <v>#N/A</v>
      </c>
      <c r="H2915" t="e">
        <f t="shared" si="184"/>
        <v>#N/A</v>
      </c>
    </row>
    <row r="2916" spans="1:8" x14ac:dyDescent="0.25">
      <c r="A2916" t="str">
        <f t="shared" si="182"/>
        <v>Multihop,STnet,120</v>
      </c>
      <c r="B2916" t="s">
        <v>34</v>
      </c>
      <c r="C2916" t="s">
        <v>5</v>
      </c>
      <c r="D2916">
        <v>120</v>
      </c>
      <c r="E2916">
        <v>179.43</v>
      </c>
      <c r="F2916" t="e">
        <f t="shared" si="181"/>
        <v>#N/A</v>
      </c>
      <c r="G2916" t="e">
        <f t="shared" si="183"/>
        <v>#N/A</v>
      </c>
      <c r="H2916" t="e">
        <f t="shared" si="184"/>
        <v>#N/A</v>
      </c>
    </row>
    <row r="2917" spans="1:8" x14ac:dyDescent="0.25">
      <c r="A2917" t="str">
        <f t="shared" si="182"/>
        <v>Multihop,STnet,120</v>
      </c>
      <c r="B2917" t="s">
        <v>34</v>
      </c>
      <c r="C2917" t="s">
        <v>5</v>
      </c>
      <c r="D2917">
        <v>120</v>
      </c>
      <c r="E2917">
        <v>213.70699999999999</v>
      </c>
      <c r="F2917" t="e">
        <f t="shared" si="181"/>
        <v>#N/A</v>
      </c>
      <c r="G2917" t="e">
        <f t="shared" si="183"/>
        <v>#N/A</v>
      </c>
      <c r="H2917" t="e">
        <f t="shared" si="184"/>
        <v>#N/A</v>
      </c>
    </row>
    <row r="2918" spans="1:8" x14ac:dyDescent="0.25">
      <c r="A2918" t="str">
        <f t="shared" si="182"/>
        <v>Multihop,STnet,120</v>
      </c>
      <c r="B2918" t="s">
        <v>34</v>
      </c>
      <c r="C2918" t="s">
        <v>5</v>
      </c>
      <c r="D2918">
        <v>120</v>
      </c>
      <c r="E2918">
        <v>199.839</v>
      </c>
      <c r="F2918" t="e">
        <f t="shared" si="181"/>
        <v>#N/A</v>
      </c>
      <c r="G2918" t="e">
        <f t="shared" si="183"/>
        <v>#N/A</v>
      </c>
      <c r="H2918" t="e">
        <f t="shared" si="184"/>
        <v>#N/A</v>
      </c>
    </row>
    <row r="2919" spans="1:8" x14ac:dyDescent="0.25">
      <c r="A2919" t="str">
        <f t="shared" si="182"/>
        <v>Multihop,STnet,120</v>
      </c>
      <c r="B2919" t="s">
        <v>34</v>
      </c>
      <c r="C2919" t="s">
        <v>5</v>
      </c>
      <c r="D2919">
        <v>120</v>
      </c>
      <c r="E2919">
        <v>212.05799999999999</v>
      </c>
      <c r="F2919" t="e">
        <f t="shared" si="181"/>
        <v>#N/A</v>
      </c>
      <c r="G2919" t="e">
        <f t="shared" si="183"/>
        <v>#N/A</v>
      </c>
      <c r="H2919" t="e">
        <f t="shared" si="184"/>
        <v>#N/A</v>
      </c>
    </row>
    <row r="2920" spans="1:8" x14ac:dyDescent="0.25">
      <c r="A2920" t="str">
        <f t="shared" si="182"/>
        <v>Multihop,STnet,120</v>
      </c>
      <c r="B2920" t="s">
        <v>34</v>
      </c>
      <c r="C2920" t="s">
        <v>5</v>
      </c>
      <c r="D2920">
        <v>120</v>
      </c>
      <c r="E2920">
        <v>208.637</v>
      </c>
      <c r="F2920" t="e">
        <f t="shared" si="181"/>
        <v>#N/A</v>
      </c>
      <c r="G2920" t="e">
        <f t="shared" si="183"/>
        <v>#N/A</v>
      </c>
      <c r="H2920" t="e">
        <f t="shared" si="184"/>
        <v>#N/A</v>
      </c>
    </row>
    <row r="2921" spans="1:8" x14ac:dyDescent="0.25">
      <c r="A2921" t="str">
        <f t="shared" si="182"/>
        <v>Multihop,STnet,120</v>
      </c>
      <c r="B2921" t="s">
        <v>34</v>
      </c>
      <c r="C2921" t="s">
        <v>5</v>
      </c>
      <c r="D2921">
        <v>120</v>
      </c>
      <c r="E2921">
        <v>219.64699999999999</v>
      </c>
      <c r="F2921" t="e">
        <f t="shared" si="181"/>
        <v>#N/A</v>
      </c>
      <c r="G2921" t="e">
        <f t="shared" si="183"/>
        <v>#N/A</v>
      </c>
      <c r="H2921" t="e">
        <f t="shared" si="184"/>
        <v>#N/A</v>
      </c>
    </row>
    <row r="2922" spans="1:8" x14ac:dyDescent="0.25">
      <c r="A2922" t="str">
        <f t="shared" si="182"/>
        <v>Multihop,STnet,120</v>
      </c>
      <c r="B2922" t="s">
        <v>34</v>
      </c>
      <c r="C2922" t="s">
        <v>5</v>
      </c>
      <c r="D2922">
        <v>120</v>
      </c>
      <c r="E2922">
        <v>222.351</v>
      </c>
      <c r="F2922" t="e">
        <f t="shared" si="181"/>
        <v>#N/A</v>
      </c>
      <c r="G2922" t="e">
        <f t="shared" si="183"/>
        <v>#N/A</v>
      </c>
      <c r="H2922" t="e">
        <f t="shared" si="184"/>
        <v>#N/A</v>
      </c>
    </row>
    <row r="2923" spans="1:8" x14ac:dyDescent="0.25">
      <c r="A2923" t="str">
        <f t="shared" si="182"/>
        <v>Multihop,STnet,120</v>
      </c>
      <c r="B2923" t="s">
        <v>34</v>
      </c>
      <c r="C2923" t="s">
        <v>5</v>
      </c>
      <c r="D2923">
        <v>120</v>
      </c>
      <c r="E2923">
        <v>218.85300000000001</v>
      </c>
      <c r="F2923" t="e">
        <f t="shared" si="181"/>
        <v>#N/A</v>
      </c>
      <c r="G2923" t="e">
        <f t="shared" si="183"/>
        <v>#N/A</v>
      </c>
      <c r="H2923" t="e">
        <f t="shared" si="184"/>
        <v>#N/A</v>
      </c>
    </row>
    <row r="2924" spans="1:8" x14ac:dyDescent="0.25">
      <c r="A2924" t="str">
        <f t="shared" si="182"/>
        <v>Multihop,STnet,120</v>
      </c>
      <c r="B2924" t="s">
        <v>34</v>
      </c>
      <c r="C2924" t="s">
        <v>5</v>
      </c>
      <c r="D2924">
        <v>120</v>
      </c>
      <c r="E2924">
        <v>233.321</v>
      </c>
      <c r="F2924" t="e">
        <f t="shared" si="181"/>
        <v>#N/A</v>
      </c>
      <c r="G2924" t="e">
        <f t="shared" si="183"/>
        <v>#N/A</v>
      </c>
      <c r="H2924" t="e">
        <f t="shared" si="184"/>
        <v>#N/A</v>
      </c>
    </row>
    <row r="2925" spans="1:8" x14ac:dyDescent="0.25">
      <c r="A2925" t="str">
        <f t="shared" si="182"/>
        <v>Multihop,STnet,120</v>
      </c>
      <c r="B2925" t="s">
        <v>34</v>
      </c>
      <c r="C2925" t="s">
        <v>5</v>
      </c>
      <c r="D2925">
        <v>120</v>
      </c>
      <c r="E2925">
        <v>220.131</v>
      </c>
      <c r="F2925" t="e">
        <f t="shared" si="181"/>
        <v>#N/A</v>
      </c>
      <c r="G2925" t="e">
        <f t="shared" si="183"/>
        <v>#N/A</v>
      </c>
      <c r="H2925" t="e">
        <f t="shared" si="184"/>
        <v>#N/A</v>
      </c>
    </row>
    <row r="2926" spans="1:8" x14ac:dyDescent="0.25">
      <c r="A2926" t="str">
        <f t="shared" si="182"/>
        <v>Multihop,STnet,120</v>
      </c>
      <c r="B2926" t="s">
        <v>34</v>
      </c>
      <c r="C2926" t="s">
        <v>5</v>
      </c>
      <c r="D2926">
        <v>120</v>
      </c>
      <c r="E2926">
        <v>171.76499999999999</v>
      </c>
      <c r="F2926" t="e">
        <f t="shared" si="181"/>
        <v>#N/A</v>
      </c>
      <c r="G2926" t="e">
        <f t="shared" si="183"/>
        <v>#N/A</v>
      </c>
      <c r="H2926" t="e">
        <f t="shared" si="184"/>
        <v>#N/A</v>
      </c>
    </row>
    <row r="2927" spans="1:8" x14ac:dyDescent="0.25">
      <c r="A2927" t="str">
        <f t="shared" si="182"/>
        <v>Multihop,STnet,120</v>
      </c>
      <c r="B2927" t="s">
        <v>34</v>
      </c>
      <c r="C2927" t="s">
        <v>5</v>
      </c>
      <c r="D2927">
        <v>120</v>
      </c>
      <c r="E2927">
        <v>202.85599999999999</v>
      </c>
      <c r="F2927" t="e">
        <f t="shared" si="181"/>
        <v>#N/A</v>
      </c>
      <c r="G2927" t="e">
        <f t="shared" si="183"/>
        <v>#N/A</v>
      </c>
      <c r="H2927" t="e">
        <f t="shared" si="184"/>
        <v>#N/A</v>
      </c>
    </row>
    <row r="2928" spans="1:8" x14ac:dyDescent="0.25">
      <c r="A2928" t="str">
        <f t="shared" si="182"/>
        <v>Multihop,STnet,120</v>
      </c>
      <c r="B2928" t="s">
        <v>34</v>
      </c>
      <c r="C2928" t="s">
        <v>5</v>
      </c>
      <c r="D2928">
        <v>120</v>
      </c>
      <c r="E2928">
        <v>216.392</v>
      </c>
      <c r="F2928" t="e">
        <f t="shared" si="181"/>
        <v>#N/A</v>
      </c>
      <c r="G2928" t="e">
        <f t="shared" si="183"/>
        <v>#N/A</v>
      </c>
      <c r="H2928" t="e">
        <f t="shared" si="184"/>
        <v>#N/A</v>
      </c>
    </row>
    <row r="2929" spans="1:8" x14ac:dyDescent="0.25">
      <c r="A2929" t="str">
        <f t="shared" si="182"/>
        <v>Multihop,STnet,120</v>
      </c>
      <c r="B2929" t="s">
        <v>34</v>
      </c>
      <c r="C2929" t="s">
        <v>5</v>
      </c>
      <c r="D2929">
        <v>120</v>
      </c>
      <c r="E2929">
        <v>196.49199999999999</v>
      </c>
      <c r="F2929" t="e">
        <f t="shared" si="181"/>
        <v>#N/A</v>
      </c>
      <c r="G2929" t="e">
        <f t="shared" si="183"/>
        <v>#N/A</v>
      </c>
      <c r="H2929" t="e">
        <f t="shared" si="184"/>
        <v>#N/A</v>
      </c>
    </row>
    <row r="2930" spans="1:8" x14ac:dyDescent="0.25">
      <c r="A2930" t="str">
        <f t="shared" si="182"/>
        <v>Multihop,STnet,120</v>
      </c>
      <c r="B2930" t="s">
        <v>34</v>
      </c>
      <c r="C2930" t="s">
        <v>5</v>
      </c>
      <c r="D2930">
        <v>120</v>
      </c>
      <c r="E2930">
        <v>223.87799999999999</v>
      </c>
      <c r="F2930" t="e">
        <f t="shared" si="181"/>
        <v>#N/A</v>
      </c>
      <c r="G2930" t="e">
        <f t="shared" si="183"/>
        <v>#N/A</v>
      </c>
      <c r="H2930" t="e">
        <f t="shared" si="184"/>
        <v>#N/A</v>
      </c>
    </row>
    <row r="2931" spans="1:8" x14ac:dyDescent="0.25">
      <c r="A2931" t="str">
        <f t="shared" si="182"/>
        <v>Multihop,STnet,120</v>
      </c>
      <c r="B2931" t="s">
        <v>34</v>
      </c>
      <c r="C2931" t="s">
        <v>5</v>
      </c>
      <c r="D2931">
        <v>120</v>
      </c>
      <c r="E2931">
        <v>222.86099999999999</v>
      </c>
      <c r="F2931" t="e">
        <f t="shared" si="181"/>
        <v>#N/A</v>
      </c>
      <c r="G2931" t="e">
        <f t="shared" si="183"/>
        <v>#N/A</v>
      </c>
      <c r="H2931" t="e">
        <f t="shared" si="184"/>
        <v>#N/A</v>
      </c>
    </row>
    <row r="2932" spans="1:8" x14ac:dyDescent="0.25">
      <c r="A2932" t="str">
        <f t="shared" si="182"/>
        <v>Multihop,STnet,120</v>
      </c>
      <c r="B2932" t="s">
        <v>34</v>
      </c>
      <c r="C2932" t="s">
        <v>5</v>
      </c>
      <c r="D2932">
        <v>120</v>
      </c>
      <c r="E2932">
        <v>240.72900000000001</v>
      </c>
      <c r="F2932" t="e">
        <f t="shared" si="181"/>
        <v>#N/A</v>
      </c>
      <c r="G2932" t="e">
        <f t="shared" si="183"/>
        <v>#N/A</v>
      </c>
      <c r="H2932" t="e">
        <f t="shared" si="184"/>
        <v>#N/A</v>
      </c>
    </row>
    <row r="2933" spans="1:8" x14ac:dyDescent="0.25">
      <c r="A2933" t="str">
        <f t="shared" si="182"/>
        <v>Multihop,STnet,120</v>
      </c>
      <c r="B2933" t="s">
        <v>34</v>
      </c>
      <c r="C2933" t="s">
        <v>5</v>
      </c>
      <c r="D2933">
        <v>120</v>
      </c>
      <c r="E2933">
        <v>218.41499999999999</v>
      </c>
      <c r="F2933" t="e">
        <f t="shared" si="181"/>
        <v>#N/A</v>
      </c>
      <c r="G2933" t="e">
        <f t="shared" si="183"/>
        <v>#N/A</v>
      </c>
      <c r="H2933" t="e">
        <f t="shared" si="184"/>
        <v>#N/A</v>
      </c>
    </row>
    <row r="2934" spans="1:8" x14ac:dyDescent="0.25">
      <c r="A2934" t="str">
        <f t="shared" si="182"/>
        <v>Multihop,STnet,120</v>
      </c>
      <c r="B2934" t="s">
        <v>34</v>
      </c>
      <c r="C2934" t="s">
        <v>5</v>
      </c>
      <c r="D2934">
        <v>120</v>
      </c>
      <c r="E2934">
        <v>198.94</v>
      </c>
      <c r="F2934" t="e">
        <f t="shared" si="181"/>
        <v>#N/A</v>
      </c>
      <c r="G2934" t="e">
        <f t="shared" si="183"/>
        <v>#N/A</v>
      </c>
      <c r="H2934" t="e">
        <f t="shared" si="184"/>
        <v>#N/A</v>
      </c>
    </row>
    <row r="2935" spans="1:8" x14ac:dyDescent="0.25">
      <c r="A2935" t="str">
        <f t="shared" si="182"/>
        <v>Multihop,STnet,120</v>
      </c>
      <c r="B2935" t="s">
        <v>34</v>
      </c>
      <c r="C2935" t="s">
        <v>5</v>
      </c>
      <c r="D2935">
        <v>120</v>
      </c>
      <c r="E2935">
        <v>202.102</v>
      </c>
      <c r="F2935" t="e">
        <f t="shared" si="181"/>
        <v>#N/A</v>
      </c>
      <c r="G2935" t="e">
        <f t="shared" si="183"/>
        <v>#N/A</v>
      </c>
      <c r="H2935" t="e">
        <f t="shared" si="184"/>
        <v>#N/A</v>
      </c>
    </row>
    <row r="2936" spans="1:8" x14ac:dyDescent="0.25">
      <c r="A2936" t="str">
        <f t="shared" si="182"/>
        <v>Multihop,STnet,120</v>
      </c>
      <c r="B2936" t="s">
        <v>34</v>
      </c>
      <c r="C2936" t="s">
        <v>5</v>
      </c>
      <c r="D2936">
        <v>120</v>
      </c>
      <c r="E2936">
        <v>208.929</v>
      </c>
      <c r="F2936" t="e">
        <f t="shared" si="181"/>
        <v>#N/A</v>
      </c>
      <c r="G2936" t="e">
        <f t="shared" si="183"/>
        <v>#N/A</v>
      </c>
      <c r="H2936" t="e">
        <f t="shared" si="184"/>
        <v>#N/A</v>
      </c>
    </row>
    <row r="2937" spans="1:8" x14ac:dyDescent="0.25">
      <c r="A2937" t="str">
        <f t="shared" si="182"/>
        <v>Multihop,STnet,120</v>
      </c>
      <c r="B2937" t="s">
        <v>34</v>
      </c>
      <c r="C2937" t="s">
        <v>5</v>
      </c>
      <c r="D2937">
        <v>120</v>
      </c>
      <c r="E2937">
        <v>199.977</v>
      </c>
      <c r="F2937" t="e">
        <f t="shared" si="181"/>
        <v>#N/A</v>
      </c>
      <c r="G2937" t="e">
        <f t="shared" si="183"/>
        <v>#N/A</v>
      </c>
      <c r="H2937" t="e">
        <f t="shared" si="184"/>
        <v>#N/A</v>
      </c>
    </row>
    <row r="2938" spans="1:8" x14ac:dyDescent="0.25">
      <c r="A2938" t="str">
        <f t="shared" si="182"/>
        <v>Multihop,STnet,120</v>
      </c>
      <c r="B2938" t="s">
        <v>34</v>
      </c>
      <c r="C2938" t="s">
        <v>5</v>
      </c>
      <c r="D2938">
        <v>120</v>
      </c>
      <c r="E2938">
        <v>231.93100000000001</v>
      </c>
      <c r="F2938" t="e">
        <f t="shared" si="181"/>
        <v>#N/A</v>
      </c>
      <c r="G2938" t="e">
        <f t="shared" si="183"/>
        <v>#N/A</v>
      </c>
      <c r="H2938" t="e">
        <f t="shared" si="184"/>
        <v>#N/A</v>
      </c>
    </row>
    <row r="2939" spans="1:8" x14ac:dyDescent="0.25">
      <c r="A2939" t="str">
        <f t="shared" si="182"/>
        <v>Multihop,STnet,120</v>
      </c>
      <c r="B2939" t="s">
        <v>34</v>
      </c>
      <c r="C2939" t="s">
        <v>5</v>
      </c>
      <c r="D2939">
        <v>120</v>
      </c>
      <c r="E2939">
        <v>193.56399999999999</v>
      </c>
      <c r="F2939" t="e">
        <f t="shared" si="181"/>
        <v>#N/A</v>
      </c>
      <c r="G2939" t="e">
        <f t="shared" si="183"/>
        <v>#N/A</v>
      </c>
      <c r="H2939" t="e">
        <f t="shared" si="184"/>
        <v>#N/A</v>
      </c>
    </row>
    <row r="2940" spans="1:8" x14ac:dyDescent="0.25">
      <c r="A2940" t="str">
        <f t="shared" si="182"/>
        <v>Multihop,STnet,120</v>
      </c>
      <c r="B2940" t="s">
        <v>34</v>
      </c>
      <c r="C2940" t="s">
        <v>5</v>
      </c>
      <c r="D2940">
        <v>120</v>
      </c>
      <c r="E2940">
        <v>171.20699999999999</v>
      </c>
      <c r="F2940" t="e">
        <f t="shared" si="181"/>
        <v>#N/A</v>
      </c>
      <c r="G2940" t="e">
        <f t="shared" si="183"/>
        <v>#N/A</v>
      </c>
      <c r="H2940" t="e">
        <f t="shared" si="184"/>
        <v>#N/A</v>
      </c>
    </row>
    <row r="2941" spans="1:8" x14ac:dyDescent="0.25">
      <c r="A2941" t="str">
        <f t="shared" si="182"/>
        <v>Multihop,STnet,120</v>
      </c>
      <c r="B2941" t="s">
        <v>34</v>
      </c>
      <c r="C2941" t="s">
        <v>5</v>
      </c>
      <c r="D2941">
        <v>120</v>
      </c>
      <c r="E2941">
        <v>196.56399999999999</v>
      </c>
      <c r="F2941" t="e">
        <f t="shared" si="181"/>
        <v>#N/A</v>
      </c>
      <c r="G2941" t="e">
        <f t="shared" si="183"/>
        <v>#N/A</v>
      </c>
      <c r="H2941" t="e">
        <f t="shared" si="184"/>
        <v>#N/A</v>
      </c>
    </row>
    <row r="2942" spans="1:8" x14ac:dyDescent="0.25">
      <c r="A2942" t="str">
        <f t="shared" si="182"/>
        <v>Multihop,STnet,120</v>
      </c>
      <c r="B2942" t="s">
        <v>34</v>
      </c>
      <c r="C2942" t="s">
        <v>5</v>
      </c>
      <c r="D2942">
        <v>120</v>
      </c>
      <c r="E2942">
        <v>224.899</v>
      </c>
      <c r="F2942" t="e">
        <f t="shared" si="181"/>
        <v>#N/A</v>
      </c>
      <c r="G2942" t="e">
        <f t="shared" si="183"/>
        <v>#N/A</v>
      </c>
      <c r="H2942" t="e">
        <f t="shared" si="184"/>
        <v>#N/A</v>
      </c>
    </row>
    <row r="2943" spans="1:8" x14ac:dyDescent="0.25">
      <c r="A2943" t="str">
        <f t="shared" si="182"/>
        <v>Multihop,STnet,120</v>
      </c>
      <c r="B2943" t="s">
        <v>34</v>
      </c>
      <c r="C2943" t="s">
        <v>5</v>
      </c>
      <c r="D2943">
        <v>120</v>
      </c>
      <c r="E2943">
        <v>185.93299999999999</v>
      </c>
      <c r="F2943" t="e">
        <f t="shared" si="181"/>
        <v>#N/A</v>
      </c>
      <c r="G2943" t="e">
        <f t="shared" si="183"/>
        <v>#N/A</v>
      </c>
      <c r="H2943" t="e">
        <f t="shared" si="184"/>
        <v>#N/A</v>
      </c>
    </row>
    <row r="2944" spans="1:8" x14ac:dyDescent="0.25">
      <c r="A2944" t="str">
        <f t="shared" si="182"/>
        <v>Multihop,STnet,120</v>
      </c>
      <c r="B2944" t="s">
        <v>34</v>
      </c>
      <c r="C2944" t="s">
        <v>5</v>
      </c>
      <c r="D2944">
        <v>120</v>
      </c>
      <c r="E2944">
        <v>222.63399999999999</v>
      </c>
      <c r="F2944" t="e">
        <f t="shared" si="181"/>
        <v>#N/A</v>
      </c>
      <c r="G2944" t="e">
        <f t="shared" si="183"/>
        <v>#N/A</v>
      </c>
      <c r="H2944" t="e">
        <f t="shared" si="184"/>
        <v>#N/A</v>
      </c>
    </row>
    <row r="2945" spans="1:8" x14ac:dyDescent="0.25">
      <c r="A2945" t="str">
        <f t="shared" si="182"/>
        <v>Multihop,STnet,120</v>
      </c>
      <c r="B2945" t="s">
        <v>34</v>
      </c>
      <c r="C2945" t="s">
        <v>5</v>
      </c>
      <c r="D2945">
        <v>120</v>
      </c>
      <c r="E2945">
        <v>215.316</v>
      </c>
      <c r="F2945" t="e">
        <f t="shared" si="181"/>
        <v>#N/A</v>
      </c>
      <c r="G2945" t="e">
        <f t="shared" si="183"/>
        <v>#N/A</v>
      </c>
      <c r="H2945" t="e">
        <f t="shared" si="184"/>
        <v>#N/A</v>
      </c>
    </row>
    <row r="2946" spans="1:8" x14ac:dyDescent="0.25">
      <c r="A2946" t="str">
        <f t="shared" si="182"/>
        <v>Multihop,STnet,120</v>
      </c>
      <c r="B2946" t="s">
        <v>34</v>
      </c>
      <c r="C2946" t="s">
        <v>5</v>
      </c>
      <c r="D2946">
        <v>120</v>
      </c>
      <c r="E2946">
        <v>218.90899999999999</v>
      </c>
      <c r="F2946" t="e">
        <f t="shared" si="181"/>
        <v>#N/A</v>
      </c>
      <c r="G2946" t="e">
        <f t="shared" si="183"/>
        <v>#N/A</v>
      </c>
      <c r="H2946" t="e">
        <f t="shared" si="184"/>
        <v>#N/A</v>
      </c>
    </row>
    <row r="2947" spans="1:8" x14ac:dyDescent="0.25">
      <c r="A2947" t="str">
        <f t="shared" si="182"/>
        <v>Multihop,STnet,120</v>
      </c>
      <c r="B2947" t="s">
        <v>34</v>
      </c>
      <c r="C2947" t="s">
        <v>5</v>
      </c>
      <c r="D2947">
        <v>120</v>
      </c>
      <c r="E2947">
        <v>189.24799999999999</v>
      </c>
      <c r="F2947" t="e">
        <f t="shared" ref="F2947:F3010" si="185">_xlfn.XLOOKUP(A2947,$J$3:$J$36,$N$3:$N$36)</f>
        <v>#N/A</v>
      </c>
      <c r="G2947" t="e">
        <f t="shared" si="183"/>
        <v>#N/A</v>
      </c>
      <c r="H2947" t="e">
        <f t="shared" si="184"/>
        <v>#N/A</v>
      </c>
    </row>
    <row r="2948" spans="1:8" x14ac:dyDescent="0.25">
      <c r="A2948" t="str">
        <f t="shared" ref="A2948:A3011" si="186">B2948&amp;","&amp;C2948&amp;","&amp;D2948</f>
        <v>Multihop,STnet,120</v>
      </c>
      <c r="B2948" t="s">
        <v>34</v>
      </c>
      <c r="C2948" t="s">
        <v>5</v>
      </c>
      <c r="D2948">
        <v>120</v>
      </c>
      <c r="E2948">
        <v>204.07499999999999</v>
      </c>
      <c r="F2948" t="e">
        <f t="shared" si="185"/>
        <v>#N/A</v>
      </c>
      <c r="G2948" t="e">
        <f t="shared" ref="G2948:G3011" si="187">ABS((E2948-F2948)/F2948)*100</f>
        <v>#N/A</v>
      </c>
      <c r="H2948" t="e">
        <f t="shared" ref="H2948:H3011" si="188">ABS((F2948-E2948)/E2948)*100</f>
        <v>#N/A</v>
      </c>
    </row>
    <row r="2949" spans="1:8" x14ac:dyDescent="0.25">
      <c r="A2949" t="str">
        <f t="shared" si="186"/>
        <v>Multihop,STnet,120</v>
      </c>
      <c r="B2949" t="s">
        <v>34</v>
      </c>
      <c r="C2949" t="s">
        <v>5</v>
      </c>
      <c r="D2949">
        <v>120</v>
      </c>
      <c r="E2949">
        <v>209.857</v>
      </c>
      <c r="F2949" t="e">
        <f t="shared" si="185"/>
        <v>#N/A</v>
      </c>
      <c r="G2949" t="e">
        <f t="shared" si="187"/>
        <v>#N/A</v>
      </c>
      <c r="H2949" t="e">
        <f t="shared" si="188"/>
        <v>#N/A</v>
      </c>
    </row>
    <row r="2950" spans="1:8" x14ac:dyDescent="0.25">
      <c r="A2950" t="str">
        <f t="shared" si="186"/>
        <v>Multihop,STnet,120</v>
      </c>
      <c r="B2950" t="s">
        <v>34</v>
      </c>
      <c r="C2950" t="s">
        <v>5</v>
      </c>
      <c r="D2950">
        <v>120</v>
      </c>
      <c r="E2950">
        <v>189.37</v>
      </c>
      <c r="F2950" t="e">
        <f t="shared" si="185"/>
        <v>#N/A</v>
      </c>
      <c r="G2950" t="e">
        <f t="shared" si="187"/>
        <v>#N/A</v>
      </c>
      <c r="H2950" t="e">
        <f t="shared" si="188"/>
        <v>#N/A</v>
      </c>
    </row>
    <row r="2951" spans="1:8" x14ac:dyDescent="0.25">
      <c r="A2951" t="str">
        <f t="shared" si="186"/>
        <v>Multihop,STnet,120</v>
      </c>
      <c r="B2951" t="s">
        <v>34</v>
      </c>
      <c r="C2951" t="s">
        <v>5</v>
      </c>
      <c r="D2951">
        <v>120</v>
      </c>
      <c r="E2951">
        <v>179.64400000000001</v>
      </c>
      <c r="F2951" t="e">
        <f t="shared" si="185"/>
        <v>#N/A</v>
      </c>
      <c r="G2951" t="e">
        <f t="shared" si="187"/>
        <v>#N/A</v>
      </c>
      <c r="H2951" t="e">
        <f t="shared" si="188"/>
        <v>#N/A</v>
      </c>
    </row>
    <row r="2952" spans="1:8" x14ac:dyDescent="0.25">
      <c r="A2952" t="str">
        <f t="shared" si="186"/>
        <v>Multihop,STnet,120</v>
      </c>
      <c r="B2952" t="s">
        <v>34</v>
      </c>
      <c r="C2952" t="s">
        <v>5</v>
      </c>
      <c r="D2952">
        <v>120</v>
      </c>
      <c r="E2952">
        <v>192.762</v>
      </c>
      <c r="F2952" t="e">
        <f t="shared" si="185"/>
        <v>#N/A</v>
      </c>
      <c r="G2952" t="e">
        <f t="shared" si="187"/>
        <v>#N/A</v>
      </c>
      <c r="H2952" t="e">
        <f t="shared" si="188"/>
        <v>#N/A</v>
      </c>
    </row>
    <row r="2953" spans="1:8" x14ac:dyDescent="0.25">
      <c r="A2953" t="str">
        <f t="shared" si="186"/>
        <v>Multihop,STnet,120</v>
      </c>
      <c r="B2953" t="s">
        <v>34</v>
      </c>
      <c r="C2953" t="s">
        <v>5</v>
      </c>
      <c r="D2953">
        <v>120</v>
      </c>
      <c r="E2953">
        <v>164.47</v>
      </c>
      <c r="F2953" t="e">
        <f t="shared" si="185"/>
        <v>#N/A</v>
      </c>
      <c r="G2953" t="e">
        <f t="shared" si="187"/>
        <v>#N/A</v>
      </c>
      <c r="H2953" t="e">
        <f t="shared" si="188"/>
        <v>#N/A</v>
      </c>
    </row>
    <row r="2954" spans="1:8" x14ac:dyDescent="0.25">
      <c r="A2954" t="str">
        <f t="shared" si="186"/>
        <v>Multihop,STnet,120</v>
      </c>
      <c r="B2954" t="s">
        <v>34</v>
      </c>
      <c r="C2954" t="s">
        <v>5</v>
      </c>
      <c r="D2954">
        <v>120</v>
      </c>
      <c r="E2954">
        <v>214.86099999999999</v>
      </c>
      <c r="F2954" t="e">
        <f t="shared" si="185"/>
        <v>#N/A</v>
      </c>
      <c r="G2954" t="e">
        <f t="shared" si="187"/>
        <v>#N/A</v>
      </c>
      <c r="H2954" t="e">
        <f t="shared" si="188"/>
        <v>#N/A</v>
      </c>
    </row>
    <row r="2955" spans="1:8" x14ac:dyDescent="0.25">
      <c r="A2955" t="str">
        <f t="shared" si="186"/>
        <v>Multihop,STnet,120</v>
      </c>
      <c r="B2955" t="s">
        <v>34</v>
      </c>
      <c r="C2955" t="s">
        <v>5</v>
      </c>
      <c r="D2955">
        <v>120</v>
      </c>
      <c r="E2955">
        <v>212.715</v>
      </c>
      <c r="F2955" t="e">
        <f t="shared" si="185"/>
        <v>#N/A</v>
      </c>
      <c r="G2955" t="e">
        <f t="shared" si="187"/>
        <v>#N/A</v>
      </c>
      <c r="H2955" t="e">
        <f t="shared" si="188"/>
        <v>#N/A</v>
      </c>
    </row>
    <row r="2956" spans="1:8" x14ac:dyDescent="0.25">
      <c r="A2956" t="str">
        <f t="shared" si="186"/>
        <v>Multihop,STnet,120</v>
      </c>
      <c r="B2956" t="s">
        <v>34</v>
      </c>
      <c r="C2956" t="s">
        <v>5</v>
      </c>
      <c r="D2956">
        <v>120</v>
      </c>
      <c r="E2956">
        <v>150.20599999999999</v>
      </c>
      <c r="F2956" t="e">
        <f t="shared" si="185"/>
        <v>#N/A</v>
      </c>
      <c r="G2956" t="e">
        <f t="shared" si="187"/>
        <v>#N/A</v>
      </c>
      <c r="H2956" t="e">
        <f t="shared" si="188"/>
        <v>#N/A</v>
      </c>
    </row>
    <row r="2957" spans="1:8" x14ac:dyDescent="0.25">
      <c r="A2957" t="str">
        <f t="shared" si="186"/>
        <v>Multihop,STnet,120</v>
      </c>
      <c r="B2957" t="s">
        <v>34</v>
      </c>
      <c r="C2957" t="s">
        <v>5</v>
      </c>
      <c r="D2957">
        <v>120</v>
      </c>
      <c r="E2957">
        <v>185.251</v>
      </c>
      <c r="F2957" t="e">
        <f t="shared" si="185"/>
        <v>#N/A</v>
      </c>
      <c r="G2957" t="e">
        <f t="shared" si="187"/>
        <v>#N/A</v>
      </c>
      <c r="H2957" t="e">
        <f t="shared" si="188"/>
        <v>#N/A</v>
      </c>
    </row>
    <row r="2958" spans="1:8" x14ac:dyDescent="0.25">
      <c r="A2958" t="str">
        <f t="shared" si="186"/>
        <v>Multihop,STnet,120</v>
      </c>
      <c r="B2958" t="s">
        <v>34</v>
      </c>
      <c r="C2958" t="s">
        <v>5</v>
      </c>
      <c r="D2958">
        <v>120</v>
      </c>
      <c r="E2958">
        <v>176.39699999999999</v>
      </c>
      <c r="F2958" t="e">
        <f t="shared" si="185"/>
        <v>#N/A</v>
      </c>
      <c r="G2958" t="e">
        <f t="shared" si="187"/>
        <v>#N/A</v>
      </c>
      <c r="H2958" t="e">
        <f t="shared" si="188"/>
        <v>#N/A</v>
      </c>
    </row>
    <row r="2959" spans="1:8" x14ac:dyDescent="0.25">
      <c r="A2959" t="str">
        <f t="shared" si="186"/>
        <v>Multihop,STnet,120</v>
      </c>
      <c r="B2959" t="s">
        <v>34</v>
      </c>
      <c r="C2959" t="s">
        <v>5</v>
      </c>
      <c r="D2959">
        <v>120</v>
      </c>
      <c r="E2959">
        <v>177.053</v>
      </c>
      <c r="F2959" t="e">
        <f t="shared" si="185"/>
        <v>#N/A</v>
      </c>
      <c r="G2959" t="e">
        <f t="shared" si="187"/>
        <v>#N/A</v>
      </c>
      <c r="H2959" t="e">
        <f t="shared" si="188"/>
        <v>#N/A</v>
      </c>
    </row>
    <row r="2960" spans="1:8" x14ac:dyDescent="0.25">
      <c r="A2960" t="str">
        <f t="shared" si="186"/>
        <v>Multihop,STnet,120</v>
      </c>
      <c r="B2960" t="s">
        <v>34</v>
      </c>
      <c r="C2960" t="s">
        <v>5</v>
      </c>
      <c r="D2960">
        <v>120</v>
      </c>
      <c r="E2960">
        <v>186.28399999999999</v>
      </c>
      <c r="F2960" t="e">
        <f t="shared" si="185"/>
        <v>#N/A</v>
      </c>
      <c r="G2960" t="e">
        <f t="shared" si="187"/>
        <v>#N/A</v>
      </c>
      <c r="H2960" t="e">
        <f t="shared" si="188"/>
        <v>#N/A</v>
      </c>
    </row>
    <row r="2961" spans="1:8" x14ac:dyDescent="0.25">
      <c r="A2961" t="str">
        <f t="shared" si="186"/>
        <v>Multihop,STnet,120</v>
      </c>
      <c r="B2961" t="s">
        <v>34</v>
      </c>
      <c r="C2961" t="s">
        <v>5</v>
      </c>
      <c r="D2961">
        <v>120</v>
      </c>
      <c r="E2961">
        <v>227.72900000000001</v>
      </c>
      <c r="F2961" t="e">
        <f t="shared" si="185"/>
        <v>#N/A</v>
      </c>
      <c r="G2961" t="e">
        <f t="shared" si="187"/>
        <v>#N/A</v>
      </c>
      <c r="H2961" t="e">
        <f t="shared" si="188"/>
        <v>#N/A</v>
      </c>
    </row>
    <row r="2962" spans="1:8" x14ac:dyDescent="0.25">
      <c r="A2962" t="str">
        <f t="shared" si="186"/>
        <v>Multihop,STnet,120</v>
      </c>
      <c r="B2962" t="s">
        <v>34</v>
      </c>
      <c r="C2962" t="s">
        <v>5</v>
      </c>
      <c r="D2962">
        <v>120</v>
      </c>
      <c r="E2962">
        <v>184.89099999999999</v>
      </c>
      <c r="F2962" t="e">
        <f t="shared" si="185"/>
        <v>#N/A</v>
      </c>
      <c r="G2962" t="e">
        <f t="shared" si="187"/>
        <v>#N/A</v>
      </c>
      <c r="H2962" t="e">
        <f t="shared" si="188"/>
        <v>#N/A</v>
      </c>
    </row>
    <row r="2963" spans="1:8" x14ac:dyDescent="0.25">
      <c r="A2963" t="str">
        <f t="shared" si="186"/>
        <v>Multihop,STnet,120</v>
      </c>
      <c r="B2963" t="s">
        <v>34</v>
      </c>
      <c r="C2963" t="s">
        <v>5</v>
      </c>
      <c r="D2963">
        <v>120</v>
      </c>
      <c r="E2963">
        <v>199.85599999999999</v>
      </c>
      <c r="F2963" t="e">
        <f t="shared" si="185"/>
        <v>#N/A</v>
      </c>
      <c r="G2963" t="e">
        <f t="shared" si="187"/>
        <v>#N/A</v>
      </c>
      <c r="H2963" t="e">
        <f t="shared" si="188"/>
        <v>#N/A</v>
      </c>
    </row>
    <row r="2964" spans="1:8" x14ac:dyDescent="0.25">
      <c r="A2964" t="str">
        <f t="shared" si="186"/>
        <v>Multihop,STnet,120</v>
      </c>
      <c r="B2964" t="s">
        <v>34</v>
      </c>
      <c r="C2964" t="s">
        <v>5</v>
      </c>
      <c r="D2964">
        <v>120</v>
      </c>
      <c r="E2964">
        <v>198.07400000000001</v>
      </c>
      <c r="F2964" t="e">
        <f t="shared" si="185"/>
        <v>#N/A</v>
      </c>
      <c r="G2964" t="e">
        <f t="shared" si="187"/>
        <v>#N/A</v>
      </c>
      <c r="H2964" t="e">
        <f t="shared" si="188"/>
        <v>#N/A</v>
      </c>
    </row>
    <row r="2965" spans="1:8" x14ac:dyDescent="0.25">
      <c r="A2965" t="str">
        <f t="shared" si="186"/>
        <v>Multihop,STnet,120</v>
      </c>
      <c r="B2965" t="s">
        <v>34</v>
      </c>
      <c r="C2965" t="s">
        <v>5</v>
      </c>
      <c r="D2965">
        <v>120</v>
      </c>
      <c r="E2965">
        <v>194.523</v>
      </c>
      <c r="F2965" t="e">
        <f t="shared" si="185"/>
        <v>#N/A</v>
      </c>
      <c r="G2965" t="e">
        <f t="shared" si="187"/>
        <v>#N/A</v>
      </c>
      <c r="H2965" t="e">
        <f t="shared" si="188"/>
        <v>#N/A</v>
      </c>
    </row>
    <row r="2966" spans="1:8" x14ac:dyDescent="0.25">
      <c r="A2966" t="str">
        <f t="shared" si="186"/>
        <v>Multihop,STnet,120</v>
      </c>
      <c r="B2966" t="s">
        <v>34</v>
      </c>
      <c r="C2966" t="s">
        <v>5</v>
      </c>
      <c r="D2966">
        <v>120</v>
      </c>
      <c r="E2966">
        <v>191.22399999999999</v>
      </c>
      <c r="F2966" t="e">
        <f t="shared" si="185"/>
        <v>#N/A</v>
      </c>
      <c r="G2966" t="e">
        <f t="shared" si="187"/>
        <v>#N/A</v>
      </c>
      <c r="H2966" t="e">
        <f t="shared" si="188"/>
        <v>#N/A</v>
      </c>
    </row>
    <row r="2967" spans="1:8" x14ac:dyDescent="0.25">
      <c r="A2967" t="str">
        <f t="shared" si="186"/>
        <v>Multihop,STnet,120</v>
      </c>
      <c r="B2967" t="s">
        <v>34</v>
      </c>
      <c r="C2967" t="s">
        <v>5</v>
      </c>
      <c r="D2967">
        <v>120</v>
      </c>
      <c r="E2967">
        <v>191.01400000000001</v>
      </c>
      <c r="F2967" t="e">
        <f t="shared" si="185"/>
        <v>#N/A</v>
      </c>
      <c r="G2967" t="e">
        <f t="shared" si="187"/>
        <v>#N/A</v>
      </c>
      <c r="H2967" t="e">
        <f t="shared" si="188"/>
        <v>#N/A</v>
      </c>
    </row>
    <row r="2968" spans="1:8" x14ac:dyDescent="0.25">
      <c r="A2968" t="str">
        <f t="shared" si="186"/>
        <v>Multihop,STnet,120</v>
      </c>
      <c r="B2968" t="s">
        <v>34</v>
      </c>
      <c r="C2968" t="s">
        <v>5</v>
      </c>
      <c r="D2968">
        <v>120</v>
      </c>
      <c r="E2968">
        <v>196.904</v>
      </c>
      <c r="F2968" t="e">
        <f t="shared" si="185"/>
        <v>#N/A</v>
      </c>
      <c r="G2968" t="e">
        <f t="shared" si="187"/>
        <v>#N/A</v>
      </c>
      <c r="H2968" t="e">
        <f t="shared" si="188"/>
        <v>#N/A</v>
      </c>
    </row>
    <row r="2969" spans="1:8" x14ac:dyDescent="0.25">
      <c r="A2969" t="str">
        <f t="shared" si="186"/>
        <v>Multihop,STnet,120</v>
      </c>
      <c r="B2969" t="s">
        <v>34</v>
      </c>
      <c r="C2969" t="s">
        <v>5</v>
      </c>
      <c r="D2969">
        <v>120</v>
      </c>
      <c r="E2969">
        <v>158.18100000000001</v>
      </c>
      <c r="F2969" t="e">
        <f t="shared" si="185"/>
        <v>#N/A</v>
      </c>
      <c r="G2969" t="e">
        <f t="shared" si="187"/>
        <v>#N/A</v>
      </c>
      <c r="H2969" t="e">
        <f t="shared" si="188"/>
        <v>#N/A</v>
      </c>
    </row>
    <row r="2970" spans="1:8" x14ac:dyDescent="0.25">
      <c r="A2970" t="str">
        <f t="shared" si="186"/>
        <v>Multihop,STnet,120</v>
      </c>
      <c r="B2970" t="s">
        <v>34</v>
      </c>
      <c r="C2970" t="s">
        <v>5</v>
      </c>
      <c r="D2970">
        <v>120</v>
      </c>
      <c r="E2970">
        <v>199.83199999999999</v>
      </c>
      <c r="F2970" t="e">
        <f t="shared" si="185"/>
        <v>#N/A</v>
      </c>
      <c r="G2970" t="e">
        <f t="shared" si="187"/>
        <v>#N/A</v>
      </c>
      <c r="H2970" t="e">
        <f t="shared" si="188"/>
        <v>#N/A</v>
      </c>
    </row>
    <row r="2971" spans="1:8" x14ac:dyDescent="0.25">
      <c r="A2971" t="str">
        <f t="shared" si="186"/>
        <v>Multihop,STnet,120</v>
      </c>
      <c r="B2971" t="s">
        <v>34</v>
      </c>
      <c r="C2971" t="s">
        <v>5</v>
      </c>
      <c r="D2971">
        <v>120</v>
      </c>
      <c r="E2971">
        <v>215.06299999999999</v>
      </c>
      <c r="F2971" t="e">
        <f t="shared" si="185"/>
        <v>#N/A</v>
      </c>
      <c r="G2971" t="e">
        <f t="shared" si="187"/>
        <v>#N/A</v>
      </c>
      <c r="H2971" t="e">
        <f t="shared" si="188"/>
        <v>#N/A</v>
      </c>
    </row>
    <row r="2972" spans="1:8" x14ac:dyDescent="0.25">
      <c r="A2972" t="str">
        <f t="shared" si="186"/>
        <v>Multihop,STnet,120</v>
      </c>
      <c r="B2972" t="s">
        <v>34</v>
      </c>
      <c r="C2972" t="s">
        <v>5</v>
      </c>
      <c r="D2972">
        <v>120</v>
      </c>
      <c r="E2972">
        <v>254.001</v>
      </c>
      <c r="F2972" t="e">
        <f t="shared" si="185"/>
        <v>#N/A</v>
      </c>
      <c r="G2972" t="e">
        <f t="shared" si="187"/>
        <v>#N/A</v>
      </c>
      <c r="H2972" t="e">
        <f t="shared" si="188"/>
        <v>#N/A</v>
      </c>
    </row>
    <row r="2973" spans="1:8" x14ac:dyDescent="0.25">
      <c r="A2973" t="str">
        <f t="shared" si="186"/>
        <v>Multihop,STnet,120</v>
      </c>
      <c r="B2973" t="s">
        <v>34</v>
      </c>
      <c r="C2973" t="s">
        <v>5</v>
      </c>
      <c r="D2973">
        <v>120</v>
      </c>
      <c r="E2973">
        <v>167.18199999999999</v>
      </c>
      <c r="F2973" t="e">
        <f t="shared" si="185"/>
        <v>#N/A</v>
      </c>
      <c r="G2973" t="e">
        <f t="shared" si="187"/>
        <v>#N/A</v>
      </c>
      <c r="H2973" t="e">
        <f t="shared" si="188"/>
        <v>#N/A</v>
      </c>
    </row>
    <row r="2974" spans="1:8" x14ac:dyDescent="0.25">
      <c r="A2974" t="str">
        <f t="shared" si="186"/>
        <v>Multihop,STnet,120</v>
      </c>
      <c r="B2974" t="s">
        <v>34</v>
      </c>
      <c r="C2974" t="s">
        <v>5</v>
      </c>
      <c r="D2974">
        <v>120</v>
      </c>
      <c r="E2974">
        <v>237.43700000000001</v>
      </c>
      <c r="F2974" t="e">
        <f t="shared" si="185"/>
        <v>#N/A</v>
      </c>
      <c r="G2974" t="e">
        <f t="shared" si="187"/>
        <v>#N/A</v>
      </c>
      <c r="H2974" t="e">
        <f t="shared" si="188"/>
        <v>#N/A</v>
      </c>
    </row>
    <row r="2975" spans="1:8" x14ac:dyDescent="0.25">
      <c r="A2975" t="str">
        <f t="shared" si="186"/>
        <v>Multihop,STnet,120</v>
      </c>
      <c r="B2975" t="s">
        <v>34</v>
      </c>
      <c r="C2975" t="s">
        <v>5</v>
      </c>
      <c r="D2975">
        <v>120</v>
      </c>
      <c r="E2975">
        <v>166.10499999999999</v>
      </c>
      <c r="F2975" t="e">
        <f t="shared" si="185"/>
        <v>#N/A</v>
      </c>
      <c r="G2975" t="e">
        <f t="shared" si="187"/>
        <v>#N/A</v>
      </c>
      <c r="H2975" t="e">
        <f t="shared" si="188"/>
        <v>#N/A</v>
      </c>
    </row>
    <row r="2976" spans="1:8" x14ac:dyDescent="0.25">
      <c r="A2976" t="str">
        <f t="shared" si="186"/>
        <v>Multihop,STnet,120</v>
      </c>
      <c r="B2976" t="s">
        <v>34</v>
      </c>
      <c r="C2976" t="s">
        <v>5</v>
      </c>
      <c r="D2976">
        <v>120</v>
      </c>
      <c r="E2976">
        <v>188.20699999999999</v>
      </c>
      <c r="F2976" t="e">
        <f t="shared" si="185"/>
        <v>#N/A</v>
      </c>
      <c r="G2976" t="e">
        <f t="shared" si="187"/>
        <v>#N/A</v>
      </c>
      <c r="H2976" t="e">
        <f t="shared" si="188"/>
        <v>#N/A</v>
      </c>
    </row>
    <row r="2977" spans="1:8" x14ac:dyDescent="0.25">
      <c r="A2977" t="str">
        <f t="shared" si="186"/>
        <v>Multihop,STnet,120</v>
      </c>
      <c r="B2977" t="s">
        <v>34</v>
      </c>
      <c r="C2977" t="s">
        <v>5</v>
      </c>
      <c r="D2977">
        <v>120</v>
      </c>
      <c r="E2977">
        <v>234.05500000000001</v>
      </c>
      <c r="F2977" t="e">
        <f t="shared" si="185"/>
        <v>#N/A</v>
      </c>
      <c r="G2977" t="e">
        <f t="shared" si="187"/>
        <v>#N/A</v>
      </c>
      <c r="H2977" t="e">
        <f t="shared" si="188"/>
        <v>#N/A</v>
      </c>
    </row>
    <row r="2978" spans="1:8" x14ac:dyDescent="0.25">
      <c r="A2978" t="str">
        <f t="shared" si="186"/>
        <v>Multihop,STnet,120</v>
      </c>
      <c r="B2978" t="s">
        <v>34</v>
      </c>
      <c r="C2978" t="s">
        <v>5</v>
      </c>
      <c r="D2978">
        <v>120</v>
      </c>
      <c r="E2978">
        <v>203.71100000000001</v>
      </c>
      <c r="F2978" t="e">
        <f t="shared" si="185"/>
        <v>#N/A</v>
      </c>
      <c r="G2978" t="e">
        <f t="shared" si="187"/>
        <v>#N/A</v>
      </c>
      <c r="H2978" t="e">
        <f t="shared" si="188"/>
        <v>#N/A</v>
      </c>
    </row>
    <row r="2979" spans="1:8" x14ac:dyDescent="0.25">
      <c r="A2979" t="str">
        <f t="shared" si="186"/>
        <v>Multihop,STnet,120</v>
      </c>
      <c r="B2979" t="s">
        <v>34</v>
      </c>
      <c r="C2979" t="s">
        <v>5</v>
      </c>
      <c r="D2979">
        <v>120</v>
      </c>
      <c r="E2979">
        <v>170.27500000000001</v>
      </c>
      <c r="F2979" t="e">
        <f t="shared" si="185"/>
        <v>#N/A</v>
      </c>
      <c r="G2979" t="e">
        <f t="shared" si="187"/>
        <v>#N/A</v>
      </c>
      <c r="H2979" t="e">
        <f t="shared" si="188"/>
        <v>#N/A</v>
      </c>
    </row>
    <row r="2980" spans="1:8" x14ac:dyDescent="0.25">
      <c r="A2980" t="str">
        <f t="shared" si="186"/>
        <v>Multihop,STnet,120</v>
      </c>
      <c r="B2980" t="s">
        <v>34</v>
      </c>
      <c r="C2980" t="s">
        <v>5</v>
      </c>
      <c r="D2980">
        <v>120</v>
      </c>
      <c r="E2980">
        <v>205.857</v>
      </c>
      <c r="F2980" t="e">
        <f t="shared" si="185"/>
        <v>#N/A</v>
      </c>
      <c r="G2980" t="e">
        <f t="shared" si="187"/>
        <v>#N/A</v>
      </c>
      <c r="H2980" t="e">
        <f t="shared" si="188"/>
        <v>#N/A</v>
      </c>
    </row>
    <row r="2981" spans="1:8" x14ac:dyDescent="0.25">
      <c r="A2981" t="str">
        <f t="shared" si="186"/>
        <v>Multihop,STnet,120</v>
      </c>
      <c r="B2981" t="s">
        <v>34</v>
      </c>
      <c r="C2981" t="s">
        <v>5</v>
      </c>
      <c r="D2981">
        <v>120</v>
      </c>
      <c r="E2981">
        <v>204.00200000000001</v>
      </c>
      <c r="F2981" t="e">
        <f t="shared" si="185"/>
        <v>#N/A</v>
      </c>
      <c r="G2981" t="e">
        <f t="shared" si="187"/>
        <v>#N/A</v>
      </c>
      <c r="H2981" t="e">
        <f t="shared" si="188"/>
        <v>#N/A</v>
      </c>
    </row>
    <row r="2982" spans="1:8" x14ac:dyDescent="0.25">
      <c r="A2982" t="str">
        <f t="shared" si="186"/>
        <v>Multihop,STnet,120</v>
      </c>
      <c r="B2982" t="s">
        <v>34</v>
      </c>
      <c r="C2982" t="s">
        <v>5</v>
      </c>
      <c r="D2982">
        <v>120</v>
      </c>
      <c r="E2982">
        <v>187.179</v>
      </c>
      <c r="F2982" t="e">
        <f t="shared" si="185"/>
        <v>#N/A</v>
      </c>
      <c r="G2982" t="e">
        <f t="shared" si="187"/>
        <v>#N/A</v>
      </c>
      <c r="H2982" t="e">
        <f t="shared" si="188"/>
        <v>#N/A</v>
      </c>
    </row>
    <row r="2983" spans="1:8" x14ac:dyDescent="0.25">
      <c r="A2983" t="str">
        <f t="shared" si="186"/>
        <v>Multihop,STnet,120</v>
      </c>
      <c r="B2983" t="s">
        <v>34</v>
      </c>
      <c r="C2983" t="s">
        <v>5</v>
      </c>
      <c r="D2983">
        <v>120</v>
      </c>
      <c r="E2983">
        <v>204.297</v>
      </c>
      <c r="F2983" t="e">
        <f t="shared" si="185"/>
        <v>#N/A</v>
      </c>
      <c r="G2983" t="e">
        <f t="shared" si="187"/>
        <v>#N/A</v>
      </c>
      <c r="H2983" t="e">
        <f t="shared" si="188"/>
        <v>#N/A</v>
      </c>
    </row>
    <row r="2984" spans="1:8" x14ac:dyDescent="0.25">
      <c r="A2984" t="str">
        <f t="shared" si="186"/>
        <v>Multihop,STnet,120</v>
      </c>
      <c r="B2984" t="s">
        <v>34</v>
      </c>
      <c r="C2984" t="s">
        <v>5</v>
      </c>
      <c r="D2984">
        <v>120</v>
      </c>
      <c r="E2984">
        <v>222.78800000000001</v>
      </c>
      <c r="F2984" t="e">
        <f t="shared" si="185"/>
        <v>#N/A</v>
      </c>
      <c r="G2984" t="e">
        <f t="shared" si="187"/>
        <v>#N/A</v>
      </c>
      <c r="H2984" t="e">
        <f t="shared" si="188"/>
        <v>#N/A</v>
      </c>
    </row>
    <row r="2985" spans="1:8" x14ac:dyDescent="0.25">
      <c r="A2985" t="str">
        <f t="shared" si="186"/>
        <v>Multihop,STnet,120</v>
      </c>
      <c r="B2985" t="s">
        <v>34</v>
      </c>
      <c r="C2985" t="s">
        <v>5</v>
      </c>
      <c r="D2985">
        <v>120</v>
      </c>
      <c r="E2985">
        <v>181.81299999999999</v>
      </c>
      <c r="F2985" t="e">
        <f t="shared" si="185"/>
        <v>#N/A</v>
      </c>
      <c r="G2985" t="e">
        <f t="shared" si="187"/>
        <v>#N/A</v>
      </c>
      <c r="H2985" t="e">
        <f t="shared" si="188"/>
        <v>#N/A</v>
      </c>
    </row>
    <row r="2986" spans="1:8" x14ac:dyDescent="0.25">
      <c r="A2986" t="str">
        <f t="shared" si="186"/>
        <v>Multihop,STnet,120</v>
      </c>
      <c r="B2986" t="s">
        <v>34</v>
      </c>
      <c r="C2986" t="s">
        <v>5</v>
      </c>
      <c r="D2986">
        <v>120</v>
      </c>
      <c r="E2986">
        <v>208.904</v>
      </c>
      <c r="F2986" t="e">
        <f t="shared" si="185"/>
        <v>#N/A</v>
      </c>
      <c r="G2986" t="e">
        <f t="shared" si="187"/>
        <v>#N/A</v>
      </c>
      <c r="H2986" t="e">
        <f t="shared" si="188"/>
        <v>#N/A</v>
      </c>
    </row>
    <row r="2987" spans="1:8" x14ac:dyDescent="0.25">
      <c r="A2987" t="str">
        <f t="shared" si="186"/>
        <v>Multihop,STnet,120</v>
      </c>
      <c r="B2987" t="s">
        <v>34</v>
      </c>
      <c r="C2987" t="s">
        <v>5</v>
      </c>
      <c r="D2987">
        <v>120</v>
      </c>
      <c r="E2987">
        <v>201.328</v>
      </c>
      <c r="F2987" t="e">
        <f t="shared" si="185"/>
        <v>#N/A</v>
      </c>
      <c r="G2987" t="e">
        <f t="shared" si="187"/>
        <v>#N/A</v>
      </c>
      <c r="H2987" t="e">
        <f t="shared" si="188"/>
        <v>#N/A</v>
      </c>
    </row>
    <row r="2988" spans="1:8" x14ac:dyDescent="0.25">
      <c r="A2988" t="str">
        <f t="shared" si="186"/>
        <v>Multihop,STnet,120</v>
      </c>
      <c r="B2988" t="s">
        <v>34</v>
      </c>
      <c r="C2988" t="s">
        <v>5</v>
      </c>
      <c r="D2988">
        <v>120</v>
      </c>
      <c r="E2988">
        <v>210.072</v>
      </c>
      <c r="F2988" t="e">
        <f t="shared" si="185"/>
        <v>#N/A</v>
      </c>
      <c r="G2988" t="e">
        <f t="shared" si="187"/>
        <v>#N/A</v>
      </c>
      <c r="H2988" t="e">
        <f t="shared" si="188"/>
        <v>#N/A</v>
      </c>
    </row>
    <row r="2989" spans="1:8" x14ac:dyDescent="0.25">
      <c r="A2989" t="str">
        <f t="shared" si="186"/>
        <v>Multihop,STnet,120</v>
      </c>
      <c r="B2989" t="s">
        <v>34</v>
      </c>
      <c r="C2989" t="s">
        <v>5</v>
      </c>
      <c r="D2989">
        <v>120</v>
      </c>
      <c r="E2989">
        <v>211.07499999999999</v>
      </c>
      <c r="F2989" t="e">
        <f t="shared" si="185"/>
        <v>#N/A</v>
      </c>
      <c r="G2989" t="e">
        <f t="shared" si="187"/>
        <v>#N/A</v>
      </c>
      <c r="H2989" t="e">
        <f t="shared" si="188"/>
        <v>#N/A</v>
      </c>
    </row>
    <row r="2990" spans="1:8" x14ac:dyDescent="0.25">
      <c r="A2990" t="str">
        <f t="shared" si="186"/>
        <v>Multihop,STnet,120</v>
      </c>
      <c r="B2990" t="s">
        <v>34</v>
      </c>
      <c r="C2990" t="s">
        <v>5</v>
      </c>
      <c r="D2990">
        <v>120</v>
      </c>
      <c r="E2990">
        <v>207.78</v>
      </c>
      <c r="F2990" t="e">
        <f t="shared" si="185"/>
        <v>#N/A</v>
      </c>
      <c r="G2990" t="e">
        <f t="shared" si="187"/>
        <v>#N/A</v>
      </c>
      <c r="H2990" t="e">
        <f t="shared" si="188"/>
        <v>#N/A</v>
      </c>
    </row>
    <row r="2991" spans="1:8" x14ac:dyDescent="0.25">
      <c r="A2991" t="str">
        <f t="shared" si="186"/>
        <v>Multihop,STnet,120</v>
      </c>
      <c r="B2991" t="s">
        <v>34</v>
      </c>
      <c r="C2991" t="s">
        <v>5</v>
      </c>
      <c r="D2991">
        <v>120</v>
      </c>
      <c r="E2991">
        <v>196.126</v>
      </c>
      <c r="F2991" t="e">
        <f t="shared" si="185"/>
        <v>#N/A</v>
      </c>
      <c r="G2991" t="e">
        <f t="shared" si="187"/>
        <v>#N/A</v>
      </c>
      <c r="H2991" t="e">
        <f t="shared" si="188"/>
        <v>#N/A</v>
      </c>
    </row>
    <row r="2992" spans="1:8" x14ac:dyDescent="0.25">
      <c r="A2992" t="str">
        <f t="shared" si="186"/>
        <v>Multihop,STnet,120</v>
      </c>
      <c r="B2992" t="s">
        <v>34</v>
      </c>
      <c r="C2992" t="s">
        <v>5</v>
      </c>
      <c r="D2992">
        <v>120</v>
      </c>
      <c r="E2992">
        <v>222.999</v>
      </c>
      <c r="F2992" t="e">
        <f t="shared" si="185"/>
        <v>#N/A</v>
      </c>
      <c r="G2992" t="e">
        <f t="shared" si="187"/>
        <v>#N/A</v>
      </c>
      <c r="H2992" t="e">
        <f t="shared" si="188"/>
        <v>#N/A</v>
      </c>
    </row>
    <row r="2993" spans="1:8" x14ac:dyDescent="0.25">
      <c r="A2993" t="str">
        <f t="shared" si="186"/>
        <v>Multihop,STnet,120</v>
      </c>
      <c r="B2993" t="s">
        <v>34</v>
      </c>
      <c r="C2993" t="s">
        <v>5</v>
      </c>
      <c r="D2993">
        <v>120</v>
      </c>
      <c r="E2993">
        <v>207.05</v>
      </c>
      <c r="F2993" t="e">
        <f t="shared" si="185"/>
        <v>#N/A</v>
      </c>
      <c r="G2993" t="e">
        <f t="shared" si="187"/>
        <v>#N/A</v>
      </c>
      <c r="H2993" t="e">
        <f t="shared" si="188"/>
        <v>#N/A</v>
      </c>
    </row>
    <row r="2994" spans="1:8" x14ac:dyDescent="0.25">
      <c r="A2994" t="str">
        <f t="shared" si="186"/>
        <v>Multihop,STnet,120</v>
      </c>
      <c r="B2994" t="s">
        <v>34</v>
      </c>
      <c r="C2994" t="s">
        <v>5</v>
      </c>
      <c r="D2994">
        <v>120</v>
      </c>
      <c r="E2994">
        <v>199.56399999999999</v>
      </c>
      <c r="F2994" t="e">
        <f t="shared" si="185"/>
        <v>#N/A</v>
      </c>
      <c r="G2994" t="e">
        <f t="shared" si="187"/>
        <v>#N/A</v>
      </c>
      <c r="H2994" t="e">
        <f t="shared" si="188"/>
        <v>#N/A</v>
      </c>
    </row>
    <row r="2995" spans="1:8" x14ac:dyDescent="0.25">
      <c r="A2995" t="str">
        <f t="shared" si="186"/>
        <v>Multihop,STnet,120</v>
      </c>
      <c r="B2995" t="s">
        <v>34</v>
      </c>
      <c r="C2995" t="s">
        <v>5</v>
      </c>
      <c r="D2995">
        <v>120</v>
      </c>
      <c r="E2995">
        <v>223.535</v>
      </c>
      <c r="F2995" t="e">
        <f t="shared" si="185"/>
        <v>#N/A</v>
      </c>
      <c r="G2995" t="e">
        <f t="shared" si="187"/>
        <v>#N/A</v>
      </c>
      <c r="H2995" t="e">
        <f t="shared" si="188"/>
        <v>#N/A</v>
      </c>
    </row>
    <row r="2996" spans="1:8" x14ac:dyDescent="0.25">
      <c r="A2996" t="str">
        <f t="shared" si="186"/>
        <v>Multihop,STnet,120</v>
      </c>
      <c r="B2996" t="s">
        <v>34</v>
      </c>
      <c r="C2996" t="s">
        <v>5</v>
      </c>
      <c r="D2996">
        <v>120</v>
      </c>
      <c r="E2996">
        <v>194.19900000000001</v>
      </c>
      <c r="F2996" t="e">
        <f t="shared" si="185"/>
        <v>#N/A</v>
      </c>
      <c r="G2996" t="e">
        <f t="shared" si="187"/>
        <v>#N/A</v>
      </c>
      <c r="H2996" t="e">
        <f t="shared" si="188"/>
        <v>#N/A</v>
      </c>
    </row>
    <row r="2997" spans="1:8" x14ac:dyDescent="0.25">
      <c r="A2997" t="str">
        <f t="shared" si="186"/>
        <v>Multihop,STnet,120</v>
      </c>
      <c r="B2997" t="s">
        <v>34</v>
      </c>
      <c r="C2997" t="s">
        <v>5</v>
      </c>
      <c r="D2997">
        <v>120</v>
      </c>
      <c r="E2997">
        <v>194.054</v>
      </c>
      <c r="F2997" t="e">
        <f t="shared" si="185"/>
        <v>#N/A</v>
      </c>
      <c r="G2997" t="e">
        <f t="shared" si="187"/>
        <v>#N/A</v>
      </c>
      <c r="H2997" t="e">
        <f t="shared" si="188"/>
        <v>#N/A</v>
      </c>
    </row>
    <row r="2998" spans="1:8" x14ac:dyDescent="0.25">
      <c r="A2998" t="str">
        <f t="shared" si="186"/>
        <v>Multihop,STnet,120</v>
      </c>
      <c r="B2998" t="s">
        <v>34</v>
      </c>
      <c r="C2998" t="s">
        <v>5</v>
      </c>
      <c r="D2998">
        <v>120</v>
      </c>
      <c r="E2998">
        <v>179.227</v>
      </c>
      <c r="F2998" t="e">
        <f t="shared" si="185"/>
        <v>#N/A</v>
      </c>
      <c r="G2998" t="e">
        <f t="shared" si="187"/>
        <v>#N/A</v>
      </c>
      <c r="H2998" t="e">
        <f t="shared" si="188"/>
        <v>#N/A</v>
      </c>
    </row>
    <row r="2999" spans="1:8" x14ac:dyDescent="0.25">
      <c r="A2999" t="str">
        <f t="shared" si="186"/>
        <v>Multihop,STnet,120</v>
      </c>
      <c r="B2999" t="s">
        <v>34</v>
      </c>
      <c r="C2999" t="s">
        <v>5</v>
      </c>
      <c r="D2999">
        <v>120</v>
      </c>
      <c r="E2999">
        <v>176.03200000000001</v>
      </c>
      <c r="F2999" t="e">
        <f t="shared" si="185"/>
        <v>#N/A</v>
      </c>
      <c r="G2999" t="e">
        <f t="shared" si="187"/>
        <v>#N/A</v>
      </c>
      <c r="H2999" t="e">
        <f t="shared" si="188"/>
        <v>#N/A</v>
      </c>
    </row>
    <row r="3000" spans="1:8" x14ac:dyDescent="0.25">
      <c r="A3000" t="str">
        <f t="shared" si="186"/>
        <v>Multihop,STnet,120</v>
      </c>
      <c r="B3000" t="s">
        <v>34</v>
      </c>
      <c r="C3000" t="s">
        <v>5</v>
      </c>
      <c r="D3000">
        <v>120</v>
      </c>
      <c r="E3000">
        <v>223.50899999999999</v>
      </c>
      <c r="F3000" t="e">
        <f t="shared" si="185"/>
        <v>#N/A</v>
      </c>
      <c r="G3000" t="e">
        <f t="shared" si="187"/>
        <v>#N/A</v>
      </c>
      <c r="H3000" t="e">
        <f t="shared" si="188"/>
        <v>#N/A</v>
      </c>
    </row>
    <row r="3001" spans="1:8" x14ac:dyDescent="0.25">
      <c r="A3001" t="str">
        <f t="shared" si="186"/>
        <v>Multihop,STnet,120</v>
      </c>
      <c r="B3001" t="s">
        <v>34</v>
      </c>
      <c r="C3001" t="s">
        <v>5</v>
      </c>
      <c r="D3001">
        <v>120</v>
      </c>
      <c r="E3001">
        <v>178.91200000000001</v>
      </c>
      <c r="F3001" t="e">
        <f t="shared" si="185"/>
        <v>#N/A</v>
      </c>
      <c r="G3001" t="e">
        <f t="shared" si="187"/>
        <v>#N/A</v>
      </c>
      <c r="H3001" t="e">
        <f t="shared" si="188"/>
        <v>#N/A</v>
      </c>
    </row>
    <row r="3002" spans="1:8" x14ac:dyDescent="0.25">
      <c r="A3002" t="str">
        <f t="shared" si="186"/>
        <v>Multihop,STnet,120</v>
      </c>
      <c r="B3002" t="s">
        <v>34</v>
      </c>
      <c r="C3002" t="s">
        <v>5</v>
      </c>
      <c r="D3002">
        <v>120</v>
      </c>
      <c r="E3002">
        <v>215.732</v>
      </c>
      <c r="F3002" t="e">
        <f t="shared" si="185"/>
        <v>#N/A</v>
      </c>
      <c r="G3002" t="e">
        <f t="shared" si="187"/>
        <v>#N/A</v>
      </c>
      <c r="H3002" t="e">
        <f t="shared" si="188"/>
        <v>#N/A</v>
      </c>
    </row>
    <row r="3003" spans="1:8" x14ac:dyDescent="0.25">
      <c r="A3003" t="str">
        <f t="shared" si="186"/>
        <v>Multihop,USnet,20</v>
      </c>
      <c r="B3003" t="s">
        <v>34</v>
      </c>
      <c r="C3003" t="s">
        <v>7</v>
      </c>
      <c r="D3003">
        <v>20</v>
      </c>
      <c r="E3003">
        <v>797.32</v>
      </c>
      <c r="F3003">
        <f t="shared" si="185"/>
        <v>750</v>
      </c>
      <c r="G3003">
        <f t="shared" si="187"/>
        <v>6.3093333333333401</v>
      </c>
      <c r="H3003">
        <f t="shared" si="188"/>
        <v>5.9348818542116151</v>
      </c>
    </row>
    <row r="3004" spans="1:8" x14ac:dyDescent="0.25">
      <c r="A3004" t="str">
        <f t="shared" si="186"/>
        <v>Multihop,USnet,20</v>
      </c>
      <c r="B3004" t="s">
        <v>34</v>
      </c>
      <c r="C3004" t="s">
        <v>7</v>
      </c>
      <c r="D3004">
        <v>20</v>
      </c>
      <c r="E3004">
        <v>820.62300000000005</v>
      </c>
      <c r="F3004">
        <f t="shared" si="185"/>
        <v>750</v>
      </c>
      <c r="G3004">
        <f t="shared" si="187"/>
        <v>9.4164000000000065</v>
      </c>
      <c r="H3004">
        <f t="shared" si="188"/>
        <v>8.6060224975415078</v>
      </c>
    </row>
    <row r="3005" spans="1:8" x14ac:dyDescent="0.25">
      <c r="A3005" t="str">
        <f t="shared" si="186"/>
        <v>Multihop,USnet,20</v>
      </c>
      <c r="B3005" t="s">
        <v>34</v>
      </c>
      <c r="C3005" t="s">
        <v>7</v>
      </c>
      <c r="D3005">
        <v>20</v>
      </c>
      <c r="E3005">
        <v>828.03300000000002</v>
      </c>
      <c r="F3005">
        <f t="shared" si="185"/>
        <v>750</v>
      </c>
      <c r="G3005">
        <f t="shared" si="187"/>
        <v>10.404400000000003</v>
      </c>
      <c r="H3005">
        <f t="shared" si="188"/>
        <v>9.4238997721105342</v>
      </c>
    </row>
    <row r="3006" spans="1:8" x14ac:dyDescent="0.25">
      <c r="A3006" t="str">
        <f t="shared" si="186"/>
        <v>Multihop,USnet,20</v>
      </c>
      <c r="B3006" t="s">
        <v>34</v>
      </c>
      <c r="C3006" t="s">
        <v>7</v>
      </c>
      <c r="D3006">
        <v>20</v>
      </c>
      <c r="E3006">
        <v>814.93600000000004</v>
      </c>
      <c r="F3006">
        <f t="shared" si="185"/>
        <v>750</v>
      </c>
      <c r="G3006">
        <f t="shared" si="187"/>
        <v>8.658133333333339</v>
      </c>
      <c r="H3006">
        <f t="shared" si="188"/>
        <v>7.9682330882425152</v>
      </c>
    </row>
    <row r="3007" spans="1:8" x14ac:dyDescent="0.25">
      <c r="A3007" t="str">
        <f t="shared" si="186"/>
        <v>Multihop,USnet,20</v>
      </c>
      <c r="B3007" t="s">
        <v>34</v>
      </c>
      <c r="C3007" t="s">
        <v>7</v>
      </c>
      <c r="D3007">
        <v>20</v>
      </c>
      <c r="E3007">
        <v>812.52</v>
      </c>
      <c r="F3007">
        <f t="shared" si="185"/>
        <v>750</v>
      </c>
      <c r="G3007">
        <f t="shared" si="187"/>
        <v>8.3359999999999967</v>
      </c>
      <c r="H3007">
        <f t="shared" si="188"/>
        <v>7.6945798257273639</v>
      </c>
    </row>
    <row r="3008" spans="1:8" x14ac:dyDescent="0.25">
      <c r="A3008" t="str">
        <f t="shared" si="186"/>
        <v>Multihop,USnet,20</v>
      </c>
      <c r="B3008" t="s">
        <v>34</v>
      </c>
      <c r="C3008" t="s">
        <v>7</v>
      </c>
      <c r="D3008">
        <v>20</v>
      </c>
      <c r="E3008">
        <v>814.95500000000004</v>
      </c>
      <c r="F3008">
        <f t="shared" si="185"/>
        <v>750</v>
      </c>
      <c r="G3008">
        <f t="shared" si="187"/>
        <v>8.6606666666666712</v>
      </c>
      <c r="H3008">
        <f t="shared" si="188"/>
        <v>7.9703787325680606</v>
      </c>
    </row>
    <row r="3009" spans="1:8" x14ac:dyDescent="0.25">
      <c r="A3009" t="str">
        <f t="shared" si="186"/>
        <v>Multihop,USnet,20</v>
      </c>
      <c r="B3009" t="s">
        <v>34</v>
      </c>
      <c r="C3009" t="s">
        <v>7</v>
      </c>
      <c r="D3009">
        <v>20</v>
      </c>
      <c r="E3009">
        <v>824.16899999999998</v>
      </c>
      <c r="F3009">
        <f t="shared" si="185"/>
        <v>750</v>
      </c>
      <c r="G3009">
        <f t="shared" si="187"/>
        <v>9.8891999999999989</v>
      </c>
      <c r="H3009">
        <f t="shared" si="188"/>
        <v>8.9992465137611326</v>
      </c>
    </row>
    <row r="3010" spans="1:8" x14ac:dyDescent="0.25">
      <c r="A3010" t="str">
        <f t="shared" si="186"/>
        <v>Multihop,USnet,20</v>
      </c>
      <c r="B3010" t="s">
        <v>34</v>
      </c>
      <c r="C3010" t="s">
        <v>7</v>
      </c>
      <c r="D3010">
        <v>20</v>
      </c>
      <c r="E3010">
        <v>825.10500000000002</v>
      </c>
      <c r="F3010">
        <f t="shared" si="185"/>
        <v>750</v>
      </c>
      <c r="G3010">
        <f t="shared" si="187"/>
        <v>10.014000000000003</v>
      </c>
      <c r="H3010">
        <f t="shared" si="188"/>
        <v>9.1024778664533628</v>
      </c>
    </row>
    <row r="3011" spans="1:8" x14ac:dyDescent="0.25">
      <c r="A3011" t="str">
        <f t="shared" si="186"/>
        <v>Multihop,USnet,20</v>
      </c>
      <c r="B3011" t="s">
        <v>34</v>
      </c>
      <c r="C3011" t="s">
        <v>7</v>
      </c>
      <c r="D3011">
        <v>20</v>
      </c>
      <c r="E3011">
        <v>798.64499999999998</v>
      </c>
      <c r="F3011">
        <f t="shared" ref="F3011:F3074" si="189">_xlfn.XLOOKUP(A3011,$J$3:$J$36,$N$3:$N$36)</f>
        <v>750</v>
      </c>
      <c r="G3011">
        <f t="shared" si="187"/>
        <v>6.4859999999999971</v>
      </c>
      <c r="H3011">
        <f t="shared" si="188"/>
        <v>6.0909415322201959</v>
      </c>
    </row>
    <row r="3012" spans="1:8" x14ac:dyDescent="0.25">
      <c r="A3012" t="str">
        <f t="shared" ref="A3012:A3075" si="190">B3012&amp;","&amp;C3012&amp;","&amp;D3012</f>
        <v>Multihop,USnet,20</v>
      </c>
      <c r="B3012" t="s">
        <v>34</v>
      </c>
      <c r="C3012" t="s">
        <v>7</v>
      </c>
      <c r="D3012">
        <v>20</v>
      </c>
      <c r="E3012">
        <v>816.09799999999996</v>
      </c>
      <c r="F3012">
        <f t="shared" si="189"/>
        <v>750</v>
      </c>
      <c r="G3012">
        <f t="shared" ref="G3012:G3075" si="191">ABS((E3012-F3012)/F3012)*100</f>
        <v>8.8130666666666606</v>
      </c>
      <c r="H3012">
        <f t="shared" ref="H3012:H3075" si="192">ABS((F3012-E3012)/E3012)*100</f>
        <v>8.0992723913059415</v>
      </c>
    </row>
    <row r="3013" spans="1:8" x14ac:dyDescent="0.25">
      <c r="A3013" t="str">
        <f t="shared" si="190"/>
        <v>Multihop,USnet,20</v>
      </c>
      <c r="B3013" t="s">
        <v>34</v>
      </c>
      <c r="C3013" t="s">
        <v>7</v>
      </c>
      <c r="D3013">
        <v>20</v>
      </c>
      <c r="E3013">
        <v>825.23500000000001</v>
      </c>
      <c r="F3013">
        <f t="shared" si="189"/>
        <v>750</v>
      </c>
      <c r="G3013">
        <f t="shared" si="191"/>
        <v>10.031333333333334</v>
      </c>
      <c r="H3013">
        <f t="shared" si="192"/>
        <v>9.1167970335722561</v>
      </c>
    </row>
    <row r="3014" spans="1:8" x14ac:dyDescent="0.25">
      <c r="A3014" t="str">
        <f t="shared" si="190"/>
        <v>Multihop,USnet,20</v>
      </c>
      <c r="B3014" t="s">
        <v>34</v>
      </c>
      <c r="C3014" t="s">
        <v>7</v>
      </c>
      <c r="D3014">
        <v>20</v>
      </c>
      <c r="E3014">
        <v>821.60400000000004</v>
      </c>
      <c r="F3014">
        <f t="shared" si="189"/>
        <v>750</v>
      </c>
      <c r="G3014">
        <f t="shared" si="191"/>
        <v>9.5472000000000055</v>
      </c>
      <c r="H3014">
        <f t="shared" si="192"/>
        <v>8.7151474432938532</v>
      </c>
    </row>
    <row r="3015" spans="1:8" x14ac:dyDescent="0.25">
      <c r="A3015" t="str">
        <f t="shared" si="190"/>
        <v>Multihop,USnet,20</v>
      </c>
      <c r="B3015" t="s">
        <v>34</v>
      </c>
      <c r="C3015" t="s">
        <v>7</v>
      </c>
      <c r="D3015">
        <v>20</v>
      </c>
      <c r="E3015">
        <v>826.36800000000005</v>
      </c>
      <c r="F3015">
        <f t="shared" si="189"/>
        <v>750</v>
      </c>
      <c r="G3015">
        <f t="shared" si="191"/>
        <v>10.182400000000007</v>
      </c>
      <c r="H3015">
        <f t="shared" si="192"/>
        <v>9.2414033457249136</v>
      </c>
    </row>
    <row r="3016" spans="1:8" x14ac:dyDescent="0.25">
      <c r="A3016" t="str">
        <f t="shared" si="190"/>
        <v>Multihop,USnet,20</v>
      </c>
      <c r="B3016" t="s">
        <v>34</v>
      </c>
      <c r="C3016" t="s">
        <v>7</v>
      </c>
      <c r="D3016">
        <v>20</v>
      </c>
      <c r="E3016">
        <v>817.86</v>
      </c>
      <c r="F3016">
        <f t="shared" si="189"/>
        <v>750</v>
      </c>
      <c r="G3016">
        <f t="shared" si="191"/>
        <v>9.0480000000000018</v>
      </c>
      <c r="H3016">
        <f t="shared" si="192"/>
        <v>8.297263590345537</v>
      </c>
    </row>
    <row r="3017" spans="1:8" x14ac:dyDescent="0.25">
      <c r="A3017" t="str">
        <f t="shared" si="190"/>
        <v>Multihop,USnet,20</v>
      </c>
      <c r="B3017" t="s">
        <v>34</v>
      </c>
      <c r="C3017" t="s">
        <v>7</v>
      </c>
      <c r="D3017">
        <v>20</v>
      </c>
      <c r="E3017">
        <v>819.50900000000001</v>
      </c>
      <c r="F3017">
        <f t="shared" si="189"/>
        <v>750</v>
      </c>
      <c r="G3017">
        <f t="shared" si="191"/>
        <v>9.2678666666666683</v>
      </c>
      <c r="H3017">
        <f t="shared" si="192"/>
        <v>8.4817860450586888</v>
      </c>
    </row>
    <row r="3018" spans="1:8" x14ac:dyDescent="0.25">
      <c r="A3018" t="str">
        <f t="shared" si="190"/>
        <v>Multihop,USnet,20</v>
      </c>
      <c r="B3018" t="s">
        <v>34</v>
      </c>
      <c r="C3018" t="s">
        <v>7</v>
      </c>
      <c r="D3018">
        <v>20</v>
      </c>
      <c r="E3018">
        <v>807.40300000000002</v>
      </c>
      <c r="F3018">
        <f t="shared" si="189"/>
        <v>750</v>
      </c>
      <c r="G3018">
        <f t="shared" si="191"/>
        <v>7.6537333333333359</v>
      </c>
      <c r="H3018">
        <f t="shared" si="192"/>
        <v>7.1095846807604151</v>
      </c>
    </row>
    <row r="3019" spans="1:8" x14ac:dyDescent="0.25">
      <c r="A3019" t="str">
        <f t="shared" si="190"/>
        <v>Multihop,USnet,20</v>
      </c>
      <c r="B3019" t="s">
        <v>34</v>
      </c>
      <c r="C3019" t="s">
        <v>7</v>
      </c>
      <c r="D3019">
        <v>20</v>
      </c>
      <c r="E3019">
        <v>822.58600000000001</v>
      </c>
      <c r="F3019">
        <f t="shared" si="189"/>
        <v>750</v>
      </c>
      <c r="G3019">
        <f t="shared" si="191"/>
        <v>9.678133333333335</v>
      </c>
      <c r="H3019">
        <f t="shared" si="192"/>
        <v>8.8241229488466875</v>
      </c>
    </row>
    <row r="3020" spans="1:8" x14ac:dyDescent="0.25">
      <c r="A3020" t="str">
        <f t="shared" si="190"/>
        <v>Multihop,USnet,20</v>
      </c>
      <c r="B3020" t="s">
        <v>34</v>
      </c>
      <c r="C3020" t="s">
        <v>7</v>
      </c>
      <c r="D3020">
        <v>20</v>
      </c>
      <c r="E3020">
        <v>820.19100000000003</v>
      </c>
      <c r="F3020">
        <f t="shared" si="189"/>
        <v>750</v>
      </c>
      <c r="G3020">
        <f t="shared" si="191"/>
        <v>9.358800000000004</v>
      </c>
      <c r="H3020">
        <f t="shared" si="192"/>
        <v>8.5578846878349104</v>
      </c>
    </row>
    <row r="3021" spans="1:8" x14ac:dyDescent="0.25">
      <c r="A3021" t="str">
        <f t="shared" si="190"/>
        <v>Multihop,USnet,20</v>
      </c>
      <c r="B3021" t="s">
        <v>34</v>
      </c>
      <c r="C3021" t="s">
        <v>7</v>
      </c>
      <c r="D3021">
        <v>20</v>
      </c>
      <c r="E3021">
        <v>816.76800000000003</v>
      </c>
      <c r="F3021">
        <f t="shared" si="189"/>
        <v>750</v>
      </c>
      <c r="G3021">
        <f t="shared" si="191"/>
        <v>8.9024000000000036</v>
      </c>
      <c r="H3021">
        <f t="shared" si="192"/>
        <v>8.1746591443347469</v>
      </c>
    </row>
    <row r="3022" spans="1:8" x14ac:dyDescent="0.25">
      <c r="A3022" t="str">
        <f t="shared" si="190"/>
        <v>Multihop,USnet,20</v>
      </c>
      <c r="B3022" t="s">
        <v>34</v>
      </c>
      <c r="C3022" t="s">
        <v>7</v>
      </c>
      <c r="D3022">
        <v>20</v>
      </c>
      <c r="E3022">
        <v>805.80200000000002</v>
      </c>
      <c r="F3022">
        <f t="shared" si="189"/>
        <v>750</v>
      </c>
      <c r="G3022">
        <f t="shared" si="191"/>
        <v>7.4402666666666697</v>
      </c>
      <c r="H3022">
        <f t="shared" si="192"/>
        <v>6.9250262471426005</v>
      </c>
    </row>
    <row r="3023" spans="1:8" x14ac:dyDescent="0.25">
      <c r="A3023" t="str">
        <f t="shared" si="190"/>
        <v>Multihop,USnet,20</v>
      </c>
      <c r="B3023" t="s">
        <v>34</v>
      </c>
      <c r="C3023" t="s">
        <v>7</v>
      </c>
      <c r="D3023">
        <v>20</v>
      </c>
      <c r="E3023">
        <v>822.32799999999997</v>
      </c>
      <c r="F3023">
        <f t="shared" si="189"/>
        <v>750</v>
      </c>
      <c r="G3023">
        <f t="shared" si="191"/>
        <v>9.6437333333333299</v>
      </c>
      <c r="H3023">
        <f t="shared" si="192"/>
        <v>8.7955171172573436</v>
      </c>
    </row>
    <row r="3024" spans="1:8" x14ac:dyDescent="0.25">
      <c r="A3024" t="str">
        <f t="shared" si="190"/>
        <v>Multihop,USnet,20</v>
      </c>
      <c r="B3024" t="s">
        <v>34</v>
      </c>
      <c r="C3024" t="s">
        <v>7</v>
      </c>
      <c r="D3024">
        <v>20</v>
      </c>
      <c r="E3024">
        <v>808.49800000000005</v>
      </c>
      <c r="F3024">
        <f t="shared" si="189"/>
        <v>750</v>
      </c>
      <c r="G3024">
        <f t="shared" si="191"/>
        <v>7.7997333333333394</v>
      </c>
      <c r="H3024">
        <f t="shared" si="192"/>
        <v>7.2353920479704392</v>
      </c>
    </row>
    <row r="3025" spans="1:8" x14ac:dyDescent="0.25">
      <c r="A3025" t="str">
        <f t="shared" si="190"/>
        <v>Multihop,USnet,20</v>
      </c>
      <c r="B3025" t="s">
        <v>34</v>
      </c>
      <c r="C3025" t="s">
        <v>7</v>
      </c>
      <c r="D3025">
        <v>20</v>
      </c>
      <c r="E3025">
        <v>826.14700000000005</v>
      </c>
      <c r="F3025">
        <f t="shared" si="189"/>
        <v>750</v>
      </c>
      <c r="G3025">
        <f t="shared" si="191"/>
        <v>10.15293333333334</v>
      </c>
      <c r="H3025">
        <f t="shared" si="192"/>
        <v>9.2171247974028887</v>
      </c>
    </row>
    <row r="3026" spans="1:8" x14ac:dyDescent="0.25">
      <c r="A3026" t="str">
        <f t="shared" si="190"/>
        <v>Multihop,USnet,20</v>
      </c>
      <c r="B3026" t="s">
        <v>34</v>
      </c>
      <c r="C3026" t="s">
        <v>7</v>
      </c>
      <c r="D3026">
        <v>20</v>
      </c>
      <c r="E3026">
        <v>812.37699999999995</v>
      </c>
      <c r="F3026">
        <f t="shared" si="189"/>
        <v>750</v>
      </c>
      <c r="G3026">
        <f t="shared" si="191"/>
        <v>8.3169333333333277</v>
      </c>
      <c r="H3026">
        <f t="shared" si="192"/>
        <v>7.6783316120471108</v>
      </c>
    </row>
    <row r="3027" spans="1:8" x14ac:dyDescent="0.25">
      <c r="A3027" t="str">
        <f t="shared" si="190"/>
        <v>Multihop,USnet,20</v>
      </c>
      <c r="B3027" t="s">
        <v>34</v>
      </c>
      <c r="C3027" t="s">
        <v>7</v>
      </c>
      <c r="D3027">
        <v>20</v>
      </c>
      <c r="E3027">
        <v>821.12900000000002</v>
      </c>
      <c r="F3027">
        <f t="shared" si="189"/>
        <v>750</v>
      </c>
      <c r="G3027">
        <f t="shared" si="191"/>
        <v>9.4838666666666693</v>
      </c>
      <c r="H3027">
        <f t="shared" si="192"/>
        <v>8.6623417270611576</v>
      </c>
    </row>
    <row r="3028" spans="1:8" x14ac:dyDescent="0.25">
      <c r="A3028" t="str">
        <f t="shared" si="190"/>
        <v>Multihop,USnet,20</v>
      </c>
      <c r="B3028" t="s">
        <v>34</v>
      </c>
      <c r="C3028" t="s">
        <v>7</v>
      </c>
      <c r="D3028">
        <v>20</v>
      </c>
      <c r="E3028">
        <v>823.37699999999995</v>
      </c>
      <c r="F3028">
        <f t="shared" si="189"/>
        <v>750</v>
      </c>
      <c r="G3028">
        <f t="shared" si="191"/>
        <v>9.7835999999999945</v>
      </c>
      <c r="H3028">
        <f t="shared" si="192"/>
        <v>8.9117135892792678</v>
      </c>
    </row>
    <row r="3029" spans="1:8" x14ac:dyDescent="0.25">
      <c r="A3029" t="str">
        <f t="shared" si="190"/>
        <v>Multihop,USnet,20</v>
      </c>
      <c r="B3029" t="s">
        <v>34</v>
      </c>
      <c r="C3029" t="s">
        <v>7</v>
      </c>
      <c r="D3029">
        <v>20</v>
      </c>
      <c r="E3029">
        <v>822.34</v>
      </c>
      <c r="F3029">
        <f t="shared" si="189"/>
        <v>750</v>
      </c>
      <c r="G3029">
        <f t="shared" si="191"/>
        <v>9.6453333333333369</v>
      </c>
      <c r="H3029">
        <f t="shared" si="192"/>
        <v>8.7968480190675429</v>
      </c>
    </row>
    <row r="3030" spans="1:8" x14ac:dyDescent="0.25">
      <c r="A3030" t="str">
        <f t="shared" si="190"/>
        <v>Multihop,USnet,20</v>
      </c>
      <c r="B3030" t="s">
        <v>34</v>
      </c>
      <c r="C3030" t="s">
        <v>7</v>
      </c>
      <c r="D3030">
        <v>20</v>
      </c>
      <c r="E3030">
        <v>820.06600000000003</v>
      </c>
      <c r="F3030">
        <f t="shared" si="189"/>
        <v>750</v>
      </c>
      <c r="G3030">
        <f t="shared" si="191"/>
        <v>9.3421333333333365</v>
      </c>
      <c r="H3030">
        <f t="shared" si="192"/>
        <v>8.5439464628456765</v>
      </c>
    </row>
    <row r="3031" spans="1:8" x14ac:dyDescent="0.25">
      <c r="A3031" t="str">
        <f t="shared" si="190"/>
        <v>Multihop,USnet,20</v>
      </c>
      <c r="B3031" t="s">
        <v>34</v>
      </c>
      <c r="C3031" t="s">
        <v>7</v>
      </c>
      <c r="D3031">
        <v>20</v>
      </c>
      <c r="E3031">
        <v>813.33500000000004</v>
      </c>
      <c r="F3031">
        <f t="shared" si="189"/>
        <v>750</v>
      </c>
      <c r="G3031">
        <f t="shared" si="191"/>
        <v>8.4446666666666719</v>
      </c>
      <c r="H3031">
        <f t="shared" si="192"/>
        <v>7.7870742068151548</v>
      </c>
    </row>
    <row r="3032" spans="1:8" x14ac:dyDescent="0.25">
      <c r="A3032" t="str">
        <f t="shared" si="190"/>
        <v>Multihop,USnet,20</v>
      </c>
      <c r="B3032" t="s">
        <v>34</v>
      </c>
      <c r="C3032" t="s">
        <v>7</v>
      </c>
      <c r="D3032">
        <v>20</v>
      </c>
      <c r="E3032">
        <v>823.08399999999995</v>
      </c>
      <c r="F3032">
        <f t="shared" si="189"/>
        <v>750</v>
      </c>
      <c r="G3032">
        <f t="shared" si="191"/>
        <v>9.7445333333333259</v>
      </c>
      <c r="H3032">
        <f t="shared" si="192"/>
        <v>8.8792881407000923</v>
      </c>
    </row>
    <row r="3033" spans="1:8" x14ac:dyDescent="0.25">
      <c r="A3033" t="str">
        <f t="shared" si="190"/>
        <v>Multihop,USnet,20</v>
      </c>
      <c r="B3033" t="s">
        <v>34</v>
      </c>
      <c r="C3033" t="s">
        <v>7</v>
      </c>
      <c r="D3033">
        <v>20</v>
      </c>
      <c r="E3033">
        <v>827.41399999999999</v>
      </c>
      <c r="F3033">
        <f t="shared" si="189"/>
        <v>750</v>
      </c>
      <c r="G3033">
        <f t="shared" si="191"/>
        <v>10.321866666666665</v>
      </c>
      <c r="H3033">
        <f t="shared" si="192"/>
        <v>9.3561385231576928</v>
      </c>
    </row>
    <row r="3034" spans="1:8" x14ac:dyDescent="0.25">
      <c r="A3034" t="str">
        <f t="shared" si="190"/>
        <v>Multihop,USnet,20</v>
      </c>
      <c r="B3034" t="s">
        <v>34</v>
      </c>
      <c r="C3034" t="s">
        <v>7</v>
      </c>
      <c r="D3034">
        <v>20</v>
      </c>
      <c r="E3034">
        <v>814.45699999999999</v>
      </c>
      <c r="F3034">
        <f t="shared" si="189"/>
        <v>750</v>
      </c>
      <c r="G3034">
        <f t="shared" si="191"/>
        <v>8.5942666666666661</v>
      </c>
      <c r="H3034">
        <f t="shared" si="192"/>
        <v>7.9141071904348532</v>
      </c>
    </row>
    <row r="3035" spans="1:8" x14ac:dyDescent="0.25">
      <c r="A3035" t="str">
        <f t="shared" si="190"/>
        <v>Multihop,USnet,20</v>
      </c>
      <c r="B3035" t="s">
        <v>34</v>
      </c>
      <c r="C3035" t="s">
        <v>7</v>
      </c>
      <c r="D3035">
        <v>20</v>
      </c>
      <c r="E3035">
        <v>815.18899999999996</v>
      </c>
      <c r="F3035">
        <f t="shared" si="189"/>
        <v>750</v>
      </c>
      <c r="G3035">
        <f t="shared" si="191"/>
        <v>8.6918666666666624</v>
      </c>
      <c r="H3035">
        <f t="shared" si="192"/>
        <v>7.9967958350762789</v>
      </c>
    </row>
    <row r="3036" spans="1:8" x14ac:dyDescent="0.25">
      <c r="A3036" t="str">
        <f t="shared" si="190"/>
        <v>Multihop,USnet,20</v>
      </c>
      <c r="B3036" t="s">
        <v>34</v>
      </c>
      <c r="C3036" t="s">
        <v>7</v>
      </c>
      <c r="D3036">
        <v>20</v>
      </c>
      <c r="E3036">
        <v>819.49800000000005</v>
      </c>
      <c r="F3036">
        <f t="shared" si="189"/>
        <v>750</v>
      </c>
      <c r="G3036">
        <f t="shared" si="191"/>
        <v>9.2664000000000062</v>
      </c>
      <c r="H3036">
        <f t="shared" si="192"/>
        <v>8.4805576096586002</v>
      </c>
    </row>
    <row r="3037" spans="1:8" x14ac:dyDescent="0.25">
      <c r="A3037" t="str">
        <f t="shared" si="190"/>
        <v>Multihop,USnet,20</v>
      </c>
      <c r="B3037" t="s">
        <v>34</v>
      </c>
      <c r="C3037" t="s">
        <v>7</v>
      </c>
      <c r="D3037">
        <v>20</v>
      </c>
      <c r="E3037">
        <v>803.62199999999996</v>
      </c>
      <c r="F3037">
        <f t="shared" si="189"/>
        <v>750</v>
      </c>
      <c r="G3037">
        <f t="shared" si="191"/>
        <v>7.1495999999999951</v>
      </c>
      <c r="H3037">
        <f t="shared" si="192"/>
        <v>6.6725400748112866</v>
      </c>
    </row>
    <row r="3038" spans="1:8" x14ac:dyDescent="0.25">
      <c r="A3038" t="str">
        <f t="shared" si="190"/>
        <v>Multihop,USnet,20</v>
      </c>
      <c r="B3038" t="s">
        <v>34</v>
      </c>
      <c r="C3038" t="s">
        <v>7</v>
      </c>
      <c r="D3038">
        <v>20</v>
      </c>
      <c r="E3038">
        <v>815.00199999999995</v>
      </c>
      <c r="F3038">
        <f t="shared" si="189"/>
        <v>750</v>
      </c>
      <c r="G3038">
        <f t="shared" si="191"/>
        <v>8.6669333333333256</v>
      </c>
      <c r="H3038">
        <f t="shared" si="192"/>
        <v>7.9756859492369285</v>
      </c>
    </row>
    <row r="3039" spans="1:8" x14ac:dyDescent="0.25">
      <c r="A3039" t="str">
        <f t="shared" si="190"/>
        <v>Multihop,USnet,20</v>
      </c>
      <c r="B3039" t="s">
        <v>34</v>
      </c>
      <c r="C3039" t="s">
        <v>7</v>
      </c>
      <c r="D3039">
        <v>20</v>
      </c>
      <c r="E3039">
        <v>807.84199999999998</v>
      </c>
      <c r="F3039">
        <f t="shared" si="189"/>
        <v>750</v>
      </c>
      <c r="G3039">
        <f t="shared" si="191"/>
        <v>7.7122666666666646</v>
      </c>
      <c r="H3039">
        <f t="shared" si="192"/>
        <v>7.1600634777592624</v>
      </c>
    </row>
    <row r="3040" spans="1:8" x14ac:dyDescent="0.25">
      <c r="A3040" t="str">
        <f t="shared" si="190"/>
        <v>Multihop,USnet,20</v>
      </c>
      <c r="B3040" t="s">
        <v>34</v>
      </c>
      <c r="C3040" t="s">
        <v>7</v>
      </c>
      <c r="D3040">
        <v>20</v>
      </c>
      <c r="E3040">
        <v>813.43700000000001</v>
      </c>
      <c r="F3040">
        <f t="shared" si="189"/>
        <v>750</v>
      </c>
      <c r="G3040">
        <f t="shared" si="191"/>
        <v>8.4582666666666686</v>
      </c>
      <c r="H3040">
        <f t="shared" si="192"/>
        <v>7.7986371409217936</v>
      </c>
    </row>
    <row r="3041" spans="1:8" x14ac:dyDescent="0.25">
      <c r="A3041" t="str">
        <f t="shared" si="190"/>
        <v>Multihop,USnet,20</v>
      </c>
      <c r="B3041" t="s">
        <v>34</v>
      </c>
      <c r="C3041" t="s">
        <v>7</v>
      </c>
      <c r="D3041">
        <v>20</v>
      </c>
      <c r="E3041">
        <v>816.12300000000005</v>
      </c>
      <c r="F3041">
        <f t="shared" si="189"/>
        <v>750</v>
      </c>
      <c r="G3041">
        <f t="shared" si="191"/>
        <v>8.8164000000000069</v>
      </c>
      <c r="H3041">
        <f t="shared" si="192"/>
        <v>8.1020875529791514</v>
      </c>
    </row>
    <row r="3042" spans="1:8" x14ac:dyDescent="0.25">
      <c r="A3042" t="str">
        <f t="shared" si="190"/>
        <v>Multihop,USnet,20</v>
      </c>
      <c r="B3042" t="s">
        <v>34</v>
      </c>
      <c r="C3042" t="s">
        <v>7</v>
      </c>
      <c r="D3042">
        <v>20</v>
      </c>
      <c r="E3042">
        <v>817.96900000000005</v>
      </c>
      <c r="F3042">
        <f t="shared" si="189"/>
        <v>750</v>
      </c>
      <c r="G3042">
        <f t="shared" si="191"/>
        <v>9.0625333333333398</v>
      </c>
      <c r="H3042">
        <f t="shared" si="192"/>
        <v>8.3094836112371055</v>
      </c>
    </row>
    <row r="3043" spans="1:8" x14ac:dyDescent="0.25">
      <c r="A3043" t="str">
        <f t="shared" si="190"/>
        <v>Multihop,USnet,20</v>
      </c>
      <c r="B3043" t="s">
        <v>34</v>
      </c>
      <c r="C3043" t="s">
        <v>7</v>
      </c>
      <c r="D3043">
        <v>20</v>
      </c>
      <c r="E3043">
        <v>820.10699999999997</v>
      </c>
      <c r="F3043">
        <f t="shared" si="189"/>
        <v>750</v>
      </c>
      <c r="G3043">
        <f t="shared" si="191"/>
        <v>9.3475999999999964</v>
      </c>
      <c r="H3043">
        <f t="shared" si="192"/>
        <v>8.5485186689053965</v>
      </c>
    </row>
    <row r="3044" spans="1:8" x14ac:dyDescent="0.25">
      <c r="A3044" t="str">
        <f t="shared" si="190"/>
        <v>Multihop,USnet,20</v>
      </c>
      <c r="B3044" t="s">
        <v>34</v>
      </c>
      <c r="C3044" t="s">
        <v>7</v>
      </c>
      <c r="D3044">
        <v>20</v>
      </c>
      <c r="E3044">
        <v>805.17600000000004</v>
      </c>
      <c r="F3044">
        <f t="shared" si="189"/>
        <v>750</v>
      </c>
      <c r="G3044">
        <f t="shared" si="191"/>
        <v>7.356800000000006</v>
      </c>
      <c r="H3044">
        <f t="shared" si="192"/>
        <v>6.8526632686518276</v>
      </c>
    </row>
    <row r="3045" spans="1:8" x14ac:dyDescent="0.25">
      <c r="A3045" t="str">
        <f t="shared" si="190"/>
        <v>Multihop,USnet,20</v>
      </c>
      <c r="B3045" t="s">
        <v>34</v>
      </c>
      <c r="C3045" t="s">
        <v>7</v>
      </c>
      <c r="D3045">
        <v>20</v>
      </c>
      <c r="E3045">
        <v>803.59199999999998</v>
      </c>
      <c r="F3045">
        <f t="shared" si="189"/>
        <v>750</v>
      </c>
      <c r="G3045">
        <f t="shared" si="191"/>
        <v>7.1455999999999982</v>
      </c>
      <c r="H3045">
        <f t="shared" si="192"/>
        <v>6.6690559388346307</v>
      </c>
    </row>
    <row r="3046" spans="1:8" x14ac:dyDescent="0.25">
      <c r="A3046" t="str">
        <f t="shared" si="190"/>
        <v>Multihop,USnet,20</v>
      </c>
      <c r="B3046" t="s">
        <v>34</v>
      </c>
      <c r="C3046" t="s">
        <v>7</v>
      </c>
      <c r="D3046">
        <v>20</v>
      </c>
      <c r="E3046">
        <v>819.62300000000005</v>
      </c>
      <c r="F3046">
        <f t="shared" si="189"/>
        <v>750</v>
      </c>
      <c r="G3046">
        <f t="shared" si="191"/>
        <v>9.2830666666666737</v>
      </c>
      <c r="H3046">
        <f t="shared" si="192"/>
        <v>8.4945151612387697</v>
      </c>
    </row>
    <row r="3047" spans="1:8" x14ac:dyDescent="0.25">
      <c r="A3047" t="str">
        <f t="shared" si="190"/>
        <v>Multihop,USnet,20</v>
      </c>
      <c r="B3047" t="s">
        <v>34</v>
      </c>
      <c r="C3047" t="s">
        <v>7</v>
      </c>
      <c r="D3047">
        <v>20</v>
      </c>
      <c r="E3047">
        <v>833.61199999999997</v>
      </c>
      <c r="F3047">
        <f t="shared" si="189"/>
        <v>750</v>
      </c>
      <c r="G3047">
        <f t="shared" si="191"/>
        <v>11.148266666666661</v>
      </c>
      <c r="H3047">
        <f t="shared" si="192"/>
        <v>10.030085939261907</v>
      </c>
    </row>
    <row r="3048" spans="1:8" x14ac:dyDescent="0.25">
      <c r="A3048" t="str">
        <f t="shared" si="190"/>
        <v>Multihop,USnet,20</v>
      </c>
      <c r="B3048" t="s">
        <v>34</v>
      </c>
      <c r="C3048" t="s">
        <v>7</v>
      </c>
      <c r="D3048">
        <v>20</v>
      </c>
      <c r="E3048">
        <v>826.26900000000001</v>
      </c>
      <c r="F3048">
        <f t="shared" si="189"/>
        <v>750</v>
      </c>
      <c r="G3048">
        <f t="shared" si="191"/>
        <v>10.1692</v>
      </c>
      <c r="H3048">
        <f t="shared" si="192"/>
        <v>9.2305290407845391</v>
      </c>
    </row>
    <row r="3049" spans="1:8" x14ac:dyDescent="0.25">
      <c r="A3049" t="str">
        <f t="shared" si="190"/>
        <v>Multihop,USnet,20</v>
      </c>
      <c r="B3049" t="s">
        <v>34</v>
      </c>
      <c r="C3049" t="s">
        <v>7</v>
      </c>
      <c r="D3049">
        <v>20</v>
      </c>
      <c r="E3049">
        <v>822.95100000000002</v>
      </c>
      <c r="F3049">
        <f t="shared" si="189"/>
        <v>750</v>
      </c>
      <c r="G3049">
        <f t="shared" si="191"/>
        <v>9.7268000000000043</v>
      </c>
      <c r="H3049">
        <f t="shared" si="192"/>
        <v>8.8645618025860617</v>
      </c>
    </row>
    <row r="3050" spans="1:8" x14ac:dyDescent="0.25">
      <c r="A3050" t="str">
        <f t="shared" si="190"/>
        <v>Multihop,USnet,20</v>
      </c>
      <c r="B3050" t="s">
        <v>34</v>
      </c>
      <c r="C3050" t="s">
        <v>7</v>
      </c>
      <c r="D3050">
        <v>20</v>
      </c>
      <c r="E3050">
        <v>812.46299999999997</v>
      </c>
      <c r="F3050">
        <f t="shared" si="189"/>
        <v>750</v>
      </c>
      <c r="G3050">
        <f t="shared" si="191"/>
        <v>8.3283999999999949</v>
      </c>
      <c r="H3050">
        <f t="shared" si="192"/>
        <v>7.6881039505799</v>
      </c>
    </row>
    <row r="3051" spans="1:8" x14ac:dyDescent="0.25">
      <c r="A3051" t="str">
        <f t="shared" si="190"/>
        <v>Multihop,USnet,20</v>
      </c>
      <c r="B3051" t="s">
        <v>34</v>
      </c>
      <c r="C3051" t="s">
        <v>7</v>
      </c>
      <c r="D3051">
        <v>20</v>
      </c>
      <c r="E3051">
        <v>824.846</v>
      </c>
      <c r="F3051">
        <f t="shared" si="189"/>
        <v>750</v>
      </c>
      <c r="G3051">
        <f t="shared" si="191"/>
        <v>9.9794666666666672</v>
      </c>
      <c r="H3051">
        <f t="shared" si="192"/>
        <v>9.0739362256712166</v>
      </c>
    </row>
    <row r="3052" spans="1:8" x14ac:dyDescent="0.25">
      <c r="A3052" t="str">
        <f t="shared" si="190"/>
        <v>Multihop,USnet,20</v>
      </c>
      <c r="B3052" t="s">
        <v>34</v>
      </c>
      <c r="C3052" t="s">
        <v>7</v>
      </c>
      <c r="D3052">
        <v>20</v>
      </c>
      <c r="E3052">
        <v>812.64400000000001</v>
      </c>
      <c r="F3052">
        <f t="shared" si="189"/>
        <v>750</v>
      </c>
      <c r="G3052">
        <f t="shared" si="191"/>
        <v>8.3525333333333336</v>
      </c>
      <c r="H3052">
        <f t="shared" si="192"/>
        <v>7.7086645566816481</v>
      </c>
    </row>
    <row r="3053" spans="1:8" x14ac:dyDescent="0.25">
      <c r="A3053" t="str">
        <f t="shared" si="190"/>
        <v>Multihop,USnet,20</v>
      </c>
      <c r="B3053" t="s">
        <v>34</v>
      </c>
      <c r="C3053" t="s">
        <v>7</v>
      </c>
      <c r="D3053">
        <v>20</v>
      </c>
      <c r="E3053">
        <v>819.75699999999995</v>
      </c>
      <c r="F3053">
        <f t="shared" si="189"/>
        <v>750</v>
      </c>
      <c r="G3053">
        <f t="shared" si="191"/>
        <v>9.3009333333333259</v>
      </c>
      <c r="H3053">
        <f t="shared" si="192"/>
        <v>8.5094729291729081</v>
      </c>
    </row>
    <row r="3054" spans="1:8" x14ac:dyDescent="0.25">
      <c r="A3054" t="str">
        <f t="shared" si="190"/>
        <v>Multihop,USnet,20</v>
      </c>
      <c r="B3054" t="s">
        <v>34</v>
      </c>
      <c r="C3054" t="s">
        <v>7</v>
      </c>
      <c r="D3054">
        <v>20</v>
      </c>
      <c r="E3054">
        <v>830.56</v>
      </c>
      <c r="F3054">
        <f t="shared" si="189"/>
        <v>750</v>
      </c>
      <c r="G3054">
        <f t="shared" si="191"/>
        <v>10.741333333333326</v>
      </c>
      <c r="H3054">
        <f t="shared" si="192"/>
        <v>9.6994798690040387</v>
      </c>
    </row>
    <row r="3055" spans="1:8" x14ac:dyDescent="0.25">
      <c r="A3055" t="str">
        <f t="shared" si="190"/>
        <v>Multihop,USnet,20</v>
      </c>
      <c r="B3055" t="s">
        <v>34</v>
      </c>
      <c r="C3055" t="s">
        <v>7</v>
      </c>
      <c r="D3055">
        <v>20</v>
      </c>
      <c r="E3055">
        <v>817.07</v>
      </c>
      <c r="F3055">
        <f t="shared" si="189"/>
        <v>750</v>
      </c>
      <c r="G3055">
        <f t="shared" si="191"/>
        <v>8.942666666666673</v>
      </c>
      <c r="H3055">
        <f t="shared" si="192"/>
        <v>8.208599018443957</v>
      </c>
    </row>
    <row r="3056" spans="1:8" x14ac:dyDescent="0.25">
      <c r="A3056" t="str">
        <f t="shared" si="190"/>
        <v>Multihop,USnet,20</v>
      </c>
      <c r="B3056" t="s">
        <v>34</v>
      </c>
      <c r="C3056" t="s">
        <v>7</v>
      </c>
      <c r="D3056">
        <v>20</v>
      </c>
      <c r="E3056">
        <v>816.07799999999997</v>
      </c>
      <c r="F3056">
        <f t="shared" si="189"/>
        <v>750</v>
      </c>
      <c r="G3056">
        <f t="shared" si="191"/>
        <v>8.810399999999996</v>
      </c>
      <c r="H3056">
        <f t="shared" si="192"/>
        <v>8.0970201377809445</v>
      </c>
    </row>
    <row r="3057" spans="1:8" x14ac:dyDescent="0.25">
      <c r="A3057" t="str">
        <f t="shared" si="190"/>
        <v>Multihop,USnet,20</v>
      </c>
      <c r="B3057" t="s">
        <v>34</v>
      </c>
      <c r="C3057" t="s">
        <v>7</v>
      </c>
      <c r="D3057">
        <v>20</v>
      </c>
      <c r="E3057">
        <v>815.66899999999998</v>
      </c>
      <c r="F3057">
        <f t="shared" si="189"/>
        <v>750</v>
      </c>
      <c r="G3057">
        <f t="shared" si="191"/>
        <v>8.7558666666666642</v>
      </c>
      <c r="H3057">
        <f t="shared" si="192"/>
        <v>8.0509373287448689</v>
      </c>
    </row>
    <row r="3058" spans="1:8" x14ac:dyDescent="0.25">
      <c r="A3058" t="str">
        <f t="shared" si="190"/>
        <v>Multihop,USnet,20</v>
      </c>
      <c r="B3058" t="s">
        <v>34</v>
      </c>
      <c r="C3058" t="s">
        <v>7</v>
      </c>
      <c r="D3058">
        <v>20</v>
      </c>
      <c r="E3058">
        <v>828.572</v>
      </c>
      <c r="F3058">
        <f t="shared" si="189"/>
        <v>750</v>
      </c>
      <c r="G3058">
        <f t="shared" si="191"/>
        <v>10.476266666666668</v>
      </c>
      <c r="H3058">
        <f t="shared" si="192"/>
        <v>9.4828210463303133</v>
      </c>
    </row>
    <row r="3059" spans="1:8" x14ac:dyDescent="0.25">
      <c r="A3059" t="str">
        <f t="shared" si="190"/>
        <v>Multihop,USnet,20</v>
      </c>
      <c r="B3059" t="s">
        <v>34</v>
      </c>
      <c r="C3059" t="s">
        <v>7</v>
      </c>
      <c r="D3059">
        <v>20</v>
      </c>
      <c r="E3059">
        <v>813.36800000000005</v>
      </c>
      <c r="F3059">
        <f t="shared" si="189"/>
        <v>750</v>
      </c>
      <c r="G3059">
        <f t="shared" si="191"/>
        <v>8.4490666666666741</v>
      </c>
      <c r="H3059">
        <f t="shared" si="192"/>
        <v>7.7908154734388431</v>
      </c>
    </row>
    <row r="3060" spans="1:8" x14ac:dyDescent="0.25">
      <c r="A3060" t="str">
        <f t="shared" si="190"/>
        <v>Multihop,USnet,20</v>
      </c>
      <c r="B3060" t="s">
        <v>34</v>
      </c>
      <c r="C3060" t="s">
        <v>7</v>
      </c>
      <c r="D3060">
        <v>20</v>
      </c>
      <c r="E3060">
        <v>815.94399999999996</v>
      </c>
      <c r="F3060">
        <f t="shared" si="189"/>
        <v>750</v>
      </c>
      <c r="G3060">
        <f t="shared" si="191"/>
        <v>8.7925333333333278</v>
      </c>
      <c r="H3060">
        <f t="shared" si="192"/>
        <v>8.0819271910817356</v>
      </c>
    </row>
    <row r="3061" spans="1:8" x14ac:dyDescent="0.25">
      <c r="A3061" t="str">
        <f t="shared" si="190"/>
        <v>Multihop,USnet,20</v>
      </c>
      <c r="B3061" t="s">
        <v>34</v>
      </c>
      <c r="C3061" t="s">
        <v>7</v>
      </c>
      <c r="D3061">
        <v>20</v>
      </c>
      <c r="E3061">
        <v>811.84500000000003</v>
      </c>
      <c r="F3061">
        <f t="shared" si="189"/>
        <v>750</v>
      </c>
      <c r="G3061">
        <f t="shared" si="191"/>
        <v>8.246000000000004</v>
      </c>
      <c r="H3061">
        <f t="shared" si="192"/>
        <v>7.6178334534301531</v>
      </c>
    </row>
    <row r="3062" spans="1:8" x14ac:dyDescent="0.25">
      <c r="A3062" t="str">
        <f t="shared" si="190"/>
        <v>Multihop,USnet,20</v>
      </c>
      <c r="B3062" t="s">
        <v>34</v>
      </c>
      <c r="C3062" t="s">
        <v>7</v>
      </c>
      <c r="D3062">
        <v>20</v>
      </c>
      <c r="E3062">
        <v>809.91</v>
      </c>
      <c r="F3062">
        <f t="shared" si="189"/>
        <v>750</v>
      </c>
      <c r="G3062">
        <f t="shared" si="191"/>
        <v>7.9879999999999951</v>
      </c>
      <c r="H3062">
        <f t="shared" si="192"/>
        <v>7.3971181983183278</v>
      </c>
    </row>
    <row r="3063" spans="1:8" x14ac:dyDescent="0.25">
      <c r="A3063" t="str">
        <f t="shared" si="190"/>
        <v>Multihop,USnet,20</v>
      </c>
      <c r="B3063" t="s">
        <v>34</v>
      </c>
      <c r="C3063" t="s">
        <v>7</v>
      </c>
      <c r="D3063">
        <v>20</v>
      </c>
      <c r="E3063">
        <v>820.12900000000002</v>
      </c>
      <c r="F3063">
        <f t="shared" si="189"/>
        <v>750</v>
      </c>
      <c r="G3063">
        <f t="shared" si="191"/>
        <v>9.3505333333333365</v>
      </c>
      <c r="H3063">
        <f t="shared" si="192"/>
        <v>8.5509718593050614</v>
      </c>
    </row>
    <row r="3064" spans="1:8" x14ac:dyDescent="0.25">
      <c r="A3064" t="str">
        <f t="shared" si="190"/>
        <v>Multihop,USnet,20</v>
      </c>
      <c r="B3064" t="s">
        <v>34</v>
      </c>
      <c r="C3064" t="s">
        <v>7</v>
      </c>
      <c r="D3064">
        <v>20</v>
      </c>
      <c r="E3064">
        <v>818.80100000000004</v>
      </c>
      <c r="F3064">
        <f t="shared" si="189"/>
        <v>750</v>
      </c>
      <c r="G3064">
        <f t="shared" si="191"/>
        <v>9.1734666666666733</v>
      </c>
      <c r="H3064">
        <f t="shared" si="192"/>
        <v>8.402652170673953</v>
      </c>
    </row>
    <row r="3065" spans="1:8" x14ac:dyDescent="0.25">
      <c r="A3065" t="str">
        <f t="shared" si="190"/>
        <v>Multihop,USnet,20</v>
      </c>
      <c r="B3065" t="s">
        <v>34</v>
      </c>
      <c r="C3065" t="s">
        <v>7</v>
      </c>
      <c r="D3065">
        <v>20</v>
      </c>
      <c r="E3065">
        <v>820.55200000000002</v>
      </c>
      <c r="F3065">
        <f t="shared" si="189"/>
        <v>750</v>
      </c>
      <c r="G3065">
        <f t="shared" si="191"/>
        <v>9.4069333333333365</v>
      </c>
      <c r="H3065">
        <f t="shared" si="192"/>
        <v>8.5981144400354914</v>
      </c>
    </row>
    <row r="3066" spans="1:8" x14ac:dyDescent="0.25">
      <c r="A3066" t="str">
        <f t="shared" si="190"/>
        <v>Multihop,USnet,20</v>
      </c>
      <c r="B3066" t="s">
        <v>34</v>
      </c>
      <c r="C3066" t="s">
        <v>7</v>
      </c>
      <c r="D3066">
        <v>20</v>
      </c>
      <c r="E3066">
        <v>828.51700000000005</v>
      </c>
      <c r="F3066">
        <f t="shared" si="189"/>
        <v>750</v>
      </c>
      <c r="G3066">
        <f t="shared" si="191"/>
        <v>10.468933333333339</v>
      </c>
      <c r="H3066">
        <f t="shared" si="192"/>
        <v>9.4768121836969001</v>
      </c>
    </row>
    <row r="3067" spans="1:8" x14ac:dyDescent="0.25">
      <c r="A3067" t="str">
        <f t="shared" si="190"/>
        <v>Multihop,USnet,20</v>
      </c>
      <c r="B3067" t="s">
        <v>34</v>
      </c>
      <c r="C3067" t="s">
        <v>7</v>
      </c>
      <c r="D3067">
        <v>20</v>
      </c>
      <c r="E3067">
        <v>814.90300000000002</v>
      </c>
      <c r="F3067">
        <f t="shared" si="189"/>
        <v>750</v>
      </c>
      <c r="G3067">
        <f t="shared" si="191"/>
        <v>8.6537333333333351</v>
      </c>
      <c r="H3067">
        <f t="shared" si="192"/>
        <v>7.9645062050329933</v>
      </c>
    </row>
    <row r="3068" spans="1:8" x14ac:dyDescent="0.25">
      <c r="A3068" t="str">
        <f t="shared" si="190"/>
        <v>Multihop,USnet,20</v>
      </c>
      <c r="B3068" t="s">
        <v>34</v>
      </c>
      <c r="C3068" t="s">
        <v>7</v>
      </c>
      <c r="D3068">
        <v>20</v>
      </c>
      <c r="E3068">
        <v>814.40800000000002</v>
      </c>
      <c r="F3068">
        <f t="shared" si="189"/>
        <v>750</v>
      </c>
      <c r="G3068">
        <f t="shared" si="191"/>
        <v>8.5877333333333343</v>
      </c>
      <c r="H3068">
        <f t="shared" si="192"/>
        <v>7.9085667134900461</v>
      </c>
    </row>
    <row r="3069" spans="1:8" x14ac:dyDescent="0.25">
      <c r="A3069" t="str">
        <f t="shared" si="190"/>
        <v>Multihop,USnet,20</v>
      </c>
      <c r="B3069" t="s">
        <v>34</v>
      </c>
      <c r="C3069" t="s">
        <v>7</v>
      </c>
      <c r="D3069">
        <v>20</v>
      </c>
      <c r="E3069">
        <v>813.83500000000004</v>
      </c>
      <c r="F3069">
        <f t="shared" si="189"/>
        <v>750</v>
      </c>
      <c r="G3069">
        <f t="shared" si="191"/>
        <v>8.5113333333333383</v>
      </c>
      <c r="H3069">
        <f t="shared" si="192"/>
        <v>7.8437275369085917</v>
      </c>
    </row>
    <row r="3070" spans="1:8" x14ac:dyDescent="0.25">
      <c r="A3070" t="str">
        <f t="shared" si="190"/>
        <v>Multihop,USnet,20</v>
      </c>
      <c r="B3070" t="s">
        <v>34</v>
      </c>
      <c r="C3070" t="s">
        <v>7</v>
      </c>
      <c r="D3070">
        <v>20</v>
      </c>
      <c r="E3070">
        <v>817.1</v>
      </c>
      <c r="F3070">
        <f t="shared" si="189"/>
        <v>750</v>
      </c>
      <c r="G3070">
        <f t="shared" si="191"/>
        <v>8.946666666666669</v>
      </c>
      <c r="H3070">
        <f t="shared" si="192"/>
        <v>8.2119691592216402</v>
      </c>
    </row>
    <row r="3071" spans="1:8" x14ac:dyDescent="0.25">
      <c r="A3071" t="str">
        <f t="shared" si="190"/>
        <v>Multihop,USnet,20</v>
      </c>
      <c r="B3071" t="s">
        <v>34</v>
      </c>
      <c r="C3071" t="s">
        <v>7</v>
      </c>
      <c r="D3071">
        <v>20</v>
      </c>
      <c r="E3071">
        <v>812.49099999999999</v>
      </c>
      <c r="F3071">
        <f t="shared" si="189"/>
        <v>750</v>
      </c>
      <c r="G3071">
        <f t="shared" si="191"/>
        <v>8.3321333333333314</v>
      </c>
      <c r="H3071">
        <f t="shared" si="192"/>
        <v>7.6912851957744746</v>
      </c>
    </row>
    <row r="3072" spans="1:8" x14ac:dyDescent="0.25">
      <c r="A3072" t="str">
        <f t="shared" si="190"/>
        <v>Multihop,USnet,20</v>
      </c>
      <c r="B3072" t="s">
        <v>34</v>
      </c>
      <c r="C3072" t="s">
        <v>7</v>
      </c>
      <c r="D3072">
        <v>20</v>
      </c>
      <c r="E3072">
        <v>813.35500000000002</v>
      </c>
      <c r="F3072">
        <f t="shared" si="189"/>
        <v>750</v>
      </c>
      <c r="G3072">
        <f t="shared" si="191"/>
        <v>8.4473333333333365</v>
      </c>
      <c r="H3072">
        <f t="shared" si="192"/>
        <v>7.7893416773733497</v>
      </c>
    </row>
    <row r="3073" spans="1:8" x14ac:dyDescent="0.25">
      <c r="A3073" t="str">
        <f t="shared" si="190"/>
        <v>Multihop,USnet,20</v>
      </c>
      <c r="B3073" t="s">
        <v>34</v>
      </c>
      <c r="C3073" t="s">
        <v>7</v>
      </c>
      <c r="D3073">
        <v>20</v>
      </c>
      <c r="E3073">
        <v>808.92600000000004</v>
      </c>
      <c r="F3073">
        <f t="shared" si="189"/>
        <v>750</v>
      </c>
      <c r="G3073">
        <f t="shared" si="191"/>
        <v>7.8568000000000051</v>
      </c>
      <c r="H3073">
        <f t="shared" si="192"/>
        <v>7.2844734870680439</v>
      </c>
    </row>
    <row r="3074" spans="1:8" x14ac:dyDescent="0.25">
      <c r="A3074" t="str">
        <f t="shared" si="190"/>
        <v>Multihop,USnet,20</v>
      </c>
      <c r="B3074" t="s">
        <v>34</v>
      </c>
      <c r="C3074" t="s">
        <v>7</v>
      </c>
      <c r="D3074">
        <v>20</v>
      </c>
      <c r="E3074">
        <v>817.827</v>
      </c>
      <c r="F3074">
        <f t="shared" si="189"/>
        <v>750</v>
      </c>
      <c r="G3074">
        <f t="shared" si="191"/>
        <v>9.0435999999999996</v>
      </c>
      <c r="H3074">
        <f t="shared" si="192"/>
        <v>8.2935633086215059</v>
      </c>
    </row>
    <row r="3075" spans="1:8" x14ac:dyDescent="0.25">
      <c r="A3075" t="str">
        <f t="shared" si="190"/>
        <v>Multihop,USnet,20</v>
      </c>
      <c r="B3075" t="s">
        <v>34</v>
      </c>
      <c r="C3075" t="s">
        <v>7</v>
      </c>
      <c r="D3075">
        <v>20</v>
      </c>
      <c r="E3075">
        <v>811.77300000000002</v>
      </c>
      <c r="F3075">
        <f t="shared" ref="F3075:F3138" si="193">_xlfn.XLOOKUP(A3075,$J$3:$J$36,$N$3:$N$36)</f>
        <v>750</v>
      </c>
      <c r="G3075">
        <f t="shared" si="191"/>
        <v>8.2364000000000033</v>
      </c>
      <c r="H3075">
        <f t="shared" si="192"/>
        <v>7.6096396406384574</v>
      </c>
    </row>
    <row r="3076" spans="1:8" x14ac:dyDescent="0.25">
      <c r="A3076" t="str">
        <f t="shared" ref="A3076:A3139" si="194">B3076&amp;","&amp;C3076&amp;","&amp;D3076</f>
        <v>Multihop,USnet,20</v>
      </c>
      <c r="B3076" t="s">
        <v>34</v>
      </c>
      <c r="C3076" t="s">
        <v>7</v>
      </c>
      <c r="D3076">
        <v>20</v>
      </c>
      <c r="E3076">
        <v>823.822</v>
      </c>
      <c r="F3076">
        <f t="shared" si="193"/>
        <v>750</v>
      </c>
      <c r="G3076">
        <f t="shared" ref="G3076:G3139" si="195">ABS((E3076-F3076)/F3076)*100</f>
        <v>9.8429333333333346</v>
      </c>
      <c r="H3076">
        <f t="shared" ref="H3076:H3139" si="196">ABS((F3076-E3076)/E3076)*100</f>
        <v>8.9609163144465676</v>
      </c>
    </row>
    <row r="3077" spans="1:8" x14ac:dyDescent="0.25">
      <c r="A3077" t="str">
        <f t="shared" si="194"/>
        <v>Multihop,USnet,20</v>
      </c>
      <c r="B3077" t="s">
        <v>34</v>
      </c>
      <c r="C3077" t="s">
        <v>7</v>
      </c>
      <c r="D3077">
        <v>20</v>
      </c>
      <c r="E3077">
        <v>824.43299999999999</v>
      </c>
      <c r="F3077">
        <f t="shared" si="193"/>
        <v>750</v>
      </c>
      <c r="G3077">
        <f t="shared" si="195"/>
        <v>9.9243999999999986</v>
      </c>
      <c r="H3077">
        <f t="shared" si="196"/>
        <v>9.0283867821884858</v>
      </c>
    </row>
    <row r="3078" spans="1:8" x14ac:dyDescent="0.25">
      <c r="A3078" t="str">
        <f t="shared" si="194"/>
        <v>Multihop,USnet,20</v>
      </c>
      <c r="B3078" t="s">
        <v>34</v>
      </c>
      <c r="C3078" t="s">
        <v>7</v>
      </c>
      <c r="D3078">
        <v>20</v>
      </c>
      <c r="E3078">
        <v>813.93399999999997</v>
      </c>
      <c r="F3078">
        <f t="shared" si="193"/>
        <v>750</v>
      </c>
      <c r="G3078">
        <f t="shared" si="195"/>
        <v>8.5245333333333306</v>
      </c>
      <c r="H3078">
        <f t="shared" si="196"/>
        <v>7.8549366410544303</v>
      </c>
    </row>
    <row r="3079" spans="1:8" x14ac:dyDescent="0.25">
      <c r="A3079" t="str">
        <f t="shared" si="194"/>
        <v>Multihop,USnet,20</v>
      </c>
      <c r="B3079" t="s">
        <v>34</v>
      </c>
      <c r="C3079" t="s">
        <v>7</v>
      </c>
      <c r="D3079">
        <v>20</v>
      </c>
      <c r="E3079">
        <v>815.08799999999997</v>
      </c>
      <c r="F3079">
        <f t="shared" si="193"/>
        <v>750</v>
      </c>
      <c r="G3079">
        <f t="shared" si="195"/>
        <v>8.6783999999999963</v>
      </c>
      <c r="H3079">
        <f t="shared" si="196"/>
        <v>7.9853954419645445</v>
      </c>
    </row>
    <row r="3080" spans="1:8" x14ac:dyDescent="0.25">
      <c r="A3080" t="str">
        <f t="shared" si="194"/>
        <v>Multihop,USnet,20</v>
      </c>
      <c r="B3080" t="s">
        <v>34</v>
      </c>
      <c r="C3080" t="s">
        <v>7</v>
      </c>
      <c r="D3080">
        <v>20</v>
      </c>
      <c r="E3080">
        <v>823.59299999999996</v>
      </c>
      <c r="F3080">
        <f t="shared" si="193"/>
        <v>750</v>
      </c>
      <c r="G3080">
        <f t="shared" si="195"/>
        <v>9.8123999999999949</v>
      </c>
      <c r="H3080">
        <f t="shared" si="196"/>
        <v>8.9356029009474298</v>
      </c>
    </row>
    <row r="3081" spans="1:8" x14ac:dyDescent="0.25">
      <c r="A3081" t="str">
        <f t="shared" si="194"/>
        <v>Multihop,USnet,20</v>
      </c>
      <c r="B3081" t="s">
        <v>34</v>
      </c>
      <c r="C3081" t="s">
        <v>7</v>
      </c>
      <c r="D3081">
        <v>20</v>
      </c>
      <c r="E3081">
        <v>834.68799999999999</v>
      </c>
      <c r="F3081">
        <f t="shared" si="193"/>
        <v>750</v>
      </c>
      <c r="G3081">
        <f t="shared" si="195"/>
        <v>11.291733333333331</v>
      </c>
      <c r="H3081">
        <f t="shared" si="196"/>
        <v>10.146066554209476</v>
      </c>
    </row>
    <row r="3082" spans="1:8" x14ac:dyDescent="0.25">
      <c r="A3082" t="str">
        <f t="shared" si="194"/>
        <v>Multihop,USnet,20</v>
      </c>
      <c r="B3082" t="s">
        <v>34</v>
      </c>
      <c r="C3082" t="s">
        <v>7</v>
      </c>
      <c r="D3082">
        <v>20</v>
      </c>
      <c r="E3082">
        <v>822.58600000000001</v>
      </c>
      <c r="F3082">
        <f t="shared" si="193"/>
        <v>750</v>
      </c>
      <c r="G3082">
        <f t="shared" si="195"/>
        <v>9.678133333333335</v>
      </c>
      <c r="H3082">
        <f t="shared" si="196"/>
        <v>8.8241229488466875</v>
      </c>
    </row>
    <row r="3083" spans="1:8" x14ac:dyDescent="0.25">
      <c r="A3083" t="str">
        <f t="shared" si="194"/>
        <v>Multihop,USnet,20</v>
      </c>
      <c r="B3083" t="s">
        <v>34</v>
      </c>
      <c r="C3083" t="s">
        <v>7</v>
      </c>
      <c r="D3083">
        <v>20</v>
      </c>
      <c r="E3083">
        <v>819.96500000000003</v>
      </c>
      <c r="F3083">
        <f t="shared" si="193"/>
        <v>750</v>
      </c>
      <c r="G3083">
        <f t="shared" si="195"/>
        <v>9.3286666666666704</v>
      </c>
      <c r="H3083">
        <f t="shared" si="196"/>
        <v>8.5326812729811667</v>
      </c>
    </row>
    <row r="3084" spans="1:8" x14ac:dyDescent="0.25">
      <c r="A3084" t="str">
        <f t="shared" si="194"/>
        <v>Multihop,USnet,20</v>
      </c>
      <c r="B3084" t="s">
        <v>34</v>
      </c>
      <c r="C3084" t="s">
        <v>7</v>
      </c>
      <c r="D3084">
        <v>20</v>
      </c>
      <c r="E3084">
        <v>815.74400000000003</v>
      </c>
      <c r="F3084">
        <f t="shared" si="193"/>
        <v>750</v>
      </c>
      <c r="G3084">
        <f t="shared" si="195"/>
        <v>8.7658666666666711</v>
      </c>
      <c r="H3084">
        <f t="shared" si="196"/>
        <v>8.0593911815471557</v>
      </c>
    </row>
    <row r="3085" spans="1:8" x14ac:dyDescent="0.25">
      <c r="A3085" t="str">
        <f t="shared" si="194"/>
        <v>Multihop,USnet,20</v>
      </c>
      <c r="B3085" t="s">
        <v>34</v>
      </c>
      <c r="C3085" t="s">
        <v>7</v>
      </c>
      <c r="D3085">
        <v>20</v>
      </c>
      <c r="E3085">
        <v>813.80899999999997</v>
      </c>
      <c r="F3085">
        <f t="shared" si="193"/>
        <v>750</v>
      </c>
      <c r="G3085">
        <f t="shared" si="195"/>
        <v>8.5078666666666614</v>
      </c>
      <c r="H3085">
        <f t="shared" si="196"/>
        <v>7.8407832796147465</v>
      </c>
    </row>
    <row r="3086" spans="1:8" x14ac:dyDescent="0.25">
      <c r="A3086" t="str">
        <f t="shared" si="194"/>
        <v>Multihop,USnet,20</v>
      </c>
      <c r="B3086" t="s">
        <v>34</v>
      </c>
      <c r="C3086" t="s">
        <v>7</v>
      </c>
      <c r="D3086">
        <v>20</v>
      </c>
      <c r="E3086">
        <v>811.37400000000002</v>
      </c>
      <c r="F3086">
        <f t="shared" si="193"/>
        <v>750</v>
      </c>
      <c r="G3086">
        <f t="shared" si="195"/>
        <v>8.1832000000000029</v>
      </c>
      <c r="H3086">
        <f t="shared" si="196"/>
        <v>7.5642059025800705</v>
      </c>
    </row>
    <row r="3087" spans="1:8" x14ac:dyDescent="0.25">
      <c r="A3087" t="str">
        <f t="shared" si="194"/>
        <v>Multihop,USnet,20</v>
      </c>
      <c r="B3087" t="s">
        <v>34</v>
      </c>
      <c r="C3087" t="s">
        <v>7</v>
      </c>
      <c r="D3087">
        <v>20</v>
      </c>
      <c r="E3087">
        <v>812.28300000000002</v>
      </c>
      <c r="F3087">
        <f t="shared" si="193"/>
        <v>750</v>
      </c>
      <c r="G3087">
        <f t="shared" si="195"/>
        <v>8.3044000000000029</v>
      </c>
      <c r="H3087">
        <f t="shared" si="196"/>
        <v>7.667647851795496</v>
      </c>
    </row>
    <row r="3088" spans="1:8" x14ac:dyDescent="0.25">
      <c r="A3088" t="str">
        <f t="shared" si="194"/>
        <v>Multihop,USnet,20</v>
      </c>
      <c r="B3088" t="s">
        <v>34</v>
      </c>
      <c r="C3088" t="s">
        <v>7</v>
      </c>
      <c r="D3088">
        <v>20</v>
      </c>
      <c r="E3088">
        <v>817.04100000000005</v>
      </c>
      <c r="F3088">
        <f t="shared" si="193"/>
        <v>750</v>
      </c>
      <c r="G3088">
        <f t="shared" si="195"/>
        <v>8.9388000000000059</v>
      </c>
      <c r="H3088">
        <f t="shared" si="196"/>
        <v>8.2053409804403987</v>
      </c>
    </row>
    <row r="3089" spans="1:8" x14ac:dyDescent="0.25">
      <c r="A3089" t="str">
        <f t="shared" si="194"/>
        <v>Multihop,USnet,20</v>
      </c>
      <c r="B3089" t="s">
        <v>34</v>
      </c>
      <c r="C3089" t="s">
        <v>7</v>
      </c>
      <c r="D3089">
        <v>20</v>
      </c>
      <c r="E3089">
        <v>813.16099999999994</v>
      </c>
      <c r="F3089">
        <f t="shared" si="193"/>
        <v>750</v>
      </c>
      <c r="G3089">
        <f t="shared" si="195"/>
        <v>8.4214666666666584</v>
      </c>
      <c r="H3089">
        <f t="shared" si="196"/>
        <v>7.7673425065884798</v>
      </c>
    </row>
    <row r="3090" spans="1:8" x14ac:dyDescent="0.25">
      <c r="A3090" t="str">
        <f t="shared" si="194"/>
        <v>Multihop,USnet,20</v>
      </c>
      <c r="B3090" t="s">
        <v>34</v>
      </c>
      <c r="C3090" t="s">
        <v>7</v>
      </c>
      <c r="D3090">
        <v>20</v>
      </c>
      <c r="E3090">
        <v>806.76400000000001</v>
      </c>
      <c r="F3090">
        <f t="shared" si="193"/>
        <v>750</v>
      </c>
      <c r="G3090">
        <f t="shared" si="195"/>
        <v>7.5685333333333338</v>
      </c>
      <c r="H3090">
        <f t="shared" si="196"/>
        <v>7.0360105309607279</v>
      </c>
    </row>
    <row r="3091" spans="1:8" x14ac:dyDescent="0.25">
      <c r="A3091" t="str">
        <f t="shared" si="194"/>
        <v>Multihop,USnet,20</v>
      </c>
      <c r="B3091" t="s">
        <v>34</v>
      </c>
      <c r="C3091" t="s">
        <v>7</v>
      </c>
      <c r="D3091">
        <v>20</v>
      </c>
      <c r="E3091">
        <v>818.45299999999997</v>
      </c>
      <c r="F3091">
        <f t="shared" si="193"/>
        <v>750</v>
      </c>
      <c r="G3091">
        <f t="shared" si="195"/>
        <v>9.1270666666666642</v>
      </c>
      <c r="H3091">
        <f t="shared" si="196"/>
        <v>8.3637056739971598</v>
      </c>
    </row>
    <row r="3092" spans="1:8" x14ac:dyDescent="0.25">
      <c r="A3092" t="str">
        <f t="shared" si="194"/>
        <v>Multihop,USnet,20</v>
      </c>
      <c r="B3092" t="s">
        <v>34</v>
      </c>
      <c r="C3092" t="s">
        <v>7</v>
      </c>
      <c r="D3092">
        <v>20</v>
      </c>
      <c r="E3092">
        <v>809.29200000000003</v>
      </c>
      <c r="F3092">
        <f t="shared" si="193"/>
        <v>750</v>
      </c>
      <c r="G3092">
        <f t="shared" si="195"/>
        <v>7.9056000000000042</v>
      </c>
      <c r="H3092">
        <f t="shared" si="196"/>
        <v>7.3264038196349439</v>
      </c>
    </row>
    <row r="3093" spans="1:8" x14ac:dyDescent="0.25">
      <c r="A3093" t="str">
        <f t="shared" si="194"/>
        <v>Multihop,USnet,20</v>
      </c>
      <c r="B3093" t="s">
        <v>34</v>
      </c>
      <c r="C3093" t="s">
        <v>7</v>
      </c>
      <c r="D3093">
        <v>20</v>
      </c>
      <c r="E3093">
        <v>803.22199999999998</v>
      </c>
      <c r="F3093">
        <f t="shared" si="193"/>
        <v>750</v>
      </c>
      <c r="G3093">
        <f t="shared" si="195"/>
        <v>7.0962666666666649</v>
      </c>
      <c r="H3093">
        <f t="shared" si="196"/>
        <v>6.6260635291364016</v>
      </c>
    </row>
    <row r="3094" spans="1:8" x14ac:dyDescent="0.25">
      <c r="A3094" t="str">
        <f t="shared" si="194"/>
        <v>Multihop,USnet,20</v>
      </c>
      <c r="B3094" t="s">
        <v>34</v>
      </c>
      <c r="C3094" t="s">
        <v>7</v>
      </c>
      <c r="D3094">
        <v>20</v>
      </c>
      <c r="E3094">
        <v>811.60400000000004</v>
      </c>
      <c r="F3094">
        <f t="shared" si="193"/>
        <v>750</v>
      </c>
      <c r="G3094">
        <f t="shared" si="195"/>
        <v>8.2138666666666715</v>
      </c>
      <c r="H3094">
        <f t="shared" si="196"/>
        <v>7.5904012301565835</v>
      </c>
    </row>
    <row r="3095" spans="1:8" x14ac:dyDescent="0.25">
      <c r="A3095" t="str">
        <f t="shared" si="194"/>
        <v>Multihop,USnet,20</v>
      </c>
      <c r="B3095" t="s">
        <v>34</v>
      </c>
      <c r="C3095" t="s">
        <v>7</v>
      </c>
      <c r="D3095">
        <v>20</v>
      </c>
      <c r="E3095">
        <v>817.46400000000006</v>
      </c>
      <c r="F3095">
        <f t="shared" si="193"/>
        <v>750</v>
      </c>
      <c r="G3095">
        <f t="shared" si="195"/>
        <v>8.9952000000000076</v>
      </c>
      <c r="H3095">
        <f t="shared" si="196"/>
        <v>8.2528404920583718</v>
      </c>
    </row>
    <row r="3096" spans="1:8" x14ac:dyDescent="0.25">
      <c r="A3096" t="str">
        <f t="shared" si="194"/>
        <v>Multihop,USnet,20</v>
      </c>
      <c r="B3096" t="s">
        <v>34</v>
      </c>
      <c r="C3096" t="s">
        <v>7</v>
      </c>
      <c r="D3096">
        <v>20</v>
      </c>
      <c r="E3096">
        <v>828.50800000000004</v>
      </c>
      <c r="F3096">
        <f t="shared" si="193"/>
        <v>750</v>
      </c>
      <c r="G3096">
        <f t="shared" si="195"/>
        <v>10.467733333333339</v>
      </c>
      <c r="H3096">
        <f t="shared" si="196"/>
        <v>9.4758288393111521</v>
      </c>
    </row>
    <row r="3097" spans="1:8" x14ac:dyDescent="0.25">
      <c r="A3097" t="str">
        <f t="shared" si="194"/>
        <v>Multihop,USnet,20</v>
      </c>
      <c r="B3097" t="s">
        <v>34</v>
      </c>
      <c r="C3097" t="s">
        <v>7</v>
      </c>
      <c r="D3097">
        <v>20</v>
      </c>
      <c r="E3097">
        <v>812.48599999999999</v>
      </c>
      <c r="F3097">
        <f t="shared" si="193"/>
        <v>750</v>
      </c>
      <c r="G3097">
        <f t="shared" si="195"/>
        <v>8.3314666666666639</v>
      </c>
      <c r="H3097">
        <f t="shared" si="196"/>
        <v>7.6907171323567409</v>
      </c>
    </row>
    <row r="3098" spans="1:8" x14ac:dyDescent="0.25">
      <c r="A3098" t="str">
        <f t="shared" si="194"/>
        <v>Multihop,USnet,20</v>
      </c>
      <c r="B3098" t="s">
        <v>34</v>
      </c>
      <c r="C3098" t="s">
        <v>7</v>
      </c>
      <c r="D3098">
        <v>20</v>
      </c>
      <c r="E3098">
        <v>821.62199999999996</v>
      </c>
      <c r="F3098">
        <f t="shared" si="193"/>
        <v>750</v>
      </c>
      <c r="G3098">
        <f t="shared" si="195"/>
        <v>9.5495999999999945</v>
      </c>
      <c r="H3098">
        <f t="shared" si="196"/>
        <v>8.7171473013137373</v>
      </c>
    </row>
    <row r="3099" spans="1:8" x14ac:dyDescent="0.25">
      <c r="A3099" t="str">
        <f t="shared" si="194"/>
        <v>Multihop,USnet,20</v>
      </c>
      <c r="B3099" t="s">
        <v>34</v>
      </c>
      <c r="C3099" t="s">
        <v>7</v>
      </c>
      <c r="D3099">
        <v>20</v>
      </c>
      <c r="E3099">
        <v>807.64099999999996</v>
      </c>
      <c r="F3099">
        <f t="shared" si="193"/>
        <v>750</v>
      </c>
      <c r="G3099">
        <f t="shared" si="195"/>
        <v>7.6854666666666613</v>
      </c>
      <c r="H3099">
        <f t="shared" si="196"/>
        <v>7.1369581286735029</v>
      </c>
    </row>
    <row r="3100" spans="1:8" x14ac:dyDescent="0.25">
      <c r="A3100" t="str">
        <f t="shared" si="194"/>
        <v>Multihop,USnet,20</v>
      </c>
      <c r="B3100" t="s">
        <v>34</v>
      </c>
      <c r="C3100" t="s">
        <v>7</v>
      </c>
      <c r="D3100">
        <v>20</v>
      </c>
      <c r="E3100">
        <v>811.38900000000001</v>
      </c>
      <c r="F3100">
        <f t="shared" si="193"/>
        <v>750</v>
      </c>
      <c r="G3100">
        <f t="shared" si="195"/>
        <v>8.1852</v>
      </c>
      <c r="H3100">
        <f t="shared" si="196"/>
        <v>7.5659147461944896</v>
      </c>
    </row>
    <row r="3101" spans="1:8" x14ac:dyDescent="0.25">
      <c r="A3101" t="str">
        <f t="shared" si="194"/>
        <v>Multihop,USnet,20</v>
      </c>
      <c r="B3101" t="s">
        <v>34</v>
      </c>
      <c r="C3101" t="s">
        <v>7</v>
      </c>
      <c r="D3101">
        <v>20</v>
      </c>
      <c r="E3101">
        <v>803.35299999999995</v>
      </c>
      <c r="F3101">
        <f t="shared" si="193"/>
        <v>750</v>
      </c>
      <c r="G3101">
        <f t="shared" si="195"/>
        <v>7.113733333333327</v>
      </c>
      <c r="H3101">
        <f t="shared" si="196"/>
        <v>6.6412896945676385</v>
      </c>
    </row>
    <row r="3102" spans="1:8" x14ac:dyDescent="0.25">
      <c r="A3102" t="str">
        <f t="shared" si="194"/>
        <v>Multihop,USnet,20</v>
      </c>
      <c r="B3102" t="s">
        <v>34</v>
      </c>
      <c r="C3102" t="s">
        <v>7</v>
      </c>
      <c r="D3102">
        <v>20</v>
      </c>
      <c r="E3102">
        <v>815.50400000000002</v>
      </c>
      <c r="F3102">
        <f t="shared" si="193"/>
        <v>750</v>
      </c>
      <c r="G3102">
        <f t="shared" si="195"/>
        <v>8.7338666666666693</v>
      </c>
      <c r="H3102">
        <f t="shared" si="196"/>
        <v>8.0323333791127958</v>
      </c>
    </row>
    <row r="3103" spans="1:8" x14ac:dyDescent="0.25">
      <c r="A3103" t="str">
        <f t="shared" si="194"/>
        <v>Multihop,USnet,40</v>
      </c>
      <c r="B3103" t="s">
        <v>34</v>
      </c>
      <c r="C3103" t="s">
        <v>7</v>
      </c>
      <c r="D3103">
        <v>40</v>
      </c>
      <c r="E3103">
        <v>1424.627</v>
      </c>
      <c r="F3103">
        <f t="shared" si="193"/>
        <v>1410</v>
      </c>
      <c r="G3103">
        <f t="shared" si="195"/>
        <v>1.0373758865248193</v>
      </c>
      <c r="H3103">
        <f t="shared" si="196"/>
        <v>1.0267248900940353</v>
      </c>
    </row>
    <row r="3104" spans="1:8" x14ac:dyDescent="0.25">
      <c r="A3104" t="str">
        <f t="shared" si="194"/>
        <v>Multihop,USnet,40</v>
      </c>
      <c r="B3104" t="s">
        <v>34</v>
      </c>
      <c r="C3104" t="s">
        <v>7</v>
      </c>
      <c r="D3104">
        <v>40</v>
      </c>
      <c r="E3104">
        <v>1416.05</v>
      </c>
      <c r="F3104">
        <f t="shared" si="193"/>
        <v>1410</v>
      </c>
      <c r="G3104">
        <f t="shared" si="195"/>
        <v>0.42907801418439395</v>
      </c>
      <c r="H3104">
        <f t="shared" si="196"/>
        <v>0.42724480067793896</v>
      </c>
    </row>
    <row r="3105" spans="1:8" x14ac:dyDescent="0.25">
      <c r="A3105" t="str">
        <f t="shared" si="194"/>
        <v>Multihop,USnet,40</v>
      </c>
      <c r="B3105" t="s">
        <v>34</v>
      </c>
      <c r="C3105" t="s">
        <v>7</v>
      </c>
      <c r="D3105">
        <v>40</v>
      </c>
      <c r="E3105">
        <v>1407.2349999999999</v>
      </c>
      <c r="F3105">
        <f t="shared" si="193"/>
        <v>1410</v>
      </c>
      <c r="G3105">
        <f t="shared" si="195"/>
        <v>0.19609929078014893</v>
      </c>
      <c r="H3105">
        <f t="shared" si="196"/>
        <v>0.19648459567876722</v>
      </c>
    </row>
    <row r="3106" spans="1:8" x14ac:dyDescent="0.25">
      <c r="A3106" t="str">
        <f t="shared" si="194"/>
        <v>Multihop,USnet,40</v>
      </c>
      <c r="B3106" t="s">
        <v>34</v>
      </c>
      <c r="C3106" t="s">
        <v>7</v>
      </c>
      <c r="D3106">
        <v>40</v>
      </c>
      <c r="E3106">
        <v>1409.7070000000001</v>
      </c>
      <c r="F3106">
        <f t="shared" si="193"/>
        <v>1410</v>
      </c>
      <c r="G3106">
        <f t="shared" si="195"/>
        <v>2.0780141843964019E-2</v>
      </c>
      <c r="H3106">
        <f t="shared" si="196"/>
        <v>2.0784460884417304E-2</v>
      </c>
    </row>
    <row r="3107" spans="1:8" x14ac:dyDescent="0.25">
      <c r="A3107" t="str">
        <f t="shared" si="194"/>
        <v>Multihop,USnet,40</v>
      </c>
      <c r="B3107" t="s">
        <v>34</v>
      </c>
      <c r="C3107" t="s">
        <v>7</v>
      </c>
      <c r="D3107">
        <v>40</v>
      </c>
      <c r="E3107">
        <v>1383.251</v>
      </c>
      <c r="F3107">
        <f t="shared" si="193"/>
        <v>1410</v>
      </c>
      <c r="G3107">
        <f t="shared" si="195"/>
        <v>1.8970921985815619</v>
      </c>
      <c r="H3107">
        <f t="shared" si="196"/>
        <v>1.933777745326049</v>
      </c>
    </row>
    <row r="3108" spans="1:8" x14ac:dyDescent="0.25">
      <c r="A3108" t="str">
        <f t="shared" si="194"/>
        <v>Multihop,USnet,40</v>
      </c>
      <c r="B3108" t="s">
        <v>34</v>
      </c>
      <c r="C3108" t="s">
        <v>7</v>
      </c>
      <c r="D3108">
        <v>40</v>
      </c>
      <c r="E3108">
        <v>1375.0909999999999</v>
      </c>
      <c r="F3108">
        <f t="shared" si="193"/>
        <v>1410</v>
      </c>
      <c r="G3108">
        <f t="shared" si="195"/>
        <v>2.475815602836887</v>
      </c>
      <c r="H3108">
        <f t="shared" si="196"/>
        <v>2.5386683499492113</v>
      </c>
    </row>
    <row r="3109" spans="1:8" x14ac:dyDescent="0.25">
      <c r="A3109" t="str">
        <f t="shared" si="194"/>
        <v>Multihop,USnet,40</v>
      </c>
      <c r="B3109" t="s">
        <v>34</v>
      </c>
      <c r="C3109" t="s">
        <v>7</v>
      </c>
      <c r="D3109">
        <v>40</v>
      </c>
      <c r="E3109">
        <v>1397.3779999999999</v>
      </c>
      <c r="F3109">
        <f t="shared" si="193"/>
        <v>1410</v>
      </c>
      <c r="G3109">
        <f t="shared" si="195"/>
        <v>0.89517730496454406</v>
      </c>
      <c r="H3109">
        <f t="shared" si="196"/>
        <v>0.9032631113413887</v>
      </c>
    </row>
    <row r="3110" spans="1:8" x14ac:dyDescent="0.25">
      <c r="A3110" t="str">
        <f t="shared" si="194"/>
        <v>Multihop,USnet,40</v>
      </c>
      <c r="B3110" t="s">
        <v>34</v>
      </c>
      <c r="C3110" t="s">
        <v>7</v>
      </c>
      <c r="D3110">
        <v>40</v>
      </c>
      <c r="E3110">
        <v>1419.11</v>
      </c>
      <c r="F3110">
        <f t="shared" si="193"/>
        <v>1410</v>
      </c>
      <c r="G3110">
        <f t="shared" si="195"/>
        <v>0.64609929078013473</v>
      </c>
      <c r="H3110">
        <f t="shared" si="196"/>
        <v>0.64195164574979391</v>
      </c>
    </row>
    <row r="3111" spans="1:8" x14ac:dyDescent="0.25">
      <c r="A3111" t="str">
        <f t="shared" si="194"/>
        <v>Multihop,USnet,40</v>
      </c>
      <c r="B3111" t="s">
        <v>34</v>
      </c>
      <c r="C3111" t="s">
        <v>7</v>
      </c>
      <c r="D3111">
        <v>40</v>
      </c>
      <c r="E3111">
        <v>1399.2329999999999</v>
      </c>
      <c r="F3111">
        <f t="shared" si="193"/>
        <v>1410</v>
      </c>
      <c r="G3111">
        <f t="shared" si="195"/>
        <v>0.76361702127659947</v>
      </c>
      <c r="H3111">
        <f t="shared" si="196"/>
        <v>0.76949300080830374</v>
      </c>
    </row>
    <row r="3112" spans="1:8" x14ac:dyDescent="0.25">
      <c r="A3112" t="str">
        <f t="shared" si="194"/>
        <v>Multihop,USnet,40</v>
      </c>
      <c r="B3112" t="s">
        <v>34</v>
      </c>
      <c r="C3112" t="s">
        <v>7</v>
      </c>
      <c r="D3112">
        <v>40</v>
      </c>
      <c r="E3112">
        <v>1423.3869999999999</v>
      </c>
      <c r="F3112">
        <f t="shared" si="193"/>
        <v>1410</v>
      </c>
      <c r="G3112">
        <f t="shared" si="195"/>
        <v>0.94943262411347118</v>
      </c>
      <c r="H3112">
        <f t="shared" si="196"/>
        <v>0.94050318009086387</v>
      </c>
    </row>
    <row r="3113" spans="1:8" x14ac:dyDescent="0.25">
      <c r="A3113" t="str">
        <f t="shared" si="194"/>
        <v>Multihop,USnet,40</v>
      </c>
      <c r="B3113" t="s">
        <v>34</v>
      </c>
      <c r="C3113" t="s">
        <v>7</v>
      </c>
      <c r="D3113">
        <v>40</v>
      </c>
      <c r="E3113">
        <v>1415.8109999999999</v>
      </c>
      <c r="F3113">
        <f t="shared" si="193"/>
        <v>1410</v>
      </c>
      <c r="G3113">
        <f t="shared" si="195"/>
        <v>0.41212765957446257</v>
      </c>
      <c r="H3113">
        <f t="shared" si="196"/>
        <v>0.41043613872190016</v>
      </c>
    </row>
    <row r="3114" spans="1:8" x14ac:dyDescent="0.25">
      <c r="A3114" t="str">
        <f t="shared" si="194"/>
        <v>Multihop,USnet,40</v>
      </c>
      <c r="B3114" t="s">
        <v>34</v>
      </c>
      <c r="C3114" t="s">
        <v>7</v>
      </c>
      <c r="D3114">
        <v>40</v>
      </c>
      <c r="E3114">
        <v>1418.2</v>
      </c>
      <c r="F3114">
        <f t="shared" si="193"/>
        <v>1410</v>
      </c>
      <c r="G3114">
        <f t="shared" si="195"/>
        <v>0.58156028368794643</v>
      </c>
      <c r="H3114">
        <f t="shared" si="196"/>
        <v>0.57819771541390819</v>
      </c>
    </row>
    <row r="3115" spans="1:8" x14ac:dyDescent="0.25">
      <c r="A3115" t="str">
        <f t="shared" si="194"/>
        <v>Multihop,USnet,40</v>
      </c>
      <c r="B3115" t="s">
        <v>34</v>
      </c>
      <c r="C3115" t="s">
        <v>7</v>
      </c>
      <c r="D3115">
        <v>40</v>
      </c>
      <c r="E3115">
        <v>1402.4739999999999</v>
      </c>
      <c r="F3115">
        <f t="shared" si="193"/>
        <v>1410</v>
      </c>
      <c r="G3115">
        <f t="shared" si="195"/>
        <v>0.53375886524823168</v>
      </c>
      <c r="H3115">
        <f t="shared" si="196"/>
        <v>0.53662313882468171</v>
      </c>
    </row>
    <row r="3116" spans="1:8" x14ac:dyDescent="0.25">
      <c r="A3116" t="str">
        <f t="shared" si="194"/>
        <v>Multihop,USnet,40</v>
      </c>
      <c r="B3116" t="s">
        <v>34</v>
      </c>
      <c r="C3116" t="s">
        <v>7</v>
      </c>
      <c r="D3116">
        <v>40</v>
      </c>
      <c r="E3116">
        <v>1438.4570000000001</v>
      </c>
      <c r="F3116">
        <f t="shared" si="193"/>
        <v>1410</v>
      </c>
      <c r="G3116">
        <f t="shared" si="195"/>
        <v>2.0182269503546175</v>
      </c>
      <c r="H3116">
        <f t="shared" si="196"/>
        <v>1.9783003593433872</v>
      </c>
    </row>
    <row r="3117" spans="1:8" x14ac:dyDescent="0.25">
      <c r="A3117" t="str">
        <f t="shared" si="194"/>
        <v>Multihop,USnet,40</v>
      </c>
      <c r="B3117" t="s">
        <v>34</v>
      </c>
      <c r="C3117" t="s">
        <v>7</v>
      </c>
      <c r="D3117">
        <v>40</v>
      </c>
      <c r="E3117">
        <v>1424.117</v>
      </c>
      <c r="F3117">
        <f t="shared" si="193"/>
        <v>1410</v>
      </c>
      <c r="G3117">
        <f t="shared" si="195"/>
        <v>1.0012056737588626</v>
      </c>
      <c r="H3117">
        <f t="shared" si="196"/>
        <v>0.99128091301486898</v>
      </c>
    </row>
    <row r="3118" spans="1:8" x14ac:dyDescent="0.25">
      <c r="A3118" t="str">
        <f t="shared" si="194"/>
        <v>Multihop,USnet,40</v>
      </c>
      <c r="B3118" t="s">
        <v>34</v>
      </c>
      <c r="C3118" t="s">
        <v>7</v>
      </c>
      <c r="D3118">
        <v>40</v>
      </c>
      <c r="E3118">
        <v>1430.8579999999999</v>
      </c>
      <c r="F3118">
        <f t="shared" si="193"/>
        <v>1410</v>
      </c>
      <c r="G3118">
        <f t="shared" si="195"/>
        <v>1.4792907801418402</v>
      </c>
      <c r="H3118">
        <f t="shared" si="196"/>
        <v>1.4577267625438686</v>
      </c>
    </row>
    <row r="3119" spans="1:8" x14ac:dyDescent="0.25">
      <c r="A3119" t="str">
        <f t="shared" si="194"/>
        <v>Multihop,USnet,40</v>
      </c>
      <c r="B3119" t="s">
        <v>34</v>
      </c>
      <c r="C3119" t="s">
        <v>7</v>
      </c>
      <c r="D3119">
        <v>40</v>
      </c>
      <c r="E3119">
        <v>1397.3489999999999</v>
      </c>
      <c r="F3119">
        <f t="shared" si="193"/>
        <v>1410</v>
      </c>
      <c r="G3119">
        <f t="shared" si="195"/>
        <v>0.89723404255319628</v>
      </c>
      <c r="H3119">
        <f t="shared" si="196"/>
        <v>0.90535721569916083</v>
      </c>
    </row>
    <row r="3120" spans="1:8" x14ac:dyDescent="0.25">
      <c r="A3120" t="str">
        <f t="shared" si="194"/>
        <v>Multihop,USnet,40</v>
      </c>
      <c r="B3120" t="s">
        <v>34</v>
      </c>
      <c r="C3120" t="s">
        <v>7</v>
      </c>
      <c r="D3120">
        <v>40</v>
      </c>
      <c r="E3120">
        <v>1417.47</v>
      </c>
      <c r="F3120">
        <f t="shared" si="193"/>
        <v>1410</v>
      </c>
      <c r="G3120">
        <f t="shared" si="195"/>
        <v>0.52978723404255512</v>
      </c>
      <c r="H3120">
        <f t="shared" si="196"/>
        <v>0.52699528032339504</v>
      </c>
    </row>
    <row r="3121" spans="1:8" x14ac:dyDescent="0.25">
      <c r="A3121" t="str">
        <f t="shared" si="194"/>
        <v>Multihop,USnet,40</v>
      </c>
      <c r="B3121" t="s">
        <v>34</v>
      </c>
      <c r="C3121" t="s">
        <v>7</v>
      </c>
      <c r="D3121">
        <v>40</v>
      </c>
      <c r="E3121">
        <v>1411.1369999999999</v>
      </c>
      <c r="F3121">
        <f t="shared" si="193"/>
        <v>1410</v>
      </c>
      <c r="G3121">
        <f t="shared" si="195"/>
        <v>8.0638297872336437E-2</v>
      </c>
      <c r="H3121">
        <f t="shared" si="196"/>
        <v>8.0573324914586159E-2</v>
      </c>
    </row>
    <row r="3122" spans="1:8" x14ac:dyDescent="0.25">
      <c r="A3122" t="str">
        <f t="shared" si="194"/>
        <v>Multihop,USnet,40</v>
      </c>
      <c r="B3122" t="s">
        <v>34</v>
      </c>
      <c r="C3122" t="s">
        <v>7</v>
      </c>
      <c r="D3122">
        <v>40</v>
      </c>
      <c r="E3122">
        <v>1440.318</v>
      </c>
      <c r="F3122">
        <f t="shared" si="193"/>
        <v>1410</v>
      </c>
      <c r="G3122">
        <f t="shared" si="195"/>
        <v>2.1502127659574457</v>
      </c>
      <c r="H3122">
        <f t="shared" si="196"/>
        <v>2.1049518231390554</v>
      </c>
    </row>
    <row r="3123" spans="1:8" x14ac:dyDescent="0.25">
      <c r="A3123" t="str">
        <f t="shared" si="194"/>
        <v>Multihop,USnet,40</v>
      </c>
      <c r="B3123" t="s">
        <v>34</v>
      </c>
      <c r="C3123" t="s">
        <v>7</v>
      </c>
      <c r="D3123">
        <v>40</v>
      </c>
      <c r="E3123">
        <v>1405.1320000000001</v>
      </c>
      <c r="F3123">
        <f t="shared" si="193"/>
        <v>1410</v>
      </c>
      <c r="G3123">
        <f t="shared" si="195"/>
        <v>0.34524822695035023</v>
      </c>
      <c r="H3123">
        <f t="shared" si="196"/>
        <v>0.34644431982190554</v>
      </c>
    </row>
    <row r="3124" spans="1:8" x14ac:dyDescent="0.25">
      <c r="A3124" t="str">
        <f t="shared" si="194"/>
        <v>Multihop,USnet,40</v>
      </c>
      <c r="B3124" t="s">
        <v>34</v>
      </c>
      <c r="C3124" t="s">
        <v>7</v>
      </c>
      <c r="D3124">
        <v>40</v>
      </c>
      <c r="E3124">
        <v>1400.8869999999999</v>
      </c>
      <c r="F3124">
        <f t="shared" si="193"/>
        <v>1410</v>
      </c>
      <c r="G3124">
        <f t="shared" si="195"/>
        <v>0.64631205673759262</v>
      </c>
      <c r="H3124">
        <f t="shared" si="196"/>
        <v>0.65051642280926703</v>
      </c>
    </row>
    <row r="3125" spans="1:8" x14ac:dyDescent="0.25">
      <c r="A3125" t="str">
        <f t="shared" si="194"/>
        <v>Multihop,USnet,40</v>
      </c>
      <c r="B3125" t="s">
        <v>34</v>
      </c>
      <c r="C3125" t="s">
        <v>7</v>
      </c>
      <c r="D3125">
        <v>40</v>
      </c>
      <c r="E3125">
        <v>1428.095</v>
      </c>
      <c r="F3125">
        <f t="shared" si="193"/>
        <v>1410</v>
      </c>
      <c r="G3125">
        <f t="shared" si="195"/>
        <v>1.2833333333333352</v>
      </c>
      <c r="H3125">
        <f t="shared" si="196"/>
        <v>1.267072568701664</v>
      </c>
    </row>
    <row r="3126" spans="1:8" x14ac:dyDescent="0.25">
      <c r="A3126" t="str">
        <f t="shared" si="194"/>
        <v>Multihop,USnet,40</v>
      </c>
      <c r="B3126" t="s">
        <v>34</v>
      </c>
      <c r="C3126" t="s">
        <v>7</v>
      </c>
      <c r="D3126">
        <v>40</v>
      </c>
      <c r="E3126">
        <v>1377.684</v>
      </c>
      <c r="F3126">
        <f t="shared" si="193"/>
        <v>1410</v>
      </c>
      <c r="G3126">
        <f t="shared" si="195"/>
        <v>2.2919148936170237</v>
      </c>
      <c r="H3126">
        <f t="shared" si="196"/>
        <v>2.345675786319652</v>
      </c>
    </row>
    <row r="3127" spans="1:8" x14ac:dyDescent="0.25">
      <c r="A3127" t="str">
        <f t="shared" si="194"/>
        <v>Multihop,USnet,40</v>
      </c>
      <c r="B3127" t="s">
        <v>34</v>
      </c>
      <c r="C3127" t="s">
        <v>7</v>
      </c>
      <c r="D3127">
        <v>40</v>
      </c>
      <c r="E3127">
        <v>1423.4880000000001</v>
      </c>
      <c r="F3127">
        <f t="shared" si="193"/>
        <v>1410</v>
      </c>
      <c r="G3127">
        <f t="shared" si="195"/>
        <v>0.95659574468085506</v>
      </c>
      <c r="H3127">
        <f t="shared" si="196"/>
        <v>0.94753169678986093</v>
      </c>
    </row>
    <row r="3128" spans="1:8" x14ac:dyDescent="0.25">
      <c r="A3128" t="str">
        <f t="shared" si="194"/>
        <v>Multihop,USnet,40</v>
      </c>
      <c r="B3128" t="s">
        <v>34</v>
      </c>
      <c r="C3128" t="s">
        <v>7</v>
      </c>
      <c r="D3128">
        <v>40</v>
      </c>
      <c r="E3128">
        <v>1417.43</v>
      </c>
      <c r="F3128">
        <f t="shared" si="193"/>
        <v>1410</v>
      </c>
      <c r="G3128">
        <f t="shared" si="195"/>
        <v>0.52695035460993356</v>
      </c>
      <c r="H3128">
        <f t="shared" si="196"/>
        <v>0.52418814332983388</v>
      </c>
    </row>
    <row r="3129" spans="1:8" x14ac:dyDescent="0.25">
      <c r="A3129" t="str">
        <f t="shared" si="194"/>
        <v>Multihop,USnet,40</v>
      </c>
      <c r="B3129" t="s">
        <v>34</v>
      </c>
      <c r="C3129" t="s">
        <v>7</v>
      </c>
      <c r="D3129">
        <v>40</v>
      </c>
      <c r="E3129">
        <v>1406.7159999999999</v>
      </c>
      <c r="F3129">
        <f t="shared" si="193"/>
        <v>1410</v>
      </c>
      <c r="G3129">
        <f t="shared" si="195"/>
        <v>0.23290780141844719</v>
      </c>
      <c r="H3129">
        <f t="shared" si="196"/>
        <v>0.23345152824024934</v>
      </c>
    </row>
    <row r="3130" spans="1:8" x14ac:dyDescent="0.25">
      <c r="A3130" t="str">
        <f t="shared" si="194"/>
        <v>Multihop,USnet,40</v>
      </c>
      <c r="B3130" t="s">
        <v>34</v>
      </c>
      <c r="C3130" t="s">
        <v>7</v>
      </c>
      <c r="D3130">
        <v>40</v>
      </c>
      <c r="E3130">
        <v>1420.116</v>
      </c>
      <c r="F3130">
        <f t="shared" si="193"/>
        <v>1410</v>
      </c>
      <c r="G3130">
        <f t="shared" si="195"/>
        <v>0.71744680851063725</v>
      </c>
      <c r="H3130">
        <f t="shared" si="196"/>
        <v>0.71233617535468829</v>
      </c>
    </row>
    <row r="3131" spans="1:8" x14ac:dyDescent="0.25">
      <c r="A3131" t="str">
        <f t="shared" si="194"/>
        <v>Multihop,USnet,40</v>
      </c>
      <c r="B3131" t="s">
        <v>34</v>
      </c>
      <c r="C3131" t="s">
        <v>7</v>
      </c>
      <c r="D3131">
        <v>40</v>
      </c>
      <c r="E3131">
        <v>1416.56</v>
      </c>
      <c r="F3131">
        <f t="shared" si="193"/>
        <v>1410</v>
      </c>
      <c r="G3131">
        <f t="shared" si="195"/>
        <v>0.46524822695035073</v>
      </c>
      <c r="H3131">
        <f t="shared" si="196"/>
        <v>0.46309369176031689</v>
      </c>
    </row>
    <row r="3132" spans="1:8" x14ac:dyDescent="0.25">
      <c r="A3132" t="str">
        <f t="shared" si="194"/>
        <v>Multihop,USnet,40</v>
      </c>
      <c r="B3132" t="s">
        <v>34</v>
      </c>
      <c r="C3132" t="s">
        <v>7</v>
      </c>
      <c r="D3132">
        <v>40</v>
      </c>
      <c r="E3132">
        <v>1428.672</v>
      </c>
      <c r="F3132">
        <f t="shared" si="193"/>
        <v>1410</v>
      </c>
      <c r="G3132">
        <f t="shared" si="195"/>
        <v>1.3242553191489381</v>
      </c>
      <c r="H3132">
        <f t="shared" si="196"/>
        <v>1.3069479908614452</v>
      </c>
    </row>
    <row r="3133" spans="1:8" x14ac:dyDescent="0.25">
      <c r="A3133" t="str">
        <f t="shared" si="194"/>
        <v>Multihop,USnet,40</v>
      </c>
      <c r="B3133" t="s">
        <v>34</v>
      </c>
      <c r="C3133" t="s">
        <v>7</v>
      </c>
      <c r="D3133">
        <v>40</v>
      </c>
      <c r="E3133">
        <v>1398.575</v>
      </c>
      <c r="F3133">
        <f t="shared" si="193"/>
        <v>1410</v>
      </c>
      <c r="G3133">
        <f t="shared" si="195"/>
        <v>0.81028368794325911</v>
      </c>
      <c r="H3133">
        <f t="shared" si="196"/>
        <v>0.81690291904259371</v>
      </c>
    </row>
    <row r="3134" spans="1:8" x14ac:dyDescent="0.25">
      <c r="A3134" t="str">
        <f t="shared" si="194"/>
        <v>Multihop,USnet,40</v>
      </c>
      <c r="B3134" t="s">
        <v>34</v>
      </c>
      <c r="C3134" t="s">
        <v>7</v>
      </c>
      <c r="D3134">
        <v>40</v>
      </c>
      <c r="E3134">
        <v>1404.3589999999999</v>
      </c>
      <c r="F3134">
        <f t="shared" si="193"/>
        <v>1410</v>
      </c>
      <c r="G3134">
        <f t="shared" si="195"/>
        <v>0.40007092198582106</v>
      </c>
      <c r="H3134">
        <f t="shared" si="196"/>
        <v>0.40167791853792917</v>
      </c>
    </row>
    <row r="3135" spans="1:8" x14ac:dyDescent="0.25">
      <c r="A3135" t="str">
        <f t="shared" si="194"/>
        <v>Multihop,USnet,40</v>
      </c>
      <c r="B3135" t="s">
        <v>34</v>
      </c>
      <c r="C3135" t="s">
        <v>7</v>
      </c>
      <c r="D3135">
        <v>40</v>
      </c>
      <c r="E3135">
        <v>1402.402</v>
      </c>
      <c r="F3135">
        <f t="shared" si="193"/>
        <v>1410</v>
      </c>
      <c r="G3135">
        <f t="shared" si="195"/>
        <v>0.53886524822694726</v>
      </c>
      <c r="H3135">
        <f t="shared" si="196"/>
        <v>0.54178473789968606</v>
      </c>
    </row>
    <row r="3136" spans="1:8" x14ac:dyDescent="0.25">
      <c r="A3136" t="str">
        <f t="shared" si="194"/>
        <v>Multihop,USnet,40</v>
      </c>
      <c r="B3136" t="s">
        <v>34</v>
      </c>
      <c r="C3136" t="s">
        <v>7</v>
      </c>
      <c r="D3136">
        <v>40</v>
      </c>
      <c r="E3136">
        <v>1400.165</v>
      </c>
      <c r="F3136">
        <f t="shared" si="193"/>
        <v>1410</v>
      </c>
      <c r="G3136">
        <f t="shared" si="195"/>
        <v>0.69751773049645649</v>
      </c>
      <c r="H3136">
        <f t="shared" si="196"/>
        <v>0.70241721511393562</v>
      </c>
    </row>
    <row r="3137" spans="1:8" x14ac:dyDescent="0.25">
      <c r="A3137" t="str">
        <f t="shared" si="194"/>
        <v>Multihop,USnet,40</v>
      </c>
      <c r="B3137" t="s">
        <v>34</v>
      </c>
      <c r="C3137" t="s">
        <v>7</v>
      </c>
      <c r="D3137">
        <v>40</v>
      </c>
      <c r="E3137">
        <v>1415.569</v>
      </c>
      <c r="F3137">
        <f t="shared" si="193"/>
        <v>1410</v>
      </c>
      <c r="G3137">
        <f t="shared" si="195"/>
        <v>0.39496453900708939</v>
      </c>
      <c r="H3137">
        <f t="shared" si="196"/>
        <v>0.39341070622484392</v>
      </c>
    </row>
    <row r="3138" spans="1:8" x14ac:dyDescent="0.25">
      <c r="A3138" t="str">
        <f t="shared" si="194"/>
        <v>Multihop,USnet,40</v>
      </c>
      <c r="B3138" t="s">
        <v>34</v>
      </c>
      <c r="C3138" t="s">
        <v>7</v>
      </c>
      <c r="D3138">
        <v>40</v>
      </c>
      <c r="E3138">
        <v>1414.846</v>
      </c>
      <c r="F3138">
        <f t="shared" si="193"/>
        <v>1410</v>
      </c>
      <c r="G3138">
        <f t="shared" si="195"/>
        <v>0.34368794326241159</v>
      </c>
      <c r="H3138">
        <f t="shared" si="196"/>
        <v>0.34251077502427851</v>
      </c>
    </row>
    <row r="3139" spans="1:8" x14ac:dyDescent="0.25">
      <c r="A3139" t="str">
        <f t="shared" si="194"/>
        <v>Multihop,USnet,40</v>
      </c>
      <c r="B3139" t="s">
        <v>34</v>
      </c>
      <c r="C3139" t="s">
        <v>7</v>
      </c>
      <c r="D3139">
        <v>40</v>
      </c>
      <c r="E3139">
        <v>1383.1310000000001</v>
      </c>
      <c r="F3139">
        <f t="shared" ref="F3139:F3202" si="197">_xlfn.XLOOKUP(A3139,$J$3:$J$36,$N$3:$N$36)</f>
        <v>1410</v>
      </c>
      <c r="G3139">
        <f t="shared" si="195"/>
        <v>1.9056028368794264</v>
      </c>
      <c r="H3139">
        <f t="shared" si="196"/>
        <v>1.9426214870464122</v>
      </c>
    </row>
    <row r="3140" spans="1:8" x14ac:dyDescent="0.25">
      <c r="A3140" t="str">
        <f t="shared" ref="A3140:A3203" si="198">B3140&amp;","&amp;C3140&amp;","&amp;D3140</f>
        <v>Multihop,USnet,40</v>
      </c>
      <c r="B3140" t="s">
        <v>34</v>
      </c>
      <c r="C3140" t="s">
        <v>7</v>
      </c>
      <c r="D3140">
        <v>40</v>
      </c>
      <c r="E3140">
        <v>1407.8109999999999</v>
      </c>
      <c r="F3140">
        <f t="shared" si="197"/>
        <v>1410</v>
      </c>
      <c r="G3140">
        <f t="shared" ref="G3140:G3203" si="199">ABS((E3140-F3140)/F3140)*100</f>
        <v>0.15524822695036014</v>
      </c>
      <c r="H3140">
        <f t="shared" ref="H3140:H3203" si="200">ABS((F3140-E3140)/E3140)*100</f>
        <v>0.15548962183134513</v>
      </c>
    </row>
    <row r="3141" spans="1:8" x14ac:dyDescent="0.25">
      <c r="A3141" t="str">
        <f t="shared" si="198"/>
        <v>Multihop,USnet,40</v>
      </c>
      <c r="B3141" t="s">
        <v>34</v>
      </c>
      <c r="C3141" t="s">
        <v>7</v>
      </c>
      <c r="D3141">
        <v>40</v>
      </c>
      <c r="E3141">
        <v>1375.3389999999999</v>
      </c>
      <c r="F3141">
        <f t="shared" si="197"/>
        <v>1410</v>
      </c>
      <c r="G3141">
        <f t="shared" si="199"/>
        <v>2.4582269503546139</v>
      </c>
      <c r="H3141">
        <f t="shared" si="200"/>
        <v>2.5201786614063924</v>
      </c>
    </row>
    <row r="3142" spans="1:8" x14ac:dyDescent="0.25">
      <c r="A3142" t="str">
        <f t="shared" si="198"/>
        <v>Multihop,USnet,40</v>
      </c>
      <c r="B3142" t="s">
        <v>34</v>
      </c>
      <c r="C3142" t="s">
        <v>7</v>
      </c>
      <c r="D3142">
        <v>40</v>
      </c>
      <c r="E3142">
        <v>1416.931</v>
      </c>
      <c r="F3142">
        <f t="shared" si="197"/>
        <v>1410</v>
      </c>
      <c r="G3142">
        <f t="shared" si="199"/>
        <v>0.49156028368794613</v>
      </c>
      <c r="H3142">
        <f t="shared" si="200"/>
        <v>0.48915578810824523</v>
      </c>
    </row>
    <row r="3143" spans="1:8" x14ac:dyDescent="0.25">
      <c r="A3143" t="str">
        <f t="shared" si="198"/>
        <v>Multihop,USnet,40</v>
      </c>
      <c r="B3143" t="s">
        <v>34</v>
      </c>
      <c r="C3143" t="s">
        <v>7</v>
      </c>
      <c r="D3143">
        <v>40</v>
      </c>
      <c r="E3143">
        <v>1405.116</v>
      </c>
      <c r="F3143">
        <f t="shared" si="197"/>
        <v>1410</v>
      </c>
      <c r="G3143">
        <f t="shared" si="199"/>
        <v>0.34638297872340529</v>
      </c>
      <c r="H3143">
        <f t="shared" si="200"/>
        <v>0.34758696079185025</v>
      </c>
    </row>
    <row r="3144" spans="1:8" x14ac:dyDescent="0.25">
      <c r="A3144" t="str">
        <f t="shared" si="198"/>
        <v>Multihop,USnet,40</v>
      </c>
      <c r="B3144" t="s">
        <v>34</v>
      </c>
      <c r="C3144" t="s">
        <v>7</v>
      </c>
      <c r="D3144">
        <v>40</v>
      </c>
      <c r="E3144">
        <v>1391.76</v>
      </c>
      <c r="F3144">
        <f t="shared" si="197"/>
        <v>1410</v>
      </c>
      <c r="G3144">
        <f t="shared" si="199"/>
        <v>1.2936170212765963</v>
      </c>
      <c r="H3144">
        <f t="shared" si="200"/>
        <v>1.3105707880669089</v>
      </c>
    </row>
    <row r="3145" spans="1:8" x14ac:dyDescent="0.25">
      <c r="A3145" t="str">
        <f t="shared" si="198"/>
        <v>Multihop,USnet,40</v>
      </c>
      <c r="B3145" t="s">
        <v>34</v>
      </c>
      <c r="C3145" t="s">
        <v>7</v>
      </c>
      <c r="D3145">
        <v>40</v>
      </c>
      <c r="E3145">
        <v>1390.1310000000001</v>
      </c>
      <c r="F3145">
        <f t="shared" si="197"/>
        <v>1410</v>
      </c>
      <c r="G3145">
        <f t="shared" si="199"/>
        <v>1.4091489361702065</v>
      </c>
      <c r="H3145">
        <f t="shared" si="200"/>
        <v>1.4292897575839913</v>
      </c>
    </row>
    <row r="3146" spans="1:8" x14ac:dyDescent="0.25">
      <c r="A3146" t="str">
        <f t="shared" si="198"/>
        <v>Multihop,USnet,40</v>
      </c>
      <c r="B3146" t="s">
        <v>34</v>
      </c>
      <c r="C3146" t="s">
        <v>7</v>
      </c>
      <c r="D3146">
        <v>40</v>
      </c>
      <c r="E3146">
        <v>1428.576</v>
      </c>
      <c r="F3146">
        <f t="shared" si="197"/>
        <v>1410</v>
      </c>
      <c r="G3146">
        <f t="shared" si="199"/>
        <v>1.3174468085106399</v>
      </c>
      <c r="H3146">
        <f t="shared" si="200"/>
        <v>1.3003158389893168</v>
      </c>
    </row>
    <row r="3147" spans="1:8" x14ac:dyDescent="0.25">
      <c r="A3147" t="str">
        <f t="shared" si="198"/>
        <v>Multihop,USnet,40</v>
      </c>
      <c r="B3147" t="s">
        <v>34</v>
      </c>
      <c r="C3147" t="s">
        <v>7</v>
      </c>
      <c r="D3147">
        <v>40</v>
      </c>
      <c r="E3147">
        <v>1436.9580000000001</v>
      </c>
      <c r="F3147">
        <f t="shared" si="197"/>
        <v>1410</v>
      </c>
      <c r="G3147">
        <f t="shared" si="199"/>
        <v>1.9119148936170272</v>
      </c>
      <c r="H3147">
        <f t="shared" si="200"/>
        <v>1.8760464815255617</v>
      </c>
    </row>
    <row r="3148" spans="1:8" x14ac:dyDescent="0.25">
      <c r="A3148" t="str">
        <f t="shared" si="198"/>
        <v>Multihop,USnet,40</v>
      </c>
      <c r="B3148" t="s">
        <v>34</v>
      </c>
      <c r="C3148" t="s">
        <v>7</v>
      </c>
      <c r="D3148">
        <v>40</v>
      </c>
      <c r="E3148">
        <v>1413.8309999999999</v>
      </c>
      <c r="F3148">
        <f t="shared" si="197"/>
        <v>1410</v>
      </c>
      <c r="G3148">
        <f t="shared" si="199"/>
        <v>0.27170212765956764</v>
      </c>
      <c r="H3148">
        <f t="shared" si="200"/>
        <v>0.27096590752359395</v>
      </c>
    </row>
    <row r="3149" spans="1:8" x14ac:dyDescent="0.25">
      <c r="A3149" t="str">
        <f t="shared" si="198"/>
        <v>Multihop,USnet,40</v>
      </c>
      <c r="B3149" t="s">
        <v>34</v>
      </c>
      <c r="C3149" t="s">
        <v>7</v>
      </c>
      <c r="D3149">
        <v>40</v>
      </c>
      <c r="E3149">
        <v>1418.7529999999999</v>
      </c>
      <c r="F3149">
        <f t="shared" si="197"/>
        <v>1410</v>
      </c>
      <c r="G3149">
        <f t="shared" si="199"/>
        <v>0.62078014184396668</v>
      </c>
      <c r="H3149">
        <f t="shared" si="200"/>
        <v>0.61695023728583687</v>
      </c>
    </row>
    <row r="3150" spans="1:8" x14ac:dyDescent="0.25">
      <c r="A3150" t="str">
        <f t="shared" si="198"/>
        <v>Multihop,USnet,40</v>
      </c>
      <c r="B3150" t="s">
        <v>34</v>
      </c>
      <c r="C3150" t="s">
        <v>7</v>
      </c>
      <c r="D3150">
        <v>40</v>
      </c>
      <c r="E3150">
        <v>1422.4880000000001</v>
      </c>
      <c r="F3150">
        <f t="shared" si="197"/>
        <v>1410</v>
      </c>
      <c r="G3150">
        <f t="shared" si="199"/>
        <v>0.88567375886525224</v>
      </c>
      <c r="H3150">
        <f t="shared" si="200"/>
        <v>0.87789844272851902</v>
      </c>
    </row>
    <row r="3151" spans="1:8" x14ac:dyDescent="0.25">
      <c r="A3151" t="str">
        <f t="shared" si="198"/>
        <v>Multihop,USnet,40</v>
      </c>
      <c r="B3151" t="s">
        <v>34</v>
      </c>
      <c r="C3151" t="s">
        <v>7</v>
      </c>
      <c r="D3151">
        <v>40</v>
      </c>
      <c r="E3151">
        <v>1427.3689999999999</v>
      </c>
      <c r="F3151">
        <f t="shared" si="197"/>
        <v>1410</v>
      </c>
      <c r="G3151">
        <f t="shared" si="199"/>
        <v>1.2318439716311995</v>
      </c>
      <c r="H3151">
        <f t="shared" si="200"/>
        <v>1.2168542262021884</v>
      </c>
    </row>
    <row r="3152" spans="1:8" x14ac:dyDescent="0.25">
      <c r="A3152" t="str">
        <f t="shared" si="198"/>
        <v>Multihop,USnet,40</v>
      </c>
      <c r="B3152" t="s">
        <v>34</v>
      </c>
      <c r="C3152" t="s">
        <v>7</v>
      </c>
      <c r="D3152">
        <v>40</v>
      </c>
      <c r="E3152">
        <v>1422.797</v>
      </c>
      <c r="F3152">
        <f t="shared" si="197"/>
        <v>1410</v>
      </c>
      <c r="G3152">
        <f t="shared" si="199"/>
        <v>0.90758865248227127</v>
      </c>
      <c r="H3152">
        <f t="shared" si="200"/>
        <v>0.8994255680887735</v>
      </c>
    </row>
    <row r="3153" spans="1:8" x14ac:dyDescent="0.25">
      <c r="A3153" t="str">
        <f t="shared" si="198"/>
        <v>Multihop,USnet,40</v>
      </c>
      <c r="B3153" t="s">
        <v>34</v>
      </c>
      <c r="C3153" t="s">
        <v>7</v>
      </c>
      <c r="D3153">
        <v>40</v>
      </c>
      <c r="E3153">
        <v>1401.3869999999999</v>
      </c>
      <c r="F3153">
        <f t="shared" si="197"/>
        <v>1410</v>
      </c>
      <c r="G3153">
        <f t="shared" si="199"/>
        <v>0.61085106382979126</v>
      </c>
      <c r="H3153">
        <f t="shared" si="200"/>
        <v>0.61460538737693848</v>
      </c>
    </row>
    <row r="3154" spans="1:8" x14ac:dyDescent="0.25">
      <c r="A3154" t="str">
        <f t="shared" si="198"/>
        <v>Multihop,USnet,40</v>
      </c>
      <c r="B3154" t="s">
        <v>34</v>
      </c>
      <c r="C3154" t="s">
        <v>7</v>
      </c>
      <c r="D3154">
        <v>40</v>
      </c>
      <c r="E3154">
        <v>1469.2049999999999</v>
      </c>
      <c r="F3154">
        <f t="shared" si="197"/>
        <v>1410</v>
      </c>
      <c r="G3154">
        <f t="shared" si="199"/>
        <v>4.198936170212761</v>
      </c>
      <c r="H3154">
        <f t="shared" si="200"/>
        <v>4.0297303643807316</v>
      </c>
    </row>
    <row r="3155" spans="1:8" x14ac:dyDescent="0.25">
      <c r="A3155" t="str">
        <f t="shared" si="198"/>
        <v>Multihop,USnet,40</v>
      </c>
      <c r="B3155" t="s">
        <v>34</v>
      </c>
      <c r="C3155" t="s">
        <v>7</v>
      </c>
      <c r="D3155">
        <v>40</v>
      </c>
      <c r="E3155">
        <v>1402.241</v>
      </c>
      <c r="F3155">
        <f t="shared" si="197"/>
        <v>1410</v>
      </c>
      <c r="G3155">
        <f t="shared" si="199"/>
        <v>0.55028368794326343</v>
      </c>
      <c r="H3155">
        <f t="shared" si="200"/>
        <v>0.55332856477595616</v>
      </c>
    </row>
    <row r="3156" spans="1:8" x14ac:dyDescent="0.25">
      <c r="A3156" t="str">
        <f t="shared" si="198"/>
        <v>Multihop,USnet,40</v>
      </c>
      <c r="B3156" t="s">
        <v>34</v>
      </c>
      <c r="C3156" t="s">
        <v>7</v>
      </c>
      <c r="D3156">
        <v>40</v>
      </c>
      <c r="E3156">
        <v>1442.9690000000001</v>
      </c>
      <c r="F3156">
        <f t="shared" si="197"/>
        <v>1410</v>
      </c>
      <c r="G3156">
        <f t="shared" si="199"/>
        <v>2.3382269503546138</v>
      </c>
      <c r="H3156">
        <f t="shared" si="200"/>
        <v>2.2848030692274088</v>
      </c>
    </row>
    <row r="3157" spans="1:8" x14ac:dyDescent="0.25">
      <c r="A3157" t="str">
        <f t="shared" si="198"/>
        <v>Multihop,USnet,40</v>
      </c>
      <c r="B3157" t="s">
        <v>34</v>
      </c>
      <c r="C3157" t="s">
        <v>7</v>
      </c>
      <c r="D3157">
        <v>40</v>
      </c>
      <c r="E3157">
        <v>1438.126</v>
      </c>
      <c r="F3157">
        <f t="shared" si="197"/>
        <v>1410</v>
      </c>
      <c r="G3157">
        <f t="shared" si="199"/>
        <v>1.9947517730496436</v>
      </c>
      <c r="H3157">
        <f t="shared" si="200"/>
        <v>1.9557396222584098</v>
      </c>
    </row>
    <row r="3158" spans="1:8" x14ac:dyDescent="0.25">
      <c r="A3158" t="str">
        <f t="shared" si="198"/>
        <v>Multihop,USnet,40</v>
      </c>
      <c r="B3158" t="s">
        <v>34</v>
      </c>
      <c r="C3158" t="s">
        <v>7</v>
      </c>
      <c r="D3158">
        <v>40</v>
      </c>
      <c r="E3158">
        <v>1443.0730000000001</v>
      </c>
      <c r="F3158">
        <f t="shared" si="197"/>
        <v>1410</v>
      </c>
      <c r="G3158">
        <f t="shared" si="199"/>
        <v>2.345602836879439</v>
      </c>
      <c r="H3158">
        <f t="shared" si="200"/>
        <v>2.2918452496859194</v>
      </c>
    </row>
    <row r="3159" spans="1:8" x14ac:dyDescent="0.25">
      <c r="A3159" t="str">
        <f t="shared" si="198"/>
        <v>Multihop,USnet,40</v>
      </c>
      <c r="B3159" t="s">
        <v>34</v>
      </c>
      <c r="C3159" t="s">
        <v>7</v>
      </c>
      <c r="D3159">
        <v>40</v>
      </c>
      <c r="E3159">
        <v>1422.4590000000001</v>
      </c>
      <c r="F3159">
        <f t="shared" si="197"/>
        <v>1410</v>
      </c>
      <c r="G3159">
        <f t="shared" si="199"/>
        <v>0.88361702127660002</v>
      </c>
      <c r="H3159">
        <f t="shared" si="200"/>
        <v>0.8758776175622679</v>
      </c>
    </row>
    <row r="3160" spans="1:8" x14ac:dyDescent="0.25">
      <c r="A3160" t="str">
        <f t="shared" si="198"/>
        <v>Multihop,USnet,40</v>
      </c>
      <c r="B3160" t="s">
        <v>34</v>
      </c>
      <c r="C3160" t="s">
        <v>7</v>
      </c>
      <c r="D3160">
        <v>40</v>
      </c>
      <c r="E3160">
        <v>1441.82</v>
      </c>
      <c r="F3160">
        <f t="shared" si="197"/>
        <v>1410</v>
      </c>
      <c r="G3160">
        <f t="shared" si="199"/>
        <v>2.2567375886524776</v>
      </c>
      <c r="H3160">
        <f t="shared" si="200"/>
        <v>2.2069329042460182</v>
      </c>
    </row>
    <row r="3161" spans="1:8" x14ac:dyDescent="0.25">
      <c r="A3161" t="str">
        <f t="shared" si="198"/>
        <v>Multihop,USnet,40</v>
      </c>
      <c r="B3161" t="s">
        <v>34</v>
      </c>
      <c r="C3161" t="s">
        <v>7</v>
      </c>
      <c r="D3161">
        <v>40</v>
      </c>
      <c r="E3161">
        <v>1417.8589999999999</v>
      </c>
      <c r="F3161">
        <f t="shared" si="197"/>
        <v>1410</v>
      </c>
      <c r="G3161">
        <f t="shared" si="199"/>
        <v>0.55737588652481729</v>
      </c>
      <c r="H3161">
        <f t="shared" si="200"/>
        <v>0.55428642763490055</v>
      </c>
    </row>
    <row r="3162" spans="1:8" x14ac:dyDescent="0.25">
      <c r="A3162" t="str">
        <f t="shared" si="198"/>
        <v>Multihop,USnet,40</v>
      </c>
      <c r="B3162" t="s">
        <v>34</v>
      </c>
      <c r="C3162" t="s">
        <v>7</v>
      </c>
      <c r="D3162">
        <v>40</v>
      </c>
      <c r="E3162">
        <v>1399.9</v>
      </c>
      <c r="F3162">
        <f t="shared" si="197"/>
        <v>1410</v>
      </c>
      <c r="G3162">
        <f t="shared" si="199"/>
        <v>0.71631205673758225</v>
      </c>
      <c r="H3162">
        <f t="shared" si="200"/>
        <v>0.72148010572183074</v>
      </c>
    </row>
    <row r="3163" spans="1:8" x14ac:dyDescent="0.25">
      <c r="A3163" t="str">
        <f t="shared" si="198"/>
        <v>Multihop,USnet,40</v>
      </c>
      <c r="B3163" t="s">
        <v>34</v>
      </c>
      <c r="C3163" t="s">
        <v>7</v>
      </c>
      <c r="D3163">
        <v>40</v>
      </c>
      <c r="E3163">
        <v>1461.02</v>
      </c>
      <c r="F3163">
        <f t="shared" si="197"/>
        <v>1410</v>
      </c>
      <c r="G3163">
        <f t="shared" si="199"/>
        <v>3.6184397163120554</v>
      </c>
      <c r="H3163">
        <f t="shared" si="200"/>
        <v>3.4920808750051324</v>
      </c>
    </row>
    <row r="3164" spans="1:8" x14ac:dyDescent="0.25">
      <c r="A3164" t="str">
        <f t="shared" si="198"/>
        <v>Multihop,USnet,40</v>
      </c>
      <c r="B3164" t="s">
        <v>34</v>
      </c>
      <c r="C3164" t="s">
        <v>7</v>
      </c>
      <c r="D3164">
        <v>40</v>
      </c>
      <c r="E3164">
        <v>1434.5219999999999</v>
      </c>
      <c r="F3164">
        <f t="shared" si="197"/>
        <v>1410</v>
      </c>
      <c r="G3164">
        <f t="shared" si="199"/>
        <v>1.7391489361702082</v>
      </c>
      <c r="H3164">
        <f t="shared" si="200"/>
        <v>1.7094195836661923</v>
      </c>
    </row>
    <row r="3165" spans="1:8" x14ac:dyDescent="0.25">
      <c r="A3165" t="str">
        <f t="shared" si="198"/>
        <v>Multihop,USnet,40</v>
      </c>
      <c r="B3165" t="s">
        <v>34</v>
      </c>
      <c r="C3165" t="s">
        <v>7</v>
      </c>
      <c r="D3165">
        <v>40</v>
      </c>
      <c r="E3165">
        <v>1429.921</v>
      </c>
      <c r="F3165">
        <f t="shared" si="197"/>
        <v>1410</v>
      </c>
      <c r="G3165">
        <f t="shared" si="199"/>
        <v>1.4128368794326276</v>
      </c>
      <c r="H3165">
        <f t="shared" si="200"/>
        <v>1.3931538875224609</v>
      </c>
    </row>
    <row r="3166" spans="1:8" x14ac:dyDescent="0.25">
      <c r="A3166" t="str">
        <f t="shared" si="198"/>
        <v>Multihop,USnet,40</v>
      </c>
      <c r="B3166" t="s">
        <v>34</v>
      </c>
      <c r="C3166" t="s">
        <v>7</v>
      </c>
      <c r="D3166">
        <v>40</v>
      </c>
      <c r="E3166">
        <v>1404.7670000000001</v>
      </c>
      <c r="F3166">
        <f t="shared" si="197"/>
        <v>1410</v>
      </c>
      <c r="G3166">
        <f t="shared" si="199"/>
        <v>0.37113475177304589</v>
      </c>
      <c r="H3166">
        <f t="shared" si="200"/>
        <v>0.37251729290337449</v>
      </c>
    </row>
    <row r="3167" spans="1:8" x14ac:dyDescent="0.25">
      <c r="A3167" t="str">
        <f t="shared" si="198"/>
        <v>Multihop,USnet,40</v>
      </c>
      <c r="B3167" t="s">
        <v>34</v>
      </c>
      <c r="C3167" t="s">
        <v>7</v>
      </c>
      <c r="D3167">
        <v>40</v>
      </c>
      <c r="E3167">
        <v>1391.3109999999999</v>
      </c>
      <c r="F3167">
        <f t="shared" si="197"/>
        <v>1410</v>
      </c>
      <c r="G3167">
        <f t="shared" si="199"/>
        <v>1.3254609929078069</v>
      </c>
      <c r="H3167">
        <f t="shared" si="200"/>
        <v>1.3432654525120609</v>
      </c>
    </row>
    <row r="3168" spans="1:8" x14ac:dyDescent="0.25">
      <c r="A3168" t="str">
        <f t="shared" si="198"/>
        <v>Multihop,USnet,40</v>
      </c>
      <c r="B3168" t="s">
        <v>34</v>
      </c>
      <c r="C3168" t="s">
        <v>7</v>
      </c>
      <c r="D3168">
        <v>40</v>
      </c>
      <c r="E3168">
        <v>1391.672</v>
      </c>
      <c r="F3168">
        <f t="shared" si="197"/>
        <v>1410</v>
      </c>
      <c r="G3168">
        <f t="shared" si="199"/>
        <v>1.2998581560283671</v>
      </c>
      <c r="H3168">
        <f t="shared" si="200"/>
        <v>1.3169769888306997</v>
      </c>
    </row>
    <row r="3169" spans="1:8" x14ac:dyDescent="0.25">
      <c r="A3169" t="str">
        <f t="shared" si="198"/>
        <v>Multihop,USnet,40</v>
      </c>
      <c r="B3169" t="s">
        <v>34</v>
      </c>
      <c r="C3169" t="s">
        <v>7</v>
      </c>
      <c r="D3169">
        <v>40</v>
      </c>
      <c r="E3169">
        <v>1432.2840000000001</v>
      </c>
      <c r="F3169">
        <f t="shared" si="197"/>
        <v>1410</v>
      </c>
      <c r="G3169">
        <f t="shared" si="199"/>
        <v>1.5804255319149012</v>
      </c>
      <c r="H3169">
        <f t="shared" si="200"/>
        <v>1.5558366916058619</v>
      </c>
    </row>
    <row r="3170" spans="1:8" x14ac:dyDescent="0.25">
      <c r="A3170" t="str">
        <f t="shared" si="198"/>
        <v>Multihop,USnet,40</v>
      </c>
      <c r="B3170" t="s">
        <v>34</v>
      </c>
      <c r="C3170" t="s">
        <v>7</v>
      </c>
      <c r="D3170">
        <v>40</v>
      </c>
      <c r="E3170">
        <v>1416.9760000000001</v>
      </c>
      <c r="F3170">
        <f t="shared" si="197"/>
        <v>1410</v>
      </c>
      <c r="G3170">
        <f t="shared" si="199"/>
        <v>0.4947517730496534</v>
      </c>
      <c r="H3170">
        <f t="shared" si="200"/>
        <v>0.49231603075846819</v>
      </c>
    </row>
    <row r="3171" spans="1:8" x14ac:dyDescent="0.25">
      <c r="A3171" t="str">
        <f t="shared" si="198"/>
        <v>Multihop,USnet,40</v>
      </c>
      <c r="B3171" t="s">
        <v>34</v>
      </c>
      <c r="C3171" t="s">
        <v>7</v>
      </c>
      <c r="D3171">
        <v>40</v>
      </c>
      <c r="E3171">
        <v>1393.298</v>
      </c>
      <c r="F3171">
        <f t="shared" si="197"/>
        <v>1410</v>
      </c>
      <c r="G3171">
        <f t="shared" si="199"/>
        <v>1.1845390070921984</v>
      </c>
      <c r="H3171">
        <f t="shared" si="200"/>
        <v>1.1987385326039368</v>
      </c>
    </row>
    <row r="3172" spans="1:8" x14ac:dyDescent="0.25">
      <c r="A3172" t="str">
        <f t="shared" si="198"/>
        <v>Multihop,USnet,40</v>
      </c>
      <c r="B3172" t="s">
        <v>34</v>
      </c>
      <c r="C3172" t="s">
        <v>7</v>
      </c>
      <c r="D3172">
        <v>40</v>
      </c>
      <c r="E3172">
        <v>1403.66</v>
      </c>
      <c r="F3172">
        <f t="shared" si="197"/>
        <v>1410</v>
      </c>
      <c r="G3172">
        <f t="shared" si="199"/>
        <v>0.4496453900709162</v>
      </c>
      <c r="H3172">
        <f t="shared" si="200"/>
        <v>0.45167633187523459</v>
      </c>
    </row>
    <row r="3173" spans="1:8" x14ac:dyDescent="0.25">
      <c r="A3173" t="str">
        <f t="shared" si="198"/>
        <v>Multihop,USnet,40</v>
      </c>
      <c r="B3173" t="s">
        <v>34</v>
      </c>
      <c r="C3173" t="s">
        <v>7</v>
      </c>
      <c r="D3173">
        <v>40</v>
      </c>
      <c r="E3173">
        <v>1428.471</v>
      </c>
      <c r="F3173">
        <f t="shared" si="197"/>
        <v>1410</v>
      </c>
      <c r="G3173">
        <f t="shared" si="199"/>
        <v>1.3100000000000003</v>
      </c>
      <c r="H3173">
        <f t="shared" si="200"/>
        <v>1.2930609021814234</v>
      </c>
    </row>
    <row r="3174" spans="1:8" x14ac:dyDescent="0.25">
      <c r="A3174" t="str">
        <f t="shared" si="198"/>
        <v>Multihop,USnet,40</v>
      </c>
      <c r="B3174" t="s">
        <v>34</v>
      </c>
      <c r="C3174" t="s">
        <v>7</v>
      </c>
      <c r="D3174">
        <v>40</v>
      </c>
      <c r="E3174">
        <v>1418.5139999999999</v>
      </c>
      <c r="F3174">
        <f t="shared" si="197"/>
        <v>1410</v>
      </c>
      <c r="G3174">
        <f t="shared" si="199"/>
        <v>0.60382978723403513</v>
      </c>
      <c r="H3174">
        <f t="shared" si="200"/>
        <v>0.60020556723443663</v>
      </c>
    </row>
    <row r="3175" spans="1:8" x14ac:dyDescent="0.25">
      <c r="A3175" t="str">
        <f t="shared" si="198"/>
        <v>Multihop,USnet,40</v>
      </c>
      <c r="B3175" t="s">
        <v>34</v>
      </c>
      <c r="C3175" t="s">
        <v>7</v>
      </c>
      <c r="D3175">
        <v>40</v>
      </c>
      <c r="E3175">
        <v>1380.338</v>
      </c>
      <c r="F3175">
        <f t="shared" si="197"/>
        <v>1410</v>
      </c>
      <c r="G3175">
        <f t="shared" si="199"/>
        <v>2.1036879432624138</v>
      </c>
      <c r="H3175">
        <f t="shared" si="200"/>
        <v>2.148893966550224</v>
      </c>
    </row>
    <row r="3176" spans="1:8" x14ac:dyDescent="0.25">
      <c r="A3176" t="str">
        <f t="shared" si="198"/>
        <v>Multihop,USnet,40</v>
      </c>
      <c r="B3176" t="s">
        <v>34</v>
      </c>
      <c r="C3176" t="s">
        <v>7</v>
      </c>
      <c r="D3176">
        <v>40</v>
      </c>
      <c r="E3176">
        <v>1418.4110000000001</v>
      </c>
      <c r="F3176">
        <f t="shared" si="197"/>
        <v>1410</v>
      </c>
      <c r="G3176">
        <f t="shared" si="199"/>
        <v>0.59652482269503959</v>
      </c>
      <c r="H3176">
        <f t="shared" si="200"/>
        <v>0.59298750503204345</v>
      </c>
    </row>
    <row r="3177" spans="1:8" x14ac:dyDescent="0.25">
      <c r="A3177" t="str">
        <f t="shared" si="198"/>
        <v>Multihop,USnet,40</v>
      </c>
      <c r="B3177" t="s">
        <v>34</v>
      </c>
      <c r="C3177" t="s">
        <v>7</v>
      </c>
      <c r="D3177">
        <v>40</v>
      </c>
      <c r="E3177">
        <v>1416.325</v>
      </c>
      <c r="F3177">
        <f t="shared" si="197"/>
        <v>1410</v>
      </c>
      <c r="G3177">
        <f t="shared" si="199"/>
        <v>0.44858156028369123</v>
      </c>
      <c r="H3177">
        <f t="shared" si="200"/>
        <v>0.44657829241170249</v>
      </c>
    </row>
    <row r="3178" spans="1:8" x14ac:dyDescent="0.25">
      <c r="A3178" t="str">
        <f t="shared" si="198"/>
        <v>Multihop,USnet,40</v>
      </c>
      <c r="B3178" t="s">
        <v>34</v>
      </c>
      <c r="C3178" t="s">
        <v>7</v>
      </c>
      <c r="D3178">
        <v>40</v>
      </c>
      <c r="E3178">
        <v>1411.068</v>
      </c>
      <c r="F3178">
        <f t="shared" si="197"/>
        <v>1410</v>
      </c>
      <c r="G3178">
        <f t="shared" si="199"/>
        <v>7.5744680851062673E-2</v>
      </c>
      <c r="H3178">
        <f t="shared" si="200"/>
        <v>7.5687351708066772E-2</v>
      </c>
    </row>
    <row r="3179" spans="1:8" x14ac:dyDescent="0.25">
      <c r="A3179" t="str">
        <f t="shared" si="198"/>
        <v>Multihop,USnet,40</v>
      </c>
      <c r="B3179" t="s">
        <v>34</v>
      </c>
      <c r="C3179" t="s">
        <v>7</v>
      </c>
      <c r="D3179">
        <v>40</v>
      </c>
      <c r="E3179">
        <v>1391.557</v>
      </c>
      <c r="F3179">
        <f t="shared" si="197"/>
        <v>1410</v>
      </c>
      <c r="G3179">
        <f t="shared" si="199"/>
        <v>1.308014184397162</v>
      </c>
      <c r="H3179">
        <f t="shared" si="200"/>
        <v>1.3253499497325647</v>
      </c>
    </row>
    <row r="3180" spans="1:8" x14ac:dyDescent="0.25">
      <c r="A3180" t="str">
        <f t="shared" si="198"/>
        <v>Multihop,USnet,40</v>
      </c>
      <c r="B3180" t="s">
        <v>34</v>
      </c>
      <c r="C3180" t="s">
        <v>7</v>
      </c>
      <c r="D3180">
        <v>40</v>
      </c>
      <c r="E3180">
        <v>1430.8530000000001</v>
      </c>
      <c r="F3180">
        <f t="shared" si="197"/>
        <v>1410</v>
      </c>
      <c r="G3180">
        <f t="shared" si="199"/>
        <v>1.4789361702127706</v>
      </c>
      <c r="H3180">
        <f t="shared" si="200"/>
        <v>1.4573824145457335</v>
      </c>
    </row>
    <row r="3181" spans="1:8" x14ac:dyDescent="0.25">
      <c r="A3181" t="str">
        <f t="shared" si="198"/>
        <v>Multihop,USnet,40</v>
      </c>
      <c r="B3181" t="s">
        <v>34</v>
      </c>
      <c r="C3181" t="s">
        <v>7</v>
      </c>
      <c r="D3181">
        <v>40</v>
      </c>
      <c r="E3181">
        <v>1406.2629999999999</v>
      </c>
      <c r="F3181">
        <f t="shared" si="197"/>
        <v>1410</v>
      </c>
      <c r="G3181">
        <f t="shared" si="199"/>
        <v>0.26503546099291347</v>
      </c>
      <c r="H3181">
        <f t="shared" si="200"/>
        <v>0.2657397656057281</v>
      </c>
    </row>
    <row r="3182" spans="1:8" x14ac:dyDescent="0.25">
      <c r="A3182" t="str">
        <f t="shared" si="198"/>
        <v>Multihop,USnet,40</v>
      </c>
      <c r="B3182" t="s">
        <v>34</v>
      </c>
      <c r="C3182" t="s">
        <v>7</v>
      </c>
      <c r="D3182">
        <v>40</v>
      </c>
      <c r="E3182">
        <v>1441.6890000000001</v>
      </c>
      <c r="F3182">
        <f t="shared" si="197"/>
        <v>1410</v>
      </c>
      <c r="G3182">
        <f t="shared" si="199"/>
        <v>2.2474468085106438</v>
      </c>
      <c r="H3182">
        <f t="shared" si="200"/>
        <v>2.1980468741871566</v>
      </c>
    </row>
    <row r="3183" spans="1:8" x14ac:dyDescent="0.25">
      <c r="A3183" t="str">
        <f t="shared" si="198"/>
        <v>Multihop,USnet,40</v>
      </c>
      <c r="B3183" t="s">
        <v>34</v>
      </c>
      <c r="C3183" t="s">
        <v>7</v>
      </c>
      <c r="D3183">
        <v>40</v>
      </c>
      <c r="E3183">
        <v>1416.16</v>
      </c>
      <c r="F3183">
        <f t="shared" si="197"/>
        <v>1410</v>
      </c>
      <c r="G3183">
        <f t="shared" si="199"/>
        <v>0.43687943262411927</v>
      </c>
      <c r="H3183">
        <f t="shared" si="200"/>
        <v>0.43497909840696541</v>
      </c>
    </row>
    <row r="3184" spans="1:8" x14ac:dyDescent="0.25">
      <c r="A3184" t="str">
        <f t="shared" si="198"/>
        <v>Multihop,USnet,40</v>
      </c>
      <c r="B3184" t="s">
        <v>34</v>
      </c>
      <c r="C3184" t="s">
        <v>7</v>
      </c>
      <c r="D3184">
        <v>40</v>
      </c>
      <c r="E3184">
        <v>1382.693</v>
      </c>
      <c r="F3184">
        <f t="shared" si="197"/>
        <v>1410</v>
      </c>
      <c r="G3184">
        <f t="shared" si="199"/>
        <v>1.9366666666666679</v>
      </c>
      <c r="H3184">
        <f t="shared" si="200"/>
        <v>1.9749141711139073</v>
      </c>
    </row>
    <row r="3185" spans="1:8" x14ac:dyDescent="0.25">
      <c r="A3185" t="str">
        <f t="shared" si="198"/>
        <v>Multihop,USnet,40</v>
      </c>
      <c r="B3185" t="s">
        <v>34</v>
      </c>
      <c r="C3185" t="s">
        <v>7</v>
      </c>
      <c r="D3185">
        <v>40</v>
      </c>
      <c r="E3185">
        <v>1405.124</v>
      </c>
      <c r="F3185">
        <f t="shared" si="197"/>
        <v>1410</v>
      </c>
      <c r="G3185">
        <f t="shared" si="199"/>
        <v>0.34581560283687773</v>
      </c>
      <c r="H3185">
        <f t="shared" si="200"/>
        <v>0.34701563705409461</v>
      </c>
    </row>
    <row r="3186" spans="1:8" x14ac:dyDescent="0.25">
      <c r="A3186" t="str">
        <f t="shared" si="198"/>
        <v>Multihop,USnet,40</v>
      </c>
      <c r="B3186" t="s">
        <v>34</v>
      </c>
      <c r="C3186" t="s">
        <v>7</v>
      </c>
      <c r="D3186">
        <v>40</v>
      </c>
      <c r="E3186">
        <v>1417.1859999999999</v>
      </c>
      <c r="F3186">
        <f t="shared" si="197"/>
        <v>1410</v>
      </c>
      <c r="G3186">
        <f t="shared" si="199"/>
        <v>0.50964539007091647</v>
      </c>
      <c r="H3186">
        <f t="shared" si="200"/>
        <v>0.5070611761617686</v>
      </c>
    </row>
    <row r="3187" spans="1:8" x14ac:dyDescent="0.25">
      <c r="A3187" t="str">
        <f t="shared" si="198"/>
        <v>Multihop,USnet,40</v>
      </c>
      <c r="B3187" t="s">
        <v>34</v>
      </c>
      <c r="C3187" t="s">
        <v>7</v>
      </c>
      <c r="D3187">
        <v>40</v>
      </c>
      <c r="E3187">
        <v>1441.404</v>
      </c>
      <c r="F3187">
        <f t="shared" si="197"/>
        <v>1410</v>
      </c>
      <c r="G3187">
        <f t="shared" si="199"/>
        <v>2.2272340425531914</v>
      </c>
      <c r="H3187">
        <f t="shared" si="200"/>
        <v>2.1787090919686638</v>
      </c>
    </row>
    <row r="3188" spans="1:8" x14ac:dyDescent="0.25">
      <c r="A3188" t="str">
        <f t="shared" si="198"/>
        <v>Multihop,USnet,40</v>
      </c>
      <c r="B3188" t="s">
        <v>34</v>
      </c>
      <c r="C3188" t="s">
        <v>7</v>
      </c>
      <c r="D3188">
        <v>40</v>
      </c>
      <c r="E3188">
        <v>1395.184</v>
      </c>
      <c r="F3188">
        <f t="shared" si="197"/>
        <v>1410</v>
      </c>
      <c r="G3188">
        <f t="shared" si="199"/>
        <v>1.0507801418439739</v>
      </c>
      <c r="H3188">
        <f t="shared" si="200"/>
        <v>1.0619387837016503</v>
      </c>
    </row>
    <row r="3189" spans="1:8" x14ac:dyDescent="0.25">
      <c r="A3189" t="str">
        <f t="shared" si="198"/>
        <v>Multihop,USnet,40</v>
      </c>
      <c r="B3189" t="s">
        <v>34</v>
      </c>
      <c r="C3189" t="s">
        <v>7</v>
      </c>
      <c r="D3189">
        <v>40</v>
      </c>
      <c r="E3189">
        <v>1415.021</v>
      </c>
      <c r="F3189">
        <f t="shared" si="197"/>
        <v>1410</v>
      </c>
      <c r="G3189">
        <f t="shared" si="199"/>
        <v>0.35609929078013886</v>
      </c>
      <c r="H3189">
        <f t="shared" si="200"/>
        <v>0.35483572328608254</v>
      </c>
    </row>
    <row r="3190" spans="1:8" x14ac:dyDescent="0.25">
      <c r="A3190" t="str">
        <f t="shared" si="198"/>
        <v>Multihop,USnet,40</v>
      </c>
      <c r="B3190" t="s">
        <v>34</v>
      </c>
      <c r="C3190" t="s">
        <v>7</v>
      </c>
      <c r="D3190">
        <v>40</v>
      </c>
      <c r="E3190">
        <v>1413.299</v>
      </c>
      <c r="F3190">
        <f t="shared" si="197"/>
        <v>1410</v>
      </c>
      <c r="G3190">
        <f t="shared" si="199"/>
        <v>0.23397163120567219</v>
      </c>
      <c r="H3190">
        <f t="shared" si="200"/>
        <v>0.23342548179825914</v>
      </c>
    </row>
    <row r="3191" spans="1:8" x14ac:dyDescent="0.25">
      <c r="A3191" t="str">
        <f t="shared" si="198"/>
        <v>Multihop,USnet,40</v>
      </c>
      <c r="B3191" t="s">
        <v>34</v>
      </c>
      <c r="C3191" t="s">
        <v>7</v>
      </c>
      <c r="D3191">
        <v>40</v>
      </c>
      <c r="E3191">
        <v>1400.6849999999999</v>
      </c>
      <c r="F3191">
        <f t="shared" si="197"/>
        <v>1410</v>
      </c>
      <c r="G3191">
        <f t="shared" si="199"/>
        <v>0.66063829787234429</v>
      </c>
      <c r="H3191">
        <f t="shared" si="200"/>
        <v>0.66503175232118961</v>
      </c>
    </row>
    <row r="3192" spans="1:8" x14ac:dyDescent="0.25">
      <c r="A3192" t="str">
        <f t="shared" si="198"/>
        <v>Multihop,USnet,40</v>
      </c>
      <c r="B3192" t="s">
        <v>34</v>
      </c>
      <c r="C3192" t="s">
        <v>7</v>
      </c>
      <c r="D3192">
        <v>40</v>
      </c>
      <c r="E3192">
        <v>1444.0989999999999</v>
      </c>
      <c r="F3192">
        <f t="shared" si="197"/>
        <v>1410</v>
      </c>
      <c r="G3192">
        <f t="shared" si="199"/>
        <v>2.4183687943262364</v>
      </c>
      <c r="H3192">
        <f t="shared" si="200"/>
        <v>2.361264705536112</v>
      </c>
    </row>
    <row r="3193" spans="1:8" x14ac:dyDescent="0.25">
      <c r="A3193" t="str">
        <f t="shared" si="198"/>
        <v>Multihop,USnet,40</v>
      </c>
      <c r="B3193" t="s">
        <v>34</v>
      </c>
      <c r="C3193" t="s">
        <v>7</v>
      </c>
      <c r="D3193">
        <v>40</v>
      </c>
      <c r="E3193">
        <v>1409.098</v>
      </c>
      <c r="F3193">
        <f t="shared" si="197"/>
        <v>1410</v>
      </c>
      <c r="G3193">
        <f t="shared" si="199"/>
        <v>6.3971631205676852E-2</v>
      </c>
      <c r="H3193">
        <f t="shared" si="200"/>
        <v>6.4012581097982094E-2</v>
      </c>
    </row>
    <row r="3194" spans="1:8" x14ac:dyDescent="0.25">
      <c r="A3194" t="str">
        <f t="shared" si="198"/>
        <v>Multihop,USnet,40</v>
      </c>
      <c r="B3194" t="s">
        <v>34</v>
      </c>
      <c r="C3194" t="s">
        <v>7</v>
      </c>
      <c r="D3194">
        <v>40</v>
      </c>
      <c r="E3194">
        <v>1415.663</v>
      </c>
      <c r="F3194">
        <f t="shared" si="197"/>
        <v>1410</v>
      </c>
      <c r="G3194">
        <f t="shared" si="199"/>
        <v>0.40163120567375965</v>
      </c>
      <c r="H3194">
        <f t="shared" si="200"/>
        <v>0.40002458212159325</v>
      </c>
    </row>
    <row r="3195" spans="1:8" x14ac:dyDescent="0.25">
      <c r="A3195" t="str">
        <f t="shared" si="198"/>
        <v>Multihop,USnet,40</v>
      </c>
      <c r="B3195" t="s">
        <v>34</v>
      </c>
      <c r="C3195" t="s">
        <v>7</v>
      </c>
      <c r="D3195">
        <v>40</v>
      </c>
      <c r="E3195">
        <v>1393.896</v>
      </c>
      <c r="F3195">
        <f t="shared" si="197"/>
        <v>1410</v>
      </c>
      <c r="G3195">
        <f t="shared" si="199"/>
        <v>1.1421276595744709</v>
      </c>
      <c r="H3195">
        <f t="shared" si="200"/>
        <v>1.1553229222266255</v>
      </c>
    </row>
    <row r="3196" spans="1:8" x14ac:dyDescent="0.25">
      <c r="A3196" t="str">
        <f t="shared" si="198"/>
        <v>Multihop,USnet,40</v>
      </c>
      <c r="B3196" t="s">
        <v>34</v>
      </c>
      <c r="C3196" t="s">
        <v>7</v>
      </c>
      <c r="D3196">
        <v>40</v>
      </c>
      <c r="E3196">
        <v>1418.7260000000001</v>
      </c>
      <c r="F3196">
        <f t="shared" si="197"/>
        <v>1410</v>
      </c>
      <c r="G3196">
        <f t="shared" si="199"/>
        <v>0.61886524822695843</v>
      </c>
      <c r="H3196">
        <f t="shared" si="200"/>
        <v>0.61505886266975529</v>
      </c>
    </row>
    <row r="3197" spans="1:8" x14ac:dyDescent="0.25">
      <c r="A3197" t="str">
        <f t="shared" si="198"/>
        <v>Multihop,USnet,40</v>
      </c>
      <c r="B3197" t="s">
        <v>34</v>
      </c>
      <c r="C3197" t="s">
        <v>7</v>
      </c>
      <c r="D3197">
        <v>40</v>
      </c>
      <c r="E3197">
        <v>1437.0129999999999</v>
      </c>
      <c r="F3197">
        <f t="shared" si="197"/>
        <v>1410</v>
      </c>
      <c r="G3197">
        <f t="shared" si="199"/>
        <v>1.9158156028368738</v>
      </c>
      <c r="H3197">
        <f t="shared" si="200"/>
        <v>1.8798020616375719</v>
      </c>
    </row>
    <row r="3198" spans="1:8" x14ac:dyDescent="0.25">
      <c r="A3198" t="str">
        <f t="shared" si="198"/>
        <v>Multihop,USnet,40</v>
      </c>
      <c r="B3198" t="s">
        <v>34</v>
      </c>
      <c r="C3198" t="s">
        <v>7</v>
      </c>
      <c r="D3198">
        <v>40</v>
      </c>
      <c r="E3198">
        <v>1410.252</v>
      </c>
      <c r="F3198">
        <f t="shared" si="197"/>
        <v>1410</v>
      </c>
      <c r="G3198">
        <f t="shared" si="199"/>
        <v>1.7872340425528561E-2</v>
      </c>
      <c r="H3198">
        <f t="shared" si="200"/>
        <v>1.7869146790782976E-2</v>
      </c>
    </row>
    <row r="3199" spans="1:8" x14ac:dyDescent="0.25">
      <c r="A3199" t="str">
        <f t="shared" si="198"/>
        <v>Multihop,USnet,40</v>
      </c>
      <c r="B3199" t="s">
        <v>34</v>
      </c>
      <c r="C3199" t="s">
        <v>7</v>
      </c>
      <c r="D3199">
        <v>40</v>
      </c>
      <c r="E3199">
        <v>1401.4680000000001</v>
      </c>
      <c r="F3199">
        <f t="shared" si="197"/>
        <v>1410</v>
      </c>
      <c r="G3199">
        <f t="shared" si="199"/>
        <v>0.6051063829787181</v>
      </c>
      <c r="H3199">
        <f t="shared" si="200"/>
        <v>0.60879021140689082</v>
      </c>
    </row>
    <row r="3200" spans="1:8" x14ac:dyDescent="0.25">
      <c r="A3200" t="str">
        <f t="shared" si="198"/>
        <v>Multihop,USnet,40</v>
      </c>
      <c r="B3200" t="s">
        <v>34</v>
      </c>
      <c r="C3200" t="s">
        <v>7</v>
      </c>
      <c r="D3200">
        <v>40</v>
      </c>
      <c r="E3200">
        <v>1394.029</v>
      </c>
      <c r="F3200">
        <f t="shared" si="197"/>
        <v>1410</v>
      </c>
      <c r="G3200">
        <f t="shared" si="199"/>
        <v>1.1326950354609933</v>
      </c>
      <c r="H3200">
        <f t="shared" si="200"/>
        <v>1.1456720053886973</v>
      </c>
    </row>
    <row r="3201" spans="1:8" x14ac:dyDescent="0.25">
      <c r="A3201" t="str">
        <f t="shared" si="198"/>
        <v>Multihop,USnet,40</v>
      </c>
      <c r="B3201" t="s">
        <v>34</v>
      </c>
      <c r="C3201" t="s">
        <v>7</v>
      </c>
      <c r="D3201">
        <v>40</v>
      </c>
      <c r="E3201">
        <v>1379.9549999999999</v>
      </c>
      <c r="F3201">
        <f t="shared" si="197"/>
        <v>1410</v>
      </c>
      <c r="G3201">
        <f t="shared" si="199"/>
        <v>2.1308510638297924</v>
      </c>
      <c r="H3201">
        <f t="shared" si="200"/>
        <v>2.1772449101601192</v>
      </c>
    </row>
    <row r="3202" spans="1:8" x14ac:dyDescent="0.25">
      <c r="A3202" t="str">
        <f t="shared" si="198"/>
        <v>Multihop,USnet,40</v>
      </c>
      <c r="B3202" t="s">
        <v>34</v>
      </c>
      <c r="C3202" t="s">
        <v>7</v>
      </c>
      <c r="D3202">
        <v>40</v>
      </c>
      <c r="E3202">
        <v>1428.84</v>
      </c>
      <c r="F3202">
        <f t="shared" si="197"/>
        <v>1410</v>
      </c>
      <c r="G3202">
        <f t="shared" si="199"/>
        <v>1.3361702127659516</v>
      </c>
      <c r="H3202">
        <f t="shared" si="200"/>
        <v>1.3185521122029003</v>
      </c>
    </row>
    <row r="3203" spans="1:8" x14ac:dyDescent="0.25">
      <c r="A3203" t="str">
        <f t="shared" si="198"/>
        <v>Multihop,USnet,60</v>
      </c>
      <c r="B3203" t="s">
        <v>34</v>
      </c>
      <c r="C3203" t="s">
        <v>7</v>
      </c>
      <c r="D3203">
        <v>60</v>
      </c>
      <c r="E3203">
        <v>1999.2739999999999</v>
      </c>
      <c r="F3203">
        <f t="shared" ref="F3203:F3266" si="201">_xlfn.XLOOKUP(A3203,$J$3:$J$36,$N$3:$N$36)</f>
        <v>2040</v>
      </c>
      <c r="G3203">
        <f t="shared" si="199"/>
        <v>1.9963725490196136</v>
      </c>
      <c r="H3203">
        <f t="shared" si="200"/>
        <v>2.0370394453186567</v>
      </c>
    </row>
    <row r="3204" spans="1:8" x14ac:dyDescent="0.25">
      <c r="A3204" t="str">
        <f t="shared" ref="A3204:A3267" si="202">B3204&amp;","&amp;C3204&amp;","&amp;D3204</f>
        <v>Multihop,USnet,60</v>
      </c>
      <c r="B3204" t="s">
        <v>34</v>
      </c>
      <c r="C3204" t="s">
        <v>7</v>
      </c>
      <c r="D3204">
        <v>60</v>
      </c>
      <c r="E3204">
        <v>2033.326</v>
      </c>
      <c r="F3204">
        <f t="shared" si="201"/>
        <v>2040</v>
      </c>
      <c r="G3204">
        <f t="shared" ref="G3204:G3267" si="203">ABS((E3204-F3204)/F3204)*100</f>
        <v>0.32715686274509698</v>
      </c>
      <c r="H3204">
        <f t="shared" ref="H3204:H3267" si="204">ABS((F3204-E3204)/E3204)*100</f>
        <v>0.3282306919795438</v>
      </c>
    </row>
    <row r="3205" spans="1:8" x14ac:dyDescent="0.25">
      <c r="A3205" t="str">
        <f t="shared" si="202"/>
        <v>Multihop,USnet,60</v>
      </c>
      <c r="B3205" t="s">
        <v>34</v>
      </c>
      <c r="C3205" t="s">
        <v>7</v>
      </c>
      <c r="D3205">
        <v>60</v>
      </c>
      <c r="E3205">
        <v>2075.9520000000002</v>
      </c>
      <c r="F3205">
        <f t="shared" si="201"/>
        <v>2040</v>
      </c>
      <c r="G3205">
        <f t="shared" si="203"/>
        <v>1.7623529411764816</v>
      </c>
      <c r="H3205">
        <f t="shared" si="204"/>
        <v>1.7318319498716841</v>
      </c>
    </row>
    <row r="3206" spans="1:8" x14ac:dyDescent="0.25">
      <c r="A3206" t="str">
        <f t="shared" si="202"/>
        <v>Multihop,USnet,60</v>
      </c>
      <c r="B3206" t="s">
        <v>34</v>
      </c>
      <c r="C3206" t="s">
        <v>7</v>
      </c>
      <c r="D3206">
        <v>60</v>
      </c>
      <c r="E3206">
        <v>1983.4649999999999</v>
      </c>
      <c r="F3206">
        <f t="shared" si="201"/>
        <v>2040</v>
      </c>
      <c r="G3206">
        <f t="shared" si="203"/>
        <v>2.7713235294117688</v>
      </c>
      <c r="H3206">
        <f t="shared" si="204"/>
        <v>2.8503149790896276</v>
      </c>
    </row>
    <row r="3207" spans="1:8" x14ac:dyDescent="0.25">
      <c r="A3207" t="str">
        <f t="shared" si="202"/>
        <v>Multihop,USnet,60</v>
      </c>
      <c r="B3207" t="s">
        <v>34</v>
      </c>
      <c r="C3207" t="s">
        <v>7</v>
      </c>
      <c r="D3207">
        <v>60</v>
      </c>
      <c r="E3207">
        <v>2014.336</v>
      </c>
      <c r="F3207">
        <f t="shared" si="201"/>
        <v>2040</v>
      </c>
      <c r="G3207">
        <f t="shared" si="203"/>
        <v>1.2580392156862739</v>
      </c>
      <c r="H3207">
        <f t="shared" si="204"/>
        <v>1.2740674842727324</v>
      </c>
    </row>
    <row r="3208" spans="1:8" x14ac:dyDescent="0.25">
      <c r="A3208" t="str">
        <f t="shared" si="202"/>
        <v>Multihop,USnet,60</v>
      </c>
      <c r="B3208" t="s">
        <v>34</v>
      </c>
      <c r="C3208" t="s">
        <v>7</v>
      </c>
      <c r="D3208">
        <v>60</v>
      </c>
      <c r="E3208">
        <v>1982.7840000000001</v>
      </c>
      <c r="F3208">
        <f t="shared" si="201"/>
        <v>2040</v>
      </c>
      <c r="G3208">
        <f t="shared" si="203"/>
        <v>2.8047058823529358</v>
      </c>
      <c r="H3208">
        <f t="shared" si="204"/>
        <v>2.8856395855524299</v>
      </c>
    </row>
    <row r="3209" spans="1:8" x14ac:dyDescent="0.25">
      <c r="A3209" t="str">
        <f t="shared" si="202"/>
        <v>Multihop,USnet,60</v>
      </c>
      <c r="B3209" t="s">
        <v>34</v>
      </c>
      <c r="C3209" t="s">
        <v>7</v>
      </c>
      <c r="D3209">
        <v>60</v>
      </c>
      <c r="E3209">
        <v>2035.3610000000001</v>
      </c>
      <c r="F3209">
        <f t="shared" si="201"/>
        <v>2040</v>
      </c>
      <c r="G3209">
        <f t="shared" si="203"/>
        <v>0.22740196078430866</v>
      </c>
      <c r="H3209">
        <f t="shared" si="204"/>
        <v>0.22792025591528461</v>
      </c>
    </row>
    <row r="3210" spans="1:8" x14ac:dyDescent="0.25">
      <c r="A3210" t="str">
        <f t="shared" si="202"/>
        <v>Multihop,USnet,60</v>
      </c>
      <c r="B3210" t="s">
        <v>34</v>
      </c>
      <c r="C3210" t="s">
        <v>7</v>
      </c>
      <c r="D3210">
        <v>60</v>
      </c>
      <c r="E3210">
        <v>2003.04</v>
      </c>
      <c r="F3210">
        <f t="shared" si="201"/>
        <v>2040</v>
      </c>
      <c r="G3210">
        <f t="shared" si="203"/>
        <v>1.8117647058823547</v>
      </c>
      <c r="H3210">
        <f t="shared" si="204"/>
        <v>1.8451953031392303</v>
      </c>
    </row>
    <row r="3211" spans="1:8" x14ac:dyDescent="0.25">
      <c r="A3211" t="str">
        <f t="shared" si="202"/>
        <v>Multihop,USnet,60</v>
      </c>
      <c r="B3211" t="s">
        <v>34</v>
      </c>
      <c r="C3211" t="s">
        <v>7</v>
      </c>
      <c r="D3211">
        <v>60</v>
      </c>
      <c r="E3211">
        <v>2009.175</v>
      </c>
      <c r="F3211">
        <f t="shared" si="201"/>
        <v>2040</v>
      </c>
      <c r="G3211">
        <f t="shared" si="203"/>
        <v>1.5110294117647081</v>
      </c>
      <c r="H3211">
        <f t="shared" si="204"/>
        <v>1.5342118033521246</v>
      </c>
    </row>
    <row r="3212" spans="1:8" x14ac:dyDescent="0.25">
      <c r="A3212" t="str">
        <f t="shared" si="202"/>
        <v>Multihop,USnet,60</v>
      </c>
      <c r="B3212" t="s">
        <v>34</v>
      </c>
      <c r="C3212" t="s">
        <v>7</v>
      </c>
      <c r="D3212">
        <v>60</v>
      </c>
      <c r="E3212">
        <v>2112.989</v>
      </c>
      <c r="F3212">
        <f t="shared" si="201"/>
        <v>2040</v>
      </c>
      <c r="G3212">
        <f t="shared" si="203"/>
        <v>3.5778921568627471</v>
      </c>
      <c r="H3212">
        <f t="shared" si="204"/>
        <v>3.4543009925749746</v>
      </c>
    </row>
    <row r="3213" spans="1:8" x14ac:dyDescent="0.25">
      <c r="A3213" t="str">
        <f t="shared" si="202"/>
        <v>Multihop,USnet,60</v>
      </c>
      <c r="B3213" t="s">
        <v>34</v>
      </c>
      <c r="C3213" t="s">
        <v>7</v>
      </c>
      <c r="D3213">
        <v>60</v>
      </c>
      <c r="E3213">
        <v>2006.2239999999999</v>
      </c>
      <c r="F3213">
        <f t="shared" si="201"/>
        <v>2040</v>
      </c>
      <c r="G3213">
        <f t="shared" si="203"/>
        <v>1.6556862745098071</v>
      </c>
      <c r="H3213">
        <f t="shared" si="204"/>
        <v>1.6835607589182497</v>
      </c>
    </row>
    <row r="3214" spans="1:8" x14ac:dyDescent="0.25">
      <c r="A3214" t="str">
        <f t="shared" si="202"/>
        <v>Multihop,USnet,60</v>
      </c>
      <c r="B3214" t="s">
        <v>34</v>
      </c>
      <c r="C3214" t="s">
        <v>7</v>
      </c>
      <c r="D3214">
        <v>60</v>
      </c>
      <c r="E3214">
        <v>2036.864</v>
      </c>
      <c r="F3214">
        <f t="shared" si="201"/>
        <v>2040</v>
      </c>
      <c r="G3214">
        <f t="shared" si="203"/>
        <v>0.15372549019607684</v>
      </c>
      <c r="H3214">
        <f t="shared" si="204"/>
        <v>0.15396216929554291</v>
      </c>
    </row>
    <row r="3215" spans="1:8" x14ac:dyDescent="0.25">
      <c r="A3215" t="str">
        <f t="shared" si="202"/>
        <v>Multihop,USnet,60</v>
      </c>
      <c r="B3215" t="s">
        <v>34</v>
      </c>
      <c r="C3215" t="s">
        <v>7</v>
      </c>
      <c r="D3215">
        <v>60</v>
      </c>
      <c r="E3215">
        <v>2005.5360000000001</v>
      </c>
      <c r="F3215">
        <f t="shared" si="201"/>
        <v>2040</v>
      </c>
      <c r="G3215">
        <f t="shared" si="203"/>
        <v>1.6894117647058795</v>
      </c>
      <c r="H3215">
        <f t="shared" si="204"/>
        <v>1.7184433488104895</v>
      </c>
    </row>
    <row r="3216" spans="1:8" x14ac:dyDescent="0.25">
      <c r="A3216" t="str">
        <f t="shared" si="202"/>
        <v>Multihop,USnet,60</v>
      </c>
      <c r="B3216" t="s">
        <v>34</v>
      </c>
      <c r="C3216" t="s">
        <v>7</v>
      </c>
      <c r="D3216">
        <v>60</v>
      </c>
      <c r="E3216">
        <v>2042.798</v>
      </c>
      <c r="F3216">
        <f t="shared" si="201"/>
        <v>2040</v>
      </c>
      <c r="G3216">
        <f t="shared" si="203"/>
        <v>0.13715686274509811</v>
      </c>
      <c r="H3216">
        <f t="shared" si="204"/>
        <v>0.13696900036126927</v>
      </c>
    </row>
    <row r="3217" spans="1:8" x14ac:dyDescent="0.25">
      <c r="A3217" t="str">
        <f t="shared" si="202"/>
        <v>Multihop,USnet,60</v>
      </c>
      <c r="B3217" t="s">
        <v>34</v>
      </c>
      <c r="C3217" t="s">
        <v>7</v>
      </c>
      <c r="D3217">
        <v>60</v>
      </c>
      <c r="E3217">
        <v>1987.3920000000001</v>
      </c>
      <c r="F3217">
        <f t="shared" si="201"/>
        <v>2040</v>
      </c>
      <c r="G3217">
        <f t="shared" si="203"/>
        <v>2.5788235294117623</v>
      </c>
      <c r="H3217">
        <f t="shared" si="204"/>
        <v>2.6470872379480217</v>
      </c>
    </row>
    <row r="3218" spans="1:8" x14ac:dyDescent="0.25">
      <c r="A3218" t="str">
        <f t="shared" si="202"/>
        <v>Multihop,USnet,60</v>
      </c>
      <c r="B3218" t="s">
        <v>34</v>
      </c>
      <c r="C3218" t="s">
        <v>7</v>
      </c>
      <c r="D3218">
        <v>60</v>
      </c>
      <c r="E3218">
        <v>2047.8779999999999</v>
      </c>
      <c r="F3218">
        <f t="shared" si="201"/>
        <v>2040</v>
      </c>
      <c r="G3218">
        <f t="shared" si="203"/>
        <v>0.38617647058823179</v>
      </c>
      <c r="H3218">
        <f t="shared" si="204"/>
        <v>0.38469088490622633</v>
      </c>
    </row>
    <row r="3219" spans="1:8" x14ac:dyDescent="0.25">
      <c r="A3219" t="str">
        <f t="shared" si="202"/>
        <v>Multihop,USnet,60</v>
      </c>
      <c r="B3219" t="s">
        <v>34</v>
      </c>
      <c r="C3219" t="s">
        <v>7</v>
      </c>
      <c r="D3219">
        <v>60</v>
      </c>
      <c r="E3219">
        <v>2001.9449999999999</v>
      </c>
      <c r="F3219">
        <f t="shared" si="201"/>
        <v>2040</v>
      </c>
      <c r="G3219">
        <f t="shared" si="203"/>
        <v>1.8654411764705912</v>
      </c>
      <c r="H3219">
        <f t="shared" si="204"/>
        <v>1.9009013734143578</v>
      </c>
    </row>
    <row r="3220" spans="1:8" x14ac:dyDescent="0.25">
      <c r="A3220" t="str">
        <f t="shared" si="202"/>
        <v>Multihop,USnet,60</v>
      </c>
      <c r="B3220" t="s">
        <v>34</v>
      </c>
      <c r="C3220" t="s">
        <v>7</v>
      </c>
      <c r="D3220">
        <v>60</v>
      </c>
      <c r="E3220">
        <v>1967.722</v>
      </c>
      <c r="F3220">
        <f t="shared" si="201"/>
        <v>2040</v>
      </c>
      <c r="G3220">
        <f t="shared" si="203"/>
        <v>3.5430392156862758</v>
      </c>
      <c r="H3220">
        <f t="shared" si="204"/>
        <v>3.6731814758385597</v>
      </c>
    </row>
    <row r="3221" spans="1:8" x14ac:dyDescent="0.25">
      <c r="A3221" t="str">
        <f t="shared" si="202"/>
        <v>Multihop,USnet,60</v>
      </c>
      <c r="B3221" t="s">
        <v>34</v>
      </c>
      <c r="C3221" t="s">
        <v>7</v>
      </c>
      <c r="D3221">
        <v>60</v>
      </c>
      <c r="E3221">
        <v>1996.2380000000001</v>
      </c>
      <c r="F3221">
        <f t="shared" si="201"/>
        <v>2040</v>
      </c>
      <c r="G3221">
        <f t="shared" si="203"/>
        <v>2.1451960784313697</v>
      </c>
      <c r="H3221">
        <f t="shared" si="204"/>
        <v>2.1922235725399446</v>
      </c>
    </row>
    <row r="3222" spans="1:8" x14ac:dyDescent="0.25">
      <c r="A3222" t="str">
        <f t="shared" si="202"/>
        <v>Multihop,USnet,60</v>
      </c>
      <c r="B3222" t="s">
        <v>34</v>
      </c>
      <c r="C3222" t="s">
        <v>7</v>
      </c>
      <c r="D3222">
        <v>60</v>
      </c>
      <c r="E3222">
        <v>1968.598</v>
      </c>
      <c r="F3222">
        <f t="shared" si="201"/>
        <v>2040</v>
      </c>
      <c r="G3222">
        <f t="shared" si="203"/>
        <v>3.5000980392156884</v>
      </c>
      <c r="H3222">
        <f t="shared" si="204"/>
        <v>3.6270482851247463</v>
      </c>
    </row>
    <row r="3223" spans="1:8" x14ac:dyDescent="0.25">
      <c r="A3223" t="str">
        <f t="shared" si="202"/>
        <v>Multihop,USnet,60</v>
      </c>
      <c r="B3223" t="s">
        <v>34</v>
      </c>
      <c r="C3223" t="s">
        <v>7</v>
      </c>
      <c r="D3223">
        <v>60</v>
      </c>
      <c r="E3223">
        <v>1996.3320000000001</v>
      </c>
      <c r="F3223">
        <f t="shared" si="201"/>
        <v>2040</v>
      </c>
      <c r="G3223">
        <f t="shared" si="203"/>
        <v>2.1405882352941124</v>
      </c>
      <c r="H3223">
        <f t="shared" si="204"/>
        <v>2.1874117130817865</v>
      </c>
    </row>
    <row r="3224" spans="1:8" x14ac:dyDescent="0.25">
      <c r="A3224" t="str">
        <f t="shared" si="202"/>
        <v>Multihop,USnet,60</v>
      </c>
      <c r="B3224" t="s">
        <v>34</v>
      </c>
      <c r="C3224" t="s">
        <v>7</v>
      </c>
      <c r="D3224">
        <v>60</v>
      </c>
      <c r="E3224">
        <v>2035.1020000000001</v>
      </c>
      <c r="F3224">
        <f t="shared" si="201"/>
        <v>2040</v>
      </c>
      <c r="G3224">
        <f t="shared" si="203"/>
        <v>0.24009803921568193</v>
      </c>
      <c r="H3224">
        <f t="shared" si="204"/>
        <v>0.24067589732602646</v>
      </c>
    </row>
    <row r="3225" spans="1:8" x14ac:dyDescent="0.25">
      <c r="A3225" t="str">
        <f t="shared" si="202"/>
        <v>Multihop,USnet,60</v>
      </c>
      <c r="B3225" t="s">
        <v>34</v>
      </c>
      <c r="C3225" t="s">
        <v>7</v>
      </c>
      <c r="D3225">
        <v>60</v>
      </c>
      <c r="E3225">
        <v>1992.53</v>
      </c>
      <c r="F3225">
        <f t="shared" si="201"/>
        <v>2040</v>
      </c>
      <c r="G3225">
        <f t="shared" si="203"/>
        <v>2.326960784313727</v>
      </c>
      <c r="H3225">
        <f t="shared" si="204"/>
        <v>2.3823982574917331</v>
      </c>
    </row>
    <row r="3226" spans="1:8" x14ac:dyDescent="0.25">
      <c r="A3226" t="str">
        <f t="shared" si="202"/>
        <v>Multihop,USnet,60</v>
      </c>
      <c r="B3226" t="s">
        <v>34</v>
      </c>
      <c r="C3226" t="s">
        <v>7</v>
      </c>
      <c r="D3226">
        <v>60</v>
      </c>
      <c r="E3226">
        <v>2018.5319999999999</v>
      </c>
      <c r="F3226">
        <f t="shared" si="201"/>
        <v>2040</v>
      </c>
      <c r="G3226">
        <f t="shared" si="203"/>
        <v>1.0523529411764743</v>
      </c>
      <c r="H3226">
        <f t="shared" si="204"/>
        <v>1.0635451902669897</v>
      </c>
    </row>
    <row r="3227" spans="1:8" x14ac:dyDescent="0.25">
      <c r="A3227" t="str">
        <f t="shared" si="202"/>
        <v>Multihop,USnet,60</v>
      </c>
      <c r="B3227" t="s">
        <v>34</v>
      </c>
      <c r="C3227" t="s">
        <v>7</v>
      </c>
      <c r="D3227">
        <v>60</v>
      </c>
      <c r="E3227">
        <v>2029.6759999999999</v>
      </c>
      <c r="F3227">
        <f t="shared" si="201"/>
        <v>2040</v>
      </c>
      <c r="G3227">
        <f t="shared" si="203"/>
        <v>0.50607843137255248</v>
      </c>
      <c r="H3227">
        <f t="shared" si="204"/>
        <v>0.50865261253520611</v>
      </c>
    </row>
    <row r="3228" spans="1:8" x14ac:dyDescent="0.25">
      <c r="A3228" t="str">
        <f t="shared" si="202"/>
        <v>Multihop,USnet,60</v>
      </c>
      <c r="B3228" t="s">
        <v>34</v>
      </c>
      <c r="C3228" t="s">
        <v>7</v>
      </c>
      <c r="D3228">
        <v>60</v>
      </c>
      <c r="E3228">
        <v>2042.34</v>
      </c>
      <c r="F3228">
        <f t="shared" si="201"/>
        <v>2040</v>
      </c>
      <c r="G3228">
        <f t="shared" si="203"/>
        <v>0.11470588235293717</v>
      </c>
      <c r="H3228">
        <f t="shared" si="204"/>
        <v>0.11457445870912376</v>
      </c>
    </row>
    <row r="3229" spans="1:8" x14ac:dyDescent="0.25">
      <c r="A3229" t="str">
        <f t="shared" si="202"/>
        <v>Multihop,USnet,60</v>
      </c>
      <c r="B3229" t="s">
        <v>34</v>
      </c>
      <c r="C3229" t="s">
        <v>7</v>
      </c>
      <c r="D3229">
        <v>60</v>
      </c>
      <c r="E3229">
        <v>2036.6569999999999</v>
      </c>
      <c r="F3229">
        <f t="shared" si="201"/>
        <v>2040</v>
      </c>
      <c r="G3229">
        <f t="shared" si="203"/>
        <v>0.16387254901961149</v>
      </c>
      <c r="H3229">
        <f t="shared" si="204"/>
        <v>0.16414153193198827</v>
      </c>
    </row>
    <row r="3230" spans="1:8" x14ac:dyDescent="0.25">
      <c r="A3230" t="str">
        <f t="shared" si="202"/>
        <v>Multihop,USnet,60</v>
      </c>
      <c r="B3230" t="s">
        <v>34</v>
      </c>
      <c r="C3230" t="s">
        <v>7</v>
      </c>
      <c r="D3230">
        <v>60</v>
      </c>
      <c r="E3230">
        <v>2037.5820000000001</v>
      </c>
      <c r="F3230">
        <f t="shared" si="201"/>
        <v>2040</v>
      </c>
      <c r="G3230">
        <f t="shared" si="203"/>
        <v>0.11852941176470062</v>
      </c>
      <c r="H3230">
        <f t="shared" si="204"/>
        <v>0.11867007070144381</v>
      </c>
    </row>
    <row r="3231" spans="1:8" x14ac:dyDescent="0.25">
      <c r="A3231" t="str">
        <f t="shared" si="202"/>
        <v>Multihop,USnet,60</v>
      </c>
      <c r="B3231" t="s">
        <v>34</v>
      </c>
      <c r="C3231" t="s">
        <v>7</v>
      </c>
      <c r="D3231">
        <v>60</v>
      </c>
      <c r="E3231">
        <v>2018.3630000000001</v>
      </c>
      <c r="F3231">
        <f t="shared" si="201"/>
        <v>2040</v>
      </c>
      <c r="G3231">
        <f t="shared" si="203"/>
        <v>1.060637254901958</v>
      </c>
      <c r="H3231">
        <f t="shared" si="204"/>
        <v>1.0720073643839063</v>
      </c>
    </row>
    <row r="3232" spans="1:8" x14ac:dyDescent="0.25">
      <c r="A3232" t="str">
        <f t="shared" si="202"/>
        <v>Multihop,USnet,60</v>
      </c>
      <c r="B3232" t="s">
        <v>34</v>
      </c>
      <c r="C3232" t="s">
        <v>7</v>
      </c>
      <c r="D3232">
        <v>60</v>
      </c>
      <c r="E3232">
        <v>2095.5140000000001</v>
      </c>
      <c r="F3232">
        <f t="shared" si="201"/>
        <v>2040</v>
      </c>
      <c r="G3232">
        <f t="shared" si="203"/>
        <v>2.7212745098039273</v>
      </c>
      <c r="H3232">
        <f t="shared" si="204"/>
        <v>2.6491829689517759</v>
      </c>
    </row>
    <row r="3233" spans="1:8" x14ac:dyDescent="0.25">
      <c r="A3233" t="str">
        <f t="shared" si="202"/>
        <v>Multihop,USnet,60</v>
      </c>
      <c r="B3233" t="s">
        <v>34</v>
      </c>
      <c r="C3233" t="s">
        <v>7</v>
      </c>
      <c r="D3233">
        <v>60</v>
      </c>
      <c r="E3233">
        <v>1975.902</v>
      </c>
      <c r="F3233">
        <f t="shared" si="201"/>
        <v>2040</v>
      </c>
      <c r="G3233">
        <f t="shared" si="203"/>
        <v>3.1420588235294096</v>
      </c>
      <c r="H3233">
        <f t="shared" si="204"/>
        <v>3.243986796916039</v>
      </c>
    </row>
    <row r="3234" spans="1:8" x14ac:dyDescent="0.25">
      <c r="A3234" t="str">
        <f t="shared" si="202"/>
        <v>Multihop,USnet,60</v>
      </c>
      <c r="B3234" t="s">
        <v>34</v>
      </c>
      <c r="C3234" t="s">
        <v>7</v>
      </c>
      <c r="D3234">
        <v>60</v>
      </c>
      <c r="E3234">
        <v>2072.7669999999998</v>
      </c>
      <c r="F3234">
        <f t="shared" si="201"/>
        <v>2040</v>
      </c>
      <c r="G3234">
        <f t="shared" si="203"/>
        <v>1.6062254901960697</v>
      </c>
      <c r="H3234">
        <f t="shared" si="204"/>
        <v>1.580833735774442</v>
      </c>
    </row>
    <row r="3235" spans="1:8" x14ac:dyDescent="0.25">
      <c r="A3235" t="str">
        <f t="shared" si="202"/>
        <v>Multihop,USnet,60</v>
      </c>
      <c r="B3235" t="s">
        <v>34</v>
      </c>
      <c r="C3235" t="s">
        <v>7</v>
      </c>
      <c r="D3235">
        <v>60</v>
      </c>
      <c r="E3235">
        <v>2031.174</v>
      </c>
      <c r="F3235">
        <f t="shared" si="201"/>
        <v>2040</v>
      </c>
      <c r="G3235">
        <f t="shared" si="203"/>
        <v>0.43264705882353049</v>
      </c>
      <c r="H3235">
        <f t="shared" si="204"/>
        <v>0.43452702722661973</v>
      </c>
    </row>
    <row r="3236" spans="1:8" x14ac:dyDescent="0.25">
      <c r="A3236" t="str">
        <f t="shared" si="202"/>
        <v>Multihop,USnet,60</v>
      </c>
      <c r="B3236" t="s">
        <v>34</v>
      </c>
      <c r="C3236" t="s">
        <v>7</v>
      </c>
      <c r="D3236">
        <v>60</v>
      </c>
      <c r="E3236">
        <v>1996.222</v>
      </c>
      <c r="F3236">
        <f t="shared" si="201"/>
        <v>2040</v>
      </c>
      <c r="G3236">
        <f t="shared" si="203"/>
        <v>2.1459803921568636</v>
      </c>
      <c r="H3236">
        <f t="shared" si="204"/>
        <v>2.19304265758017</v>
      </c>
    </row>
    <row r="3237" spans="1:8" x14ac:dyDescent="0.25">
      <c r="A3237" t="str">
        <f t="shared" si="202"/>
        <v>Multihop,USnet,60</v>
      </c>
      <c r="B3237" t="s">
        <v>34</v>
      </c>
      <c r="C3237" t="s">
        <v>7</v>
      </c>
      <c r="D3237">
        <v>60</v>
      </c>
      <c r="E3237">
        <v>2076.3110000000001</v>
      </c>
      <c r="F3237">
        <f t="shared" si="201"/>
        <v>2040</v>
      </c>
      <c r="G3237">
        <f t="shared" si="203"/>
        <v>1.7799509803921643</v>
      </c>
      <c r="H3237">
        <f t="shared" si="204"/>
        <v>1.7488227919613268</v>
      </c>
    </row>
    <row r="3238" spans="1:8" x14ac:dyDescent="0.25">
      <c r="A3238" t="str">
        <f t="shared" si="202"/>
        <v>Multihop,USnet,60</v>
      </c>
      <c r="B3238" t="s">
        <v>34</v>
      </c>
      <c r="C3238" t="s">
        <v>7</v>
      </c>
      <c r="D3238">
        <v>60</v>
      </c>
      <c r="E3238">
        <v>1927.366</v>
      </c>
      <c r="F3238">
        <f t="shared" si="201"/>
        <v>2040</v>
      </c>
      <c r="G3238">
        <f t="shared" si="203"/>
        <v>5.5212745098039226</v>
      </c>
      <c r="H3238">
        <f t="shared" si="204"/>
        <v>5.8439341567714704</v>
      </c>
    </row>
    <row r="3239" spans="1:8" x14ac:dyDescent="0.25">
      <c r="A3239" t="str">
        <f t="shared" si="202"/>
        <v>Multihop,USnet,60</v>
      </c>
      <c r="B3239" t="s">
        <v>34</v>
      </c>
      <c r="C3239" t="s">
        <v>7</v>
      </c>
      <c r="D3239">
        <v>60</v>
      </c>
      <c r="E3239">
        <v>2003.6130000000001</v>
      </c>
      <c r="F3239">
        <f t="shared" si="201"/>
        <v>2040</v>
      </c>
      <c r="G3239">
        <f t="shared" si="203"/>
        <v>1.7836764705882326</v>
      </c>
      <c r="H3239">
        <f t="shared" si="204"/>
        <v>1.8160692708621844</v>
      </c>
    </row>
    <row r="3240" spans="1:8" x14ac:dyDescent="0.25">
      <c r="A3240" t="str">
        <f t="shared" si="202"/>
        <v>Multihop,USnet,60</v>
      </c>
      <c r="B3240" t="s">
        <v>34</v>
      </c>
      <c r="C3240" t="s">
        <v>7</v>
      </c>
      <c r="D3240">
        <v>60</v>
      </c>
      <c r="E3240">
        <v>1985.44</v>
      </c>
      <c r="F3240">
        <f t="shared" si="201"/>
        <v>2040</v>
      </c>
      <c r="G3240">
        <f t="shared" si="203"/>
        <v>2.6745098039215662</v>
      </c>
      <c r="H3240">
        <f t="shared" si="204"/>
        <v>2.7480054798936226</v>
      </c>
    </row>
    <row r="3241" spans="1:8" x14ac:dyDescent="0.25">
      <c r="A3241" t="str">
        <f t="shared" si="202"/>
        <v>Multihop,USnet,60</v>
      </c>
      <c r="B3241" t="s">
        <v>34</v>
      </c>
      <c r="C3241" t="s">
        <v>7</v>
      </c>
      <c r="D3241">
        <v>60</v>
      </c>
      <c r="E3241">
        <v>2015.943</v>
      </c>
      <c r="F3241">
        <f t="shared" si="201"/>
        <v>2040</v>
      </c>
      <c r="G3241">
        <f t="shared" si="203"/>
        <v>1.1792647058823538</v>
      </c>
      <c r="H3241">
        <f t="shared" si="204"/>
        <v>1.1933373116204187</v>
      </c>
    </row>
    <row r="3242" spans="1:8" x14ac:dyDescent="0.25">
      <c r="A3242" t="str">
        <f t="shared" si="202"/>
        <v>Multihop,USnet,60</v>
      </c>
      <c r="B3242" t="s">
        <v>34</v>
      </c>
      <c r="C3242" t="s">
        <v>7</v>
      </c>
      <c r="D3242">
        <v>60</v>
      </c>
      <c r="E3242">
        <v>2000.1320000000001</v>
      </c>
      <c r="F3242">
        <f t="shared" si="201"/>
        <v>2040</v>
      </c>
      <c r="G3242">
        <f t="shared" si="203"/>
        <v>1.9543137254901932</v>
      </c>
      <c r="H3242">
        <f t="shared" si="204"/>
        <v>1.9932684442826742</v>
      </c>
    </row>
    <row r="3243" spans="1:8" x14ac:dyDescent="0.25">
      <c r="A3243" t="str">
        <f t="shared" si="202"/>
        <v>Multihop,USnet,60</v>
      </c>
      <c r="B3243" t="s">
        <v>34</v>
      </c>
      <c r="C3243" t="s">
        <v>7</v>
      </c>
      <c r="D3243">
        <v>60</v>
      </c>
      <c r="E3243">
        <v>1977.9939999999999</v>
      </c>
      <c r="F3243">
        <f t="shared" si="201"/>
        <v>2040</v>
      </c>
      <c r="G3243">
        <f t="shared" si="203"/>
        <v>3.0395098039215727</v>
      </c>
      <c r="H3243">
        <f t="shared" si="204"/>
        <v>3.1347921176707358</v>
      </c>
    </row>
    <row r="3244" spans="1:8" x14ac:dyDescent="0.25">
      <c r="A3244" t="str">
        <f t="shared" si="202"/>
        <v>Multihop,USnet,60</v>
      </c>
      <c r="B3244" t="s">
        <v>34</v>
      </c>
      <c r="C3244" t="s">
        <v>7</v>
      </c>
      <c r="D3244">
        <v>60</v>
      </c>
      <c r="E3244">
        <v>2041.6030000000001</v>
      </c>
      <c r="F3244">
        <f t="shared" si="201"/>
        <v>2040</v>
      </c>
      <c r="G3244">
        <f t="shared" si="203"/>
        <v>7.8578431372552229E-2</v>
      </c>
      <c r="H3244">
        <f t="shared" si="204"/>
        <v>7.8516734154488677E-2</v>
      </c>
    </row>
    <row r="3245" spans="1:8" x14ac:dyDescent="0.25">
      <c r="A3245" t="str">
        <f t="shared" si="202"/>
        <v>Multihop,USnet,60</v>
      </c>
      <c r="B3245" t="s">
        <v>34</v>
      </c>
      <c r="C3245" t="s">
        <v>7</v>
      </c>
      <c r="D3245">
        <v>60</v>
      </c>
      <c r="E3245">
        <v>1956.171</v>
      </c>
      <c r="F3245">
        <f t="shared" si="201"/>
        <v>2040</v>
      </c>
      <c r="G3245">
        <f t="shared" si="203"/>
        <v>4.1092647058823504</v>
      </c>
      <c r="H3245">
        <f t="shared" si="204"/>
        <v>4.2853615558149034</v>
      </c>
    </row>
    <row r="3246" spans="1:8" x14ac:dyDescent="0.25">
      <c r="A3246" t="str">
        <f t="shared" si="202"/>
        <v>Multihop,USnet,60</v>
      </c>
      <c r="B3246" t="s">
        <v>34</v>
      </c>
      <c r="C3246" t="s">
        <v>7</v>
      </c>
      <c r="D3246">
        <v>60</v>
      </c>
      <c r="E3246">
        <v>2044.56</v>
      </c>
      <c r="F3246">
        <f t="shared" si="201"/>
        <v>2040</v>
      </c>
      <c r="G3246">
        <f t="shared" si="203"/>
        <v>0.2235294117647032</v>
      </c>
      <c r="H3246">
        <f t="shared" si="204"/>
        <v>0.2230308721680922</v>
      </c>
    </row>
    <row r="3247" spans="1:8" x14ac:dyDescent="0.25">
      <c r="A3247" t="str">
        <f t="shared" si="202"/>
        <v>Multihop,USnet,60</v>
      </c>
      <c r="B3247" t="s">
        <v>34</v>
      </c>
      <c r="C3247" t="s">
        <v>7</v>
      </c>
      <c r="D3247">
        <v>60</v>
      </c>
      <c r="E3247">
        <v>1979.307</v>
      </c>
      <c r="F3247">
        <f t="shared" si="201"/>
        <v>2040</v>
      </c>
      <c r="G3247">
        <f t="shared" si="203"/>
        <v>2.9751470588235285</v>
      </c>
      <c r="H3247">
        <f t="shared" si="204"/>
        <v>3.0663762619947277</v>
      </c>
    </row>
    <row r="3248" spans="1:8" x14ac:dyDescent="0.25">
      <c r="A3248" t="str">
        <f t="shared" si="202"/>
        <v>Multihop,USnet,60</v>
      </c>
      <c r="B3248" t="s">
        <v>34</v>
      </c>
      <c r="C3248" t="s">
        <v>7</v>
      </c>
      <c r="D3248">
        <v>60</v>
      </c>
      <c r="E3248">
        <v>2018.3040000000001</v>
      </c>
      <c r="F3248">
        <f t="shared" si="201"/>
        <v>2040</v>
      </c>
      <c r="G3248">
        <f t="shared" si="203"/>
        <v>1.0635294117647016</v>
      </c>
      <c r="H3248">
        <f t="shared" si="204"/>
        <v>1.0749619482496151</v>
      </c>
    </row>
    <row r="3249" spans="1:8" x14ac:dyDescent="0.25">
      <c r="A3249" t="str">
        <f t="shared" si="202"/>
        <v>Multihop,USnet,60</v>
      </c>
      <c r="B3249" t="s">
        <v>34</v>
      </c>
      <c r="C3249" t="s">
        <v>7</v>
      </c>
      <c r="D3249">
        <v>60</v>
      </c>
      <c r="E3249">
        <v>2040.9359999999999</v>
      </c>
      <c r="F3249">
        <f t="shared" si="201"/>
        <v>2040</v>
      </c>
      <c r="G3249">
        <f t="shared" si="203"/>
        <v>4.5882352941172634E-2</v>
      </c>
      <c r="H3249">
        <f t="shared" si="204"/>
        <v>4.5861310692737148E-2</v>
      </c>
    </row>
    <row r="3250" spans="1:8" x14ac:dyDescent="0.25">
      <c r="A3250" t="str">
        <f t="shared" si="202"/>
        <v>Multihop,USnet,60</v>
      </c>
      <c r="B3250" t="s">
        <v>34</v>
      </c>
      <c r="C3250" t="s">
        <v>7</v>
      </c>
      <c r="D3250">
        <v>60</v>
      </c>
      <c r="E3250">
        <v>1974.5540000000001</v>
      </c>
      <c r="F3250">
        <f t="shared" si="201"/>
        <v>2040</v>
      </c>
      <c r="G3250">
        <f t="shared" si="203"/>
        <v>3.2081372549019562</v>
      </c>
      <c r="H3250">
        <f t="shared" si="204"/>
        <v>3.3144700018333211</v>
      </c>
    </row>
    <row r="3251" spans="1:8" x14ac:dyDescent="0.25">
      <c r="A3251" t="str">
        <f t="shared" si="202"/>
        <v>Multihop,USnet,60</v>
      </c>
      <c r="B3251" t="s">
        <v>34</v>
      </c>
      <c r="C3251" t="s">
        <v>7</v>
      </c>
      <c r="D3251">
        <v>60</v>
      </c>
      <c r="E3251">
        <v>2053.5309999999999</v>
      </c>
      <c r="F3251">
        <f t="shared" si="201"/>
        <v>2040</v>
      </c>
      <c r="G3251">
        <f t="shared" si="203"/>
        <v>0.66328431372548768</v>
      </c>
      <c r="H3251">
        <f t="shared" si="204"/>
        <v>0.65891384157336552</v>
      </c>
    </row>
    <row r="3252" spans="1:8" x14ac:dyDescent="0.25">
      <c r="A3252" t="str">
        <f t="shared" si="202"/>
        <v>Multihop,USnet,60</v>
      </c>
      <c r="B3252" t="s">
        <v>34</v>
      </c>
      <c r="C3252" t="s">
        <v>7</v>
      </c>
      <c r="D3252">
        <v>60</v>
      </c>
      <c r="E3252">
        <v>2019.451</v>
      </c>
      <c r="F3252">
        <f t="shared" si="201"/>
        <v>2040</v>
      </c>
      <c r="G3252">
        <f t="shared" si="203"/>
        <v>1.0073039215686264</v>
      </c>
      <c r="H3252">
        <f t="shared" si="204"/>
        <v>1.0175537807057453</v>
      </c>
    </row>
    <row r="3253" spans="1:8" x14ac:dyDescent="0.25">
      <c r="A3253" t="str">
        <f t="shared" si="202"/>
        <v>Multihop,USnet,60</v>
      </c>
      <c r="B3253" t="s">
        <v>34</v>
      </c>
      <c r="C3253" t="s">
        <v>7</v>
      </c>
      <c r="D3253">
        <v>60</v>
      </c>
      <c r="E3253">
        <v>2044.3889999999999</v>
      </c>
      <c r="F3253">
        <f t="shared" si="201"/>
        <v>2040</v>
      </c>
      <c r="G3253">
        <f t="shared" si="203"/>
        <v>0.21514705882352433</v>
      </c>
      <c r="H3253">
        <f t="shared" si="204"/>
        <v>0.21468516999455078</v>
      </c>
    </row>
    <row r="3254" spans="1:8" x14ac:dyDescent="0.25">
      <c r="A3254" t="str">
        <f t="shared" si="202"/>
        <v>Multihop,USnet,60</v>
      </c>
      <c r="B3254" t="s">
        <v>34</v>
      </c>
      <c r="C3254" t="s">
        <v>7</v>
      </c>
      <c r="D3254">
        <v>60</v>
      </c>
      <c r="E3254">
        <v>2008.1579999999999</v>
      </c>
      <c r="F3254">
        <f t="shared" si="201"/>
        <v>2040</v>
      </c>
      <c r="G3254">
        <f t="shared" si="203"/>
        <v>1.5608823529411813</v>
      </c>
      <c r="H3254">
        <f t="shared" si="204"/>
        <v>1.5856322062307897</v>
      </c>
    </row>
    <row r="3255" spans="1:8" x14ac:dyDescent="0.25">
      <c r="A3255" t="str">
        <f t="shared" si="202"/>
        <v>Multihop,USnet,60</v>
      </c>
      <c r="B3255" t="s">
        <v>34</v>
      </c>
      <c r="C3255" t="s">
        <v>7</v>
      </c>
      <c r="D3255">
        <v>60</v>
      </c>
      <c r="E3255">
        <v>2020.9490000000001</v>
      </c>
      <c r="F3255">
        <f t="shared" si="201"/>
        <v>2040</v>
      </c>
      <c r="G3255">
        <f t="shared" si="203"/>
        <v>0.93387254901960448</v>
      </c>
      <c r="H3255">
        <f t="shared" si="204"/>
        <v>0.94267594085748474</v>
      </c>
    </row>
    <row r="3256" spans="1:8" x14ac:dyDescent="0.25">
      <c r="A3256" t="str">
        <f t="shared" si="202"/>
        <v>Multihop,USnet,60</v>
      </c>
      <c r="B3256" t="s">
        <v>34</v>
      </c>
      <c r="C3256" t="s">
        <v>7</v>
      </c>
      <c r="D3256">
        <v>60</v>
      </c>
      <c r="E3256">
        <v>2028.7339999999999</v>
      </c>
      <c r="F3256">
        <f t="shared" si="201"/>
        <v>2040</v>
      </c>
      <c r="G3256">
        <f t="shared" si="203"/>
        <v>0.55225490196078808</v>
      </c>
      <c r="H3256">
        <f t="shared" si="204"/>
        <v>0.5553216932333207</v>
      </c>
    </row>
    <row r="3257" spans="1:8" x14ac:dyDescent="0.25">
      <c r="A3257" t="str">
        <f t="shared" si="202"/>
        <v>Multihop,USnet,60</v>
      </c>
      <c r="B3257" t="s">
        <v>34</v>
      </c>
      <c r="C3257" t="s">
        <v>7</v>
      </c>
      <c r="D3257">
        <v>60</v>
      </c>
      <c r="E3257">
        <v>1993.8810000000001</v>
      </c>
      <c r="F3257">
        <f t="shared" si="201"/>
        <v>2040</v>
      </c>
      <c r="G3257">
        <f t="shared" si="203"/>
        <v>2.2607352941176431</v>
      </c>
      <c r="H3257">
        <f t="shared" si="204"/>
        <v>2.3130267052045692</v>
      </c>
    </row>
    <row r="3258" spans="1:8" x14ac:dyDescent="0.25">
      <c r="A3258" t="str">
        <f t="shared" si="202"/>
        <v>Multihop,USnet,60</v>
      </c>
      <c r="B3258" t="s">
        <v>34</v>
      </c>
      <c r="C3258" t="s">
        <v>7</v>
      </c>
      <c r="D3258">
        <v>60</v>
      </c>
      <c r="E3258">
        <v>2009.066</v>
      </c>
      <c r="F3258">
        <f t="shared" si="201"/>
        <v>2040</v>
      </c>
      <c r="G3258">
        <f t="shared" si="203"/>
        <v>1.5163725490196063</v>
      </c>
      <c r="H3258">
        <f t="shared" si="204"/>
        <v>1.539720447212783</v>
      </c>
    </row>
    <row r="3259" spans="1:8" x14ac:dyDescent="0.25">
      <c r="A3259" t="str">
        <f t="shared" si="202"/>
        <v>Multihop,USnet,60</v>
      </c>
      <c r="B3259" t="s">
        <v>34</v>
      </c>
      <c r="C3259" t="s">
        <v>7</v>
      </c>
      <c r="D3259">
        <v>60</v>
      </c>
      <c r="E3259">
        <v>2012.627</v>
      </c>
      <c r="F3259">
        <f t="shared" si="201"/>
        <v>2040</v>
      </c>
      <c r="G3259">
        <f t="shared" si="203"/>
        <v>1.3418137254901983</v>
      </c>
      <c r="H3259">
        <f t="shared" si="204"/>
        <v>1.3600632407296558</v>
      </c>
    </row>
    <row r="3260" spans="1:8" x14ac:dyDescent="0.25">
      <c r="A3260" t="str">
        <f t="shared" si="202"/>
        <v>Multihop,USnet,60</v>
      </c>
      <c r="B3260" t="s">
        <v>34</v>
      </c>
      <c r="C3260" t="s">
        <v>7</v>
      </c>
      <c r="D3260">
        <v>60</v>
      </c>
      <c r="E3260">
        <v>2033.008</v>
      </c>
      <c r="F3260">
        <f t="shared" si="201"/>
        <v>2040</v>
      </c>
      <c r="G3260">
        <f t="shared" si="203"/>
        <v>0.34274509803921382</v>
      </c>
      <c r="H3260">
        <f t="shared" si="204"/>
        <v>0.34392388027985932</v>
      </c>
    </row>
    <row r="3261" spans="1:8" x14ac:dyDescent="0.25">
      <c r="A3261" t="str">
        <f t="shared" si="202"/>
        <v>Multihop,USnet,60</v>
      </c>
      <c r="B3261" t="s">
        <v>34</v>
      </c>
      <c r="C3261" t="s">
        <v>7</v>
      </c>
      <c r="D3261">
        <v>60</v>
      </c>
      <c r="E3261">
        <v>2034.5719999999999</v>
      </c>
      <c r="F3261">
        <f t="shared" si="201"/>
        <v>2040</v>
      </c>
      <c r="G3261">
        <f t="shared" si="203"/>
        <v>0.26607843137255444</v>
      </c>
      <c r="H3261">
        <f t="shared" si="204"/>
        <v>0.26678829748960031</v>
      </c>
    </row>
    <row r="3262" spans="1:8" x14ac:dyDescent="0.25">
      <c r="A3262" t="str">
        <f t="shared" si="202"/>
        <v>Multihop,USnet,60</v>
      </c>
      <c r="B3262" t="s">
        <v>34</v>
      </c>
      <c r="C3262" t="s">
        <v>7</v>
      </c>
      <c r="D3262">
        <v>60</v>
      </c>
      <c r="E3262">
        <v>1937.047</v>
      </c>
      <c r="F3262">
        <f t="shared" si="201"/>
        <v>2040</v>
      </c>
      <c r="G3262">
        <f t="shared" si="203"/>
        <v>5.0467156862745082</v>
      </c>
      <c r="H3262">
        <f t="shared" si="204"/>
        <v>5.3149458944465451</v>
      </c>
    </row>
    <row r="3263" spans="1:8" x14ac:dyDescent="0.25">
      <c r="A3263" t="str">
        <f t="shared" si="202"/>
        <v>Multihop,USnet,60</v>
      </c>
      <c r="B3263" t="s">
        <v>34</v>
      </c>
      <c r="C3263" t="s">
        <v>7</v>
      </c>
      <c r="D3263">
        <v>60</v>
      </c>
      <c r="E3263">
        <v>2044.376</v>
      </c>
      <c r="F3263">
        <f t="shared" si="201"/>
        <v>2040</v>
      </c>
      <c r="G3263">
        <f t="shared" si="203"/>
        <v>0.21450980392156749</v>
      </c>
      <c r="H3263">
        <f t="shared" si="204"/>
        <v>0.21405064430417772</v>
      </c>
    </row>
    <row r="3264" spans="1:8" x14ac:dyDescent="0.25">
      <c r="A3264" t="str">
        <f t="shared" si="202"/>
        <v>Multihop,USnet,60</v>
      </c>
      <c r="B3264" t="s">
        <v>34</v>
      </c>
      <c r="C3264" t="s">
        <v>7</v>
      </c>
      <c r="D3264">
        <v>60</v>
      </c>
      <c r="E3264">
        <v>2035.931</v>
      </c>
      <c r="F3264">
        <f t="shared" si="201"/>
        <v>2040</v>
      </c>
      <c r="G3264">
        <f t="shared" si="203"/>
        <v>0.19946078431372352</v>
      </c>
      <c r="H3264">
        <f t="shared" si="204"/>
        <v>0.19985942549133345</v>
      </c>
    </row>
    <row r="3265" spans="1:8" x14ac:dyDescent="0.25">
      <c r="A3265" t="str">
        <f t="shared" si="202"/>
        <v>Multihop,USnet,60</v>
      </c>
      <c r="B3265" t="s">
        <v>34</v>
      </c>
      <c r="C3265" t="s">
        <v>7</v>
      </c>
      <c r="D3265">
        <v>60</v>
      </c>
      <c r="E3265">
        <v>2080.21</v>
      </c>
      <c r="F3265">
        <f t="shared" si="201"/>
        <v>2040</v>
      </c>
      <c r="G3265">
        <f t="shared" si="203"/>
        <v>1.9710784313725509</v>
      </c>
      <c r="H3265">
        <f t="shared" si="204"/>
        <v>1.9329779204984128</v>
      </c>
    </row>
    <row r="3266" spans="1:8" x14ac:dyDescent="0.25">
      <c r="A3266" t="str">
        <f t="shared" si="202"/>
        <v>Multihop,USnet,60</v>
      </c>
      <c r="B3266" t="s">
        <v>34</v>
      </c>
      <c r="C3266" t="s">
        <v>7</v>
      </c>
      <c r="D3266">
        <v>60</v>
      </c>
      <c r="E3266">
        <v>2085.65</v>
      </c>
      <c r="F3266">
        <f t="shared" si="201"/>
        <v>2040</v>
      </c>
      <c r="G3266">
        <f t="shared" si="203"/>
        <v>2.2377450980392202</v>
      </c>
      <c r="H3266">
        <f t="shared" si="204"/>
        <v>2.1887660921055829</v>
      </c>
    </row>
    <row r="3267" spans="1:8" x14ac:dyDescent="0.25">
      <c r="A3267" t="str">
        <f t="shared" si="202"/>
        <v>Multihop,USnet,60</v>
      </c>
      <c r="B3267" t="s">
        <v>34</v>
      </c>
      <c r="C3267" t="s">
        <v>7</v>
      </c>
      <c r="D3267">
        <v>60</v>
      </c>
      <c r="E3267">
        <v>2058.2660000000001</v>
      </c>
      <c r="F3267">
        <f t="shared" ref="F3267:F3330" si="205">_xlfn.XLOOKUP(A3267,$J$3:$J$36,$N$3:$N$36)</f>
        <v>2040</v>
      </c>
      <c r="G3267">
        <f t="shared" si="203"/>
        <v>0.89539215686274887</v>
      </c>
      <c r="H3267">
        <f t="shared" si="204"/>
        <v>0.88744603467190708</v>
      </c>
    </row>
    <row r="3268" spans="1:8" x14ac:dyDescent="0.25">
      <c r="A3268" t="str">
        <f t="shared" ref="A3268:A3331" si="206">B3268&amp;","&amp;C3268&amp;","&amp;D3268</f>
        <v>Multihop,USnet,60</v>
      </c>
      <c r="B3268" t="s">
        <v>34</v>
      </c>
      <c r="C3268" t="s">
        <v>7</v>
      </c>
      <c r="D3268">
        <v>60</v>
      </c>
      <c r="E3268">
        <v>2044.663</v>
      </c>
      <c r="F3268">
        <f t="shared" si="205"/>
        <v>2040</v>
      </c>
      <c r="G3268">
        <f t="shared" ref="G3268:G3331" si="207">ABS((E3268-F3268)/F3268)*100</f>
        <v>0.22857843137254955</v>
      </c>
      <c r="H3268">
        <f t="shared" ref="H3268:H3331" si="208">ABS((F3268-E3268)/E3268)*100</f>
        <v>0.22805714193488172</v>
      </c>
    </row>
    <row r="3269" spans="1:8" x14ac:dyDescent="0.25">
      <c r="A3269" t="str">
        <f t="shared" si="206"/>
        <v>Multihop,USnet,60</v>
      </c>
      <c r="B3269" t="s">
        <v>34</v>
      </c>
      <c r="C3269" t="s">
        <v>7</v>
      </c>
      <c r="D3269">
        <v>60</v>
      </c>
      <c r="E3269">
        <v>2074.5</v>
      </c>
      <c r="F3269">
        <f t="shared" si="205"/>
        <v>2040</v>
      </c>
      <c r="G3269">
        <f t="shared" si="207"/>
        <v>1.6911764705882353</v>
      </c>
      <c r="H3269">
        <f t="shared" si="208"/>
        <v>1.6630513376717282</v>
      </c>
    </row>
    <row r="3270" spans="1:8" x14ac:dyDescent="0.25">
      <c r="A3270" t="str">
        <f t="shared" si="206"/>
        <v>Multihop,USnet,60</v>
      </c>
      <c r="B3270" t="s">
        <v>34</v>
      </c>
      <c r="C3270" t="s">
        <v>7</v>
      </c>
      <c r="D3270">
        <v>60</v>
      </c>
      <c r="E3270">
        <v>1947.193</v>
      </c>
      <c r="F3270">
        <f t="shared" si="205"/>
        <v>2040</v>
      </c>
      <c r="G3270">
        <f t="shared" si="207"/>
        <v>4.5493627450980405</v>
      </c>
      <c r="H3270">
        <f t="shared" si="208"/>
        <v>4.7661942087918359</v>
      </c>
    </row>
    <row r="3271" spans="1:8" x14ac:dyDescent="0.25">
      <c r="A3271" t="str">
        <f t="shared" si="206"/>
        <v>Multihop,USnet,60</v>
      </c>
      <c r="B3271" t="s">
        <v>34</v>
      </c>
      <c r="C3271" t="s">
        <v>7</v>
      </c>
      <c r="D3271">
        <v>60</v>
      </c>
      <c r="E3271">
        <v>2031.0160000000001</v>
      </c>
      <c r="F3271">
        <f t="shared" si="205"/>
        <v>2040</v>
      </c>
      <c r="G3271">
        <f t="shared" si="207"/>
        <v>0.4403921568627413</v>
      </c>
      <c r="H3271">
        <f t="shared" si="208"/>
        <v>0.44234018835892597</v>
      </c>
    </row>
    <row r="3272" spans="1:8" x14ac:dyDescent="0.25">
      <c r="A3272" t="str">
        <f t="shared" si="206"/>
        <v>Multihop,USnet,60</v>
      </c>
      <c r="B3272" t="s">
        <v>34</v>
      </c>
      <c r="C3272" t="s">
        <v>7</v>
      </c>
      <c r="D3272">
        <v>60</v>
      </c>
      <c r="E3272">
        <v>2019.585</v>
      </c>
      <c r="F3272">
        <f t="shared" si="205"/>
        <v>2040</v>
      </c>
      <c r="G3272">
        <f t="shared" si="207"/>
        <v>1.0007352941176453</v>
      </c>
      <c r="H3272">
        <f t="shared" si="208"/>
        <v>1.0108512392397431</v>
      </c>
    </row>
    <row r="3273" spans="1:8" x14ac:dyDescent="0.25">
      <c r="A3273" t="str">
        <f t="shared" si="206"/>
        <v>Multihop,USnet,60</v>
      </c>
      <c r="B3273" t="s">
        <v>34</v>
      </c>
      <c r="C3273" t="s">
        <v>7</v>
      </c>
      <c r="D3273">
        <v>60</v>
      </c>
      <c r="E3273">
        <v>2001.1410000000001</v>
      </c>
      <c r="F3273">
        <f t="shared" si="205"/>
        <v>2040</v>
      </c>
      <c r="G3273">
        <f t="shared" si="207"/>
        <v>1.904852941176467</v>
      </c>
      <c r="H3273">
        <f t="shared" si="208"/>
        <v>1.9418421790368556</v>
      </c>
    </row>
    <row r="3274" spans="1:8" x14ac:dyDescent="0.25">
      <c r="A3274" t="str">
        <f t="shared" si="206"/>
        <v>Multihop,USnet,60</v>
      </c>
      <c r="B3274" t="s">
        <v>34</v>
      </c>
      <c r="C3274" t="s">
        <v>7</v>
      </c>
      <c r="D3274">
        <v>60</v>
      </c>
      <c r="E3274">
        <v>2081.9209999999998</v>
      </c>
      <c r="F3274">
        <f t="shared" si="205"/>
        <v>2040</v>
      </c>
      <c r="G3274">
        <f t="shared" si="207"/>
        <v>2.0549509803921482</v>
      </c>
      <c r="H3274">
        <f t="shared" si="208"/>
        <v>2.0135730414362421</v>
      </c>
    </row>
    <row r="3275" spans="1:8" x14ac:dyDescent="0.25">
      <c r="A3275" t="str">
        <f t="shared" si="206"/>
        <v>Multihop,USnet,60</v>
      </c>
      <c r="B3275" t="s">
        <v>34</v>
      </c>
      <c r="C3275" t="s">
        <v>7</v>
      </c>
      <c r="D3275">
        <v>60</v>
      </c>
      <c r="E3275">
        <v>2026.24</v>
      </c>
      <c r="F3275">
        <f t="shared" si="205"/>
        <v>2040</v>
      </c>
      <c r="G3275">
        <f t="shared" si="207"/>
        <v>0.67450980392156812</v>
      </c>
      <c r="H3275">
        <f t="shared" si="208"/>
        <v>0.67909033480732739</v>
      </c>
    </row>
    <row r="3276" spans="1:8" x14ac:dyDescent="0.25">
      <c r="A3276" t="str">
        <f t="shared" si="206"/>
        <v>Multihop,USnet,60</v>
      </c>
      <c r="B3276" t="s">
        <v>34</v>
      </c>
      <c r="C3276" t="s">
        <v>7</v>
      </c>
      <c r="D3276">
        <v>60</v>
      </c>
      <c r="E3276">
        <v>2028.2180000000001</v>
      </c>
      <c r="F3276">
        <f t="shared" si="205"/>
        <v>2040</v>
      </c>
      <c r="G3276">
        <f t="shared" si="207"/>
        <v>0.57754901960783955</v>
      </c>
      <c r="H3276">
        <f t="shared" si="208"/>
        <v>0.58090402510972317</v>
      </c>
    </row>
    <row r="3277" spans="1:8" x14ac:dyDescent="0.25">
      <c r="A3277" t="str">
        <f t="shared" si="206"/>
        <v>Multihop,USnet,60</v>
      </c>
      <c r="B3277" t="s">
        <v>34</v>
      </c>
      <c r="C3277" t="s">
        <v>7</v>
      </c>
      <c r="D3277">
        <v>60</v>
      </c>
      <c r="E3277">
        <v>2018.3240000000001</v>
      </c>
      <c r="F3277">
        <f t="shared" si="205"/>
        <v>2040</v>
      </c>
      <c r="G3277">
        <f t="shared" si="207"/>
        <v>1.0625490196078398</v>
      </c>
      <c r="H3277">
        <f t="shared" si="208"/>
        <v>1.0739603750438449</v>
      </c>
    </row>
    <row r="3278" spans="1:8" x14ac:dyDescent="0.25">
      <c r="A3278" t="str">
        <f t="shared" si="206"/>
        <v>Multihop,USnet,60</v>
      </c>
      <c r="B3278" t="s">
        <v>34</v>
      </c>
      <c r="C3278" t="s">
        <v>7</v>
      </c>
      <c r="D3278">
        <v>60</v>
      </c>
      <c r="E3278">
        <v>1998.6510000000001</v>
      </c>
      <c r="F3278">
        <f t="shared" si="205"/>
        <v>2040</v>
      </c>
      <c r="G3278">
        <f t="shared" si="207"/>
        <v>2.0269117647058792</v>
      </c>
      <c r="H3278">
        <f t="shared" si="208"/>
        <v>2.068845436246745</v>
      </c>
    </row>
    <row r="3279" spans="1:8" x14ac:dyDescent="0.25">
      <c r="A3279" t="str">
        <f t="shared" si="206"/>
        <v>Multihop,USnet,60</v>
      </c>
      <c r="B3279" t="s">
        <v>34</v>
      </c>
      <c r="C3279" t="s">
        <v>7</v>
      </c>
      <c r="D3279">
        <v>60</v>
      </c>
      <c r="E3279">
        <v>2065.056</v>
      </c>
      <c r="F3279">
        <f t="shared" si="205"/>
        <v>2040</v>
      </c>
      <c r="G3279">
        <f t="shared" si="207"/>
        <v>1.2282352941176491</v>
      </c>
      <c r="H3279">
        <f t="shared" si="208"/>
        <v>1.213332713495423</v>
      </c>
    </row>
    <row r="3280" spans="1:8" x14ac:dyDescent="0.25">
      <c r="A3280" t="str">
        <f t="shared" si="206"/>
        <v>Multihop,USnet,60</v>
      </c>
      <c r="B3280" t="s">
        <v>34</v>
      </c>
      <c r="C3280" t="s">
        <v>7</v>
      </c>
      <c r="D3280">
        <v>60</v>
      </c>
      <c r="E3280">
        <v>2040.394</v>
      </c>
      <c r="F3280">
        <f t="shared" si="205"/>
        <v>2040</v>
      </c>
      <c r="G3280">
        <f t="shared" si="207"/>
        <v>1.9313725490196346E-2</v>
      </c>
      <c r="H3280">
        <f t="shared" si="208"/>
        <v>1.9309996010574697E-2</v>
      </c>
    </row>
    <row r="3281" spans="1:8" x14ac:dyDescent="0.25">
      <c r="A3281" t="str">
        <f t="shared" si="206"/>
        <v>Multihop,USnet,60</v>
      </c>
      <c r="B3281" t="s">
        <v>34</v>
      </c>
      <c r="C3281" t="s">
        <v>7</v>
      </c>
      <c r="D3281">
        <v>60</v>
      </c>
      <c r="E3281">
        <v>1964.443</v>
      </c>
      <c r="F3281">
        <f t="shared" si="205"/>
        <v>2040</v>
      </c>
      <c r="G3281">
        <f t="shared" si="207"/>
        <v>3.7037745098039228</v>
      </c>
      <c r="H3281">
        <f t="shared" si="208"/>
        <v>3.8462302036760558</v>
      </c>
    </row>
    <row r="3282" spans="1:8" x14ac:dyDescent="0.25">
      <c r="A3282" t="str">
        <f t="shared" si="206"/>
        <v>Multihop,USnet,60</v>
      </c>
      <c r="B3282" t="s">
        <v>34</v>
      </c>
      <c r="C3282" t="s">
        <v>7</v>
      </c>
      <c r="D3282">
        <v>60</v>
      </c>
      <c r="E3282">
        <v>2032.58</v>
      </c>
      <c r="F3282">
        <f t="shared" si="205"/>
        <v>2040</v>
      </c>
      <c r="G3282">
        <f t="shared" si="207"/>
        <v>0.36372549019608202</v>
      </c>
      <c r="H3282">
        <f t="shared" si="208"/>
        <v>0.36505328203564302</v>
      </c>
    </row>
    <row r="3283" spans="1:8" x14ac:dyDescent="0.25">
      <c r="A3283" t="str">
        <f t="shared" si="206"/>
        <v>Multihop,USnet,60</v>
      </c>
      <c r="B3283" t="s">
        <v>34</v>
      </c>
      <c r="C3283" t="s">
        <v>7</v>
      </c>
      <c r="D3283">
        <v>60</v>
      </c>
      <c r="E3283">
        <v>2012.066</v>
      </c>
      <c r="F3283">
        <f t="shared" si="205"/>
        <v>2040</v>
      </c>
      <c r="G3283">
        <f t="shared" si="207"/>
        <v>1.3693137254901946</v>
      </c>
      <c r="H3283">
        <f t="shared" si="208"/>
        <v>1.3883242398609175</v>
      </c>
    </row>
    <row r="3284" spans="1:8" x14ac:dyDescent="0.25">
      <c r="A3284" t="str">
        <f t="shared" si="206"/>
        <v>Multihop,USnet,60</v>
      </c>
      <c r="B3284" t="s">
        <v>34</v>
      </c>
      <c r="C3284" t="s">
        <v>7</v>
      </c>
      <c r="D3284">
        <v>60</v>
      </c>
      <c r="E3284">
        <v>2034.4970000000001</v>
      </c>
      <c r="F3284">
        <f t="shared" si="205"/>
        <v>2040</v>
      </c>
      <c r="G3284">
        <f t="shared" si="207"/>
        <v>0.26975490196078084</v>
      </c>
      <c r="H3284">
        <f t="shared" si="208"/>
        <v>0.27048454728613158</v>
      </c>
    </row>
    <row r="3285" spans="1:8" x14ac:dyDescent="0.25">
      <c r="A3285" t="str">
        <f t="shared" si="206"/>
        <v>Multihop,USnet,60</v>
      </c>
      <c r="B3285" t="s">
        <v>34</v>
      </c>
      <c r="C3285" t="s">
        <v>7</v>
      </c>
      <c r="D3285">
        <v>60</v>
      </c>
      <c r="E3285">
        <v>1983.7139999999999</v>
      </c>
      <c r="F3285">
        <f t="shared" si="205"/>
        <v>2040</v>
      </c>
      <c r="G3285">
        <f t="shared" si="207"/>
        <v>2.7591176470588263</v>
      </c>
      <c r="H3285">
        <f t="shared" si="208"/>
        <v>2.8374049888239972</v>
      </c>
    </row>
    <row r="3286" spans="1:8" x14ac:dyDescent="0.25">
      <c r="A3286" t="str">
        <f t="shared" si="206"/>
        <v>Multihop,USnet,60</v>
      </c>
      <c r="B3286" t="s">
        <v>34</v>
      </c>
      <c r="C3286" t="s">
        <v>7</v>
      </c>
      <c r="D3286">
        <v>60</v>
      </c>
      <c r="E3286">
        <v>2068.1799999999998</v>
      </c>
      <c r="F3286">
        <f t="shared" si="205"/>
        <v>2040</v>
      </c>
      <c r="G3286">
        <f t="shared" si="207"/>
        <v>1.3813725490195998</v>
      </c>
      <c r="H3286">
        <f t="shared" si="208"/>
        <v>1.3625506483961667</v>
      </c>
    </row>
    <row r="3287" spans="1:8" x14ac:dyDescent="0.25">
      <c r="A3287" t="str">
        <f t="shared" si="206"/>
        <v>Multihop,USnet,60</v>
      </c>
      <c r="B3287" t="s">
        <v>34</v>
      </c>
      <c r="C3287" t="s">
        <v>7</v>
      </c>
      <c r="D3287">
        <v>60</v>
      </c>
      <c r="E3287">
        <v>1958.626</v>
      </c>
      <c r="F3287">
        <f t="shared" si="205"/>
        <v>2040</v>
      </c>
      <c r="G3287">
        <f t="shared" si="207"/>
        <v>3.9889215686274522</v>
      </c>
      <c r="H3287">
        <f t="shared" si="208"/>
        <v>4.1546471863438974</v>
      </c>
    </row>
    <row r="3288" spans="1:8" x14ac:dyDescent="0.25">
      <c r="A3288" t="str">
        <f t="shared" si="206"/>
        <v>Multihop,USnet,60</v>
      </c>
      <c r="B3288" t="s">
        <v>34</v>
      </c>
      <c r="C3288" t="s">
        <v>7</v>
      </c>
      <c r="D3288">
        <v>60</v>
      </c>
      <c r="E3288">
        <v>1945.317</v>
      </c>
      <c r="F3288">
        <f t="shared" si="205"/>
        <v>2040</v>
      </c>
      <c r="G3288">
        <f t="shared" si="207"/>
        <v>4.6413235294117641</v>
      </c>
      <c r="H3288">
        <f t="shared" si="208"/>
        <v>4.8672272950886661</v>
      </c>
    </row>
    <row r="3289" spans="1:8" x14ac:dyDescent="0.25">
      <c r="A3289" t="str">
        <f t="shared" si="206"/>
        <v>Multihop,USnet,60</v>
      </c>
      <c r="B3289" t="s">
        <v>34</v>
      </c>
      <c r="C3289" t="s">
        <v>7</v>
      </c>
      <c r="D3289">
        <v>60</v>
      </c>
      <c r="E3289">
        <v>2041.7170000000001</v>
      </c>
      <c r="F3289">
        <f t="shared" si="205"/>
        <v>2040</v>
      </c>
      <c r="G3289">
        <f t="shared" si="207"/>
        <v>8.4166666666671483E-2</v>
      </c>
      <c r="H3289">
        <f t="shared" si="208"/>
        <v>8.4095885962652911E-2</v>
      </c>
    </row>
    <row r="3290" spans="1:8" x14ac:dyDescent="0.25">
      <c r="A3290" t="str">
        <f t="shared" si="206"/>
        <v>Multihop,USnet,60</v>
      </c>
      <c r="B3290" t="s">
        <v>34</v>
      </c>
      <c r="C3290" t="s">
        <v>7</v>
      </c>
      <c r="D3290">
        <v>60</v>
      </c>
      <c r="E3290">
        <v>2073.123</v>
      </c>
      <c r="F3290">
        <f t="shared" si="205"/>
        <v>2040</v>
      </c>
      <c r="G3290">
        <f t="shared" si="207"/>
        <v>1.6236764705882378</v>
      </c>
      <c r="H3290">
        <f t="shared" si="208"/>
        <v>1.5977344325445255</v>
      </c>
    </row>
    <row r="3291" spans="1:8" x14ac:dyDescent="0.25">
      <c r="A3291" t="str">
        <f t="shared" si="206"/>
        <v>Multihop,USnet,60</v>
      </c>
      <c r="B3291" t="s">
        <v>34</v>
      </c>
      <c r="C3291" t="s">
        <v>7</v>
      </c>
      <c r="D3291">
        <v>60</v>
      </c>
      <c r="E3291">
        <v>2034.0219999999999</v>
      </c>
      <c r="F3291">
        <f t="shared" si="205"/>
        <v>2040</v>
      </c>
      <c r="G3291">
        <f t="shared" si="207"/>
        <v>0.29303921568627772</v>
      </c>
      <c r="H3291">
        <f t="shared" si="208"/>
        <v>0.29390045928707093</v>
      </c>
    </row>
    <row r="3292" spans="1:8" x14ac:dyDescent="0.25">
      <c r="A3292" t="str">
        <f t="shared" si="206"/>
        <v>Multihop,USnet,60</v>
      </c>
      <c r="B3292" t="s">
        <v>34</v>
      </c>
      <c r="C3292" t="s">
        <v>7</v>
      </c>
      <c r="D3292">
        <v>60</v>
      </c>
      <c r="E3292">
        <v>2002.742</v>
      </c>
      <c r="F3292">
        <f t="shared" si="205"/>
        <v>2040</v>
      </c>
      <c r="G3292">
        <f t="shared" si="207"/>
        <v>1.8263725490196097</v>
      </c>
      <c r="H3292">
        <f t="shared" si="208"/>
        <v>1.8603494608891231</v>
      </c>
    </row>
    <row r="3293" spans="1:8" x14ac:dyDescent="0.25">
      <c r="A3293" t="str">
        <f t="shared" si="206"/>
        <v>Multihop,USnet,60</v>
      </c>
      <c r="B3293" t="s">
        <v>34</v>
      </c>
      <c r="C3293" t="s">
        <v>7</v>
      </c>
      <c r="D3293">
        <v>60</v>
      </c>
      <c r="E3293">
        <v>2038.8820000000001</v>
      </c>
      <c r="F3293">
        <f t="shared" si="205"/>
        <v>2040</v>
      </c>
      <c r="G3293">
        <f t="shared" si="207"/>
        <v>5.4803921568624417E-2</v>
      </c>
      <c r="H3293">
        <f t="shared" si="208"/>
        <v>5.4833972736035644E-2</v>
      </c>
    </row>
    <row r="3294" spans="1:8" x14ac:dyDescent="0.25">
      <c r="A3294" t="str">
        <f t="shared" si="206"/>
        <v>Multihop,USnet,60</v>
      </c>
      <c r="B3294" t="s">
        <v>34</v>
      </c>
      <c r="C3294" t="s">
        <v>7</v>
      </c>
      <c r="D3294">
        <v>60</v>
      </c>
      <c r="E3294">
        <v>2051.489</v>
      </c>
      <c r="F3294">
        <f t="shared" si="205"/>
        <v>2040</v>
      </c>
      <c r="G3294">
        <f t="shared" si="207"/>
        <v>0.56318627450980552</v>
      </c>
      <c r="H3294">
        <f t="shared" si="208"/>
        <v>0.56003224974640531</v>
      </c>
    </row>
    <row r="3295" spans="1:8" x14ac:dyDescent="0.25">
      <c r="A3295" t="str">
        <f t="shared" si="206"/>
        <v>Multihop,USnet,60</v>
      </c>
      <c r="B3295" t="s">
        <v>34</v>
      </c>
      <c r="C3295" t="s">
        <v>7</v>
      </c>
      <c r="D3295">
        <v>60</v>
      </c>
      <c r="E3295">
        <v>2034.575</v>
      </c>
      <c r="F3295">
        <f t="shared" si="205"/>
        <v>2040</v>
      </c>
      <c r="G3295">
        <f t="shared" si="207"/>
        <v>0.26593137254901739</v>
      </c>
      <c r="H3295">
        <f t="shared" si="208"/>
        <v>0.26664045316589235</v>
      </c>
    </row>
    <row r="3296" spans="1:8" x14ac:dyDescent="0.25">
      <c r="A3296" t="str">
        <f t="shared" si="206"/>
        <v>Multihop,USnet,60</v>
      </c>
      <c r="B3296" t="s">
        <v>34</v>
      </c>
      <c r="C3296" t="s">
        <v>7</v>
      </c>
      <c r="D3296">
        <v>60</v>
      </c>
      <c r="E3296">
        <v>1980.8810000000001</v>
      </c>
      <c r="F3296">
        <f t="shared" si="205"/>
        <v>2040</v>
      </c>
      <c r="G3296">
        <f t="shared" si="207"/>
        <v>2.8979901960784269</v>
      </c>
      <c r="H3296">
        <f t="shared" si="208"/>
        <v>2.9844801378780406</v>
      </c>
    </row>
    <row r="3297" spans="1:8" x14ac:dyDescent="0.25">
      <c r="A3297" t="str">
        <f t="shared" si="206"/>
        <v>Multihop,USnet,60</v>
      </c>
      <c r="B3297" t="s">
        <v>34</v>
      </c>
      <c r="C3297" t="s">
        <v>7</v>
      </c>
      <c r="D3297">
        <v>60</v>
      </c>
      <c r="E3297">
        <v>1962.181</v>
      </c>
      <c r="F3297">
        <f t="shared" si="205"/>
        <v>2040</v>
      </c>
      <c r="G3297">
        <f t="shared" si="207"/>
        <v>3.8146568627450956</v>
      </c>
      <c r="H3297">
        <f t="shared" si="208"/>
        <v>3.9659440184162396</v>
      </c>
    </row>
    <row r="3298" spans="1:8" x14ac:dyDescent="0.25">
      <c r="A3298" t="str">
        <f t="shared" si="206"/>
        <v>Multihop,USnet,60</v>
      </c>
      <c r="B3298" t="s">
        <v>34</v>
      </c>
      <c r="C3298" t="s">
        <v>7</v>
      </c>
      <c r="D3298">
        <v>60</v>
      </c>
      <c r="E3298">
        <v>1973.1990000000001</v>
      </c>
      <c r="F3298">
        <f t="shared" si="205"/>
        <v>2040</v>
      </c>
      <c r="G3298">
        <f t="shared" si="207"/>
        <v>3.2745588235294081</v>
      </c>
      <c r="H3298">
        <f t="shared" si="208"/>
        <v>3.3854162707359943</v>
      </c>
    </row>
    <row r="3299" spans="1:8" x14ac:dyDescent="0.25">
      <c r="A3299" t="str">
        <f t="shared" si="206"/>
        <v>Multihop,USnet,60</v>
      </c>
      <c r="B3299" t="s">
        <v>34</v>
      </c>
      <c r="C3299" t="s">
        <v>7</v>
      </c>
      <c r="D3299">
        <v>60</v>
      </c>
      <c r="E3299">
        <v>2078.3440000000001</v>
      </c>
      <c r="F3299">
        <f t="shared" si="205"/>
        <v>2040</v>
      </c>
      <c r="G3299">
        <f t="shared" si="207"/>
        <v>1.8796078431372574</v>
      </c>
      <c r="H3299">
        <f t="shared" si="208"/>
        <v>1.8449303868849454</v>
      </c>
    </row>
    <row r="3300" spans="1:8" x14ac:dyDescent="0.25">
      <c r="A3300" t="str">
        <f t="shared" si="206"/>
        <v>Multihop,USnet,60</v>
      </c>
      <c r="B3300" t="s">
        <v>34</v>
      </c>
      <c r="C3300" t="s">
        <v>7</v>
      </c>
      <c r="D3300">
        <v>60</v>
      </c>
      <c r="E3300">
        <v>1997.212</v>
      </c>
      <c r="F3300">
        <f t="shared" si="205"/>
        <v>2040</v>
      </c>
      <c r="G3300">
        <f t="shared" si="207"/>
        <v>2.0974509803921575</v>
      </c>
      <c r="H3300">
        <f t="shared" si="208"/>
        <v>2.1423864867625477</v>
      </c>
    </row>
    <row r="3301" spans="1:8" x14ac:dyDescent="0.25">
      <c r="A3301" t="str">
        <f t="shared" si="206"/>
        <v>Multihop,USnet,60</v>
      </c>
      <c r="B3301" t="s">
        <v>34</v>
      </c>
      <c r="C3301" t="s">
        <v>7</v>
      </c>
      <c r="D3301">
        <v>60</v>
      </c>
      <c r="E3301">
        <v>1988.8810000000001</v>
      </c>
      <c r="F3301">
        <f t="shared" si="205"/>
        <v>2040</v>
      </c>
      <c r="G3301">
        <f t="shared" si="207"/>
        <v>2.5058333333333289</v>
      </c>
      <c r="H3301">
        <f t="shared" si="208"/>
        <v>2.5702392450830347</v>
      </c>
    </row>
    <row r="3302" spans="1:8" x14ac:dyDescent="0.25">
      <c r="A3302" t="str">
        <f t="shared" si="206"/>
        <v>Multihop,USnet,60</v>
      </c>
      <c r="B3302" t="s">
        <v>34</v>
      </c>
      <c r="C3302" t="s">
        <v>7</v>
      </c>
      <c r="D3302">
        <v>60</v>
      </c>
      <c r="E3302">
        <v>2036.98</v>
      </c>
      <c r="F3302">
        <f t="shared" si="205"/>
        <v>2040</v>
      </c>
      <c r="G3302">
        <f t="shared" si="207"/>
        <v>0.14803921568627362</v>
      </c>
      <c r="H3302">
        <f t="shared" si="208"/>
        <v>0.14825869669805208</v>
      </c>
    </row>
    <row r="3303" spans="1:8" x14ac:dyDescent="0.25">
      <c r="A3303" t="str">
        <f t="shared" si="206"/>
        <v>Multihop,USnet,80</v>
      </c>
      <c r="B3303" t="s">
        <v>34</v>
      </c>
      <c r="C3303" t="s">
        <v>7</v>
      </c>
      <c r="D3303">
        <v>80</v>
      </c>
      <c r="E3303">
        <v>2596.9189999999999</v>
      </c>
      <c r="F3303">
        <f t="shared" si="205"/>
        <v>2670</v>
      </c>
      <c r="G3303">
        <f t="shared" si="207"/>
        <v>2.7371161048689188</v>
      </c>
      <c r="H3303">
        <f t="shared" si="208"/>
        <v>2.8141424511122657</v>
      </c>
    </row>
    <row r="3304" spans="1:8" x14ac:dyDescent="0.25">
      <c r="A3304" t="str">
        <f t="shared" si="206"/>
        <v>Multihop,USnet,80</v>
      </c>
      <c r="B3304" t="s">
        <v>34</v>
      </c>
      <c r="C3304" t="s">
        <v>7</v>
      </c>
      <c r="D3304">
        <v>80</v>
      </c>
      <c r="E3304">
        <v>2762.7750000000001</v>
      </c>
      <c r="F3304">
        <f t="shared" si="205"/>
        <v>2670</v>
      </c>
      <c r="G3304">
        <f t="shared" si="207"/>
        <v>3.4747191011235987</v>
      </c>
      <c r="H3304">
        <f t="shared" si="208"/>
        <v>3.3580367565219782</v>
      </c>
    </row>
    <row r="3305" spans="1:8" x14ac:dyDescent="0.25">
      <c r="A3305" t="str">
        <f t="shared" si="206"/>
        <v>Multihop,USnet,80</v>
      </c>
      <c r="B3305" t="s">
        <v>34</v>
      </c>
      <c r="C3305" t="s">
        <v>7</v>
      </c>
      <c r="D3305">
        <v>80</v>
      </c>
      <c r="E3305">
        <v>2684.29</v>
      </c>
      <c r="F3305">
        <f t="shared" si="205"/>
        <v>2670</v>
      </c>
      <c r="G3305">
        <f t="shared" si="207"/>
        <v>0.53520599250936196</v>
      </c>
      <c r="H3305">
        <f t="shared" si="208"/>
        <v>0.53235678708336143</v>
      </c>
    </row>
    <row r="3306" spans="1:8" x14ac:dyDescent="0.25">
      <c r="A3306" t="str">
        <f t="shared" si="206"/>
        <v>Multihop,USnet,80</v>
      </c>
      <c r="B3306" t="s">
        <v>34</v>
      </c>
      <c r="C3306" t="s">
        <v>7</v>
      </c>
      <c r="D3306">
        <v>80</v>
      </c>
      <c r="E3306">
        <v>2749.201</v>
      </c>
      <c r="F3306">
        <f t="shared" si="205"/>
        <v>2670</v>
      </c>
      <c r="G3306">
        <f t="shared" si="207"/>
        <v>2.966329588014982</v>
      </c>
      <c r="H3306">
        <f t="shared" si="208"/>
        <v>2.8808733883044573</v>
      </c>
    </row>
    <row r="3307" spans="1:8" x14ac:dyDescent="0.25">
      <c r="A3307" t="str">
        <f t="shared" si="206"/>
        <v>Multihop,USnet,80</v>
      </c>
      <c r="B3307" t="s">
        <v>34</v>
      </c>
      <c r="C3307" t="s">
        <v>7</v>
      </c>
      <c r="D3307">
        <v>80</v>
      </c>
      <c r="E3307">
        <v>2611.2170000000001</v>
      </c>
      <c r="F3307">
        <f t="shared" si="205"/>
        <v>2670</v>
      </c>
      <c r="G3307">
        <f t="shared" si="207"/>
        <v>2.2016104868913819</v>
      </c>
      <c r="H3307">
        <f t="shared" si="208"/>
        <v>2.251172537556239</v>
      </c>
    </row>
    <row r="3308" spans="1:8" x14ac:dyDescent="0.25">
      <c r="A3308" t="str">
        <f t="shared" si="206"/>
        <v>Multihop,USnet,80</v>
      </c>
      <c r="B3308" t="s">
        <v>34</v>
      </c>
      <c r="C3308" t="s">
        <v>7</v>
      </c>
      <c r="D3308">
        <v>80</v>
      </c>
      <c r="E3308">
        <v>2660.2069999999999</v>
      </c>
      <c r="F3308">
        <f t="shared" si="205"/>
        <v>2670</v>
      </c>
      <c r="G3308">
        <f t="shared" si="207"/>
        <v>0.36677902621723296</v>
      </c>
      <c r="H3308">
        <f t="shared" si="208"/>
        <v>0.36812924708491185</v>
      </c>
    </row>
    <row r="3309" spans="1:8" x14ac:dyDescent="0.25">
      <c r="A3309" t="str">
        <f t="shared" si="206"/>
        <v>Multihop,USnet,80</v>
      </c>
      <c r="B3309" t="s">
        <v>34</v>
      </c>
      <c r="C3309" t="s">
        <v>7</v>
      </c>
      <c r="D3309">
        <v>80</v>
      </c>
      <c r="E3309">
        <v>2644.4180000000001</v>
      </c>
      <c r="F3309">
        <f t="shared" si="205"/>
        <v>2670</v>
      </c>
      <c r="G3309">
        <f t="shared" si="207"/>
        <v>0.95812734082396556</v>
      </c>
      <c r="H3309">
        <f t="shared" si="208"/>
        <v>0.96739622858412999</v>
      </c>
    </row>
    <row r="3310" spans="1:8" x14ac:dyDescent="0.25">
      <c r="A3310" t="str">
        <f t="shared" si="206"/>
        <v>Multihop,USnet,80</v>
      </c>
      <c r="B3310" t="s">
        <v>34</v>
      </c>
      <c r="C3310" t="s">
        <v>7</v>
      </c>
      <c r="D3310">
        <v>80</v>
      </c>
      <c r="E3310">
        <v>2609.6979999999999</v>
      </c>
      <c r="F3310">
        <f t="shared" si="205"/>
        <v>2670</v>
      </c>
      <c r="G3310">
        <f t="shared" si="207"/>
        <v>2.2585018726591808</v>
      </c>
      <c r="H3310">
        <f t="shared" si="208"/>
        <v>2.3106888229979154</v>
      </c>
    </row>
    <row r="3311" spans="1:8" x14ac:dyDescent="0.25">
      <c r="A3311" t="str">
        <f t="shared" si="206"/>
        <v>Multihop,USnet,80</v>
      </c>
      <c r="B3311" t="s">
        <v>34</v>
      </c>
      <c r="C3311" t="s">
        <v>7</v>
      </c>
      <c r="D3311">
        <v>80</v>
      </c>
      <c r="E3311">
        <v>2670.6280000000002</v>
      </c>
      <c r="F3311">
        <f t="shared" si="205"/>
        <v>2670</v>
      </c>
      <c r="G3311">
        <f t="shared" si="207"/>
        <v>2.352059925094219E-2</v>
      </c>
      <c r="H3311">
        <f t="shared" si="208"/>
        <v>2.3515068365948247E-2</v>
      </c>
    </row>
    <row r="3312" spans="1:8" x14ac:dyDescent="0.25">
      <c r="A3312" t="str">
        <f t="shared" si="206"/>
        <v>Multihop,USnet,80</v>
      </c>
      <c r="B3312" t="s">
        <v>34</v>
      </c>
      <c r="C3312" t="s">
        <v>7</v>
      </c>
      <c r="D3312">
        <v>80</v>
      </c>
      <c r="E3312">
        <v>2607.1930000000002</v>
      </c>
      <c r="F3312">
        <f t="shared" si="205"/>
        <v>2670</v>
      </c>
      <c r="G3312">
        <f t="shared" si="207"/>
        <v>2.352322097378269</v>
      </c>
      <c r="H3312">
        <f t="shared" si="208"/>
        <v>2.4089892846444352</v>
      </c>
    </row>
    <row r="3313" spans="1:8" x14ac:dyDescent="0.25">
      <c r="A3313" t="str">
        <f t="shared" si="206"/>
        <v>Multihop,USnet,80</v>
      </c>
      <c r="B3313" t="s">
        <v>34</v>
      </c>
      <c r="C3313" t="s">
        <v>7</v>
      </c>
      <c r="D3313">
        <v>80</v>
      </c>
      <c r="E3313">
        <v>2607.1289999999999</v>
      </c>
      <c r="F3313">
        <f t="shared" si="205"/>
        <v>2670</v>
      </c>
      <c r="G3313">
        <f t="shared" si="207"/>
        <v>2.3547191011235991</v>
      </c>
      <c r="H3313">
        <f t="shared" si="208"/>
        <v>2.4115032282637374</v>
      </c>
    </row>
    <row r="3314" spans="1:8" x14ac:dyDescent="0.25">
      <c r="A3314" t="str">
        <f t="shared" si="206"/>
        <v>Multihop,USnet,80</v>
      </c>
      <c r="B3314" t="s">
        <v>34</v>
      </c>
      <c r="C3314" t="s">
        <v>7</v>
      </c>
      <c r="D3314">
        <v>80</v>
      </c>
      <c r="E3314">
        <v>2611.002</v>
      </c>
      <c r="F3314">
        <f t="shared" si="205"/>
        <v>2670</v>
      </c>
      <c r="G3314">
        <f t="shared" si="207"/>
        <v>2.2096629213483165</v>
      </c>
      <c r="H3314">
        <f t="shared" si="208"/>
        <v>2.2595922944524767</v>
      </c>
    </row>
    <row r="3315" spans="1:8" x14ac:dyDescent="0.25">
      <c r="A3315" t="str">
        <f t="shared" si="206"/>
        <v>Multihop,USnet,80</v>
      </c>
      <c r="B3315" t="s">
        <v>34</v>
      </c>
      <c r="C3315" t="s">
        <v>7</v>
      </c>
      <c r="D3315">
        <v>80</v>
      </c>
      <c r="E3315">
        <v>2604.67</v>
      </c>
      <c r="F3315">
        <f t="shared" si="205"/>
        <v>2670</v>
      </c>
      <c r="G3315">
        <f t="shared" si="207"/>
        <v>2.4468164794007463</v>
      </c>
      <c r="H3315">
        <f t="shared" si="208"/>
        <v>2.5081872175745845</v>
      </c>
    </row>
    <row r="3316" spans="1:8" x14ac:dyDescent="0.25">
      <c r="A3316" t="str">
        <f t="shared" si="206"/>
        <v>Multihop,USnet,80</v>
      </c>
      <c r="B3316" t="s">
        <v>34</v>
      </c>
      <c r="C3316" t="s">
        <v>7</v>
      </c>
      <c r="D3316">
        <v>80</v>
      </c>
      <c r="E3316">
        <v>2611.627</v>
      </c>
      <c r="F3316">
        <f t="shared" si="205"/>
        <v>2670</v>
      </c>
      <c r="G3316">
        <f t="shared" si="207"/>
        <v>2.186254681647942</v>
      </c>
      <c r="H3316">
        <f t="shared" si="208"/>
        <v>2.2351200994629039</v>
      </c>
    </row>
    <row r="3317" spans="1:8" x14ac:dyDescent="0.25">
      <c r="A3317" t="str">
        <f t="shared" si="206"/>
        <v>Multihop,USnet,80</v>
      </c>
      <c r="B3317" t="s">
        <v>34</v>
      </c>
      <c r="C3317" t="s">
        <v>7</v>
      </c>
      <c r="D3317">
        <v>80</v>
      </c>
      <c r="E3317">
        <v>2618.201</v>
      </c>
      <c r="F3317">
        <f t="shared" si="205"/>
        <v>2670</v>
      </c>
      <c r="G3317">
        <f t="shared" si="207"/>
        <v>1.9400374531835198</v>
      </c>
      <c r="H3317">
        <f t="shared" si="208"/>
        <v>1.9784195331068919</v>
      </c>
    </row>
    <row r="3318" spans="1:8" x14ac:dyDescent="0.25">
      <c r="A3318" t="str">
        <f t="shared" si="206"/>
        <v>Multihop,USnet,80</v>
      </c>
      <c r="B3318" t="s">
        <v>34</v>
      </c>
      <c r="C3318" t="s">
        <v>7</v>
      </c>
      <c r="D3318">
        <v>80</v>
      </c>
      <c r="E3318">
        <v>2670.922</v>
      </c>
      <c r="F3318">
        <f t="shared" si="205"/>
        <v>2670</v>
      </c>
      <c r="G3318">
        <f t="shared" si="207"/>
        <v>3.4531835205993462E-2</v>
      </c>
      <c r="H3318">
        <f t="shared" si="208"/>
        <v>3.4519914845885638E-2</v>
      </c>
    </row>
    <row r="3319" spans="1:8" x14ac:dyDescent="0.25">
      <c r="A3319" t="str">
        <f t="shared" si="206"/>
        <v>Multihop,USnet,80</v>
      </c>
      <c r="B3319" t="s">
        <v>34</v>
      </c>
      <c r="C3319" t="s">
        <v>7</v>
      </c>
      <c r="D3319">
        <v>80</v>
      </c>
      <c r="E3319">
        <v>2610.04</v>
      </c>
      <c r="F3319">
        <f t="shared" si="205"/>
        <v>2670</v>
      </c>
      <c r="G3319">
        <f t="shared" si="207"/>
        <v>2.2456928838951327</v>
      </c>
      <c r="H3319">
        <f t="shared" si="208"/>
        <v>2.297282800263599</v>
      </c>
    </row>
    <row r="3320" spans="1:8" x14ac:dyDescent="0.25">
      <c r="A3320" t="str">
        <f t="shared" si="206"/>
        <v>Multihop,USnet,80</v>
      </c>
      <c r="B3320" t="s">
        <v>34</v>
      </c>
      <c r="C3320" t="s">
        <v>7</v>
      </c>
      <c r="D3320">
        <v>80</v>
      </c>
      <c r="E3320">
        <v>2566.712</v>
      </c>
      <c r="F3320">
        <f t="shared" si="205"/>
        <v>2670</v>
      </c>
      <c r="G3320">
        <f t="shared" si="207"/>
        <v>3.8684644194756554</v>
      </c>
      <c r="H3320">
        <f t="shared" si="208"/>
        <v>4.0241367165463053</v>
      </c>
    </row>
    <row r="3321" spans="1:8" x14ac:dyDescent="0.25">
      <c r="A3321" t="str">
        <f t="shared" si="206"/>
        <v>Multihop,USnet,80</v>
      </c>
      <c r="B3321" t="s">
        <v>34</v>
      </c>
      <c r="C3321" t="s">
        <v>7</v>
      </c>
      <c r="D3321">
        <v>80</v>
      </c>
      <c r="E3321">
        <v>2681.5880000000002</v>
      </c>
      <c r="F3321">
        <f t="shared" si="205"/>
        <v>2670</v>
      </c>
      <c r="G3321">
        <f t="shared" si="207"/>
        <v>0.43400749063671135</v>
      </c>
      <c r="H3321">
        <f t="shared" si="208"/>
        <v>0.43213200536399304</v>
      </c>
    </row>
    <row r="3322" spans="1:8" x14ac:dyDescent="0.25">
      <c r="A3322" t="str">
        <f t="shared" si="206"/>
        <v>Multihop,USnet,80</v>
      </c>
      <c r="B3322" t="s">
        <v>34</v>
      </c>
      <c r="C3322" t="s">
        <v>7</v>
      </c>
      <c r="D3322">
        <v>80</v>
      </c>
      <c r="E3322">
        <v>2688.3069999999998</v>
      </c>
      <c r="F3322">
        <f t="shared" si="205"/>
        <v>2670</v>
      </c>
      <c r="G3322">
        <f t="shared" si="207"/>
        <v>0.68565543071160262</v>
      </c>
      <c r="H3322">
        <f t="shared" si="208"/>
        <v>0.68098621176821661</v>
      </c>
    </row>
    <row r="3323" spans="1:8" x14ac:dyDescent="0.25">
      <c r="A3323" t="str">
        <f t="shared" si="206"/>
        <v>Multihop,USnet,80</v>
      </c>
      <c r="B3323" t="s">
        <v>34</v>
      </c>
      <c r="C3323" t="s">
        <v>7</v>
      </c>
      <c r="D3323">
        <v>80</v>
      </c>
      <c r="E3323">
        <v>2599.6410000000001</v>
      </c>
      <c r="F3323">
        <f t="shared" si="205"/>
        <v>2670</v>
      </c>
      <c r="G3323">
        <f t="shared" si="207"/>
        <v>2.6351685393258397</v>
      </c>
      <c r="H3323">
        <f t="shared" si="208"/>
        <v>2.7064890883010353</v>
      </c>
    </row>
    <row r="3324" spans="1:8" x14ac:dyDescent="0.25">
      <c r="A3324" t="str">
        <f t="shared" si="206"/>
        <v>Multihop,USnet,80</v>
      </c>
      <c r="B3324" t="s">
        <v>34</v>
      </c>
      <c r="C3324" t="s">
        <v>7</v>
      </c>
      <c r="D3324">
        <v>80</v>
      </c>
      <c r="E3324">
        <v>2745.4250000000002</v>
      </c>
      <c r="F3324">
        <f t="shared" si="205"/>
        <v>2670</v>
      </c>
      <c r="G3324">
        <f t="shared" si="207"/>
        <v>2.8249063670412053</v>
      </c>
      <c r="H3324">
        <f t="shared" si="208"/>
        <v>2.7472977772111848</v>
      </c>
    </row>
    <row r="3325" spans="1:8" x14ac:dyDescent="0.25">
      <c r="A3325" t="str">
        <f t="shared" si="206"/>
        <v>Multihop,USnet,80</v>
      </c>
      <c r="B3325" t="s">
        <v>34</v>
      </c>
      <c r="C3325" t="s">
        <v>7</v>
      </c>
      <c r="D3325">
        <v>80</v>
      </c>
      <c r="E3325">
        <v>2600.5740000000001</v>
      </c>
      <c r="F3325">
        <f t="shared" si="205"/>
        <v>2670</v>
      </c>
      <c r="G3325">
        <f t="shared" si="207"/>
        <v>2.6002247191011207</v>
      </c>
      <c r="H3325">
        <f t="shared" si="208"/>
        <v>2.6696413945536612</v>
      </c>
    </row>
    <row r="3326" spans="1:8" x14ac:dyDescent="0.25">
      <c r="A3326" t="str">
        <f t="shared" si="206"/>
        <v>Multihop,USnet,80</v>
      </c>
      <c r="B3326" t="s">
        <v>34</v>
      </c>
      <c r="C3326" t="s">
        <v>7</v>
      </c>
      <c r="D3326">
        <v>80</v>
      </c>
      <c r="E3326">
        <v>2671.8919999999998</v>
      </c>
      <c r="F3326">
        <f t="shared" si="205"/>
        <v>2670</v>
      </c>
      <c r="G3326">
        <f t="shared" si="207"/>
        <v>7.0861423220967237E-2</v>
      </c>
      <c r="H3326">
        <f t="shared" si="208"/>
        <v>7.0811245364701333E-2</v>
      </c>
    </row>
    <row r="3327" spans="1:8" x14ac:dyDescent="0.25">
      <c r="A3327" t="str">
        <f t="shared" si="206"/>
        <v>Multihop,USnet,80</v>
      </c>
      <c r="B3327" t="s">
        <v>34</v>
      </c>
      <c r="C3327" t="s">
        <v>7</v>
      </c>
      <c r="D3327">
        <v>80</v>
      </c>
      <c r="E3327">
        <v>2667.02</v>
      </c>
      <c r="F3327">
        <f t="shared" si="205"/>
        <v>2670</v>
      </c>
      <c r="G3327">
        <f t="shared" si="207"/>
        <v>0.11161048689138645</v>
      </c>
      <c r="H3327">
        <f t="shared" si="208"/>
        <v>0.1117351950866517</v>
      </c>
    </row>
    <row r="3328" spans="1:8" x14ac:dyDescent="0.25">
      <c r="A3328" t="str">
        <f t="shared" si="206"/>
        <v>Multihop,USnet,80</v>
      </c>
      <c r="B3328" t="s">
        <v>34</v>
      </c>
      <c r="C3328" t="s">
        <v>7</v>
      </c>
      <c r="D3328">
        <v>80</v>
      </c>
      <c r="E3328">
        <v>2577.8020000000001</v>
      </c>
      <c r="F3328">
        <f t="shared" si="205"/>
        <v>2670</v>
      </c>
      <c r="G3328">
        <f t="shared" si="207"/>
        <v>3.4531086142322045</v>
      </c>
      <c r="H3328">
        <f t="shared" si="208"/>
        <v>3.5766129438956082</v>
      </c>
    </row>
    <row r="3329" spans="1:8" x14ac:dyDescent="0.25">
      <c r="A3329" t="str">
        <f t="shared" si="206"/>
        <v>Multihop,USnet,80</v>
      </c>
      <c r="B3329" t="s">
        <v>34</v>
      </c>
      <c r="C3329" t="s">
        <v>7</v>
      </c>
      <c r="D3329">
        <v>80</v>
      </c>
      <c r="E3329">
        <v>2648.4639999999999</v>
      </c>
      <c r="F3329">
        <f t="shared" si="205"/>
        <v>2670</v>
      </c>
      <c r="G3329">
        <f t="shared" si="207"/>
        <v>0.80659176029962765</v>
      </c>
      <c r="H3329">
        <f t="shared" si="208"/>
        <v>0.81315056576189293</v>
      </c>
    </row>
    <row r="3330" spans="1:8" x14ac:dyDescent="0.25">
      <c r="A3330" t="str">
        <f t="shared" si="206"/>
        <v>Multihop,USnet,80</v>
      </c>
      <c r="B3330" t="s">
        <v>34</v>
      </c>
      <c r="C3330" t="s">
        <v>7</v>
      </c>
      <c r="D3330">
        <v>80</v>
      </c>
      <c r="E3330">
        <v>2660.87</v>
      </c>
      <c r="F3330">
        <f t="shared" si="205"/>
        <v>2670</v>
      </c>
      <c r="G3330">
        <f t="shared" si="207"/>
        <v>0.34194756554307526</v>
      </c>
      <c r="H3330">
        <f t="shared" si="208"/>
        <v>0.34312085896718403</v>
      </c>
    </row>
    <row r="3331" spans="1:8" x14ac:dyDescent="0.25">
      <c r="A3331" t="str">
        <f t="shared" si="206"/>
        <v>Multihop,USnet,80</v>
      </c>
      <c r="B3331" t="s">
        <v>34</v>
      </c>
      <c r="C3331" t="s">
        <v>7</v>
      </c>
      <c r="D3331">
        <v>80</v>
      </c>
      <c r="E3331">
        <v>2599.7570000000001</v>
      </c>
      <c r="F3331">
        <f t="shared" ref="F3331:F3394" si="209">_xlfn.XLOOKUP(A3331,$J$3:$J$36,$N$3:$N$36)</f>
        <v>2670</v>
      </c>
      <c r="G3331">
        <f t="shared" si="207"/>
        <v>2.6308239700374507</v>
      </c>
      <c r="H3331">
        <f t="shared" si="208"/>
        <v>2.7019063704800077</v>
      </c>
    </row>
    <row r="3332" spans="1:8" x14ac:dyDescent="0.25">
      <c r="A3332" t="str">
        <f t="shared" ref="A3332:A3395" si="210">B3332&amp;","&amp;C3332&amp;","&amp;D3332</f>
        <v>Multihop,USnet,80</v>
      </c>
      <c r="B3332" t="s">
        <v>34</v>
      </c>
      <c r="C3332" t="s">
        <v>7</v>
      </c>
      <c r="D3332">
        <v>80</v>
      </c>
      <c r="E3332">
        <v>2595.424</v>
      </c>
      <c r="F3332">
        <f t="shared" si="209"/>
        <v>2670</v>
      </c>
      <c r="G3332">
        <f t="shared" ref="G3332:G3395" si="211">ABS((E3332-F3332)/F3332)*100</f>
        <v>2.7931086142322106</v>
      </c>
      <c r="H3332">
        <f t="shared" ref="H3332:H3395" si="212">ABS((F3332-E3332)/E3332)*100</f>
        <v>2.8733648143810036</v>
      </c>
    </row>
    <row r="3333" spans="1:8" x14ac:dyDescent="0.25">
      <c r="A3333" t="str">
        <f t="shared" si="210"/>
        <v>Multihop,USnet,80</v>
      </c>
      <c r="B3333" t="s">
        <v>34</v>
      </c>
      <c r="C3333" t="s">
        <v>7</v>
      </c>
      <c r="D3333">
        <v>80</v>
      </c>
      <c r="E3333">
        <v>2750.47</v>
      </c>
      <c r="F3333">
        <f t="shared" si="209"/>
        <v>2670</v>
      </c>
      <c r="G3333">
        <f t="shared" si="211"/>
        <v>3.0138576779026143</v>
      </c>
      <c r="H3333">
        <f t="shared" si="212"/>
        <v>2.9256817925663543</v>
      </c>
    </row>
    <row r="3334" spans="1:8" x14ac:dyDescent="0.25">
      <c r="A3334" t="str">
        <f t="shared" si="210"/>
        <v>Multihop,USnet,80</v>
      </c>
      <c r="B3334" t="s">
        <v>34</v>
      </c>
      <c r="C3334" t="s">
        <v>7</v>
      </c>
      <c r="D3334">
        <v>80</v>
      </c>
      <c r="E3334">
        <v>2608.92</v>
      </c>
      <c r="F3334">
        <f t="shared" si="209"/>
        <v>2670</v>
      </c>
      <c r="G3334">
        <f t="shared" si="211"/>
        <v>2.2876404494381997</v>
      </c>
      <c r="H3334">
        <f t="shared" si="212"/>
        <v>2.3411986569155023</v>
      </c>
    </row>
    <row r="3335" spans="1:8" x14ac:dyDescent="0.25">
      <c r="A3335" t="str">
        <f t="shared" si="210"/>
        <v>Multihop,USnet,80</v>
      </c>
      <c r="B3335" t="s">
        <v>34</v>
      </c>
      <c r="C3335" t="s">
        <v>7</v>
      </c>
      <c r="D3335">
        <v>80</v>
      </c>
      <c r="E3335">
        <v>2663.7190000000001</v>
      </c>
      <c r="F3335">
        <f t="shared" si="209"/>
        <v>2670</v>
      </c>
      <c r="G3335">
        <f t="shared" si="211"/>
        <v>0.235243445692882</v>
      </c>
      <c r="H3335">
        <f t="shared" si="212"/>
        <v>0.2357981453749419</v>
      </c>
    </row>
    <row r="3336" spans="1:8" x14ac:dyDescent="0.25">
      <c r="A3336" t="str">
        <f t="shared" si="210"/>
        <v>Multihop,USnet,80</v>
      </c>
      <c r="B3336" t="s">
        <v>34</v>
      </c>
      <c r="C3336" t="s">
        <v>7</v>
      </c>
      <c r="D3336">
        <v>80</v>
      </c>
      <c r="E3336">
        <v>2567.748</v>
      </c>
      <c r="F3336">
        <f t="shared" si="209"/>
        <v>2670</v>
      </c>
      <c r="G3336">
        <f t="shared" si="211"/>
        <v>3.8296629213483127</v>
      </c>
      <c r="H3336">
        <f t="shared" si="212"/>
        <v>3.9821664742801848</v>
      </c>
    </row>
    <row r="3337" spans="1:8" x14ac:dyDescent="0.25">
      <c r="A3337" t="str">
        <f t="shared" si="210"/>
        <v>Multihop,USnet,80</v>
      </c>
      <c r="B3337" t="s">
        <v>34</v>
      </c>
      <c r="C3337" t="s">
        <v>7</v>
      </c>
      <c r="D3337">
        <v>80</v>
      </c>
      <c r="E3337">
        <v>2602.3200000000002</v>
      </c>
      <c r="F3337">
        <f t="shared" si="209"/>
        <v>2670</v>
      </c>
      <c r="G3337">
        <f t="shared" si="211"/>
        <v>2.5348314606741513</v>
      </c>
      <c r="H3337">
        <f t="shared" si="212"/>
        <v>2.6007562482707676</v>
      </c>
    </row>
    <row r="3338" spans="1:8" x14ac:dyDescent="0.25">
      <c r="A3338" t="str">
        <f t="shared" si="210"/>
        <v>Multihop,USnet,80</v>
      </c>
      <c r="B3338" t="s">
        <v>34</v>
      </c>
      <c r="C3338" t="s">
        <v>7</v>
      </c>
      <c r="D3338">
        <v>80</v>
      </c>
      <c r="E3338">
        <v>2603.7139999999999</v>
      </c>
      <c r="F3338">
        <f t="shared" si="209"/>
        <v>2670</v>
      </c>
      <c r="G3338">
        <f t="shared" si="211"/>
        <v>2.4826217228464444</v>
      </c>
      <c r="H3338">
        <f t="shared" si="212"/>
        <v>2.5458249254718472</v>
      </c>
    </row>
    <row r="3339" spans="1:8" x14ac:dyDescent="0.25">
      <c r="A3339" t="str">
        <f t="shared" si="210"/>
        <v>Multihop,USnet,80</v>
      </c>
      <c r="B3339" t="s">
        <v>34</v>
      </c>
      <c r="C3339" t="s">
        <v>7</v>
      </c>
      <c r="D3339">
        <v>80</v>
      </c>
      <c r="E3339">
        <v>2678.34</v>
      </c>
      <c r="F3339">
        <f t="shared" si="209"/>
        <v>2670</v>
      </c>
      <c r="G3339">
        <f t="shared" si="211"/>
        <v>0.3123595505618032</v>
      </c>
      <c r="H3339">
        <f t="shared" si="212"/>
        <v>0.31138690382849621</v>
      </c>
    </row>
    <row r="3340" spans="1:8" x14ac:dyDescent="0.25">
      <c r="A3340" t="str">
        <f t="shared" si="210"/>
        <v>Multihop,USnet,80</v>
      </c>
      <c r="B3340" t="s">
        <v>34</v>
      </c>
      <c r="C3340" t="s">
        <v>7</v>
      </c>
      <c r="D3340">
        <v>80</v>
      </c>
      <c r="E3340">
        <v>2689.34</v>
      </c>
      <c r="F3340">
        <f t="shared" si="209"/>
        <v>2670</v>
      </c>
      <c r="G3340">
        <f t="shared" si="211"/>
        <v>0.72434456928839497</v>
      </c>
      <c r="H3340">
        <f t="shared" si="212"/>
        <v>0.71913554998624729</v>
      </c>
    </row>
    <row r="3341" spans="1:8" x14ac:dyDescent="0.25">
      <c r="A3341" t="str">
        <f t="shared" si="210"/>
        <v>Multihop,USnet,80</v>
      </c>
      <c r="B3341" t="s">
        <v>34</v>
      </c>
      <c r="C3341" t="s">
        <v>7</v>
      </c>
      <c r="D3341">
        <v>80</v>
      </c>
      <c r="E3341">
        <v>2677.433</v>
      </c>
      <c r="F3341">
        <f t="shared" si="209"/>
        <v>2670</v>
      </c>
      <c r="G3341">
        <f t="shared" si="211"/>
        <v>0.27838951310861393</v>
      </c>
      <c r="H3341">
        <f t="shared" si="212"/>
        <v>0.27761665744763708</v>
      </c>
    </row>
    <row r="3342" spans="1:8" x14ac:dyDescent="0.25">
      <c r="A3342" t="str">
        <f t="shared" si="210"/>
        <v>Multihop,USnet,80</v>
      </c>
      <c r="B3342" t="s">
        <v>34</v>
      </c>
      <c r="C3342" t="s">
        <v>7</v>
      </c>
      <c r="D3342">
        <v>80</v>
      </c>
      <c r="E3342">
        <v>2722.9859999999999</v>
      </c>
      <c r="F3342">
        <f t="shared" si="209"/>
        <v>2670</v>
      </c>
      <c r="G3342">
        <f t="shared" si="211"/>
        <v>1.9844943820224674</v>
      </c>
      <c r="H3342">
        <f t="shared" si="212"/>
        <v>1.9458785318763989</v>
      </c>
    </row>
    <row r="3343" spans="1:8" x14ac:dyDescent="0.25">
      <c r="A3343" t="str">
        <f t="shared" si="210"/>
        <v>Multihop,USnet,80</v>
      </c>
      <c r="B3343" t="s">
        <v>34</v>
      </c>
      <c r="C3343" t="s">
        <v>7</v>
      </c>
      <c r="D3343">
        <v>80</v>
      </c>
      <c r="E3343">
        <v>2513.4740000000002</v>
      </c>
      <c r="F3343">
        <f t="shared" si="209"/>
        <v>2670</v>
      </c>
      <c r="G3343">
        <f t="shared" si="211"/>
        <v>5.8623970037453121</v>
      </c>
      <c r="H3343">
        <f t="shared" si="212"/>
        <v>6.2274763932310346</v>
      </c>
    </row>
    <row r="3344" spans="1:8" x14ac:dyDescent="0.25">
      <c r="A3344" t="str">
        <f t="shared" si="210"/>
        <v>Multihop,USnet,80</v>
      </c>
      <c r="B3344" t="s">
        <v>34</v>
      </c>
      <c r="C3344" t="s">
        <v>7</v>
      </c>
      <c r="D3344">
        <v>80</v>
      </c>
      <c r="E3344">
        <v>2599.1909999999998</v>
      </c>
      <c r="F3344">
        <f t="shared" si="209"/>
        <v>2670</v>
      </c>
      <c r="G3344">
        <f t="shared" si="211"/>
        <v>2.6520224719101195</v>
      </c>
      <c r="H3344">
        <f t="shared" si="212"/>
        <v>2.7242707442431202</v>
      </c>
    </row>
    <row r="3345" spans="1:8" x14ac:dyDescent="0.25">
      <c r="A3345" t="str">
        <f t="shared" si="210"/>
        <v>Multihop,USnet,80</v>
      </c>
      <c r="B3345" t="s">
        <v>34</v>
      </c>
      <c r="C3345" t="s">
        <v>7</v>
      </c>
      <c r="D3345">
        <v>80</v>
      </c>
      <c r="E3345">
        <v>2673.72</v>
      </c>
      <c r="F3345">
        <f t="shared" si="209"/>
        <v>2670</v>
      </c>
      <c r="G3345">
        <f t="shared" si="211"/>
        <v>0.13932584269662174</v>
      </c>
      <c r="H3345">
        <f t="shared" si="212"/>
        <v>0.13913199587091393</v>
      </c>
    </row>
    <row r="3346" spans="1:8" x14ac:dyDescent="0.25">
      <c r="A3346" t="str">
        <f t="shared" si="210"/>
        <v>Multihop,USnet,80</v>
      </c>
      <c r="B3346" t="s">
        <v>34</v>
      </c>
      <c r="C3346" t="s">
        <v>7</v>
      </c>
      <c r="D3346">
        <v>80</v>
      </c>
      <c r="E3346">
        <v>2590.4760000000001</v>
      </c>
      <c r="F3346">
        <f t="shared" si="209"/>
        <v>2670</v>
      </c>
      <c r="G3346">
        <f t="shared" si="211"/>
        <v>2.9784269662921306</v>
      </c>
      <c r="H3346">
        <f t="shared" si="212"/>
        <v>3.0698605198426807</v>
      </c>
    </row>
    <row r="3347" spans="1:8" x14ac:dyDescent="0.25">
      <c r="A3347" t="str">
        <f t="shared" si="210"/>
        <v>Multihop,USnet,80</v>
      </c>
      <c r="B3347" t="s">
        <v>34</v>
      </c>
      <c r="C3347" t="s">
        <v>7</v>
      </c>
      <c r="D3347">
        <v>80</v>
      </c>
      <c r="E3347">
        <v>2565.6779999999999</v>
      </c>
      <c r="F3347">
        <f t="shared" si="209"/>
        <v>2670</v>
      </c>
      <c r="G3347">
        <f t="shared" si="211"/>
        <v>3.9071910112359594</v>
      </c>
      <c r="H3347">
        <f t="shared" si="212"/>
        <v>4.0660597315797276</v>
      </c>
    </row>
    <row r="3348" spans="1:8" x14ac:dyDescent="0.25">
      <c r="A3348" t="str">
        <f t="shared" si="210"/>
        <v>Multihop,USnet,80</v>
      </c>
      <c r="B3348" t="s">
        <v>34</v>
      </c>
      <c r="C3348" t="s">
        <v>7</v>
      </c>
      <c r="D3348">
        <v>80</v>
      </c>
      <c r="E3348">
        <v>2613.5520000000001</v>
      </c>
      <c r="F3348">
        <f t="shared" si="209"/>
        <v>2670</v>
      </c>
      <c r="G3348">
        <f t="shared" si="211"/>
        <v>2.1141573033707814</v>
      </c>
      <c r="H3348">
        <f t="shared" si="212"/>
        <v>2.1598192804275511</v>
      </c>
    </row>
    <row r="3349" spans="1:8" x14ac:dyDescent="0.25">
      <c r="A3349" t="str">
        <f t="shared" si="210"/>
        <v>Multihop,USnet,80</v>
      </c>
      <c r="B3349" t="s">
        <v>34</v>
      </c>
      <c r="C3349" t="s">
        <v>7</v>
      </c>
      <c r="D3349">
        <v>80</v>
      </c>
      <c r="E3349">
        <v>2696.7809999999999</v>
      </c>
      <c r="F3349">
        <f t="shared" si="209"/>
        <v>2670</v>
      </c>
      <c r="G3349">
        <f t="shared" si="211"/>
        <v>1.0030337078651668</v>
      </c>
      <c r="H3349">
        <f t="shared" si="212"/>
        <v>0.99307285241181797</v>
      </c>
    </row>
    <row r="3350" spans="1:8" x14ac:dyDescent="0.25">
      <c r="A3350" t="str">
        <f t="shared" si="210"/>
        <v>Multihop,USnet,80</v>
      </c>
      <c r="B3350" t="s">
        <v>34</v>
      </c>
      <c r="C3350" t="s">
        <v>7</v>
      </c>
      <c r="D3350">
        <v>80</v>
      </c>
      <c r="E3350">
        <v>2636.6869999999999</v>
      </c>
      <c r="F3350">
        <f t="shared" si="209"/>
        <v>2670</v>
      </c>
      <c r="G3350">
        <f t="shared" si="211"/>
        <v>1.2476779026217266</v>
      </c>
      <c r="H3350">
        <f t="shared" si="212"/>
        <v>1.263441584078812</v>
      </c>
    </row>
    <row r="3351" spans="1:8" x14ac:dyDescent="0.25">
      <c r="A3351" t="str">
        <f t="shared" si="210"/>
        <v>Multihop,USnet,80</v>
      </c>
      <c r="B3351" t="s">
        <v>34</v>
      </c>
      <c r="C3351" t="s">
        <v>7</v>
      </c>
      <c r="D3351">
        <v>80</v>
      </c>
      <c r="E3351">
        <v>2654.413</v>
      </c>
      <c r="F3351">
        <f t="shared" si="209"/>
        <v>2670</v>
      </c>
      <c r="G3351">
        <f t="shared" si="211"/>
        <v>0.58378277153558011</v>
      </c>
      <c r="H3351">
        <f t="shared" si="212"/>
        <v>0.58721080705979012</v>
      </c>
    </row>
    <row r="3352" spans="1:8" x14ac:dyDescent="0.25">
      <c r="A3352" t="str">
        <f t="shared" si="210"/>
        <v>Multihop,USnet,80</v>
      </c>
      <c r="B3352" t="s">
        <v>34</v>
      </c>
      <c r="C3352" t="s">
        <v>7</v>
      </c>
      <c r="D3352">
        <v>80</v>
      </c>
      <c r="E3352">
        <v>2574.2440000000001</v>
      </c>
      <c r="F3352">
        <f t="shared" si="209"/>
        <v>2670</v>
      </c>
      <c r="G3352">
        <f t="shared" si="211"/>
        <v>3.5863670411984967</v>
      </c>
      <c r="H3352">
        <f t="shared" si="212"/>
        <v>3.7197717077324395</v>
      </c>
    </row>
    <row r="3353" spans="1:8" x14ac:dyDescent="0.25">
      <c r="A3353" t="str">
        <f t="shared" si="210"/>
        <v>Multihop,USnet,80</v>
      </c>
      <c r="B3353" t="s">
        <v>34</v>
      </c>
      <c r="C3353" t="s">
        <v>7</v>
      </c>
      <c r="D3353">
        <v>80</v>
      </c>
      <c r="E3353">
        <v>2666.81</v>
      </c>
      <c r="F3353">
        <f t="shared" si="209"/>
        <v>2670</v>
      </c>
      <c r="G3353">
        <f t="shared" si="211"/>
        <v>0.11947565543071366</v>
      </c>
      <c r="H3353">
        <f t="shared" si="212"/>
        <v>0.11961857050183757</v>
      </c>
    </row>
    <row r="3354" spans="1:8" x14ac:dyDescent="0.25">
      <c r="A3354" t="str">
        <f t="shared" si="210"/>
        <v>Multihop,USnet,80</v>
      </c>
      <c r="B3354" t="s">
        <v>34</v>
      </c>
      <c r="C3354" t="s">
        <v>7</v>
      </c>
      <c r="D3354">
        <v>80</v>
      </c>
      <c r="E3354">
        <v>2611.6329999999998</v>
      </c>
      <c r="F3354">
        <f t="shared" si="209"/>
        <v>2670</v>
      </c>
      <c r="G3354">
        <f t="shared" si="211"/>
        <v>2.1860299625468236</v>
      </c>
      <c r="H3354">
        <f t="shared" si="212"/>
        <v>2.2348852231534906</v>
      </c>
    </row>
    <row r="3355" spans="1:8" x14ac:dyDescent="0.25">
      <c r="A3355" t="str">
        <f t="shared" si="210"/>
        <v>Multihop,USnet,80</v>
      </c>
      <c r="B3355" t="s">
        <v>34</v>
      </c>
      <c r="C3355" t="s">
        <v>7</v>
      </c>
      <c r="D3355">
        <v>80</v>
      </c>
      <c r="E3355">
        <v>2653.2829999999999</v>
      </c>
      <c r="F3355">
        <f t="shared" si="209"/>
        <v>2670</v>
      </c>
      <c r="G3355">
        <f t="shared" si="211"/>
        <v>0.6261048689138613</v>
      </c>
      <c r="H3355">
        <f t="shared" si="212"/>
        <v>0.63004964038891065</v>
      </c>
    </row>
    <row r="3356" spans="1:8" x14ac:dyDescent="0.25">
      <c r="A3356" t="str">
        <f t="shared" si="210"/>
        <v>Multihop,USnet,80</v>
      </c>
      <c r="B3356" t="s">
        <v>34</v>
      </c>
      <c r="C3356" t="s">
        <v>7</v>
      </c>
      <c r="D3356">
        <v>80</v>
      </c>
      <c r="E3356">
        <v>2678.047</v>
      </c>
      <c r="F3356">
        <f t="shared" si="209"/>
        <v>2670</v>
      </c>
      <c r="G3356">
        <f t="shared" si="211"/>
        <v>0.3013857677902631</v>
      </c>
      <c r="H3356">
        <f t="shared" si="212"/>
        <v>0.30048016334291466</v>
      </c>
    </row>
    <row r="3357" spans="1:8" x14ac:dyDescent="0.25">
      <c r="A3357" t="str">
        <f t="shared" si="210"/>
        <v>Multihop,USnet,80</v>
      </c>
      <c r="B3357" t="s">
        <v>34</v>
      </c>
      <c r="C3357" t="s">
        <v>7</v>
      </c>
      <c r="D3357">
        <v>80</v>
      </c>
      <c r="E3357">
        <v>2636.4989999999998</v>
      </c>
      <c r="F3357">
        <f t="shared" si="209"/>
        <v>2670</v>
      </c>
      <c r="G3357">
        <f t="shared" si="211"/>
        <v>1.2547191011236032</v>
      </c>
      <c r="H3357">
        <f t="shared" si="212"/>
        <v>1.2706623442679177</v>
      </c>
    </row>
    <row r="3358" spans="1:8" x14ac:dyDescent="0.25">
      <c r="A3358" t="str">
        <f t="shared" si="210"/>
        <v>Multihop,USnet,80</v>
      </c>
      <c r="B3358" t="s">
        <v>34</v>
      </c>
      <c r="C3358" t="s">
        <v>7</v>
      </c>
      <c r="D3358">
        <v>80</v>
      </c>
      <c r="E3358">
        <v>2671.826</v>
      </c>
      <c r="F3358">
        <f t="shared" si="209"/>
        <v>2670</v>
      </c>
      <c r="G3358">
        <f t="shared" si="211"/>
        <v>6.8389513108615047E-2</v>
      </c>
      <c r="H3358">
        <f t="shared" si="212"/>
        <v>6.8342773818355754E-2</v>
      </c>
    </row>
    <row r="3359" spans="1:8" x14ac:dyDescent="0.25">
      <c r="A3359" t="str">
        <f t="shared" si="210"/>
        <v>Multihop,USnet,80</v>
      </c>
      <c r="B3359" t="s">
        <v>34</v>
      </c>
      <c r="C3359" t="s">
        <v>7</v>
      </c>
      <c r="D3359">
        <v>80</v>
      </c>
      <c r="E3359">
        <v>2658.672</v>
      </c>
      <c r="F3359">
        <f t="shared" si="209"/>
        <v>2670</v>
      </c>
      <c r="G3359">
        <f t="shared" si="211"/>
        <v>0.42426966292134738</v>
      </c>
      <c r="H3359">
        <f t="shared" si="212"/>
        <v>0.42607737998519468</v>
      </c>
    </row>
    <row r="3360" spans="1:8" x14ac:dyDescent="0.25">
      <c r="A3360" t="str">
        <f t="shared" si="210"/>
        <v>Multihop,USnet,80</v>
      </c>
      <c r="B3360" t="s">
        <v>34</v>
      </c>
      <c r="C3360" t="s">
        <v>7</v>
      </c>
      <c r="D3360">
        <v>80</v>
      </c>
      <c r="E3360">
        <v>2752.32</v>
      </c>
      <c r="F3360">
        <f t="shared" si="209"/>
        <v>2670</v>
      </c>
      <c r="G3360">
        <f t="shared" si="211"/>
        <v>3.0831460674157363</v>
      </c>
      <c r="H3360">
        <f t="shared" si="212"/>
        <v>2.9909312870596501</v>
      </c>
    </row>
    <row r="3361" spans="1:8" x14ac:dyDescent="0.25">
      <c r="A3361" t="str">
        <f t="shared" si="210"/>
        <v>Multihop,USnet,80</v>
      </c>
      <c r="B3361" t="s">
        <v>34</v>
      </c>
      <c r="C3361" t="s">
        <v>7</v>
      </c>
      <c r="D3361">
        <v>80</v>
      </c>
      <c r="E3361">
        <v>2620.1129999999998</v>
      </c>
      <c r="F3361">
        <f t="shared" si="209"/>
        <v>2670</v>
      </c>
      <c r="G3361">
        <f t="shared" si="211"/>
        <v>1.8684269662921411</v>
      </c>
      <c r="H3361">
        <f t="shared" si="212"/>
        <v>1.904001850301883</v>
      </c>
    </row>
    <row r="3362" spans="1:8" x14ac:dyDescent="0.25">
      <c r="A3362" t="str">
        <f t="shared" si="210"/>
        <v>Multihop,USnet,80</v>
      </c>
      <c r="B3362" t="s">
        <v>34</v>
      </c>
      <c r="C3362" t="s">
        <v>7</v>
      </c>
      <c r="D3362">
        <v>80</v>
      </c>
      <c r="E3362">
        <v>2696.3690000000001</v>
      </c>
      <c r="F3362">
        <f t="shared" si="209"/>
        <v>2670</v>
      </c>
      <c r="G3362">
        <f t="shared" si="211"/>
        <v>0.98760299625468706</v>
      </c>
      <c r="H3362">
        <f t="shared" si="212"/>
        <v>0.97794478426358344</v>
      </c>
    </row>
    <row r="3363" spans="1:8" x14ac:dyDescent="0.25">
      <c r="A3363" t="str">
        <f t="shared" si="210"/>
        <v>Multihop,USnet,80</v>
      </c>
      <c r="B3363" t="s">
        <v>34</v>
      </c>
      <c r="C3363" t="s">
        <v>7</v>
      </c>
      <c r="D3363">
        <v>80</v>
      </c>
      <c r="E3363">
        <v>2671.8029999999999</v>
      </c>
      <c r="F3363">
        <f t="shared" si="209"/>
        <v>2670</v>
      </c>
      <c r="G3363">
        <f t="shared" si="211"/>
        <v>6.7528089887636089E-2</v>
      </c>
      <c r="H3363">
        <f t="shared" si="212"/>
        <v>6.7482520230716242E-2</v>
      </c>
    </row>
    <row r="3364" spans="1:8" x14ac:dyDescent="0.25">
      <c r="A3364" t="str">
        <f t="shared" si="210"/>
        <v>Multihop,USnet,80</v>
      </c>
      <c r="B3364" t="s">
        <v>34</v>
      </c>
      <c r="C3364" t="s">
        <v>7</v>
      </c>
      <c r="D3364">
        <v>80</v>
      </c>
      <c r="E3364">
        <v>2655.8220000000001</v>
      </c>
      <c r="F3364">
        <f t="shared" si="209"/>
        <v>2670</v>
      </c>
      <c r="G3364">
        <f t="shared" si="211"/>
        <v>0.53101123595505184</v>
      </c>
      <c r="H3364">
        <f t="shared" si="212"/>
        <v>0.53384601829489642</v>
      </c>
    </row>
    <row r="3365" spans="1:8" x14ac:dyDescent="0.25">
      <c r="A3365" t="str">
        <f t="shared" si="210"/>
        <v>Multihop,USnet,80</v>
      </c>
      <c r="B3365" t="s">
        <v>34</v>
      </c>
      <c r="C3365" t="s">
        <v>7</v>
      </c>
      <c r="D3365">
        <v>80</v>
      </c>
      <c r="E3365">
        <v>2652.4490000000001</v>
      </c>
      <c r="F3365">
        <f t="shared" si="209"/>
        <v>2670</v>
      </c>
      <c r="G3365">
        <f t="shared" si="211"/>
        <v>0.65734082397003479</v>
      </c>
      <c r="H3365">
        <f t="shared" si="212"/>
        <v>0.66169038499891719</v>
      </c>
    </row>
    <row r="3366" spans="1:8" x14ac:dyDescent="0.25">
      <c r="A3366" t="str">
        <f t="shared" si="210"/>
        <v>Multihop,USnet,80</v>
      </c>
      <c r="B3366" t="s">
        <v>34</v>
      </c>
      <c r="C3366" t="s">
        <v>7</v>
      </c>
      <c r="D3366">
        <v>80</v>
      </c>
      <c r="E3366">
        <v>2629.8440000000001</v>
      </c>
      <c r="F3366">
        <f t="shared" si="209"/>
        <v>2670</v>
      </c>
      <c r="G3366">
        <f t="shared" si="211"/>
        <v>1.5039700374531817</v>
      </c>
      <c r="H3366">
        <f t="shared" si="212"/>
        <v>1.5269346774941763</v>
      </c>
    </row>
    <row r="3367" spans="1:8" x14ac:dyDescent="0.25">
      <c r="A3367" t="str">
        <f t="shared" si="210"/>
        <v>Multihop,USnet,80</v>
      </c>
      <c r="B3367" t="s">
        <v>34</v>
      </c>
      <c r="C3367" t="s">
        <v>7</v>
      </c>
      <c r="D3367">
        <v>80</v>
      </c>
      <c r="E3367">
        <v>2531.87</v>
      </c>
      <c r="F3367">
        <f t="shared" si="209"/>
        <v>2670</v>
      </c>
      <c r="G3367">
        <f t="shared" si="211"/>
        <v>5.1734082397003789</v>
      </c>
      <c r="H3367">
        <f t="shared" si="212"/>
        <v>5.45565135650725</v>
      </c>
    </row>
    <row r="3368" spans="1:8" x14ac:dyDescent="0.25">
      <c r="A3368" t="str">
        <f t="shared" si="210"/>
        <v>Multihop,USnet,80</v>
      </c>
      <c r="B3368" t="s">
        <v>34</v>
      </c>
      <c r="C3368" t="s">
        <v>7</v>
      </c>
      <c r="D3368">
        <v>80</v>
      </c>
      <c r="E3368">
        <v>2624.1970000000001</v>
      </c>
      <c r="F3368">
        <f t="shared" si="209"/>
        <v>2670</v>
      </c>
      <c r="G3368">
        <f t="shared" si="211"/>
        <v>1.7154681647940033</v>
      </c>
      <c r="H3368">
        <f t="shared" si="212"/>
        <v>1.7454101197432921</v>
      </c>
    </row>
    <row r="3369" spans="1:8" x14ac:dyDescent="0.25">
      <c r="A3369" t="str">
        <f t="shared" si="210"/>
        <v>Multihop,USnet,80</v>
      </c>
      <c r="B3369" t="s">
        <v>34</v>
      </c>
      <c r="C3369" t="s">
        <v>7</v>
      </c>
      <c r="D3369">
        <v>80</v>
      </c>
      <c r="E3369">
        <v>2639.6039999999998</v>
      </c>
      <c r="F3369">
        <f t="shared" si="209"/>
        <v>2670</v>
      </c>
      <c r="G3369">
        <f t="shared" si="211"/>
        <v>1.1384269662921418</v>
      </c>
      <c r="H3369">
        <f t="shared" si="212"/>
        <v>1.1515363668186662</v>
      </c>
    </row>
    <row r="3370" spans="1:8" x14ac:dyDescent="0.25">
      <c r="A3370" t="str">
        <f t="shared" si="210"/>
        <v>Multihop,USnet,80</v>
      </c>
      <c r="B3370" t="s">
        <v>34</v>
      </c>
      <c r="C3370" t="s">
        <v>7</v>
      </c>
      <c r="D3370">
        <v>80</v>
      </c>
      <c r="E3370">
        <v>2615.7429999999999</v>
      </c>
      <c r="F3370">
        <f t="shared" si="209"/>
        <v>2670</v>
      </c>
      <c r="G3370">
        <f t="shared" si="211"/>
        <v>2.0320973782771556</v>
      </c>
      <c r="H3370">
        <f t="shared" si="212"/>
        <v>2.0742481199414491</v>
      </c>
    </row>
    <row r="3371" spans="1:8" x14ac:dyDescent="0.25">
      <c r="A3371" t="str">
        <f t="shared" si="210"/>
        <v>Multihop,USnet,80</v>
      </c>
      <c r="B3371" t="s">
        <v>34</v>
      </c>
      <c r="C3371" t="s">
        <v>7</v>
      </c>
      <c r="D3371">
        <v>80</v>
      </c>
      <c r="E3371">
        <v>2594.9319999999998</v>
      </c>
      <c r="F3371">
        <f t="shared" si="209"/>
        <v>2670</v>
      </c>
      <c r="G3371">
        <f t="shared" si="211"/>
        <v>2.8115355805243527</v>
      </c>
      <c r="H3371">
        <f t="shared" si="212"/>
        <v>2.8928696397439402</v>
      </c>
    </row>
    <row r="3372" spans="1:8" x14ac:dyDescent="0.25">
      <c r="A3372" t="str">
        <f t="shared" si="210"/>
        <v>Multihop,USnet,80</v>
      </c>
      <c r="B3372" t="s">
        <v>34</v>
      </c>
      <c r="C3372" t="s">
        <v>7</v>
      </c>
      <c r="D3372">
        <v>80</v>
      </c>
      <c r="E3372">
        <v>2616.6019999999999</v>
      </c>
      <c r="F3372">
        <f t="shared" si="209"/>
        <v>2670</v>
      </c>
      <c r="G3372">
        <f t="shared" si="211"/>
        <v>1.9999250936329638</v>
      </c>
      <c r="H3372">
        <f t="shared" si="212"/>
        <v>2.0407383316224683</v>
      </c>
    </row>
    <row r="3373" spans="1:8" x14ac:dyDescent="0.25">
      <c r="A3373" t="str">
        <f t="shared" si="210"/>
        <v>Multihop,USnet,80</v>
      </c>
      <c r="B3373" t="s">
        <v>34</v>
      </c>
      <c r="C3373" t="s">
        <v>7</v>
      </c>
      <c r="D3373">
        <v>80</v>
      </c>
      <c r="E3373">
        <v>2724.6320000000001</v>
      </c>
      <c r="F3373">
        <f t="shared" si="209"/>
        <v>2670</v>
      </c>
      <c r="G3373">
        <f t="shared" si="211"/>
        <v>2.0461423220973805</v>
      </c>
      <c r="H3373">
        <f t="shared" si="212"/>
        <v>2.0051148191755828</v>
      </c>
    </row>
    <row r="3374" spans="1:8" x14ac:dyDescent="0.25">
      <c r="A3374" t="str">
        <f t="shared" si="210"/>
        <v>Multihop,USnet,80</v>
      </c>
      <c r="B3374" t="s">
        <v>34</v>
      </c>
      <c r="C3374" t="s">
        <v>7</v>
      </c>
      <c r="D3374">
        <v>80</v>
      </c>
      <c r="E3374">
        <v>2678.752</v>
      </c>
      <c r="F3374">
        <f t="shared" si="209"/>
        <v>2670</v>
      </c>
      <c r="G3374">
        <f t="shared" si="211"/>
        <v>0.32779026217228285</v>
      </c>
      <c r="H3374">
        <f t="shared" si="212"/>
        <v>0.32671930809570848</v>
      </c>
    </row>
    <row r="3375" spans="1:8" x14ac:dyDescent="0.25">
      <c r="A3375" t="str">
        <f t="shared" si="210"/>
        <v>Multihop,USnet,80</v>
      </c>
      <c r="B3375" t="s">
        <v>34</v>
      </c>
      <c r="C3375" t="s">
        <v>7</v>
      </c>
      <c r="D3375">
        <v>80</v>
      </c>
      <c r="E3375">
        <v>2620.5410000000002</v>
      </c>
      <c r="F3375">
        <f t="shared" si="209"/>
        <v>2670</v>
      </c>
      <c r="G3375">
        <f t="shared" si="211"/>
        <v>1.8523970037453121</v>
      </c>
      <c r="H3375">
        <f t="shared" si="212"/>
        <v>1.8873583737098496</v>
      </c>
    </row>
    <row r="3376" spans="1:8" x14ac:dyDescent="0.25">
      <c r="A3376" t="str">
        <f t="shared" si="210"/>
        <v>Multihop,USnet,80</v>
      </c>
      <c r="B3376" t="s">
        <v>34</v>
      </c>
      <c r="C3376" t="s">
        <v>7</v>
      </c>
      <c r="D3376">
        <v>80</v>
      </c>
      <c r="E3376">
        <v>2645.0720000000001</v>
      </c>
      <c r="F3376">
        <f t="shared" si="209"/>
        <v>2670</v>
      </c>
      <c r="G3376">
        <f t="shared" si="211"/>
        <v>0.93363295880149377</v>
      </c>
      <c r="H3376">
        <f t="shared" si="212"/>
        <v>0.94243181282021371</v>
      </c>
    </row>
    <row r="3377" spans="1:8" x14ac:dyDescent="0.25">
      <c r="A3377" t="str">
        <f t="shared" si="210"/>
        <v>Multihop,USnet,80</v>
      </c>
      <c r="B3377" t="s">
        <v>34</v>
      </c>
      <c r="C3377" t="s">
        <v>7</v>
      </c>
      <c r="D3377">
        <v>80</v>
      </c>
      <c r="E3377">
        <v>2605.5419999999999</v>
      </c>
      <c r="F3377">
        <f t="shared" si="209"/>
        <v>2670</v>
      </c>
      <c r="G3377">
        <f t="shared" si="211"/>
        <v>2.4141573033707897</v>
      </c>
      <c r="H3377">
        <f t="shared" si="212"/>
        <v>2.4738806743472215</v>
      </c>
    </row>
    <row r="3378" spans="1:8" x14ac:dyDescent="0.25">
      <c r="A3378" t="str">
        <f t="shared" si="210"/>
        <v>Multihop,USnet,80</v>
      </c>
      <c r="B3378" t="s">
        <v>34</v>
      </c>
      <c r="C3378" t="s">
        <v>7</v>
      </c>
      <c r="D3378">
        <v>80</v>
      </c>
      <c r="E3378">
        <v>2629.1689999999999</v>
      </c>
      <c r="F3378">
        <f t="shared" si="209"/>
        <v>2670</v>
      </c>
      <c r="G3378">
        <f t="shared" si="211"/>
        <v>1.529250936329593</v>
      </c>
      <c r="H3378">
        <f t="shared" si="212"/>
        <v>1.5530002065291404</v>
      </c>
    </row>
    <row r="3379" spans="1:8" x14ac:dyDescent="0.25">
      <c r="A3379" t="str">
        <f t="shared" si="210"/>
        <v>Multihop,USnet,80</v>
      </c>
      <c r="B3379" t="s">
        <v>34</v>
      </c>
      <c r="C3379" t="s">
        <v>7</v>
      </c>
      <c r="D3379">
        <v>80</v>
      </c>
      <c r="E3379">
        <v>2683.596</v>
      </c>
      <c r="F3379">
        <f t="shared" si="209"/>
        <v>2670</v>
      </c>
      <c r="G3379">
        <f t="shared" si="211"/>
        <v>0.50921348314606751</v>
      </c>
      <c r="H3379">
        <f t="shared" si="212"/>
        <v>0.50663363635957137</v>
      </c>
    </row>
    <row r="3380" spans="1:8" x14ac:dyDescent="0.25">
      <c r="A3380" t="str">
        <f t="shared" si="210"/>
        <v>Multihop,USnet,80</v>
      </c>
      <c r="B3380" t="s">
        <v>34</v>
      </c>
      <c r="C3380" t="s">
        <v>7</v>
      </c>
      <c r="D3380">
        <v>80</v>
      </c>
      <c r="E3380">
        <v>2652.087</v>
      </c>
      <c r="F3380">
        <f t="shared" si="209"/>
        <v>2670</v>
      </c>
      <c r="G3380">
        <f t="shared" si="211"/>
        <v>0.67089887640449475</v>
      </c>
      <c r="H3380">
        <f t="shared" si="212"/>
        <v>0.67543033090543447</v>
      </c>
    </row>
    <row r="3381" spans="1:8" x14ac:dyDescent="0.25">
      <c r="A3381" t="str">
        <f t="shared" si="210"/>
        <v>Multihop,USnet,80</v>
      </c>
      <c r="B3381" t="s">
        <v>34</v>
      </c>
      <c r="C3381" t="s">
        <v>7</v>
      </c>
      <c r="D3381">
        <v>80</v>
      </c>
      <c r="E3381">
        <v>2684.893</v>
      </c>
      <c r="F3381">
        <f t="shared" si="209"/>
        <v>2670</v>
      </c>
      <c r="G3381">
        <f t="shared" si="211"/>
        <v>0.55779026217228578</v>
      </c>
      <c r="H3381">
        <f t="shared" si="212"/>
        <v>0.55469622066875768</v>
      </c>
    </row>
    <row r="3382" spans="1:8" x14ac:dyDescent="0.25">
      <c r="A3382" t="str">
        <f t="shared" si="210"/>
        <v>Multihop,USnet,80</v>
      </c>
      <c r="B3382" t="s">
        <v>34</v>
      </c>
      <c r="C3382" t="s">
        <v>7</v>
      </c>
      <c r="D3382">
        <v>80</v>
      </c>
      <c r="E3382">
        <v>2621.2350000000001</v>
      </c>
      <c r="F3382">
        <f t="shared" si="209"/>
        <v>2670</v>
      </c>
      <c r="G3382">
        <f t="shared" si="211"/>
        <v>1.8264044943820179</v>
      </c>
      <c r="H3382">
        <f t="shared" si="212"/>
        <v>1.8603826059090416</v>
      </c>
    </row>
    <row r="3383" spans="1:8" x14ac:dyDescent="0.25">
      <c r="A3383" t="str">
        <f t="shared" si="210"/>
        <v>Multihop,USnet,80</v>
      </c>
      <c r="B3383" t="s">
        <v>34</v>
      </c>
      <c r="C3383" t="s">
        <v>7</v>
      </c>
      <c r="D3383">
        <v>80</v>
      </c>
      <c r="E3383">
        <v>2661.3090000000002</v>
      </c>
      <c r="F3383">
        <f t="shared" si="209"/>
        <v>2670</v>
      </c>
      <c r="G3383">
        <f t="shared" si="211"/>
        <v>0.32550561797752076</v>
      </c>
      <c r="H3383">
        <f t="shared" si="212"/>
        <v>0.32656861717297025</v>
      </c>
    </row>
    <row r="3384" spans="1:8" x14ac:dyDescent="0.25">
      <c r="A3384" t="str">
        <f t="shared" si="210"/>
        <v>Multihop,USnet,80</v>
      </c>
      <c r="B3384" t="s">
        <v>34</v>
      </c>
      <c r="C3384" t="s">
        <v>7</v>
      </c>
      <c r="D3384">
        <v>80</v>
      </c>
      <c r="E3384">
        <v>2514.4</v>
      </c>
      <c r="F3384">
        <f t="shared" si="209"/>
        <v>2670</v>
      </c>
      <c r="G3384">
        <f t="shared" si="211"/>
        <v>5.8277153558052399</v>
      </c>
      <c r="H3384">
        <f t="shared" si="212"/>
        <v>6.1883550747693246</v>
      </c>
    </row>
    <row r="3385" spans="1:8" x14ac:dyDescent="0.25">
      <c r="A3385" t="str">
        <f t="shared" si="210"/>
        <v>Multihop,USnet,80</v>
      </c>
      <c r="B3385" t="s">
        <v>34</v>
      </c>
      <c r="C3385" t="s">
        <v>7</v>
      </c>
      <c r="D3385">
        <v>80</v>
      </c>
      <c r="E3385">
        <v>2628.7370000000001</v>
      </c>
      <c r="F3385">
        <f t="shared" si="209"/>
        <v>2670</v>
      </c>
      <c r="G3385">
        <f t="shared" si="211"/>
        <v>1.545430711610484</v>
      </c>
      <c r="H3385">
        <f t="shared" si="212"/>
        <v>1.5696891701223787</v>
      </c>
    </row>
    <row r="3386" spans="1:8" x14ac:dyDescent="0.25">
      <c r="A3386" t="str">
        <f t="shared" si="210"/>
        <v>Multihop,USnet,80</v>
      </c>
      <c r="B3386" t="s">
        <v>34</v>
      </c>
      <c r="C3386" t="s">
        <v>7</v>
      </c>
      <c r="D3386">
        <v>80</v>
      </c>
      <c r="E3386">
        <v>2578.4830000000002</v>
      </c>
      <c r="F3386">
        <f t="shared" si="209"/>
        <v>2670</v>
      </c>
      <c r="G3386">
        <f t="shared" si="211"/>
        <v>3.427602996254675</v>
      </c>
      <c r="H3386">
        <f t="shared" si="212"/>
        <v>3.5492574509895869</v>
      </c>
    </row>
    <row r="3387" spans="1:8" x14ac:dyDescent="0.25">
      <c r="A3387" t="str">
        <f t="shared" si="210"/>
        <v>Multihop,USnet,80</v>
      </c>
      <c r="B3387" t="s">
        <v>34</v>
      </c>
      <c r="C3387" t="s">
        <v>7</v>
      </c>
      <c r="D3387">
        <v>80</v>
      </c>
      <c r="E3387">
        <v>2659.1970000000001</v>
      </c>
      <c r="F3387">
        <f t="shared" si="209"/>
        <v>2670</v>
      </c>
      <c r="G3387">
        <f t="shared" si="211"/>
        <v>0.40460674157302934</v>
      </c>
      <c r="H3387">
        <f t="shared" si="212"/>
        <v>0.40625045831504331</v>
      </c>
    </row>
    <row r="3388" spans="1:8" x14ac:dyDescent="0.25">
      <c r="A3388" t="str">
        <f t="shared" si="210"/>
        <v>Multihop,USnet,80</v>
      </c>
      <c r="B3388" t="s">
        <v>34</v>
      </c>
      <c r="C3388" t="s">
        <v>7</v>
      </c>
      <c r="D3388">
        <v>80</v>
      </c>
      <c r="E3388">
        <v>2651.6489999999999</v>
      </c>
      <c r="F3388">
        <f t="shared" si="209"/>
        <v>2670</v>
      </c>
      <c r="G3388">
        <f t="shared" si="211"/>
        <v>0.68730337078652104</v>
      </c>
      <c r="H3388">
        <f t="shared" si="212"/>
        <v>0.69205992195800103</v>
      </c>
    </row>
    <row r="3389" spans="1:8" x14ac:dyDescent="0.25">
      <c r="A3389" t="str">
        <f t="shared" si="210"/>
        <v>Multihop,USnet,80</v>
      </c>
      <c r="B3389" t="s">
        <v>34</v>
      </c>
      <c r="C3389" t="s">
        <v>7</v>
      </c>
      <c r="D3389">
        <v>80</v>
      </c>
      <c r="E3389">
        <v>2649.491</v>
      </c>
      <c r="F3389">
        <f t="shared" si="209"/>
        <v>2670</v>
      </c>
      <c r="G3389">
        <f t="shared" si="211"/>
        <v>0.76812734082397061</v>
      </c>
      <c r="H3389">
        <f t="shared" si="212"/>
        <v>0.77407320877859231</v>
      </c>
    </row>
    <row r="3390" spans="1:8" x14ac:dyDescent="0.25">
      <c r="A3390" t="str">
        <f t="shared" si="210"/>
        <v>Multihop,USnet,80</v>
      </c>
      <c r="B3390" t="s">
        <v>34</v>
      </c>
      <c r="C3390" t="s">
        <v>7</v>
      </c>
      <c r="D3390">
        <v>80</v>
      </c>
      <c r="E3390">
        <v>2688.0740000000001</v>
      </c>
      <c r="F3390">
        <f t="shared" si="209"/>
        <v>2670</v>
      </c>
      <c r="G3390">
        <f t="shared" si="211"/>
        <v>0.67692883895131339</v>
      </c>
      <c r="H3390">
        <f t="shared" si="212"/>
        <v>0.67237732294572505</v>
      </c>
    </row>
    <row r="3391" spans="1:8" x14ac:dyDescent="0.25">
      <c r="A3391" t="str">
        <f t="shared" si="210"/>
        <v>Multihop,USnet,80</v>
      </c>
      <c r="B3391" t="s">
        <v>34</v>
      </c>
      <c r="C3391" t="s">
        <v>7</v>
      </c>
      <c r="D3391">
        <v>80</v>
      </c>
      <c r="E3391">
        <v>2697.402</v>
      </c>
      <c r="F3391">
        <f t="shared" si="209"/>
        <v>2670</v>
      </c>
      <c r="G3391">
        <f t="shared" si="211"/>
        <v>1.0262921348314624</v>
      </c>
      <c r="H3391">
        <f t="shared" si="212"/>
        <v>1.0158663780926998</v>
      </c>
    </row>
    <row r="3392" spans="1:8" x14ac:dyDescent="0.25">
      <c r="A3392" t="str">
        <f t="shared" si="210"/>
        <v>Multihop,USnet,80</v>
      </c>
      <c r="B3392" t="s">
        <v>34</v>
      </c>
      <c r="C3392" t="s">
        <v>7</v>
      </c>
      <c r="D3392">
        <v>80</v>
      </c>
      <c r="E3392">
        <v>2602.6060000000002</v>
      </c>
      <c r="F3392">
        <f t="shared" si="209"/>
        <v>2670</v>
      </c>
      <c r="G3392">
        <f t="shared" si="211"/>
        <v>2.5241198501872577</v>
      </c>
      <c r="H3392">
        <f t="shared" si="212"/>
        <v>2.5894814658845697</v>
      </c>
    </row>
    <row r="3393" spans="1:8" x14ac:dyDescent="0.25">
      <c r="A3393" t="str">
        <f t="shared" si="210"/>
        <v>Multihop,USnet,80</v>
      </c>
      <c r="B3393" t="s">
        <v>34</v>
      </c>
      <c r="C3393" t="s">
        <v>7</v>
      </c>
      <c r="D3393">
        <v>80</v>
      </c>
      <c r="E3393">
        <v>2671.232</v>
      </c>
      <c r="F3393">
        <f t="shared" si="209"/>
        <v>2670</v>
      </c>
      <c r="G3393">
        <f t="shared" si="211"/>
        <v>4.6142322097377189E-2</v>
      </c>
      <c r="H3393">
        <f t="shared" si="212"/>
        <v>4.6121040778186656E-2</v>
      </c>
    </row>
    <row r="3394" spans="1:8" x14ac:dyDescent="0.25">
      <c r="A3394" t="str">
        <f t="shared" si="210"/>
        <v>Multihop,USnet,80</v>
      </c>
      <c r="B3394" t="s">
        <v>34</v>
      </c>
      <c r="C3394" t="s">
        <v>7</v>
      </c>
      <c r="D3394">
        <v>80</v>
      </c>
      <c r="E3394">
        <v>2656.0970000000002</v>
      </c>
      <c r="F3394">
        <f t="shared" si="209"/>
        <v>2670</v>
      </c>
      <c r="G3394">
        <f t="shared" si="211"/>
        <v>0.52071161048688364</v>
      </c>
      <c r="H3394">
        <f t="shared" si="212"/>
        <v>0.52343720880674882</v>
      </c>
    </row>
    <row r="3395" spans="1:8" x14ac:dyDescent="0.25">
      <c r="A3395" t="str">
        <f t="shared" si="210"/>
        <v>Multihop,USnet,80</v>
      </c>
      <c r="B3395" t="s">
        <v>34</v>
      </c>
      <c r="C3395" t="s">
        <v>7</v>
      </c>
      <c r="D3395">
        <v>80</v>
      </c>
      <c r="E3395">
        <v>2712.3</v>
      </c>
      <c r="F3395">
        <f t="shared" ref="F3395:F3458" si="213">_xlfn.XLOOKUP(A3395,$J$3:$J$36,$N$3:$N$36)</f>
        <v>2670</v>
      </c>
      <c r="G3395">
        <f t="shared" si="211"/>
        <v>1.5842696629213553</v>
      </c>
      <c r="H3395">
        <f t="shared" si="212"/>
        <v>1.5595619953545028</v>
      </c>
    </row>
    <row r="3396" spans="1:8" x14ac:dyDescent="0.25">
      <c r="A3396" t="str">
        <f t="shared" ref="A3396:A3459" si="214">B3396&amp;","&amp;C3396&amp;","&amp;D3396</f>
        <v>Multihop,USnet,80</v>
      </c>
      <c r="B3396" t="s">
        <v>34</v>
      </c>
      <c r="C3396" t="s">
        <v>7</v>
      </c>
      <c r="D3396">
        <v>80</v>
      </c>
      <c r="E3396">
        <v>2747.3530000000001</v>
      </c>
      <c r="F3396">
        <f t="shared" si="213"/>
        <v>2670</v>
      </c>
      <c r="G3396">
        <f t="shared" ref="G3396:G3459" si="215">ABS((E3396-F3396)/F3396)*100</f>
        <v>2.8971161048689162</v>
      </c>
      <c r="H3396">
        <f t="shared" ref="H3396:H3459" si="216">ABS((F3396-E3396)/E3396)*100</f>
        <v>2.8155464550787634</v>
      </c>
    </row>
    <row r="3397" spans="1:8" x14ac:dyDescent="0.25">
      <c r="A3397" t="str">
        <f t="shared" si="214"/>
        <v>Multihop,USnet,80</v>
      </c>
      <c r="B3397" t="s">
        <v>34</v>
      </c>
      <c r="C3397" t="s">
        <v>7</v>
      </c>
      <c r="D3397">
        <v>80</v>
      </c>
      <c r="E3397">
        <v>2677.0120000000002</v>
      </c>
      <c r="F3397">
        <f t="shared" si="213"/>
        <v>2670</v>
      </c>
      <c r="G3397">
        <f t="shared" si="215"/>
        <v>0.26262172284644836</v>
      </c>
      <c r="H3397">
        <f t="shared" si="216"/>
        <v>0.26193382771538454</v>
      </c>
    </row>
    <row r="3398" spans="1:8" x14ac:dyDescent="0.25">
      <c r="A3398" t="str">
        <f t="shared" si="214"/>
        <v>Multihop,USnet,80</v>
      </c>
      <c r="B3398" t="s">
        <v>34</v>
      </c>
      <c r="C3398" t="s">
        <v>7</v>
      </c>
      <c r="D3398">
        <v>80</v>
      </c>
      <c r="E3398">
        <v>2631.5729999999999</v>
      </c>
      <c r="F3398">
        <f t="shared" si="213"/>
        <v>2670</v>
      </c>
      <c r="G3398">
        <f t="shared" si="215"/>
        <v>1.4392134831460723</v>
      </c>
      <c r="H3398">
        <f t="shared" si="216"/>
        <v>1.4602293001182236</v>
      </c>
    </row>
    <row r="3399" spans="1:8" x14ac:dyDescent="0.25">
      <c r="A3399" t="str">
        <f t="shared" si="214"/>
        <v>Multihop,USnet,80</v>
      </c>
      <c r="B3399" t="s">
        <v>34</v>
      </c>
      <c r="C3399" t="s">
        <v>7</v>
      </c>
      <c r="D3399">
        <v>80</v>
      </c>
      <c r="E3399">
        <v>2641.7379999999998</v>
      </c>
      <c r="F3399">
        <f t="shared" si="213"/>
        <v>2670</v>
      </c>
      <c r="G3399">
        <f t="shared" si="215"/>
        <v>1.0585018726591824</v>
      </c>
      <c r="H3399">
        <f t="shared" si="216"/>
        <v>1.0698260009130418</v>
      </c>
    </row>
    <row r="3400" spans="1:8" x14ac:dyDescent="0.25">
      <c r="A3400" t="str">
        <f t="shared" si="214"/>
        <v>Multihop,USnet,80</v>
      </c>
      <c r="B3400" t="s">
        <v>34</v>
      </c>
      <c r="C3400" t="s">
        <v>7</v>
      </c>
      <c r="D3400">
        <v>80</v>
      </c>
      <c r="E3400">
        <v>2718.7130000000002</v>
      </c>
      <c r="F3400">
        <f t="shared" si="213"/>
        <v>2670</v>
      </c>
      <c r="G3400">
        <f t="shared" si="215"/>
        <v>1.8244569288389585</v>
      </c>
      <c r="H3400">
        <f t="shared" si="216"/>
        <v>1.7917669132416769</v>
      </c>
    </row>
    <row r="3401" spans="1:8" x14ac:dyDescent="0.25">
      <c r="A3401" t="str">
        <f t="shared" si="214"/>
        <v>Multihop,USnet,80</v>
      </c>
      <c r="B3401" t="s">
        <v>34</v>
      </c>
      <c r="C3401" t="s">
        <v>7</v>
      </c>
      <c r="D3401">
        <v>80</v>
      </c>
      <c r="E3401">
        <v>2608.9029999999998</v>
      </c>
      <c r="F3401">
        <f t="shared" si="213"/>
        <v>2670</v>
      </c>
      <c r="G3401">
        <f t="shared" si="215"/>
        <v>2.2882771535580599</v>
      </c>
      <c r="H3401">
        <f t="shared" si="216"/>
        <v>2.3418655273883395</v>
      </c>
    </row>
    <row r="3402" spans="1:8" x14ac:dyDescent="0.25">
      <c r="A3402" t="str">
        <f t="shared" si="214"/>
        <v>Multihop,USnet,80</v>
      </c>
      <c r="B3402" t="s">
        <v>34</v>
      </c>
      <c r="C3402" t="s">
        <v>7</v>
      </c>
      <c r="D3402">
        <v>80</v>
      </c>
      <c r="E3402">
        <v>2580.913</v>
      </c>
      <c r="F3402">
        <f t="shared" si="213"/>
        <v>2670</v>
      </c>
      <c r="G3402">
        <f t="shared" si="215"/>
        <v>3.3365917602996253</v>
      </c>
      <c r="H3402">
        <f t="shared" si="216"/>
        <v>3.4517630001476216</v>
      </c>
    </row>
    <row r="3403" spans="1:8" x14ac:dyDescent="0.25">
      <c r="A3403" t="str">
        <f t="shared" si="214"/>
        <v>Multihop,USnet,100</v>
      </c>
      <c r="B3403" t="s">
        <v>34</v>
      </c>
      <c r="C3403" t="s">
        <v>7</v>
      </c>
      <c r="D3403">
        <v>100</v>
      </c>
      <c r="E3403">
        <v>3227.395</v>
      </c>
      <c r="F3403">
        <f t="shared" si="213"/>
        <v>3280</v>
      </c>
      <c r="G3403">
        <f t="shared" si="215"/>
        <v>1.6038109756097565</v>
      </c>
      <c r="H3403">
        <f t="shared" si="216"/>
        <v>1.6299523299751044</v>
      </c>
    </row>
    <row r="3404" spans="1:8" x14ac:dyDescent="0.25">
      <c r="A3404" t="str">
        <f t="shared" si="214"/>
        <v>Multihop,USnet,100</v>
      </c>
      <c r="B3404" t="s">
        <v>34</v>
      </c>
      <c r="C3404" t="s">
        <v>7</v>
      </c>
      <c r="D3404">
        <v>100</v>
      </c>
      <c r="E3404">
        <v>3215.7919999999999</v>
      </c>
      <c r="F3404">
        <f t="shared" si="213"/>
        <v>3280</v>
      </c>
      <c r="G3404">
        <f t="shared" si="215"/>
        <v>1.9575609756097587</v>
      </c>
      <c r="H3404">
        <f t="shared" si="216"/>
        <v>1.9966465492793093</v>
      </c>
    </row>
    <row r="3405" spans="1:8" x14ac:dyDescent="0.25">
      <c r="A3405" t="str">
        <f t="shared" si="214"/>
        <v>Multihop,USnet,100</v>
      </c>
      <c r="B3405" t="s">
        <v>34</v>
      </c>
      <c r="C3405" t="s">
        <v>7</v>
      </c>
      <c r="D3405">
        <v>100</v>
      </c>
      <c r="E3405">
        <v>3299.7919999999999</v>
      </c>
      <c r="F3405">
        <f t="shared" si="213"/>
        <v>3280</v>
      </c>
      <c r="G3405">
        <f t="shared" si="215"/>
        <v>0.60341463414633889</v>
      </c>
      <c r="H3405">
        <f t="shared" si="216"/>
        <v>0.59979538104219654</v>
      </c>
    </row>
    <row r="3406" spans="1:8" x14ac:dyDescent="0.25">
      <c r="A3406" t="str">
        <f t="shared" si="214"/>
        <v>Multihop,USnet,100</v>
      </c>
      <c r="B3406" t="s">
        <v>34</v>
      </c>
      <c r="C3406" t="s">
        <v>7</v>
      </c>
      <c r="D3406">
        <v>100</v>
      </c>
      <c r="E3406">
        <v>3216.36</v>
      </c>
      <c r="F3406">
        <f t="shared" si="213"/>
        <v>3280</v>
      </c>
      <c r="G3406">
        <f t="shared" si="215"/>
        <v>1.9402439024390206</v>
      </c>
      <c r="H3406">
        <f t="shared" si="216"/>
        <v>1.9786342324864092</v>
      </c>
    </row>
    <row r="3407" spans="1:8" x14ac:dyDescent="0.25">
      <c r="A3407" t="str">
        <f t="shared" si="214"/>
        <v>Multihop,USnet,100</v>
      </c>
      <c r="B3407" t="s">
        <v>34</v>
      </c>
      <c r="C3407" t="s">
        <v>7</v>
      </c>
      <c r="D3407">
        <v>100</v>
      </c>
      <c r="E3407">
        <v>3388.2449999999999</v>
      </c>
      <c r="F3407">
        <f t="shared" si="213"/>
        <v>3280</v>
      </c>
      <c r="G3407">
        <f t="shared" si="215"/>
        <v>3.3001524390243868</v>
      </c>
      <c r="H3407">
        <f t="shared" si="216"/>
        <v>3.1947217512310915</v>
      </c>
    </row>
    <row r="3408" spans="1:8" x14ac:dyDescent="0.25">
      <c r="A3408" t="str">
        <f t="shared" si="214"/>
        <v>Multihop,USnet,100</v>
      </c>
      <c r="B3408" t="s">
        <v>34</v>
      </c>
      <c r="C3408" t="s">
        <v>7</v>
      </c>
      <c r="D3408">
        <v>100</v>
      </c>
      <c r="E3408">
        <v>3268.1680000000001</v>
      </c>
      <c r="F3408">
        <f t="shared" si="213"/>
        <v>3280</v>
      </c>
      <c r="G3408">
        <f t="shared" si="215"/>
        <v>0.36073170731706955</v>
      </c>
      <c r="H3408">
        <f t="shared" si="216"/>
        <v>0.36203769206478609</v>
      </c>
    </row>
    <row r="3409" spans="1:8" x14ac:dyDescent="0.25">
      <c r="A3409" t="str">
        <f t="shared" si="214"/>
        <v>Multihop,USnet,100</v>
      </c>
      <c r="B3409" t="s">
        <v>34</v>
      </c>
      <c r="C3409" t="s">
        <v>7</v>
      </c>
      <c r="D3409">
        <v>100</v>
      </c>
      <c r="E3409">
        <v>3171.1089999999999</v>
      </c>
      <c r="F3409">
        <f t="shared" si="213"/>
        <v>3280</v>
      </c>
      <c r="G3409">
        <f t="shared" si="215"/>
        <v>3.319847560975612</v>
      </c>
      <c r="H3409">
        <f t="shared" si="216"/>
        <v>3.4338460141231373</v>
      </c>
    </row>
    <row r="3410" spans="1:8" x14ac:dyDescent="0.25">
      <c r="A3410" t="str">
        <f t="shared" si="214"/>
        <v>Multihop,USnet,100</v>
      </c>
      <c r="B3410" t="s">
        <v>34</v>
      </c>
      <c r="C3410" t="s">
        <v>7</v>
      </c>
      <c r="D3410">
        <v>100</v>
      </c>
      <c r="E3410">
        <v>3257.9409999999998</v>
      </c>
      <c r="F3410">
        <f t="shared" si="213"/>
        <v>3280</v>
      </c>
      <c r="G3410">
        <f t="shared" si="215"/>
        <v>0.67253048780488411</v>
      </c>
      <c r="H3410">
        <f t="shared" si="216"/>
        <v>0.67708408470258363</v>
      </c>
    </row>
    <row r="3411" spans="1:8" x14ac:dyDescent="0.25">
      <c r="A3411" t="str">
        <f t="shared" si="214"/>
        <v>Multihop,USnet,100</v>
      </c>
      <c r="B3411" t="s">
        <v>34</v>
      </c>
      <c r="C3411" t="s">
        <v>7</v>
      </c>
      <c r="D3411">
        <v>100</v>
      </c>
      <c r="E3411">
        <v>3118.99</v>
      </c>
      <c r="F3411">
        <f t="shared" si="213"/>
        <v>3280</v>
      </c>
      <c r="G3411">
        <f t="shared" si="215"/>
        <v>4.9088414634146407</v>
      </c>
      <c r="H3411">
        <f t="shared" si="216"/>
        <v>5.1622480354217304</v>
      </c>
    </row>
    <row r="3412" spans="1:8" x14ac:dyDescent="0.25">
      <c r="A3412" t="str">
        <f t="shared" si="214"/>
        <v>Multihop,USnet,100</v>
      </c>
      <c r="B3412" t="s">
        <v>34</v>
      </c>
      <c r="C3412" t="s">
        <v>7</v>
      </c>
      <c r="D3412">
        <v>100</v>
      </c>
      <c r="E3412">
        <v>3241.25</v>
      </c>
      <c r="F3412">
        <f t="shared" si="213"/>
        <v>3280</v>
      </c>
      <c r="G3412">
        <f t="shared" si="215"/>
        <v>1.1814024390243902</v>
      </c>
      <c r="H3412">
        <f t="shared" si="216"/>
        <v>1.195526417277285</v>
      </c>
    </row>
    <row r="3413" spans="1:8" x14ac:dyDescent="0.25">
      <c r="A3413" t="str">
        <f t="shared" si="214"/>
        <v>Multihop,USnet,100</v>
      </c>
      <c r="B3413" t="s">
        <v>34</v>
      </c>
      <c r="C3413" t="s">
        <v>7</v>
      </c>
      <c r="D3413">
        <v>100</v>
      </c>
      <c r="E3413">
        <v>3329.665</v>
      </c>
      <c r="F3413">
        <f t="shared" si="213"/>
        <v>3280</v>
      </c>
      <c r="G3413">
        <f t="shared" si="215"/>
        <v>1.5141768292682916</v>
      </c>
      <c r="H3413">
        <f t="shared" si="216"/>
        <v>1.4915914964418333</v>
      </c>
    </row>
    <row r="3414" spans="1:8" x14ac:dyDescent="0.25">
      <c r="A3414" t="str">
        <f t="shared" si="214"/>
        <v>Multihop,USnet,100</v>
      </c>
      <c r="B3414" t="s">
        <v>34</v>
      </c>
      <c r="C3414" t="s">
        <v>7</v>
      </c>
      <c r="D3414">
        <v>100</v>
      </c>
      <c r="E3414">
        <v>3111.9009999999998</v>
      </c>
      <c r="F3414">
        <f t="shared" si="213"/>
        <v>3280</v>
      </c>
      <c r="G3414">
        <f t="shared" si="215"/>
        <v>5.1249695121951264</v>
      </c>
      <c r="H3414">
        <f t="shared" si="216"/>
        <v>5.4018106617145003</v>
      </c>
    </row>
    <row r="3415" spans="1:8" x14ac:dyDescent="0.25">
      <c r="A3415" t="str">
        <f t="shared" si="214"/>
        <v>Multihop,USnet,100</v>
      </c>
      <c r="B3415" t="s">
        <v>34</v>
      </c>
      <c r="C3415" t="s">
        <v>7</v>
      </c>
      <c r="D3415">
        <v>100</v>
      </c>
      <c r="E3415">
        <v>3215.422</v>
      </c>
      <c r="F3415">
        <f t="shared" si="213"/>
        <v>3280</v>
      </c>
      <c r="G3415">
        <f t="shared" si="215"/>
        <v>1.9688414634146334</v>
      </c>
      <c r="H3415">
        <f t="shared" si="216"/>
        <v>2.0083833475046191</v>
      </c>
    </row>
    <row r="3416" spans="1:8" x14ac:dyDescent="0.25">
      <c r="A3416" t="str">
        <f t="shared" si="214"/>
        <v>Multihop,USnet,100</v>
      </c>
      <c r="B3416" t="s">
        <v>34</v>
      </c>
      <c r="C3416" t="s">
        <v>7</v>
      </c>
      <c r="D3416">
        <v>100</v>
      </c>
      <c r="E3416">
        <v>3255.4389999999999</v>
      </c>
      <c r="F3416">
        <f t="shared" si="213"/>
        <v>3280</v>
      </c>
      <c r="G3416">
        <f t="shared" si="215"/>
        <v>0.74881097560976062</v>
      </c>
      <c r="H3416">
        <f t="shared" si="216"/>
        <v>0.75446045832835906</v>
      </c>
    </row>
    <row r="3417" spans="1:8" x14ac:dyDescent="0.25">
      <c r="A3417" t="str">
        <f t="shared" si="214"/>
        <v>Multihop,USnet,100</v>
      </c>
      <c r="B3417" t="s">
        <v>34</v>
      </c>
      <c r="C3417" t="s">
        <v>7</v>
      </c>
      <c r="D3417">
        <v>100</v>
      </c>
      <c r="E3417">
        <v>3201.6010000000001</v>
      </c>
      <c r="F3417">
        <f t="shared" si="213"/>
        <v>3280</v>
      </c>
      <c r="G3417">
        <f t="shared" si="215"/>
        <v>2.3902134146341432</v>
      </c>
      <c r="H3417">
        <f t="shared" si="216"/>
        <v>2.4487436129611369</v>
      </c>
    </row>
    <row r="3418" spans="1:8" x14ac:dyDescent="0.25">
      <c r="A3418" t="str">
        <f t="shared" si="214"/>
        <v>Multihop,USnet,100</v>
      </c>
      <c r="B3418" t="s">
        <v>34</v>
      </c>
      <c r="C3418" t="s">
        <v>7</v>
      </c>
      <c r="D3418">
        <v>100</v>
      </c>
      <c r="E3418">
        <v>3134.6329999999998</v>
      </c>
      <c r="F3418">
        <f t="shared" si="213"/>
        <v>3280</v>
      </c>
      <c r="G3418">
        <f t="shared" si="215"/>
        <v>4.431920731707323</v>
      </c>
      <c r="H3418">
        <f t="shared" si="216"/>
        <v>4.6374487858706326</v>
      </c>
    </row>
    <row r="3419" spans="1:8" x14ac:dyDescent="0.25">
      <c r="A3419" t="str">
        <f t="shared" si="214"/>
        <v>Multihop,USnet,100</v>
      </c>
      <c r="B3419" t="s">
        <v>34</v>
      </c>
      <c r="C3419" t="s">
        <v>7</v>
      </c>
      <c r="D3419">
        <v>100</v>
      </c>
      <c r="E3419">
        <v>3269.9949999999999</v>
      </c>
      <c r="F3419">
        <f t="shared" si="213"/>
        <v>3280</v>
      </c>
      <c r="G3419">
        <f t="shared" si="215"/>
        <v>0.30503048780488135</v>
      </c>
      <c r="H3419">
        <f t="shared" si="216"/>
        <v>0.30596377058680851</v>
      </c>
    </row>
    <row r="3420" spans="1:8" x14ac:dyDescent="0.25">
      <c r="A3420" t="str">
        <f t="shared" si="214"/>
        <v>Multihop,USnet,100</v>
      </c>
      <c r="B3420" t="s">
        <v>34</v>
      </c>
      <c r="C3420" t="s">
        <v>7</v>
      </c>
      <c r="D3420">
        <v>100</v>
      </c>
      <c r="E3420">
        <v>3218.0169999999998</v>
      </c>
      <c r="F3420">
        <f t="shared" si="213"/>
        <v>3280</v>
      </c>
      <c r="G3420">
        <f t="shared" si="215"/>
        <v>1.889725609756103</v>
      </c>
      <c r="H3420">
        <f t="shared" si="216"/>
        <v>1.9261240695745294</v>
      </c>
    </row>
    <row r="3421" spans="1:8" x14ac:dyDescent="0.25">
      <c r="A3421" t="str">
        <f t="shared" si="214"/>
        <v>Multihop,USnet,100</v>
      </c>
      <c r="B3421" t="s">
        <v>34</v>
      </c>
      <c r="C3421" t="s">
        <v>7</v>
      </c>
      <c r="D3421">
        <v>100</v>
      </c>
      <c r="E3421">
        <v>3392.58</v>
      </c>
      <c r="F3421">
        <f t="shared" si="213"/>
        <v>3280</v>
      </c>
      <c r="G3421">
        <f t="shared" si="215"/>
        <v>3.4323170731707293</v>
      </c>
      <c r="H3421">
        <f t="shared" si="216"/>
        <v>3.3184184308107669</v>
      </c>
    </row>
    <row r="3422" spans="1:8" x14ac:dyDescent="0.25">
      <c r="A3422" t="str">
        <f t="shared" si="214"/>
        <v>Multihop,USnet,100</v>
      </c>
      <c r="B3422" t="s">
        <v>34</v>
      </c>
      <c r="C3422" t="s">
        <v>7</v>
      </c>
      <c r="D3422">
        <v>100</v>
      </c>
      <c r="E3422">
        <v>3259.7979999999998</v>
      </c>
      <c r="F3422">
        <f t="shared" si="213"/>
        <v>3280</v>
      </c>
      <c r="G3422">
        <f t="shared" si="215"/>
        <v>0.61591463414634828</v>
      </c>
      <c r="H3422">
        <f t="shared" si="216"/>
        <v>0.61973165208397041</v>
      </c>
    </row>
    <row r="3423" spans="1:8" x14ac:dyDescent="0.25">
      <c r="A3423" t="str">
        <f t="shared" si="214"/>
        <v>Multihop,USnet,100</v>
      </c>
      <c r="B3423" t="s">
        <v>34</v>
      </c>
      <c r="C3423" t="s">
        <v>7</v>
      </c>
      <c r="D3423">
        <v>100</v>
      </c>
      <c r="E3423">
        <v>3302.5650000000001</v>
      </c>
      <c r="F3423">
        <f t="shared" si="213"/>
        <v>3280</v>
      </c>
      <c r="G3423">
        <f t="shared" si="215"/>
        <v>0.68795731707317243</v>
      </c>
      <c r="H3423">
        <f t="shared" si="216"/>
        <v>0.68325680191003213</v>
      </c>
    </row>
    <row r="3424" spans="1:8" x14ac:dyDescent="0.25">
      <c r="A3424" t="str">
        <f t="shared" si="214"/>
        <v>Multihop,USnet,100</v>
      </c>
      <c r="B3424" t="s">
        <v>34</v>
      </c>
      <c r="C3424" t="s">
        <v>7</v>
      </c>
      <c r="D3424">
        <v>100</v>
      </c>
      <c r="E3424">
        <v>3217.2020000000002</v>
      </c>
      <c r="F3424">
        <f t="shared" si="213"/>
        <v>3280</v>
      </c>
      <c r="G3424">
        <f t="shared" si="215"/>
        <v>1.9145731707317002</v>
      </c>
      <c r="H3424">
        <f t="shared" si="216"/>
        <v>1.9519445779282674</v>
      </c>
    </row>
    <row r="3425" spans="1:8" x14ac:dyDescent="0.25">
      <c r="A3425" t="str">
        <f t="shared" si="214"/>
        <v>Multihop,USnet,100</v>
      </c>
      <c r="B3425" t="s">
        <v>34</v>
      </c>
      <c r="C3425" t="s">
        <v>7</v>
      </c>
      <c r="D3425">
        <v>100</v>
      </c>
      <c r="E3425">
        <v>3056.55</v>
      </c>
      <c r="F3425">
        <f t="shared" si="213"/>
        <v>3280</v>
      </c>
      <c r="G3425">
        <f t="shared" si="215"/>
        <v>6.8124999999999947</v>
      </c>
      <c r="H3425">
        <f t="shared" si="216"/>
        <v>7.3105298457411063</v>
      </c>
    </row>
    <row r="3426" spans="1:8" x14ac:dyDescent="0.25">
      <c r="A3426" t="str">
        <f t="shared" si="214"/>
        <v>Multihop,USnet,100</v>
      </c>
      <c r="B3426" t="s">
        <v>34</v>
      </c>
      <c r="C3426" t="s">
        <v>7</v>
      </c>
      <c r="D3426">
        <v>100</v>
      </c>
      <c r="E3426">
        <v>3320.7890000000002</v>
      </c>
      <c r="F3426">
        <f t="shared" si="213"/>
        <v>3280</v>
      </c>
      <c r="G3426">
        <f t="shared" si="215"/>
        <v>1.2435670731707382</v>
      </c>
      <c r="H3426">
        <f t="shared" si="216"/>
        <v>1.2282924329127869</v>
      </c>
    </row>
    <row r="3427" spans="1:8" x14ac:dyDescent="0.25">
      <c r="A3427" t="str">
        <f t="shared" si="214"/>
        <v>Multihop,USnet,100</v>
      </c>
      <c r="B3427" t="s">
        <v>34</v>
      </c>
      <c r="C3427" t="s">
        <v>7</v>
      </c>
      <c r="D3427">
        <v>100</v>
      </c>
      <c r="E3427">
        <v>3077.5349999999999</v>
      </c>
      <c r="F3427">
        <f t="shared" si="213"/>
        <v>3280</v>
      </c>
      <c r="G3427">
        <f t="shared" si="215"/>
        <v>6.17271341463415</v>
      </c>
      <c r="H3427">
        <f t="shared" si="216"/>
        <v>6.5788041403265982</v>
      </c>
    </row>
    <row r="3428" spans="1:8" x14ac:dyDescent="0.25">
      <c r="A3428" t="str">
        <f t="shared" si="214"/>
        <v>Multihop,USnet,100</v>
      </c>
      <c r="B3428" t="s">
        <v>34</v>
      </c>
      <c r="C3428" t="s">
        <v>7</v>
      </c>
      <c r="D3428">
        <v>100</v>
      </c>
      <c r="E3428">
        <v>3296.7570000000001</v>
      </c>
      <c r="F3428">
        <f t="shared" si="213"/>
        <v>3280</v>
      </c>
      <c r="G3428">
        <f t="shared" si="215"/>
        <v>0.51088414634146528</v>
      </c>
      <c r="H3428">
        <f t="shared" si="216"/>
        <v>0.50828738666513973</v>
      </c>
    </row>
    <row r="3429" spans="1:8" x14ac:dyDescent="0.25">
      <c r="A3429" t="str">
        <f t="shared" si="214"/>
        <v>Multihop,USnet,100</v>
      </c>
      <c r="B3429" t="s">
        <v>34</v>
      </c>
      <c r="C3429" t="s">
        <v>7</v>
      </c>
      <c r="D3429">
        <v>100</v>
      </c>
      <c r="E3429">
        <v>3294.0129999999999</v>
      </c>
      <c r="F3429">
        <f t="shared" si="213"/>
        <v>3280</v>
      </c>
      <c r="G3429">
        <f t="shared" si="215"/>
        <v>0.42722560975609508</v>
      </c>
      <c r="H3429">
        <f t="shared" si="216"/>
        <v>0.42540815716270458</v>
      </c>
    </row>
    <row r="3430" spans="1:8" x14ac:dyDescent="0.25">
      <c r="A3430" t="str">
        <f t="shared" si="214"/>
        <v>Multihop,USnet,100</v>
      </c>
      <c r="B3430" t="s">
        <v>34</v>
      </c>
      <c r="C3430" t="s">
        <v>7</v>
      </c>
      <c r="D3430">
        <v>100</v>
      </c>
      <c r="E3430">
        <v>3155.0279999999998</v>
      </c>
      <c r="F3430">
        <f t="shared" si="213"/>
        <v>3280</v>
      </c>
      <c r="G3430">
        <f t="shared" si="215"/>
        <v>3.8101219512195188</v>
      </c>
      <c r="H3430">
        <f t="shared" si="216"/>
        <v>3.9610425010491257</v>
      </c>
    </row>
    <row r="3431" spans="1:8" x14ac:dyDescent="0.25">
      <c r="A3431" t="str">
        <f t="shared" si="214"/>
        <v>Multihop,USnet,100</v>
      </c>
      <c r="B3431" t="s">
        <v>34</v>
      </c>
      <c r="C3431" t="s">
        <v>7</v>
      </c>
      <c r="D3431">
        <v>100</v>
      </c>
      <c r="E3431">
        <v>3336.7069999999999</v>
      </c>
      <c r="F3431">
        <f t="shared" si="213"/>
        <v>3280</v>
      </c>
      <c r="G3431">
        <f t="shared" si="215"/>
        <v>1.7288719512195085</v>
      </c>
      <c r="H3431">
        <f t="shared" si="216"/>
        <v>1.6994899462254218</v>
      </c>
    </row>
    <row r="3432" spans="1:8" x14ac:dyDescent="0.25">
      <c r="A3432" t="str">
        <f t="shared" si="214"/>
        <v>Multihop,USnet,100</v>
      </c>
      <c r="B3432" t="s">
        <v>34</v>
      </c>
      <c r="C3432" t="s">
        <v>7</v>
      </c>
      <c r="D3432">
        <v>100</v>
      </c>
      <c r="E3432">
        <v>3340.3510000000001</v>
      </c>
      <c r="F3432">
        <f t="shared" si="213"/>
        <v>3280</v>
      </c>
      <c r="G3432">
        <f t="shared" si="215"/>
        <v>1.8399695121951256</v>
      </c>
      <c r="H3432">
        <f t="shared" si="216"/>
        <v>1.8067262991224606</v>
      </c>
    </row>
    <row r="3433" spans="1:8" x14ac:dyDescent="0.25">
      <c r="A3433" t="str">
        <f t="shared" si="214"/>
        <v>Multihop,USnet,100</v>
      </c>
      <c r="B3433" t="s">
        <v>34</v>
      </c>
      <c r="C3433" t="s">
        <v>7</v>
      </c>
      <c r="D3433">
        <v>100</v>
      </c>
      <c r="E3433">
        <v>3277.2840000000001</v>
      </c>
      <c r="F3433">
        <f t="shared" si="213"/>
        <v>3280</v>
      </c>
      <c r="G3433">
        <f t="shared" si="215"/>
        <v>8.2804878048777272E-2</v>
      </c>
      <c r="H3433">
        <f t="shared" si="216"/>
        <v>8.2873501350505308E-2</v>
      </c>
    </row>
    <row r="3434" spans="1:8" x14ac:dyDescent="0.25">
      <c r="A3434" t="str">
        <f t="shared" si="214"/>
        <v>Multihop,USnet,100</v>
      </c>
      <c r="B3434" t="s">
        <v>34</v>
      </c>
      <c r="C3434" t="s">
        <v>7</v>
      </c>
      <c r="D3434">
        <v>100</v>
      </c>
      <c r="E3434">
        <v>3251.6370000000002</v>
      </c>
      <c r="F3434">
        <f t="shared" si="213"/>
        <v>3280</v>
      </c>
      <c r="G3434">
        <f t="shared" si="215"/>
        <v>0.86472560975609236</v>
      </c>
      <c r="H3434">
        <f t="shared" si="216"/>
        <v>0.87226833745586685</v>
      </c>
    </row>
    <row r="3435" spans="1:8" x14ac:dyDescent="0.25">
      <c r="A3435" t="str">
        <f t="shared" si="214"/>
        <v>Multihop,USnet,100</v>
      </c>
      <c r="B3435" t="s">
        <v>34</v>
      </c>
      <c r="C3435" t="s">
        <v>7</v>
      </c>
      <c r="D3435">
        <v>100</v>
      </c>
      <c r="E3435">
        <v>3312.0390000000002</v>
      </c>
      <c r="F3435">
        <f t="shared" si="213"/>
        <v>3280</v>
      </c>
      <c r="G3435">
        <f t="shared" si="215"/>
        <v>0.97679878048781144</v>
      </c>
      <c r="H3435">
        <f t="shared" si="216"/>
        <v>0.96734972021767296</v>
      </c>
    </row>
    <row r="3436" spans="1:8" x14ac:dyDescent="0.25">
      <c r="A3436" t="str">
        <f t="shared" si="214"/>
        <v>Multihop,USnet,100</v>
      </c>
      <c r="B3436" t="s">
        <v>34</v>
      </c>
      <c r="C3436" t="s">
        <v>7</v>
      </c>
      <c r="D3436">
        <v>100</v>
      </c>
      <c r="E3436">
        <v>3173.2020000000002</v>
      </c>
      <c r="F3436">
        <f t="shared" si="213"/>
        <v>3280</v>
      </c>
      <c r="G3436">
        <f t="shared" si="215"/>
        <v>3.2560365853658473</v>
      </c>
      <c r="H3436">
        <f t="shared" si="216"/>
        <v>3.3656224847961069</v>
      </c>
    </row>
    <row r="3437" spans="1:8" x14ac:dyDescent="0.25">
      <c r="A3437" t="str">
        <f t="shared" si="214"/>
        <v>Multihop,USnet,100</v>
      </c>
      <c r="B3437" t="s">
        <v>34</v>
      </c>
      <c r="C3437" t="s">
        <v>7</v>
      </c>
      <c r="D3437">
        <v>100</v>
      </c>
      <c r="E3437">
        <v>3129.9119999999998</v>
      </c>
      <c r="F3437">
        <f t="shared" si="213"/>
        <v>3280</v>
      </c>
      <c r="G3437">
        <f t="shared" si="215"/>
        <v>4.575853658536591</v>
      </c>
      <c r="H3437">
        <f t="shared" si="216"/>
        <v>4.795278589302197</v>
      </c>
    </row>
    <row r="3438" spans="1:8" x14ac:dyDescent="0.25">
      <c r="A3438" t="str">
        <f t="shared" si="214"/>
        <v>Multihop,USnet,100</v>
      </c>
      <c r="B3438" t="s">
        <v>34</v>
      </c>
      <c r="C3438" t="s">
        <v>7</v>
      </c>
      <c r="D3438">
        <v>100</v>
      </c>
      <c r="E3438">
        <v>3119.8429999999998</v>
      </c>
      <c r="F3438">
        <f t="shared" si="213"/>
        <v>3280</v>
      </c>
      <c r="G3438">
        <f t="shared" si="215"/>
        <v>4.882835365853663</v>
      </c>
      <c r="H3438">
        <f t="shared" si="216"/>
        <v>5.1334954996132875</v>
      </c>
    </row>
    <row r="3439" spans="1:8" x14ac:dyDescent="0.25">
      <c r="A3439" t="str">
        <f t="shared" si="214"/>
        <v>Multihop,USnet,100</v>
      </c>
      <c r="B3439" t="s">
        <v>34</v>
      </c>
      <c r="C3439" t="s">
        <v>7</v>
      </c>
      <c r="D3439">
        <v>100</v>
      </c>
      <c r="E3439">
        <v>3338.3539999999998</v>
      </c>
      <c r="F3439">
        <f t="shared" si="213"/>
        <v>3280</v>
      </c>
      <c r="G3439">
        <f t="shared" si="215"/>
        <v>1.779085365853653</v>
      </c>
      <c r="H3439">
        <f t="shared" si="216"/>
        <v>1.7479871817069077</v>
      </c>
    </row>
    <row r="3440" spans="1:8" x14ac:dyDescent="0.25">
      <c r="A3440" t="str">
        <f t="shared" si="214"/>
        <v>Multihop,USnet,100</v>
      </c>
      <c r="B3440" t="s">
        <v>34</v>
      </c>
      <c r="C3440" t="s">
        <v>7</v>
      </c>
      <c r="D3440">
        <v>100</v>
      </c>
      <c r="E3440">
        <v>3285.5230000000001</v>
      </c>
      <c r="F3440">
        <f t="shared" si="213"/>
        <v>3280</v>
      </c>
      <c r="G3440">
        <f t="shared" si="215"/>
        <v>0.16838414634146764</v>
      </c>
      <c r="H3440">
        <f t="shared" si="216"/>
        <v>0.16810109075480945</v>
      </c>
    </row>
    <row r="3441" spans="1:8" x14ac:dyDescent="0.25">
      <c r="A3441" t="str">
        <f t="shared" si="214"/>
        <v>Multihop,USnet,100</v>
      </c>
      <c r="B3441" t="s">
        <v>34</v>
      </c>
      <c r="C3441" t="s">
        <v>7</v>
      </c>
      <c r="D3441">
        <v>100</v>
      </c>
      <c r="E3441">
        <v>3361.9119999999998</v>
      </c>
      <c r="F3441">
        <f t="shared" si="213"/>
        <v>3280</v>
      </c>
      <c r="G3441">
        <f t="shared" si="215"/>
        <v>2.4973170731707257</v>
      </c>
      <c r="H3441">
        <f t="shared" si="216"/>
        <v>2.4364706750206371</v>
      </c>
    </row>
    <row r="3442" spans="1:8" x14ac:dyDescent="0.25">
      <c r="A3442" t="str">
        <f t="shared" si="214"/>
        <v>Multihop,USnet,100</v>
      </c>
      <c r="B3442" t="s">
        <v>34</v>
      </c>
      <c r="C3442" t="s">
        <v>7</v>
      </c>
      <c r="D3442">
        <v>100</v>
      </c>
      <c r="E3442">
        <v>3187.74</v>
      </c>
      <c r="F3442">
        <f t="shared" si="213"/>
        <v>3280</v>
      </c>
      <c r="G3442">
        <f t="shared" si="215"/>
        <v>2.8128048780487873</v>
      </c>
      <c r="H3442">
        <f t="shared" si="216"/>
        <v>2.8942134553006276</v>
      </c>
    </row>
    <row r="3443" spans="1:8" x14ac:dyDescent="0.25">
      <c r="A3443" t="str">
        <f t="shared" si="214"/>
        <v>Multihop,USnet,100</v>
      </c>
      <c r="B3443" t="s">
        <v>34</v>
      </c>
      <c r="C3443" t="s">
        <v>7</v>
      </c>
      <c r="D3443">
        <v>100</v>
      </c>
      <c r="E3443">
        <v>3283.1280000000002</v>
      </c>
      <c r="F3443">
        <f t="shared" si="213"/>
        <v>3280</v>
      </c>
      <c r="G3443">
        <f t="shared" si="215"/>
        <v>9.5365853658541347E-2</v>
      </c>
      <c r="H3443">
        <f t="shared" si="216"/>
        <v>9.5274993847335718E-2</v>
      </c>
    </row>
    <row r="3444" spans="1:8" x14ac:dyDescent="0.25">
      <c r="A3444" t="str">
        <f t="shared" si="214"/>
        <v>Multihop,USnet,100</v>
      </c>
      <c r="B3444" t="s">
        <v>34</v>
      </c>
      <c r="C3444" t="s">
        <v>7</v>
      </c>
      <c r="D3444">
        <v>100</v>
      </c>
      <c r="E3444">
        <v>3166.9830000000002</v>
      </c>
      <c r="F3444">
        <f t="shared" si="213"/>
        <v>3280</v>
      </c>
      <c r="G3444">
        <f t="shared" si="215"/>
        <v>3.4456402439024334</v>
      </c>
      <c r="H3444">
        <f t="shared" si="216"/>
        <v>3.5686014102380663</v>
      </c>
    </row>
    <row r="3445" spans="1:8" x14ac:dyDescent="0.25">
      <c r="A3445" t="str">
        <f t="shared" si="214"/>
        <v>Multihop,USnet,100</v>
      </c>
      <c r="B3445" t="s">
        <v>34</v>
      </c>
      <c r="C3445" t="s">
        <v>7</v>
      </c>
      <c r="D3445">
        <v>100</v>
      </c>
      <c r="E3445">
        <v>3309.0320000000002</v>
      </c>
      <c r="F3445">
        <f t="shared" si="213"/>
        <v>3280</v>
      </c>
      <c r="G3445">
        <f t="shared" si="215"/>
        <v>0.88512195121951687</v>
      </c>
      <c r="H3445">
        <f t="shared" si="216"/>
        <v>0.87735627821067164</v>
      </c>
    </row>
    <row r="3446" spans="1:8" x14ac:dyDescent="0.25">
      <c r="A3446" t="str">
        <f t="shared" si="214"/>
        <v>Multihop,USnet,100</v>
      </c>
      <c r="B3446" t="s">
        <v>34</v>
      </c>
      <c r="C3446" t="s">
        <v>7</v>
      </c>
      <c r="D3446">
        <v>100</v>
      </c>
      <c r="E3446">
        <v>3236.107</v>
      </c>
      <c r="F3446">
        <f t="shared" si="213"/>
        <v>3280</v>
      </c>
      <c r="G3446">
        <f t="shared" si="215"/>
        <v>1.3382012195121962</v>
      </c>
      <c r="H3446">
        <f t="shared" si="216"/>
        <v>1.3563519376831492</v>
      </c>
    </row>
    <row r="3447" spans="1:8" x14ac:dyDescent="0.25">
      <c r="A3447" t="str">
        <f t="shared" si="214"/>
        <v>Multihop,USnet,100</v>
      </c>
      <c r="B3447" t="s">
        <v>34</v>
      </c>
      <c r="C3447" t="s">
        <v>7</v>
      </c>
      <c r="D3447">
        <v>100</v>
      </c>
      <c r="E3447">
        <v>3227.2020000000002</v>
      </c>
      <c r="F3447">
        <f t="shared" si="213"/>
        <v>3280</v>
      </c>
      <c r="G3447">
        <f t="shared" si="215"/>
        <v>1.6096951219512126</v>
      </c>
      <c r="H3447">
        <f t="shared" si="216"/>
        <v>1.6360302206059545</v>
      </c>
    </row>
    <row r="3448" spans="1:8" x14ac:dyDescent="0.25">
      <c r="A3448" t="str">
        <f t="shared" si="214"/>
        <v>Multihop,USnet,100</v>
      </c>
      <c r="B3448" t="s">
        <v>34</v>
      </c>
      <c r="C3448" t="s">
        <v>7</v>
      </c>
      <c r="D3448">
        <v>100</v>
      </c>
      <c r="E3448">
        <v>3205.8130000000001</v>
      </c>
      <c r="F3448">
        <f t="shared" si="213"/>
        <v>3280</v>
      </c>
      <c r="G3448">
        <f t="shared" si="215"/>
        <v>2.2617987804878017</v>
      </c>
      <c r="H3448">
        <f t="shared" si="216"/>
        <v>2.3141399701105425</v>
      </c>
    </row>
    <row r="3449" spans="1:8" x14ac:dyDescent="0.25">
      <c r="A3449" t="str">
        <f t="shared" si="214"/>
        <v>Multihop,USnet,100</v>
      </c>
      <c r="B3449" t="s">
        <v>34</v>
      </c>
      <c r="C3449" t="s">
        <v>7</v>
      </c>
      <c r="D3449">
        <v>100</v>
      </c>
      <c r="E3449">
        <v>3192.922</v>
      </c>
      <c r="F3449">
        <f t="shared" si="213"/>
        <v>3280</v>
      </c>
      <c r="G3449">
        <f t="shared" si="215"/>
        <v>2.6548170731707308</v>
      </c>
      <c r="H3449">
        <f t="shared" si="216"/>
        <v>2.7272197692270583</v>
      </c>
    </row>
    <row r="3450" spans="1:8" x14ac:dyDescent="0.25">
      <c r="A3450" t="str">
        <f t="shared" si="214"/>
        <v>Multihop,USnet,100</v>
      </c>
      <c r="B3450" t="s">
        <v>34</v>
      </c>
      <c r="C3450" t="s">
        <v>7</v>
      </c>
      <c r="D3450">
        <v>100</v>
      </c>
      <c r="E3450">
        <v>3269.431</v>
      </c>
      <c r="F3450">
        <f t="shared" si="213"/>
        <v>3280</v>
      </c>
      <c r="G3450">
        <f t="shared" si="215"/>
        <v>0.32222560975609632</v>
      </c>
      <c r="H3450">
        <f t="shared" si="216"/>
        <v>0.32326725965466041</v>
      </c>
    </row>
    <row r="3451" spans="1:8" x14ac:dyDescent="0.25">
      <c r="A3451" t="str">
        <f t="shared" si="214"/>
        <v>Multihop,USnet,100</v>
      </c>
      <c r="B3451" t="s">
        <v>34</v>
      </c>
      <c r="C3451" t="s">
        <v>7</v>
      </c>
      <c r="D3451">
        <v>100</v>
      </c>
      <c r="E3451">
        <v>3388.9490000000001</v>
      </c>
      <c r="F3451">
        <f t="shared" si="213"/>
        <v>3280</v>
      </c>
      <c r="G3451">
        <f t="shared" si="215"/>
        <v>3.321615853658539</v>
      </c>
      <c r="H3451">
        <f t="shared" si="216"/>
        <v>3.2148315008576427</v>
      </c>
    </row>
    <row r="3452" spans="1:8" x14ac:dyDescent="0.25">
      <c r="A3452" t="str">
        <f t="shared" si="214"/>
        <v>Multihop,USnet,100</v>
      </c>
      <c r="B3452" t="s">
        <v>34</v>
      </c>
      <c r="C3452" t="s">
        <v>7</v>
      </c>
      <c r="D3452">
        <v>100</v>
      </c>
      <c r="E3452">
        <v>3331.2190000000001</v>
      </c>
      <c r="F3452">
        <f t="shared" si="213"/>
        <v>3280</v>
      </c>
      <c r="G3452">
        <f t="shared" si="215"/>
        <v>1.561554878048782</v>
      </c>
      <c r="H3452">
        <f t="shared" si="216"/>
        <v>1.5375452649615666</v>
      </c>
    </row>
    <row r="3453" spans="1:8" x14ac:dyDescent="0.25">
      <c r="A3453" t="str">
        <f t="shared" si="214"/>
        <v>Multihop,USnet,100</v>
      </c>
      <c r="B3453" t="s">
        <v>34</v>
      </c>
      <c r="C3453" t="s">
        <v>7</v>
      </c>
      <c r="D3453">
        <v>100</v>
      </c>
      <c r="E3453">
        <v>3233.63</v>
      </c>
      <c r="F3453">
        <f t="shared" si="213"/>
        <v>3280</v>
      </c>
      <c r="G3453">
        <f t="shared" si="215"/>
        <v>1.4137195121951187</v>
      </c>
      <c r="H3453">
        <f t="shared" si="216"/>
        <v>1.4339921388656058</v>
      </c>
    </row>
    <row r="3454" spans="1:8" x14ac:dyDescent="0.25">
      <c r="A3454" t="str">
        <f t="shared" si="214"/>
        <v>Multihop,USnet,100</v>
      </c>
      <c r="B3454" t="s">
        <v>34</v>
      </c>
      <c r="C3454" t="s">
        <v>7</v>
      </c>
      <c r="D3454">
        <v>100</v>
      </c>
      <c r="E3454">
        <v>3333.6039999999998</v>
      </c>
      <c r="F3454">
        <f t="shared" si="213"/>
        <v>3280</v>
      </c>
      <c r="G3454">
        <f t="shared" si="215"/>
        <v>1.6342682926829211</v>
      </c>
      <c r="H3454">
        <f t="shared" si="216"/>
        <v>1.6079894312581764</v>
      </c>
    </row>
    <row r="3455" spans="1:8" x14ac:dyDescent="0.25">
      <c r="A3455" t="str">
        <f t="shared" si="214"/>
        <v>Multihop,USnet,100</v>
      </c>
      <c r="B3455" t="s">
        <v>34</v>
      </c>
      <c r="C3455" t="s">
        <v>7</v>
      </c>
      <c r="D3455">
        <v>100</v>
      </c>
      <c r="E3455">
        <v>3215.0650000000001</v>
      </c>
      <c r="F3455">
        <f t="shared" si="213"/>
        <v>3280</v>
      </c>
      <c r="G3455">
        <f t="shared" si="215"/>
        <v>1.9797256097560958</v>
      </c>
      <c r="H3455">
        <f t="shared" si="216"/>
        <v>2.0197103324505088</v>
      </c>
    </row>
    <row r="3456" spans="1:8" x14ac:dyDescent="0.25">
      <c r="A3456" t="str">
        <f t="shared" si="214"/>
        <v>Multihop,USnet,100</v>
      </c>
      <c r="B3456" t="s">
        <v>34</v>
      </c>
      <c r="C3456" t="s">
        <v>7</v>
      </c>
      <c r="D3456">
        <v>100</v>
      </c>
      <c r="E3456">
        <v>3224.5990000000002</v>
      </c>
      <c r="F3456">
        <f t="shared" si="213"/>
        <v>3280</v>
      </c>
      <c r="G3456">
        <f t="shared" si="215"/>
        <v>1.6890548780487755</v>
      </c>
      <c r="H3456">
        <f t="shared" si="216"/>
        <v>1.7180740923134887</v>
      </c>
    </row>
    <row r="3457" spans="1:8" x14ac:dyDescent="0.25">
      <c r="A3457" t="str">
        <f t="shared" si="214"/>
        <v>Multihop,USnet,100</v>
      </c>
      <c r="B3457" t="s">
        <v>34</v>
      </c>
      <c r="C3457" t="s">
        <v>7</v>
      </c>
      <c r="D3457">
        <v>100</v>
      </c>
      <c r="E3457">
        <v>3226.48</v>
      </c>
      <c r="F3457">
        <f t="shared" si="213"/>
        <v>3280</v>
      </c>
      <c r="G3457">
        <f t="shared" si="215"/>
        <v>1.6317073170731702</v>
      </c>
      <c r="H3457">
        <f t="shared" si="216"/>
        <v>1.6587736480622839</v>
      </c>
    </row>
    <row r="3458" spans="1:8" x14ac:dyDescent="0.25">
      <c r="A3458" t="str">
        <f t="shared" si="214"/>
        <v>Multihop,USnet,100</v>
      </c>
      <c r="B3458" t="s">
        <v>34</v>
      </c>
      <c r="C3458" t="s">
        <v>7</v>
      </c>
      <c r="D3458">
        <v>100</v>
      </c>
      <c r="E3458">
        <v>3263.1309999999999</v>
      </c>
      <c r="F3458">
        <f t="shared" si="213"/>
        <v>3280</v>
      </c>
      <c r="G3458">
        <f t="shared" si="215"/>
        <v>0.51429878048780919</v>
      </c>
      <c r="H3458">
        <f t="shared" si="216"/>
        <v>0.51695748653670792</v>
      </c>
    </row>
    <row r="3459" spans="1:8" x14ac:dyDescent="0.25">
      <c r="A3459" t="str">
        <f t="shared" si="214"/>
        <v>Multihop,USnet,100</v>
      </c>
      <c r="B3459" t="s">
        <v>34</v>
      </c>
      <c r="C3459" t="s">
        <v>7</v>
      </c>
      <c r="D3459">
        <v>100</v>
      </c>
      <c r="E3459">
        <v>3331.77</v>
      </c>
      <c r="F3459">
        <f t="shared" ref="F3459:F3522" si="217">_xlfn.XLOOKUP(A3459,$J$3:$J$36,$N$3:$N$36)</f>
        <v>3280</v>
      </c>
      <c r="G3459">
        <f t="shared" si="215"/>
        <v>1.5783536585365847</v>
      </c>
      <c r="H3459">
        <f t="shared" si="216"/>
        <v>1.5538287456817241</v>
      </c>
    </row>
    <row r="3460" spans="1:8" x14ac:dyDescent="0.25">
      <c r="A3460" t="str">
        <f t="shared" ref="A3460:A3523" si="218">B3460&amp;","&amp;C3460&amp;","&amp;D3460</f>
        <v>Multihop,USnet,100</v>
      </c>
      <c r="B3460" t="s">
        <v>34</v>
      </c>
      <c r="C3460" t="s">
        <v>7</v>
      </c>
      <c r="D3460">
        <v>100</v>
      </c>
      <c r="E3460">
        <v>3188.0439999999999</v>
      </c>
      <c r="F3460">
        <f t="shared" si="217"/>
        <v>3280</v>
      </c>
      <c r="G3460">
        <f t="shared" ref="G3460:G3523" si="219">ABS((E3460-F3460)/F3460)*100</f>
        <v>2.8035365853658578</v>
      </c>
      <c r="H3460">
        <f t="shared" ref="H3460:H3523" si="220">ABS((F3460-E3460)/E3460)*100</f>
        <v>2.8844018463986107</v>
      </c>
    </row>
    <row r="3461" spans="1:8" x14ac:dyDescent="0.25">
      <c r="A3461" t="str">
        <f t="shared" si="218"/>
        <v>Multihop,USnet,100</v>
      </c>
      <c r="B3461" t="s">
        <v>34</v>
      </c>
      <c r="C3461" t="s">
        <v>7</v>
      </c>
      <c r="D3461">
        <v>100</v>
      </c>
      <c r="E3461">
        <v>3253.7649999999999</v>
      </c>
      <c r="F3461">
        <f t="shared" si="217"/>
        <v>3280</v>
      </c>
      <c r="G3461">
        <f t="shared" si="219"/>
        <v>0.7998475609756136</v>
      </c>
      <c r="H3461">
        <f t="shared" si="220"/>
        <v>0.80629670550885302</v>
      </c>
    </row>
    <row r="3462" spans="1:8" x14ac:dyDescent="0.25">
      <c r="A3462" t="str">
        <f t="shared" si="218"/>
        <v>Multihop,USnet,100</v>
      </c>
      <c r="B3462" t="s">
        <v>34</v>
      </c>
      <c r="C3462" t="s">
        <v>7</v>
      </c>
      <c r="D3462">
        <v>100</v>
      </c>
      <c r="E3462">
        <v>3206.4470000000001</v>
      </c>
      <c r="F3462">
        <f t="shared" si="217"/>
        <v>3280</v>
      </c>
      <c r="G3462">
        <f t="shared" si="219"/>
        <v>2.2424695121951181</v>
      </c>
      <c r="H3462">
        <f t="shared" si="220"/>
        <v>2.2939097387232623</v>
      </c>
    </row>
    <row r="3463" spans="1:8" x14ac:dyDescent="0.25">
      <c r="A3463" t="str">
        <f t="shared" si="218"/>
        <v>Multihop,USnet,100</v>
      </c>
      <c r="B3463" t="s">
        <v>34</v>
      </c>
      <c r="C3463" t="s">
        <v>7</v>
      </c>
      <c r="D3463">
        <v>100</v>
      </c>
      <c r="E3463">
        <v>3311.2930000000001</v>
      </c>
      <c r="F3463">
        <f t="shared" si="217"/>
        <v>3280</v>
      </c>
      <c r="G3463">
        <f t="shared" si="219"/>
        <v>0.95405487804878419</v>
      </c>
      <c r="H3463">
        <f t="shared" si="220"/>
        <v>0.94503869032429677</v>
      </c>
    </row>
    <row r="3464" spans="1:8" x14ac:dyDescent="0.25">
      <c r="A3464" t="str">
        <f t="shared" si="218"/>
        <v>Multihop,USnet,100</v>
      </c>
      <c r="B3464" t="s">
        <v>34</v>
      </c>
      <c r="C3464" t="s">
        <v>7</v>
      </c>
      <c r="D3464">
        <v>100</v>
      </c>
      <c r="E3464">
        <v>3235.28</v>
      </c>
      <c r="F3464">
        <f t="shared" si="217"/>
        <v>3280</v>
      </c>
      <c r="G3464">
        <f t="shared" si="219"/>
        <v>1.3634146341463353</v>
      </c>
      <c r="H3464">
        <f t="shared" si="220"/>
        <v>1.3822605771370577</v>
      </c>
    </row>
    <row r="3465" spans="1:8" x14ac:dyDescent="0.25">
      <c r="A3465" t="str">
        <f t="shared" si="218"/>
        <v>Multihop,USnet,100</v>
      </c>
      <c r="B3465" t="s">
        <v>34</v>
      </c>
      <c r="C3465" t="s">
        <v>7</v>
      </c>
      <c r="D3465">
        <v>100</v>
      </c>
      <c r="E3465">
        <v>3339.9960000000001</v>
      </c>
      <c r="F3465">
        <f t="shared" si="217"/>
        <v>3280</v>
      </c>
      <c r="G3465">
        <f t="shared" si="219"/>
        <v>1.8291463414634175</v>
      </c>
      <c r="H3465">
        <f t="shared" si="220"/>
        <v>1.7962895763947051</v>
      </c>
    </row>
    <row r="3466" spans="1:8" x14ac:dyDescent="0.25">
      <c r="A3466" t="str">
        <f t="shared" si="218"/>
        <v>Multihop,USnet,100</v>
      </c>
      <c r="B3466" t="s">
        <v>34</v>
      </c>
      <c r="C3466" t="s">
        <v>7</v>
      </c>
      <c r="D3466">
        <v>100</v>
      </c>
      <c r="E3466">
        <v>3128.2060000000001</v>
      </c>
      <c r="F3466">
        <f t="shared" si="217"/>
        <v>3280</v>
      </c>
      <c r="G3466">
        <f t="shared" si="219"/>
        <v>4.6278658536585322</v>
      </c>
      <c r="H3466">
        <f t="shared" si="220"/>
        <v>4.852429795224479</v>
      </c>
    </row>
    <row r="3467" spans="1:8" x14ac:dyDescent="0.25">
      <c r="A3467" t="str">
        <f t="shared" si="218"/>
        <v>Multihop,USnet,100</v>
      </c>
      <c r="B3467" t="s">
        <v>34</v>
      </c>
      <c r="C3467" t="s">
        <v>7</v>
      </c>
      <c r="D3467">
        <v>100</v>
      </c>
      <c r="E3467">
        <v>3233.3580000000002</v>
      </c>
      <c r="F3467">
        <f t="shared" si="217"/>
        <v>3280</v>
      </c>
      <c r="G3467">
        <f t="shared" si="219"/>
        <v>1.422012195121946</v>
      </c>
      <c r="H3467">
        <f t="shared" si="220"/>
        <v>1.4425250776437322</v>
      </c>
    </row>
    <row r="3468" spans="1:8" x14ac:dyDescent="0.25">
      <c r="A3468" t="str">
        <f t="shared" si="218"/>
        <v>Multihop,USnet,100</v>
      </c>
      <c r="B3468" t="s">
        <v>34</v>
      </c>
      <c r="C3468" t="s">
        <v>7</v>
      </c>
      <c r="D3468">
        <v>100</v>
      </c>
      <c r="E3468">
        <v>3234.306</v>
      </c>
      <c r="F3468">
        <f t="shared" si="217"/>
        <v>3280</v>
      </c>
      <c r="G3468">
        <f t="shared" si="219"/>
        <v>1.3931097560975598</v>
      </c>
      <c r="H3468">
        <f t="shared" si="220"/>
        <v>1.4127914922088374</v>
      </c>
    </row>
    <row r="3469" spans="1:8" x14ac:dyDescent="0.25">
      <c r="A3469" t="str">
        <f t="shared" si="218"/>
        <v>Multihop,USnet,100</v>
      </c>
      <c r="B3469" t="s">
        <v>34</v>
      </c>
      <c r="C3469" t="s">
        <v>7</v>
      </c>
      <c r="D3469">
        <v>100</v>
      </c>
      <c r="E3469">
        <v>3312.8580000000002</v>
      </c>
      <c r="F3469">
        <f t="shared" si="217"/>
        <v>3280</v>
      </c>
      <c r="G3469">
        <f t="shared" si="219"/>
        <v>1.0017682926829321</v>
      </c>
      <c r="H3469">
        <f t="shared" si="220"/>
        <v>0.99183242988380937</v>
      </c>
    </row>
    <row r="3470" spans="1:8" x14ac:dyDescent="0.25">
      <c r="A3470" t="str">
        <f t="shared" si="218"/>
        <v>Multihop,USnet,100</v>
      </c>
      <c r="B3470" t="s">
        <v>34</v>
      </c>
      <c r="C3470" t="s">
        <v>7</v>
      </c>
      <c r="D3470">
        <v>100</v>
      </c>
      <c r="E3470">
        <v>3135.7289999999998</v>
      </c>
      <c r="F3470">
        <f t="shared" si="217"/>
        <v>3280</v>
      </c>
      <c r="G3470">
        <f t="shared" si="219"/>
        <v>4.3985060975609818</v>
      </c>
      <c r="H3470">
        <f t="shared" si="220"/>
        <v>4.6008759047736651</v>
      </c>
    </row>
    <row r="3471" spans="1:8" x14ac:dyDescent="0.25">
      <c r="A3471" t="str">
        <f t="shared" si="218"/>
        <v>Multihop,USnet,100</v>
      </c>
      <c r="B3471" t="s">
        <v>34</v>
      </c>
      <c r="C3471" t="s">
        <v>7</v>
      </c>
      <c r="D3471">
        <v>100</v>
      </c>
      <c r="E3471">
        <v>3311.0680000000002</v>
      </c>
      <c r="F3471">
        <f t="shared" si="217"/>
        <v>3280</v>
      </c>
      <c r="G3471">
        <f t="shared" si="219"/>
        <v>0.94719512195122602</v>
      </c>
      <c r="H3471">
        <f t="shared" si="220"/>
        <v>0.93830751890327269</v>
      </c>
    </row>
    <row r="3472" spans="1:8" x14ac:dyDescent="0.25">
      <c r="A3472" t="str">
        <f t="shared" si="218"/>
        <v>Multihop,USnet,100</v>
      </c>
      <c r="B3472" t="s">
        <v>34</v>
      </c>
      <c r="C3472" t="s">
        <v>7</v>
      </c>
      <c r="D3472">
        <v>100</v>
      </c>
      <c r="E3472">
        <v>3172.462</v>
      </c>
      <c r="F3472">
        <f t="shared" si="217"/>
        <v>3280</v>
      </c>
      <c r="G3472">
        <f t="shared" si="219"/>
        <v>3.2785975609756104</v>
      </c>
      <c r="H3472">
        <f t="shared" si="220"/>
        <v>3.3897332734009114</v>
      </c>
    </row>
    <row r="3473" spans="1:8" x14ac:dyDescent="0.25">
      <c r="A3473" t="str">
        <f t="shared" si="218"/>
        <v>Multihop,USnet,100</v>
      </c>
      <c r="B3473" t="s">
        <v>34</v>
      </c>
      <c r="C3473" t="s">
        <v>7</v>
      </c>
      <c r="D3473">
        <v>100</v>
      </c>
      <c r="E3473">
        <v>3293.7179999999998</v>
      </c>
      <c r="F3473">
        <f t="shared" si="217"/>
        <v>3280</v>
      </c>
      <c r="G3473">
        <f t="shared" si="219"/>
        <v>0.41823170731706855</v>
      </c>
      <c r="H3473">
        <f t="shared" si="220"/>
        <v>0.41648981485360459</v>
      </c>
    </row>
    <row r="3474" spans="1:8" x14ac:dyDescent="0.25">
      <c r="A3474" t="str">
        <f t="shared" si="218"/>
        <v>Multihop,USnet,100</v>
      </c>
      <c r="B3474" t="s">
        <v>34</v>
      </c>
      <c r="C3474" t="s">
        <v>7</v>
      </c>
      <c r="D3474">
        <v>100</v>
      </c>
      <c r="E3474">
        <v>3308.62</v>
      </c>
      <c r="F3474">
        <f t="shared" si="217"/>
        <v>3280</v>
      </c>
      <c r="G3474">
        <f t="shared" si="219"/>
        <v>0.87256097560975276</v>
      </c>
      <c r="H3474">
        <f t="shared" si="220"/>
        <v>0.86501320792354186</v>
      </c>
    </row>
    <row r="3475" spans="1:8" x14ac:dyDescent="0.25">
      <c r="A3475" t="str">
        <f t="shared" si="218"/>
        <v>Multihop,USnet,100</v>
      </c>
      <c r="B3475" t="s">
        <v>34</v>
      </c>
      <c r="C3475" t="s">
        <v>7</v>
      </c>
      <c r="D3475">
        <v>100</v>
      </c>
      <c r="E3475">
        <v>3138.3159999999998</v>
      </c>
      <c r="F3475">
        <f t="shared" si="217"/>
        <v>3280</v>
      </c>
      <c r="G3475">
        <f t="shared" si="219"/>
        <v>4.3196341463414694</v>
      </c>
      <c r="H3475">
        <f t="shared" si="220"/>
        <v>4.5146505323237118</v>
      </c>
    </row>
    <row r="3476" spans="1:8" x14ac:dyDescent="0.25">
      <c r="A3476" t="str">
        <f t="shared" si="218"/>
        <v>Multihop,USnet,100</v>
      </c>
      <c r="B3476" t="s">
        <v>34</v>
      </c>
      <c r="C3476" t="s">
        <v>7</v>
      </c>
      <c r="D3476">
        <v>100</v>
      </c>
      <c r="E3476">
        <v>3272.4360000000001</v>
      </c>
      <c r="F3476">
        <f t="shared" si="217"/>
        <v>3280</v>
      </c>
      <c r="G3476">
        <f t="shared" si="219"/>
        <v>0.23060975609755641</v>
      </c>
      <c r="H3476">
        <f t="shared" si="220"/>
        <v>0.2311427939308775</v>
      </c>
    </row>
    <row r="3477" spans="1:8" x14ac:dyDescent="0.25">
      <c r="A3477" t="str">
        <f t="shared" si="218"/>
        <v>Multihop,USnet,100</v>
      </c>
      <c r="B3477" t="s">
        <v>34</v>
      </c>
      <c r="C3477" t="s">
        <v>7</v>
      </c>
      <c r="D3477">
        <v>100</v>
      </c>
      <c r="E3477">
        <v>3297.7350000000001</v>
      </c>
      <c r="F3477">
        <f t="shared" si="217"/>
        <v>3280</v>
      </c>
      <c r="G3477">
        <f t="shared" si="219"/>
        <v>0.54070121951219896</v>
      </c>
      <c r="H3477">
        <f t="shared" si="220"/>
        <v>0.53779336423333368</v>
      </c>
    </row>
    <row r="3478" spans="1:8" x14ac:dyDescent="0.25">
      <c r="A3478" t="str">
        <f t="shared" si="218"/>
        <v>Multihop,USnet,100</v>
      </c>
      <c r="B3478" t="s">
        <v>34</v>
      </c>
      <c r="C3478" t="s">
        <v>7</v>
      </c>
      <c r="D3478">
        <v>100</v>
      </c>
      <c r="E3478">
        <v>3229.5250000000001</v>
      </c>
      <c r="F3478">
        <f t="shared" si="217"/>
        <v>3280</v>
      </c>
      <c r="G3478">
        <f t="shared" si="219"/>
        <v>1.5388719512195095</v>
      </c>
      <c r="H3478">
        <f t="shared" si="220"/>
        <v>1.5629233401196743</v>
      </c>
    </row>
    <row r="3479" spans="1:8" x14ac:dyDescent="0.25">
      <c r="A3479" t="str">
        <f t="shared" si="218"/>
        <v>Multihop,USnet,100</v>
      </c>
      <c r="B3479" t="s">
        <v>34</v>
      </c>
      <c r="C3479" t="s">
        <v>7</v>
      </c>
      <c r="D3479">
        <v>100</v>
      </c>
      <c r="E3479">
        <v>3181.3220000000001</v>
      </c>
      <c r="F3479">
        <f t="shared" si="217"/>
        <v>3280</v>
      </c>
      <c r="G3479">
        <f t="shared" si="219"/>
        <v>3.0084756097560938</v>
      </c>
      <c r="H3479">
        <f t="shared" si="220"/>
        <v>3.1017922737780044</v>
      </c>
    </row>
    <row r="3480" spans="1:8" x14ac:dyDescent="0.25">
      <c r="A3480" t="str">
        <f t="shared" si="218"/>
        <v>Multihop,USnet,100</v>
      </c>
      <c r="B3480" t="s">
        <v>34</v>
      </c>
      <c r="C3480" t="s">
        <v>7</v>
      </c>
      <c r="D3480">
        <v>100</v>
      </c>
      <c r="E3480">
        <v>3182.8890000000001</v>
      </c>
      <c r="F3480">
        <f t="shared" si="217"/>
        <v>3280</v>
      </c>
      <c r="G3480">
        <f t="shared" si="219"/>
        <v>2.9607012195121913</v>
      </c>
      <c r="H3480">
        <f t="shared" si="220"/>
        <v>3.0510331965707844</v>
      </c>
    </row>
    <row r="3481" spans="1:8" x14ac:dyDescent="0.25">
      <c r="A3481" t="str">
        <f t="shared" si="218"/>
        <v>Multihop,USnet,100</v>
      </c>
      <c r="B3481" t="s">
        <v>34</v>
      </c>
      <c r="C3481" t="s">
        <v>7</v>
      </c>
      <c r="D3481">
        <v>100</v>
      </c>
      <c r="E3481">
        <v>3264.17</v>
      </c>
      <c r="F3481">
        <f t="shared" si="217"/>
        <v>3280</v>
      </c>
      <c r="G3481">
        <f t="shared" si="219"/>
        <v>0.48262195121950996</v>
      </c>
      <c r="H3481">
        <f t="shared" si="220"/>
        <v>0.48496248663519143</v>
      </c>
    </row>
    <row r="3482" spans="1:8" x14ac:dyDescent="0.25">
      <c r="A3482" t="str">
        <f t="shared" si="218"/>
        <v>Multihop,USnet,100</v>
      </c>
      <c r="B3482" t="s">
        <v>34</v>
      </c>
      <c r="C3482" t="s">
        <v>7</v>
      </c>
      <c r="D3482">
        <v>100</v>
      </c>
      <c r="E3482">
        <v>3397.444</v>
      </c>
      <c r="F3482">
        <f t="shared" si="217"/>
        <v>3280</v>
      </c>
      <c r="G3482">
        <f t="shared" si="219"/>
        <v>3.5806097560975596</v>
      </c>
      <c r="H3482">
        <f t="shared" si="220"/>
        <v>3.4568340199279213</v>
      </c>
    </row>
    <row r="3483" spans="1:8" x14ac:dyDescent="0.25">
      <c r="A3483" t="str">
        <f t="shared" si="218"/>
        <v>Multihop,USnet,100</v>
      </c>
      <c r="B3483" t="s">
        <v>34</v>
      </c>
      <c r="C3483" t="s">
        <v>7</v>
      </c>
      <c r="D3483">
        <v>100</v>
      </c>
      <c r="E3483">
        <v>3347.1019999999999</v>
      </c>
      <c r="F3483">
        <f t="shared" si="217"/>
        <v>3280</v>
      </c>
      <c r="G3483">
        <f t="shared" si="219"/>
        <v>2.0457926829268249</v>
      </c>
      <c r="H3483">
        <f t="shared" si="220"/>
        <v>2.0047790596163448</v>
      </c>
    </row>
    <row r="3484" spans="1:8" x14ac:dyDescent="0.25">
      <c r="A3484" t="str">
        <f t="shared" si="218"/>
        <v>Multihop,USnet,100</v>
      </c>
      <c r="B3484" t="s">
        <v>34</v>
      </c>
      <c r="C3484" t="s">
        <v>7</v>
      </c>
      <c r="D3484">
        <v>100</v>
      </c>
      <c r="E3484">
        <v>3121.9409999999998</v>
      </c>
      <c r="F3484">
        <f t="shared" si="217"/>
        <v>3280</v>
      </c>
      <c r="G3484">
        <f t="shared" si="219"/>
        <v>4.8188719512195179</v>
      </c>
      <c r="H3484">
        <f t="shared" si="220"/>
        <v>5.06284391665314</v>
      </c>
    </row>
    <row r="3485" spans="1:8" x14ac:dyDescent="0.25">
      <c r="A3485" t="str">
        <f t="shared" si="218"/>
        <v>Multihop,USnet,100</v>
      </c>
      <c r="B3485" t="s">
        <v>34</v>
      </c>
      <c r="C3485" t="s">
        <v>7</v>
      </c>
      <c r="D3485">
        <v>100</v>
      </c>
      <c r="E3485">
        <v>3190.009</v>
      </c>
      <c r="F3485">
        <f t="shared" si="217"/>
        <v>3280</v>
      </c>
      <c r="G3485">
        <f t="shared" si="219"/>
        <v>2.7436280487804874</v>
      </c>
      <c r="H3485">
        <f t="shared" si="220"/>
        <v>2.821026523749619</v>
      </c>
    </row>
    <row r="3486" spans="1:8" x14ac:dyDescent="0.25">
      <c r="A3486" t="str">
        <f t="shared" si="218"/>
        <v>Multihop,USnet,100</v>
      </c>
      <c r="B3486" t="s">
        <v>34</v>
      </c>
      <c r="C3486" t="s">
        <v>7</v>
      </c>
      <c r="D3486">
        <v>100</v>
      </c>
      <c r="E3486">
        <v>3254.0819999999999</v>
      </c>
      <c r="F3486">
        <f t="shared" si="217"/>
        <v>3280</v>
      </c>
      <c r="G3486">
        <f t="shared" si="219"/>
        <v>0.79018292682927183</v>
      </c>
      <c r="H3486">
        <f t="shared" si="220"/>
        <v>0.7964765485319707</v>
      </c>
    </row>
    <row r="3487" spans="1:8" x14ac:dyDescent="0.25">
      <c r="A3487" t="str">
        <f t="shared" si="218"/>
        <v>Multihop,USnet,100</v>
      </c>
      <c r="B3487" t="s">
        <v>34</v>
      </c>
      <c r="C3487" t="s">
        <v>7</v>
      </c>
      <c r="D3487">
        <v>100</v>
      </c>
      <c r="E3487">
        <v>3285.7629999999999</v>
      </c>
      <c r="F3487">
        <f t="shared" si="217"/>
        <v>3280</v>
      </c>
      <c r="G3487">
        <f t="shared" si="219"/>
        <v>0.17570121951219267</v>
      </c>
      <c r="H3487">
        <f t="shared" si="220"/>
        <v>0.17539305178127335</v>
      </c>
    </row>
    <row r="3488" spans="1:8" x14ac:dyDescent="0.25">
      <c r="A3488" t="str">
        <f t="shared" si="218"/>
        <v>Multihop,USnet,100</v>
      </c>
      <c r="B3488" t="s">
        <v>34</v>
      </c>
      <c r="C3488" t="s">
        <v>7</v>
      </c>
      <c r="D3488">
        <v>100</v>
      </c>
      <c r="E3488">
        <v>3283.3359999999998</v>
      </c>
      <c r="F3488">
        <f t="shared" si="217"/>
        <v>3280</v>
      </c>
      <c r="G3488">
        <f t="shared" si="219"/>
        <v>0.10170731707316417</v>
      </c>
      <c r="H3488">
        <f t="shared" si="220"/>
        <v>0.10160397839270138</v>
      </c>
    </row>
    <row r="3489" spans="1:8" x14ac:dyDescent="0.25">
      <c r="A3489" t="str">
        <f t="shared" si="218"/>
        <v>Multihop,USnet,100</v>
      </c>
      <c r="B3489" t="s">
        <v>34</v>
      </c>
      <c r="C3489" t="s">
        <v>7</v>
      </c>
      <c r="D3489">
        <v>100</v>
      </c>
      <c r="E3489">
        <v>3149.4960000000001</v>
      </c>
      <c r="F3489">
        <f t="shared" si="217"/>
        <v>3280</v>
      </c>
      <c r="G3489">
        <f t="shared" si="219"/>
        <v>3.9787804878048756</v>
      </c>
      <c r="H3489">
        <f t="shared" si="220"/>
        <v>4.1436471105218073</v>
      </c>
    </row>
    <row r="3490" spans="1:8" x14ac:dyDescent="0.25">
      <c r="A3490" t="str">
        <f t="shared" si="218"/>
        <v>Multihop,USnet,100</v>
      </c>
      <c r="B3490" t="s">
        <v>34</v>
      </c>
      <c r="C3490" t="s">
        <v>7</v>
      </c>
      <c r="D3490">
        <v>100</v>
      </c>
      <c r="E3490">
        <v>3228.143</v>
      </c>
      <c r="F3490">
        <f t="shared" si="217"/>
        <v>3280</v>
      </c>
      <c r="G3490">
        <f t="shared" si="219"/>
        <v>1.5810060975609748</v>
      </c>
      <c r="H3490">
        <f t="shared" si="220"/>
        <v>1.6064034338007942</v>
      </c>
    </row>
    <row r="3491" spans="1:8" x14ac:dyDescent="0.25">
      <c r="A3491" t="str">
        <f t="shared" si="218"/>
        <v>Multihop,USnet,100</v>
      </c>
      <c r="B3491" t="s">
        <v>34</v>
      </c>
      <c r="C3491" t="s">
        <v>7</v>
      </c>
      <c r="D3491">
        <v>100</v>
      </c>
      <c r="E3491">
        <v>3228.2460000000001</v>
      </c>
      <c r="F3491">
        <f t="shared" si="217"/>
        <v>3280</v>
      </c>
      <c r="G3491">
        <f t="shared" si="219"/>
        <v>1.5778658536585337</v>
      </c>
      <c r="H3491">
        <f t="shared" si="220"/>
        <v>1.6031615930136645</v>
      </c>
    </row>
    <row r="3492" spans="1:8" x14ac:dyDescent="0.25">
      <c r="A3492" t="str">
        <f t="shared" si="218"/>
        <v>Multihop,USnet,100</v>
      </c>
      <c r="B3492" t="s">
        <v>34</v>
      </c>
      <c r="C3492" t="s">
        <v>7</v>
      </c>
      <c r="D3492">
        <v>100</v>
      </c>
      <c r="E3492">
        <v>3381.7510000000002</v>
      </c>
      <c r="F3492">
        <f t="shared" si="217"/>
        <v>3280</v>
      </c>
      <c r="G3492">
        <f t="shared" si="219"/>
        <v>3.1021646341463476</v>
      </c>
      <c r="H3492">
        <f t="shared" si="220"/>
        <v>3.0088259011382035</v>
      </c>
    </row>
    <row r="3493" spans="1:8" x14ac:dyDescent="0.25">
      <c r="A3493" t="str">
        <f t="shared" si="218"/>
        <v>Multihop,USnet,100</v>
      </c>
      <c r="B3493" t="s">
        <v>34</v>
      </c>
      <c r="C3493" t="s">
        <v>7</v>
      </c>
      <c r="D3493">
        <v>100</v>
      </c>
      <c r="E3493">
        <v>3288.5050000000001</v>
      </c>
      <c r="F3493">
        <f t="shared" si="217"/>
        <v>3280</v>
      </c>
      <c r="G3493">
        <f t="shared" si="219"/>
        <v>0.25929878048780819</v>
      </c>
      <c r="H3493">
        <f t="shared" si="220"/>
        <v>0.25862816082080181</v>
      </c>
    </row>
    <row r="3494" spans="1:8" x14ac:dyDescent="0.25">
      <c r="A3494" t="str">
        <f t="shared" si="218"/>
        <v>Multihop,USnet,100</v>
      </c>
      <c r="B3494" t="s">
        <v>34</v>
      </c>
      <c r="C3494" t="s">
        <v>7</v>
      </c>
      <c r="D3494">
        <v>100</v>
      </c>
      <c r="E3494">
        <v>3369.6179999999999</v>
      </c>
      <c r="F3494">
        <f t="shared" si="217"/>
        <v>3280</v>
      </c>
      <c r="G3494">
        <f t="shared" si="219"/>
        <v>2.732256097560974</v>
      </c>
      <c r="H3494">
        <f t="shared" si="220"/>
        <v>2.6595893065623444</v>
      </c>
    </row>
    <row r="3495" spans="1:8" x14ac:dyDescent="0.25">
      <c r="A3495" t="str">
        <f t="shared" si="218"/>
        <v>Multihop,USnet,100</v>
      </c>
      <c r="B3495" t="s">
        <v>34</v>
      </c>
      <c r="C3495" t="s">
        <v>7</v>
      </c>
      <c r="D3495">
        <v>100</v>
      </c>
      <c r="E3495">
        <v>3234.3809999999999</v>
      </c>
      <c r="F3495">
        <f t="shared" si="217"/>
        <v>3280</v>
      </c>
      <c r="G3495">
        <f t="shared" si="219"/>
        <v>1.3908231707317116</v>
      </c>
      <c r="H3495">
        <f t="shared" si="220"/>
        <v>1.4104398956090871</v>
      </c>
    </row>
    <row r="3496" spans="1:8" x14ac:dyDescent="0.25">
      <c r="A3496" t="str">
        <f t="shared" si="218"/>
        <v>Multihop,USnet,100</v>
      </c>
      <c r="B3496" t="s">
        <v>34</v>
      </c>
      <c r="C3496" t="s">
        <v>7</v>
      </c>
      <c r="D3496">
        <v>100</v>
      </c>
      <c r="E3496">
        <v>3184.4360000000001</v>
      </c>
      <c r="F3496">
        <f t="shared" si="217"/>
        <v>3280</v>
      </c>
      <c r="G3496">
        <f t="shared" si="219"/>
        <v>2.9135365853658493</v>
      </c>
      <c r="H3496">
        <f t="shared" si="220"/>
        <v>3.000970972567822</v>
      </c>
    </row>
    <row r="3497" spans="1:8" x14ac:dyDescent="0.25">
      <c r="A3497" t="str">
        <f t="shared" si="218"/>
        <v>Multihop,USnet,100</v>
      </c>
      <c r="B3497" t="s">
        <v>34</v>
      </c>
      <c r="C3497" t="s">
        <v>7</v>
      </c>
      <c r="D3497">
        <v>100</v>
      </c>
      <c r="E3497">
        <v>3182.8339999999998</v>
      </c>
      <c r="F3497">
        <f t="shared" si="217"/>
        <v>3280</v>
      </c>
      <c r="G3497">
        <f t="shared" si="219"/>
        <v>2.9623780487804932</v>
      </c>
      <c r="H3497">
        <f t="shared" si="220"/>
        <v>3.0528139387728097</v>
      </c>
    </row>
    <row r="3498" spans="1:8" x14ac:dyDescent="0.25">
      <c r="A3498" t="str">
        <f t="shared" si="218"/>
        <v>Multihop,USnet,100</v>
      </c>
      <c r="B3498" t="s">
        <v>34</v>
      </c>
      <c r="C3498" t="s">
        <v>7</v>
      </c>
      <c r="D3498">
        <v>100</v>
      </c>
      <c r="E3498">
        <v>3310.4470000000001</v>
      </c>
      <c r="F3498">
        <f t="shared" si="217"/>
        <v>3280</v>
      </c>
      <c r="G3498">
        <f t="shared" si="219"/>
        <v>0.92826219512195474</v>
      </c>
      <c r="H3498">
        <f t="shared" si="220"/>
        <v>0.91972473807918131</v>
      </c>
    </row>
    <row r="3499" spans="1:8" x14ac:dyDescent="0.25">
      <c r="A3499" t="str">
        <f t="shared" si="218"/>
        <v>Multihop,USnet,100</v>
      </c>
      <c r="B3499" t="s">
        <v>34</v>
      </c>
      <c r="C3499" t="s">
        <v>7</v>
      </c>
      <c r="D3499">
        <v>100</v>
      </c>
      <c r="E3499">
        <v>3275.6559999999999</v>
      </c>
      <c r="F3499">
        <f t="shared" si="217"/>
        <v>3280</v>
      </c>
      <c r="G3499">
        <f t="shared" si="219"/>
        <v>0.13243902439024546</v>
      </c>
      <c r="H3499">
        <f t="shared" si="220"/>
        <v>0.13261465794943214</v>
      </c>
    </row>
    <row r="3500" spans="1:8" x14ac:dyDescent="0.25">
      <c r="A3500" t="str">
        <f t="shared" si="218"/>
        <v>Multihop,USnet,100</v>
      </c>
      <c r="B3500" t="s">
        <v>34</v>
      </c>
      <c r="C3500" t="s">
        <v>7</v>
      </c>
      <c r="D3500">
        <v>100</v>
      </c>
      <c r="E3500">
        <v>2990.3850000000002</v>
      </c>
      <c r="F3500">
        <f t="shared" si="217"/>
        <v>3280</v>
      </c>
      <c r="G3500">
        <f t="shared" si="219"/>
        <v>8.8297256097560908</v>
      </c>
      <c r="H3500">
        <f t="shared" si="220"/>
        <v>9.6848733524278572</v>
      </c>
    </row>
    <row r="3501" spans="1:8" x14ac:dyDescent="0.25">
      <c r="A3501" t="str">
        <f t="shared" si="218"/>
        <v>Multihop,USnet,100</v>
      </c>
      <c r="B3501" t="s">
        <v>34</v>
      </c>
      <c r="C3501" t="s">
        <v>7</v>
      </c>
      <c r="D3501">
        <v>100</v>
      </c>
      <c r="E3501">
        <v>3372.7130000000002</v>
      </c>
      <c r="F3501">
        <f t="shared" si="217"/>
        <v>3280</v>
      </c>
      <c r="G3501">
        <f t="shared" si="219"/>
        <v>2.8266158536585424</v>
      </c>
      <c r="H3501">
        <f t="shared" si="220"/>
        <v>2.7489145978326706</v>
      </c>
    </row>
    <row r="3502" spans="1:8" x14ac:dyDescent="0.25">
      <c r="A3502" t="str">
        <f t="shared" si="218"/>
        <v>Multihop,USnet,100</v>
      </c>
      <c r="B3502" t="s">
        <v>34</v>
      </c>
      <c r="C3502" t="s">
        <v>7</v>
      </c>
      <c r="D3502">
        <v>100</v>
      </c>
      <c r="E3502">
        <v>3186.7570000000001</v>
      </c>
      <c r="F3502">
        <f t="shared" si="217"/>
        <v>3280</v>
      </c>
      <c r="G3502">
        <f t="shared" si="219"/>
        <v>2.8427743902439002</v>
      </c>
      <c r="H3502">
        <f t="shared" si="220"/>
        <v>2.9259526220543308</v>
      </c>
    </row>
    <row r="3503" spans="1:8" x14ac:dyDescent="0.25">
      <c r="A3503" t="str">
        <f t="shared" si="218"/>
        <v>Multihop,USnet,120</v>
      </c>
      <c r="B3503" t="s">
        <v>34</v>
      </c>
      <c r="C3503" t="s">
        <v>7</v>
      </c>
      <c r="D3503">
        <v>120</v>
      </c>
      <c r="E3503">
        <v>3804.68</v>
      </c>
      <c r="F3503">
        <f t="shared" si="217"/>
        <v>3960</v>
      </c>
      <c r="G3503">
        <f t="shared" si="219"/>
        <v>3.9222222222222261</v>
      </c>
      <c r="H3503">
        <f t="shared" si="220"/>
        <v>4.0823406961952173</v>
      </c>
    </row>
    <row r="3504" spans="1:8" x14ac:dyDescent="0.25">
      <c r="A3504" t="str">
        <f t="shared" si="218"/>
        <v>Multihop,USnet,120</v>
      </c>
      <c r="B3504" t="s">
        <v>34</v>
      </c>
      <c r="C3504" t="s">
        <v>7</v>
      </c>
      <c r="D3504">
        <v>120</v>
      </c>
      <c r="E3504">
        <v>3859.433</v>
      </c>
      <c r="F3504">
        <f t="shared" si="217"/>
        <v>3960</v>
      </c>
      <c r="G3504">
        <f t="shared" si="219"/>
        <v>2.5395707070707072</v>
      </c>
      <c r="H3504">
        <f t="shared" si="220"/>
        <v>2.605745455355748</v>
      </c>
    </row>
    <row r="3505" spans="1:8" x14ac:dyDescent="0.25">
      <c r="A3505" t="str">
        <f t="shared" si="218"/>
        <v>Multihop,USnet,120</v>
      </c>
      <c r="B3505" t="s">
        <v>34</v>
      </c>
      <c r="C3505" t="s">
        <v>7</v>
      </c>
      <c r="D3505">
        <v>120</v>
      </c>
      <c r="E3505">
        <v>3819.576</v>
      </c>
      <c r="F3505">
        <f t="shared" si="217"/>
        <v>3960</v>
      </c>
      <c r="G3505">
        <f t="shared" si="219"/>
        <v>3.5460606060606055</v>
      </c>
      <c r="H3505">
        <f t="shared" si="220"/>
        <v>3.6764290067798098</v>
      </c>
    </row>
    <row r="3506" spans="1:8" x14ac:dyDescent="0.25">
      <c r="A3506" t="str">
        <f t="shared" si="218"/>
        <v>Multihop,USnet,120</v>
      </c>
      <c r="B3506" t="s">
        <v>34</v>
      </c>
      <c r="C3506" t="s">
        <v>7</v>
      </c>
      <c r="D3506">
        <v>120</v>
      </c>
      <c r="E3506">
        <v>3851.0630000000001</v>
      </c>
      <c r="F3506">
        <f t="shared" si="217"/>
        <v>3960</v>
      </c>
      <c r="G3506">
        <f t="shared" si="219"/>
        <v>2.7509343434343405</v>
      </c>
      <c r="H3506">
        <f t="shared" si="220"/>
        <v>2.8287514382392578</v>
      </c>
    </row>
    <row r="3507" spans="1:8" x14ac:dyDescent="0.25">
      <c r="A3507" t="str">
        <f t="shared" si="218"/>
        <v>Multihop,USnet,120</v>
      </c>
      <c r="B3507" t="s">
        <v>34</v>
      </c>
      <c r="C3507" t="s">
        <v>7</v>
      </c>
      <c r="D3507">
        <v>120</v>
      </c>
      <c r="E3507">
        <v>3849.1179999999999</v>
      </c>
      <c r="F3507">
        <f t="shared" si="217"/>
        <v>3960</v>
      </c>
      <c r="G3507">
        <f t="shared" si="219"/>
        <v>2.8000505050505069</v>
      </c>
      <c r="H3507">
        <f t="shared" si="220"/>
        <v>2.8807118929583364</v>
      </c>
    </row>
    <row r="3508" spans="1:8" x14ac:dyDescent="0.25">
      <c r="A3508" t="str">
        <f t="shared" si="218"/>
        <v>Multihop,USnet,120</v>
      </c>
      <c r="B3508" t="s">
        <v>34</v>
      </c>
      <c r="C3508" t="s">
        <v>7</v>
      </c>
      <c r="D3508">
        <v>120</v>
      </c>
      <c r="E3508">
        <v>3736.9740000000002</v>
      </c>
      <c r="F3508">
        <f t="shared" si="217"/>
        <v>3960</v>
      </c>
      <c r="G3508">
        <f t="shared" si="219"/>
        <v>5.6319696969696933</v>
      </c>
      <c r="H3508">
        <f t="shared" si="220"/>
        <v>5.968090760064154</v>
      </c>
    </row>
    <row r="3509" spans="1:8" x14ac:dyDescent="0.25">
      <c r="A3509" t="str">
        <f t="shared" si="218"/>
        <v>Multihop,USnet,120</v>
      </c>
      <c r="B3509" t="s">
        <v>34</v>
      </c>
      <c r="C3509" t="s">
        <v>7</v>
      </c>
      <c r="D3509">
        <v>120</v>
      </c>
      <c r="E3509">
        <v>3863.9110000000001</v>
      </c>
      <c r="F3509">
        <f t="shared" si="217"/>
        <v>3960</v>
      </c>
      <c r="G3509">
        <f t="shared" si="219"/>
        <v>2.4264898989898978</v>
      </c>
      <c r="H3509">
        <f t="shared" si="220"/>
        <v>2.4868326418491509</v>
      </c>
    </row>
    <row r="3510" spans="1:8" x14ac:dyDescent="0.25">
      <c r="A3510" t="str">
        <f t="shared" si="218"/>
        <v>Multihop,USnet,120</v>
      </c>
      <c r="B3510" t="s">
        <v>34</v>
      </c>
      <c r="C3510" t="s">
        <v>7</v>
      </c>
      <c r="D3510">
        <v>120</v>
      </c>
      <c r="E3510">
        <v>3844.0010000000002</v>
      </c>
      <c r="F3510">
        <f t="shared" si="217"/>
        <v>3960</v>
      </c>
      <c r="G3510">
        <f t="shared" si="219"/>
        <v>2.9292676767676715</v>
      </c>
      <c r="H3510">
        <f t="shared" si="220"/>
        <v>3.0176631067473654</v>
      </c>
    </row>
    <row r="3511" spans="1:8" x14ac:dyDescent="0.25">
      <c r="A3511" t="str">
        <f t="shared" si="218"/>
        <v>Multihop,USnet,120</v>
      </c>
      <c r="B3511" t="s">
        <v>34</v>
      </c>
      <c r="C3511" t="s">
        <v>7</v>
      </c>
      <c r="D3511">
        <v>120</v>
      </c>
      <c r="E3511">
        <v>3860.2730000000001</v>
      </c>
      <c r="F3511">
        <f t="shared" si="217"/>
        <v>3960</v>
      </c>
      <c r="G3511">
        <f t="shared" si="219"/>
        <v>2.5183585858585826</v>
      </c>
      <c r="H3511">
        <f t="shared" si="220"/>
        <v>2.5834183230046128</v>
      </c>
    </row>
    <row r="3512" spans="1:8" x14ac:dyDescent="0.25">
      <c r="A3512" t="str">
        <f t="shared" si="218"/>
        <v>Multihop,USnet,120</v>
      </c>
      <c r="B3512" t="s">
        <v>34</v>
      </c>
      <c r="C3512" t="s">
        <v>7</v>
      </c>
      <c r="D3512">
        <v>120</v>
      </c>
      <c r="E3512">
        <v>3959.4760000000001</v>
      </c>
      <c r="F3512">
        <f t="shared" si="217"/>
        <v>3960</v>
      </c>
      <c r="G3512">
        <f t="shared" si="219"/>
        <v>1.3232323232320384E-2</v>
      </c>
      <c r="H3512">
        <f t="shared" si="220"/>
        <v>1.3234074407822833E-2</v>
      </c>
    </row>
    <row r="3513" spans="1:8" x14ac:dyDescent="0.25">
      <c r="A3513" t="str">
        <f t="shared" si="218"/>
        <v>Multihop,USnet,120</v>
      </c>
      <c r="B3513" t="s">
        <v>34</v>
      </c>
      <c r="C3513" t="s">
        <v>7</v>
      </c>
      <c r="D3513">
        <v>120</v>
      </c>
      <c r="E3513">
        <v>3811.7840000000001</v>
      </c>
      <c r="F3513">
        <f t="shared" si="217"/>
        <v>3960</v>
      </c>
      <c r="G3513">
        <f t="shared" si="219"/>
        <v>3.7428282828282802</v>
      </c>
      <c r="H3513">
        <f t="shared" si="220"/>
        <v>3.8883630342117996</v>
      </c>
    </row>
    <row r="3514" spans="1:8" x14ac:dyDescent="0.25">
      <c r="A3514" t="str">
        <f t="shared" si="218"/>
        <v>Multihop,USnet,120</v>
      </c>
      <c r="B3514" t="s">
        <v>34</v>
      </c>
      <c r="C3514" t="s">
        <v>7</v>
      </c>
      <c r="D3514">
        <v>120</v>
      </c>
      <c r="E3514">
        <v>3888.3539999999998</v>
      </c>
      <c r="F3514">
        <f t="shared" si="217"/>
        <v>3960</v>
      </c>
      <c r="G3514">
        <f t="shared" si="219"/>
        <v>1.8092424242424288</v>
      </c>
      <c r="H3514">
        <f t="shared" si="220"/>
        <v>1.8425791478862312</v>
      </c>
    </row>
    <row r="3515" spans="1:8" x14ac:dyDescent="0.25">
      <c r="A3515" t="str">
        <f t="shared" si="218"/>
        <v>Multihop,USnet,120</v>
      </c>
      <c r="B3515" t="s">
        <v>34</v>
      </c>
      <c r="C3515" t="s">
        <v>7</v>
      </c>
      <c r="D3515">
        <v>120</v>
      </c>
      <c r="E3515">
        <v>3703.1579999999999</v>
      </c>
      <c r="F3515">
        <f t="shared" si="217"/>
        <v>3960</v>
      </c>
      <c r="G3515">
        <f t="shared" si="219"/>
        <v>6.485909090909094</v>
      </c>
      <c r="H3515">
        <f t="shared" si="220"/>
        <v>6.9357559142764122</v>
      </c>
    </row>
    <row r="3516" spans="1:8" x14ac:dyDescent="0.25">
      <c r="A3516" t="str">
        <f t="shared" si="218"/>
        <v>Multihop,USnet,120</v>
      </c>
      <c r="B3516" t="s">
        <v>34</v>
      </c>
      <c r="C3516" t="s">
        <v>7</v>
      </c>
      <c r="D3516">
        <v>120</v>
      </c>
      <c r="E3516">
        <v>3744.8919999999998</v>
      </c>
      <c r="F3516">
        <f t="shared" si="217"/>
        <v>3960</v>
      </c>
      <c r="G3516">
        <f t="shared" si="219"/>
        <v>5.4320202020202064</v>
      </c>
      <c r="H3516">
        <f t="shared" si="220"/>
        <v>5.7440374782503794</v>
      </c>
    </row>
    <row r="3517" spans="1:8" x14ac:dyDescent="0.25">
      <c r="A3517" t="str">
        <f t="shared" si="218"/>
        <v>Multihop,USnet,120</v>
      </c>
      <c r="B3517" t="s">
        <v>34</v>
      </c>
      <c r="C3517" t="s">
        <v>7</v>
      </c>
      <c r="D3517">
        <v>120</v>
      </c>
      <c r="E3517">
        <v>3924.2719999999999</v>
      </c>
      <c r="F3517">
        <f t="shared" si="217"/>
        <v>3960</v>
      </c>
      <c r="G3517">
        <f t="shared" si="219"/>
        <v>0.90222222222222392</v>
      </c>
      <c r="H3517">
        <f t="shared" si="220"/>
        <v>0.91043638157599849</v>
      </c>
    </row>
    <row r="3518" spans="1:8" x14ac:dyDescent="0.25">
      <c r="A3518" t="str">
        <f t="shared" si="218"/>
        <v>Multihop,USnet,120</v>
      </c>
      <c r="B3518" t="s">
        <v>34</v>
      </c>
      <c r="C3518" t="s">
        <v>7</v>
      </c>
      <c r="D3518">
        <v>120</v>
      </c>
      <c r="E3518">
        <v>3782.0279999999998</v>
      </c>
      <c r="F3518">
        <f t="shared" si="217"/>
        <v>3960</v>
      </c>
      <c r="G3518">
        <f t="shared" si="219"/>
        <v>4.4942424242424295</v>
      </c>
      <c r="H3518">
        <f t="shared" si="220"/>
        <v>4.7057293071336392</v>
      </c>
    </row>
    <row r="3519" spans="1:8" x14ac:dyDescent="0.25">
      <c r="A3519" t="str">
        <f t="shared" si="218"/>
        <v>Multihop,USnet,120</v>
      </c>
      <c r="B3519" t="s">
        <v>34</v>
      </c>
      <c r="C3519" t="s">
        <v>7</v>
      </c>
      <c r="D3519">
        <v>120</v>
      </c>
      <c r="E3519">
        <v>3789.877</v>
      </c>
      <c r="F3519">
        <f t="shared" si="217"/>
        <v>3960</v>
      </c>
      <c r="G3519">
        <f t="shared" si="219"/>
        <v>4.2960353535353546</v>
      </c>
      <c r="H3519">
        <f t="shared" si="220"/>
        <v>4.4888791905383751</v>
      </c>
    </row>
    <row r="3520" spans="1:8" x14ac:dyDescent="0.25">
      <c r="A3520" t="str">
        <f t="shared" si="218"/>
        <v>Multihop,USnet,120</v>
      </c>
      <c r="B3520" t="s">
        <v>34</v>
      </c>
      <c r="C3520" t="s">
        <v>7</v>
      </c>
      <c r="D3520">
        <v>120</v>
      </c>
      <c r="E3520">
        <v>3734.2370000000001</v>
      </c>
      <c r="F3520">
        <f t="shared" si="217"/>
        <v>3960</v>
      </c>
      <c r="G3520">
        <f t="shared" si="219"/>
        <v>5.7010858585858566</v>
      </c>
      <c r="H3520">
        <f t="shared" si="220"/>
        <v>6.0457598165301221</v>
      </c>
    </row>
    <row r="3521" spans="1:8" x14ac:dyDescent="0.25">
      <c r="A3521" t="str">
        <f t="shared" si="218"/>
        <v>Multihop,USnet,120</v>
      </c>
      <c r="B3521" t="s">
        <v>34</v>
      </c>
      <c r="C3521" t="s">
        <v>7</v>
      </c>
      <c r="D3521">
        <v>120</v>
      </c>
      <c r="E3521">
        <v>3972.0039999999999</v>
      </c>
      <c r="F3521">
        <f t="shared" si="217"/>
        <v>3960</v>
      </c>
      <c r="G3521">
        <f t="shared" si="219"/>
        <v>0.30313131313131075</v>
      </c>
      <c r="H3521">
        <f t="shared" si="220"/>
        <v>0.30221520421429349</v>
      </c>
    </row>
    <row r="3522" spans="1:8" x14ac:dyDescent="0.25">
      <c r="A3522" t="str">
        <f t="shared" si="218"/>
        <v>Multihop,USnet,120</v>
      </c>
      <c r="B3522" t="s">
        <v>34</v>
      </c>
      <c r="C3522" t="s">
        <v>7</v>
      </c>
      <c r="D3522">
        <v>120</v>
      </c>
      <c r="E3522">
        <v>3934.93</v>
      </c>
      <c r="F3522">
        <f t="shared" si="217"/>
        <v>3960</v>
      </c>
      <c r="G3522">
        <f t="shared" si="219"/>
        <v>0.63308080808081213</v>
      </c>
      <c r="H3522">
        <f t="shared" si="220"/>
        <v>0.63711425616212147</v>
      </c>
    </row>
    <row r="3523" spans="1:8" x14ac:dyDescent="0.25">
      <c r="A3523" t="str">
        <f t="shared" si="218"/>
        <v>Multihop,USnet,120</v>
      </c>
      <c r="B3523" t="s">
        <v>34</v>
      </c>
      <c r="C3523" t="s">
        <v>7</v>
      </c>
      <c r="D3523">
        <v>120</v>
      </c>
      <c r="E3523">
        <v>3895.1149999999998</v>
      </c>
      <c r="F3523">
        <f t="shared" ref="F3523:F3586" si="221">_xlfn.XLOOKUP(A3523,$J$3:$J$36,$N$3:$N$36)</f>
        <v>3960</v>
      </c>
      <c r="G3523">
        <f t="shared" si="219"/>
        <v>1.6385101010101064</v>
      </c>
      <c r="H3523">
        <f t="shared" si="220"/>
        <v>1.6658044756059893</v>
      </c>
    </row>
    <row r="3524" spans="1:8" x14ac:dyDescent="0.25">
      <c r="A3524" t="str">
        <f t="shared" ref="A3524:A3587" si="222">B3524&amp;","&amp;C3524&amp;","&amp;D3524</f>
        <v>Multihop,USnet,120</v>
      </c>
      <c r="B3524" t="s">
        <v>34</v>
      </c>
      <c r="C3524" t="s">
        <v>7</v>
      </c>
      <c r="D3524">
        <v>120</v>
      </c>
      <c r="E3524">
        <v>3725.4189999999999</v>
      </c>
      <c r="F3524">
        <f t="shared" si="221"/>
        <v>3960</v>
      </c>
      <c r="G3524">
        <f t="shared" ref="G3524:G3587" si="223">ABS((E3524-F3524)/F3524)*100</f>
        <v>5.9237626262626293</v>
      </c>
      <c r="H3524">
        <f t="shared" ref="H3524:H3587" si="224">ABS((F3524-E3524)/E3524)*100</f>
        <v>6.2967682292917964</v>
      </c>
    </row>
    <row r="3525" spans="1:8" x14ac:dyDescent="0.25">
      <c r="A3525" t="str">
        <f t="shared" si="222"/>
        <v>Multihop,USnet,120</v>
      </c>
      <c r="B3525" t="s">
        <v>34</v>
      </c>
      <c r="C3525" t="s">
        <v>7</v>
      </c>
      <c r="D3525">
        <v>120</v>
      </c>
      <c r="E3525">
        <v>3736.9850000000001</v>
      </c>
      <c r="F3525">
        <f t="shared" si="221"/>
        <v>3960</v>
      </c>
      <c r="G3525">
        <f t="shared" si="223"/>
        <v>5.6316919191919164</v>
      </c>
      <c r="H3525">
        <f t="shared" si="224"/>
        <v>5.9677788377528902</v>
      </c>
    </row>
    <row r="3526" spans="1:8" x14ac:dyDescent="0.25">
      <c r="A3526" t="str">
        <f t="shared" si="222"/>
        <v>Multihop,USnet,120</v>
      </c>
      <c r="B3526" t="s">
        <v>34</v>
      </c>
      <c r="C3526" t="s">
        <v>7</v>
      </c>
      <c r="D3526">
        <v>120</v>
      </c>
      <c r="E3526">
        <v>3742.8180000000002</v>
      </c>
      <c r="F3526">
        <f t="shared" si="221"/>
        <v>3960</v>
      </c>
      <c r="G3526">
        <f t="shared" si="223"/>
        <v>5.484393939393934</v>
      </c>
      <c r="H3526">
        <f t="shared" si="224"/>
        <v>5.8026332031105916</v>
      </c>
    </row>
    <row r="3527" spans="1:8" x14ac:dyDescent="0.25">
      <c r="A3527" t="str">
        <f t="shared" si="222"/>
        <v>Multihop,USnet,120</v>
      </c>
      <c r="B3527" t="s">
        <v>34</v>
      </c>
      <c r="C3527" t="s">
        <v>7</v>
      </c>
      <c r="D3527">
        <v>120</v>
      </c>
      <c r="E3527">
        <v>3969.2220000000002</v>
      </c>
      <c r="F3527">
        <f t="shared" si="221"/>
        <v>3960</v>
      </c>
      <c r="G3527">
        <f t="shared" si="223"/>
        <v>0.2328787878787931</v>
      </c>
      <c r="H3527">
        <f t="shared" si="224"/>
        <v>0.23233772260660168</v>
      </c>
    </row>
    <row r="3528" spans="1:8" x14ac:dyDescent="0.25">
      <c r="A3528" t="str">
        <f t="shared" si="222"/>
        <v>Multihop,USnet,120</v>
      </c>
      <c r="B3528" t="s">
        <v>34</v>
      </c>
      <c r="C3528" t="s">
        <v>7</v>
      </c>
      <c r="D3528">
        <v>120</v>
      </c>
      <c r="E3528">
        <v>3786.2150000000001</v>
      </c>
      <c r="F3528">
        <f t="shared" si="221"/>
        <v>3960</v>
      </c>
      <c r="G3528">
        <f t="shared" si="223"/>
        <v>4.3885101010100973</v>
      </c>
      <c r="H3528">
        <f t="shared" si="224"/>
        <v>4.5899400852830556</v>
      </c>
    </row>
    <row r="3529" spans="1:8" x14ac:dyDescent="0.25">
      <c r="A3529" t="str">
        <f t="shared" si="222"/>
        <v>Multihop,USnet,120</v>
      </c>
      <c r="B3529" t="s">
        <v>34</v>
      </c>
      <c r="C3529" t="s">
        <v>7</v>
      </c>
      <c r="D3529">
        <v>120</v>
      </c>
      <c r="E3529">
        <v>3973.2370000000001</v>
      </c>
      <c r="F3529">
        <f t="shared" si="221"/>
        <v>3960</v>
      </c>
      <c r="G3529">
        <f t="shared" si="223"/>
        <v>0.33426767676767877</v>
      </c>
      <c r="H3529">
        <f t="shared" si="224"/>
        <v>0.33315405046313823</v>
      </c>
    </row>
    <row r="3530" spans="1:8" x14ac:dyDescent="0.25">
      <c r="A3530" t="str">
        <f t="shared" si="222"/>
        <v>Multihop,USnet,120</v>
      </c>
      <c r="B3530" t="s">
        <v>34</v>
      </c>
      <c r="C3530" t="s">
        <v>7</v>
      </c>
      <c r="D3530">
        <v>120</v>
      </c>
      <c r="E3530">
        <v>4020.692</v>
      </c>
      <c r="F3530">
        <f t="shared" si="221"/>
        <v>3960</v>
      </c>
      <c r="G3530">
        <f t="shared" si="223"/>
        <v>1.5326262626262628</v>
      </c>
      <c r="H3530">
        <f t="shared" si="224"/>
        <v>1.5094914009827165</v>
      </c>
    </row>
    <row r="3531" spans="1:8" x14ac:dyDescent="0.25">
      <c r="A3531" t="str">
        <f t="shared" si="222"/>
        <v>Multihop,USnet,120</v>
      </c>
      <c r="B3531" t="s">
        <v>34</v>
      </c>
      <c r="C3531" t="s">
        <v>7</v>
      </c>
      <c r="D3531">
        <v>120</v>
      </c>
      <c r="E3531">
        <v>3774.3310000000001</v>
      </c>
      <c r="F3531">
        <f t="shared" si="221"/>
        <v>3960</v>
      </c>
      <c r="G3531">
        <f t="shared" si="223"/>
        <v>4.6886111111111077</v>
      </c>
      <c r="H3531">
        <f t="shared" si="224"/>
        <v>4.919255889321839</v>
      </c>
    </row>
    <row r="3532" spans="1:8" x14ac:dyDescent="0.25">
      <c r="A3532" t="str">
        <f t="shared" si="222"/>
        <v>Multihop,USnet,120</v>
      </c>
      <c r="B3532" t="s">
        <v>34</v>
      </c>
      <c r="C3532" t="s">
        <v>7</v>
      </c>
      <c r="D3532">
        <v>120</v>
      </c>
      <c r="E3532">
        <v>3829.1370000000002</v>
      </c>
      <c r="F3532">
        <f t="shared" si="221"/>
        <v>3960</v>
      </c>
      <c r="G3532">
        <f t="shared" si="223"/>
        <v>3.3046212121212082</v>
      </c>
      <c r="H3532">
        <f t="shared" si="224"/>
        <v>3.4175585778205329</v>
      </c>
    </row>
    <row r="3533" spans="1:8" x14ac:dyDescent="0.25">
      <c r="A3533" t="str">
        <f t="shared" si="222"/>
        <v>Multihop,USnet,120</v>
      </c>
      <c r="B3533" t="s">
        <v>34</v>
      </c>
      <c r="C3533" t="s">
        <v>7</v>
      </c>
      <c r="D3533">
        <v>120</v>
      </c>
      <c r="E3533">
        <v>3887.1190000000001</v>
      </c>
      <c r="F3533">
        <f t="shared" si="221"/>
        <v>3960</v>
      </c>
      <c r="G3533">
        <f t="shared" si="223"/>
        <v>1.8404292929292891</v>
      </c>
      <c r="H3533">
        <f t="shared" si="224"/>
        <v>1.8749361673774292</v>
      </c>
    </row>
    <row r="3534" spans="1:8" x14ac:dyDescent="0.25">
      <c r="A3534" t="str">
        <f t="shared" si="222"/>
        <v>Multihop,USnet,120</v>
      </c>
      <c r="B3534" t="s">
        <v>34</v>
      </c>
      <c r="C3534" t="s">
        <v>7</v>
      </c>
      <c r="D3534">
        <v>120</v>
      </c>
      <c r="E3534">
        <v>3859.0520000000001</v>
      </c>
      <c r="F3534">
        <f t="shared" si="221"/>
        <v>3960</v>
      </c>
      <c r="G3534">
        <f t="shared" si="223"/>
        <v>2.5491919191919159</v>
      </c>
      <c r="H3534">
        <f t="shared" si="224"/>
        <v>2.6158756088282784</v>
      </c>
    </row>
    <row r="3535" spans="1:8" x14ac:dyDescent="0.25">
      <c r="A3535" t="str">
        <f t="shared" si="222"/>
        <v>Multihop,USnet,120</v>
      </c>
      <c r="B3535" t="s">
        <v>34</v>
      </c>
      <c r="C3535" t="s">
        <v>7</v>
      </c>
      <c r="D3535">
        <v>120</v>
      </c>
      <c r="E3535">
        <v>3935.1469999999999</v>
      </c>
      <c r="F3535">
        <f t="shared" si="221"/>
        <v>3960</v>
      </c>
      <c r="G3535">
        <f t="shared" si="223"/>
        <v>0.62760101010101177</v>
      </c>
      <c r="H3535">
        <f t="shared" si="224"/>
        <v>0.63156471664209912</v>
      </c>
    </row>
    <row r="3536" spans="1:8" x14ac:dyDescent="0.25">
      <c r="A3536" t="str">
        <f t="shared" si="222"/>
        <v>Multihop,USnet,120</v>
      </c>
      <c r="B3536" t="s">
        <v>34</v>
      </c>
      <c r="C3536" t="s">
        <v>7</v>
      </c>
      <c r="D3536">
        <v>120</v>
      </c>
      <c r="E3536">
        <v>3866.4470000000001</v>
      </c>
      <c r="F3536">
        <f t="shared" si="221"/>
        <v>3960</v>
      </c>
      <c r="G3536">
        <f t="shared" si="223"/>
        <v>2.3624494949494919</v>
      </c>
      <c r="H3536">
        <f t="shared" si="224"/>
        <v>2.4196115969002001</v>
      </c>
    </row>
    <row r="3537" spans="1:8" x14ac:dyDescent="0.25">
      <c r="A3537" t="str">
        <f t="shared" si="222"/>
        <v>Multihop,USnet,120</v>
      </c>
      <c r="B3537" t="s">
        <v>34</v>
      </c>
      <c r="C3537" t="s">
        <v>7</v>
      </c>
      <c r="D3537">
        <v>120</v>
      </c>
      <c r="E3537">
        <v>3811.8760000000002</v>
      </c>
      <c r="F3537">
        <f t="shared" si="221"/>
        <v>3960</v>
      </c>
      <c r="G3537">
        <f t="shared" si="223"/>
        <v>3.7405050505050457</v>
      </c>
      <c r="H3537">
        <f t="shared" si="224"/>
        <v>3.8858556784113594</v>
      </c>
    </row>
    <row r="3538" spans="1:8" x14ac:dyDescent="0.25">
      <c r="A3538" t="str">
        <f t="shared" si="222"/>
        <v>Multihop,USnet,120</v>
      </c>
      <c r="B3538" t="s">
        <v>34</v>
      </c>
      <c r="C3538" t="s">
        <v>7</v>
      </c>
      <c r="D3538">
        <v>120</v>
      </c>
      <c r="E3538">
        <v>3811.027</v>
      </c>
      <c r="F3538">
        <f t="shared" si="221"/>
        <v>3960</v>
      </c>
      <c r="G3538">
        <f t="shared" si="223"/>
        <v>3.7619444444444436</v>
      </c>
      <c r="H3538">
        <f t="shared" si="224"/>
        <v>3.9089988079328739</v>
      </c>
    </row>
    <row r="3539" spans="1:8" x14ac:dyDescent="0.25">
      <c r="A3539" t="str">
        <f t="shared" si="222"/>
        <v>Multihop,USnet,120</v>
      </c>
      <c r="B3539" t="s">
        <v>34</v>
      </c>
      <c r="C3539" t="s">
        <v>7</v>
      </c>
      <c r="D3539">
        <v>120</v>
      </c>
      <c r="E3539">
        <v>3764.2649999999999</v>
      </c>
      <c r="F3539">
        <f t="shared" si="221"/>
        <v>3960</v>
      </c>
      <c r="G3539">
        <f t="shared" si="223"/>
        <v>4.9428030303030335</v>
      </c>
      <c r="H3539">
        <f t="shared" si="224"/>
        <v>5.1998198851568667</v>
      </c>
    </row>
    <row r="3540" spans="1:8" x14ac:dyDescent="0.25">
      <c r="A3540" t="str">
        <f t="shared" si="222"/>
        <v>Multihop,USnet,120</v>
      </c>
      <c r="B3540" t="s">
        <v>34</v>
      </c>
      <c r="C3540" t="s">
        <v>7</v>
      </c>
      <c r="D3540">
        <v>120</v>
      </c>
      <c r="E3540">
        <v>3804.1030000000001</v>
      </c>
      <c r="F3540">
        <f t="shared" si="221"/>
        <v>3960</v>
      </c>
      <c r="G3540">
        <f t="shared" si="223"/>
        <v>3.9367929292929276</v>
      </c>
      <c r="H3540">
        <f t="shared" si="224"/>
        <v>4.0981277320829621</v>
      </c>
    </row>
    <row r="3541" spans="1:8" x14ac:dyDescent="0.25">
      <c r="A3541" t="str">
        <f t="shared" si="222"/>
        <v>Multihop,USnet,120</v>
      </c>
      <c r="B3541" t="s">
        <v>34</v>
      </c>
      <c r="C3541" t="s">
        <v>7</v>
      </c>
      <c r="D3541">
        <v>120</v>
      </c>
      <c r="E3541">
        <v>3876.654</v>
      </c>
      <c r="F3541">
        <f t="shared" si="221"/>
        <v>3960</v>
      </c>
      <c r="G3541">
        <f t="shared" si="223"/>
        <v>2.10469696969697</v>
      </c>
      <c r="H3541">
        <f t="shared" si="224"/>
        <v>2.1499468355958515</v>
      </c>
    </row>
    <row r="3542" spans="1:8" x14ac:dyDescent="0.25">
      <c r="A3542" t="str">
        <f t="shared" si="222"/>
        <v>Multihop,USnet,120</v>
      </c>
      <c r="B3542" t="s">
        <v>34</v>
      </c>
      <c r="C3542" t="s">
        <v>7</v>
      </c>
      <c r="D3542">
        <v>120</v>
      </c>
      <c r="E3542">
        <v>3960.9090000000001</v>
      </c>
      <c r="F3542">
        <f t="shared" si="221"/>
        <v>3960</v>
      </c>
      <c r="G3542">
        <f t="shared" si="223"/>
        <v>2.2954545454548121E-2</v>
      </c>
      <c r="H3542">
        <f t="shared" si="224"/>
        <v>2.2949277552200907E-2</v>
      </c>
    </row>
    <row r="3543" spans="1:8" x14ac:dyDescent="0.25">
      <c r="A3543" t="str">
        <f t="shared" si="222"/>
        <v>Multihop,USnet,120</v>
      </c>
      <c r="B3543" t="s">
        <v>34</v>
      </c>
      <c r="C3543" t="s">
        <v>7</v>
      </c>
      <c r="D3543">
        <v>120</v>
      </c>
      <c r="E3543">
        <v>3829.346</v>
      </c>
      <c r="F3543">
        <f t="shared" si="221"/>
        <v>3960</v>
      </c>
      <c r="G3543">
        <f t="shared" si="223"/>
        <v>3.2993434343434345</v>
      </c>
      <c r="H3543">
        <f t="shared" si="224"/>
        <v>3.4119142015372859</v>
      </c>
    </row>
    <row r="3544" spans="1:8" x14ac:dyDescent="0.25">
      <c r="A3544" t="str">
        <f t="shared" si="222"/>
        <v>Multihop,USnet,120</v>
      </c>
      <c r="B3544" t="s">
        <v>34</v>
      </c>
      <c r="C3544" t="s">
        <v>7</v>
      </c>
      <c r="D3544">
        <v>120</v>
      </c>
      <c r="E3544">
        <v>3692.788</v>
      </c>
      <c r="F3544">
        <f t="shared" si="221"/>
        <v>3960</v>
      </c>
      <c r="G3544">
        <f t="shared" si="223"/>
        <v>6.7477777777777774</v>
      </c>
      <c r="H3544">
        <f t="shared" si="224"/>
        <v>7.2360503771134441</v>
      </c>
    </row>
    <row r="3545" spans="1:8" x14ac:dyDescent="0.25">
      <c r="A3545" t="str">
        <f t="shared" si="222"/>
        <v>Multihop,USnet,120</v>
      </c>
      <c r="B3545" t="s">
        <v>34</v>
      </c>
      <c r="C3545" t="s">
        <v>7</v>
      </c>
      <c r="D3545">
        <v>120</v>
      </c>
      <c r="E3545">
        <v>3788.0250000000001</v>
      </c>
      <c r="F3545">
        <f t="shared" si="221"/>
        <v>3960</v>
      </c>
      <c r="G3545">
        <f t="shared" si="223"/>
        <v>4.3428030303030285</v>
      </c>
      <c r="H3545">
        <f t="shared" si="224"/>
        <v>4.5399647573603632</v>
      </c>
    </row>
    <row r="3546" spans="1:8" x14ac:dyDescent="0.25">
      <c r="A3546" t="str">
        <f t="shared" si="222"/>
        <v>Multihop,USnet,120</v>
      </c>
      <c r="B3546" t="s">
        <v>34</v>
      </c>
      <c r="C3546" t="s">
        <v>7</v>
      </c>
      <c r="D3546">
        <v>120</v>
      </c>
      <c r="E3546">
        <v>3933.0749999999998</v>
      </c>
      <c r="F3546">
        <f t="shared" si="221"/>
        <v>3960</v>
      </c>
      <c r="G3546">
        <f t="shared" si="223"/>
        <v>0.67992424242424698</v>
      </c>
      <c r="H3546">
        <f t="shared" si="224"/>
        <v>0.68457886005225377</v>
      </c>
    </row>
    <row r="3547" spans="1:8" x14ac:dyDescent="0.25">
      <c r="A3547" t="str">
        <f t="shared" si="222"/>
        <v>Multihop,USnet,120</v>
      </c>
      <c r="B3547" t="s">
        <v>34</v>
      </c>
      <c r="C3547" t="s">
        <v>7</v>
      </c>
      <c r="D3547">
        <v>120</v>
      </c>
      <c r="E3547">
        <v>3850.5309999999999</v>
      </c>
      <c r="F3547">
        <f t="shared" si="221"/>
        <v>3960</v>
      </c>
      <c r="G3547">
        <f t="shared" si="223"/>
        <v>2.7643686868686879</v>
      </c>
      <c r="H3547">
        <f t="shared" si="224"/>
        <v>2.8429585426010089</v>
      </c>
    </row>
    <row r="3548" spans="1:8" x14ac:dyDescent="0.25">
      <c r="A3548" t="str">
        <f t="shared" si="222"/>
        <v>Multihop,USnet,120</v>
      </c>
      <c r="B3548" t="s">
        <v>34</v>
      </c>
      <c r="C3548" t="s">
        <v>7</v>
      </c>
      <c r="D3548">
        <v>120</v>
      </c>
      <c r="E3548">
        <v>3875.3009999999999</v>
      </c>
      <c r="F3548">
        <f t="shared" si="221"/>
        <v>3960</v>
      </c>
      <c r="G3548">
        <f t="shared" si="223"/>
        <v>2.138863636363638</v>
      </c>
      <c r="H3548">
        <f t="shared" si="224"/>
        <v>2.1856108725489989</v>
      </c>
    </row>
    <row r="3549" spans="1:8" x14ac:dyDescent="0.25">
      <c r="A3549" t="str">
        <f t="shared" si="222"/>
        <v>Multihop,USnet,120</v>
      </c>
      <c r="B3549" t="s">
        <v>34</v>
      </c>
      <c r="C3549" t="s">
        <v>7</v>
      </c>
      <c r="D3549">
        <v>120</v>
      </c>
      <c r="E3549">
        <v>3770.5259999999998</v>
      </c>
      <c r="F3549">
        <f t="shared" si="221"/>
        <v>3960</v>
      </c>
      <c r="G3549">
        <f t="shared" si="223"/>
        <v>4.7846969696969737</v>
      </c>
      <c r="H3549">
        <f t="shared" si="224"/>
        <v>5.0251344242156177</v>
      </c>
    </row>
    <row r="3550" spans="1:8" x14ac:dyDescent="0.25">
      <c r="A3550" t="str">
        <f t="shared" si="222"/>
        <v>Multihop,USnet,120</v>
      </c>
      <c r="B3550" t="s">
        <v>34</v>
      </c>
      <c r="C3550" t="s">
        <v>7</v>
      </c>
      <c r="D3550">
        <v>120</v>
      </c>
      <c r="E3550">
        <v>4028.7750000000001</v>
      </c>
      <c r="F3550">
        <f t="shared" si="221"/>
        <v>3960</v>
      </c>
      <c r="G3550">
        <f t="shared" si="223"/>
        <v>1.7367424242424263</v>
      </c>
      <c r="H3550">
        <f t="shared" si="224"/>
        <v>1.7070945883053805</v>
      </c>
    </row>
    <row r="3551" spans="1:8" x14ac:dyDescent="0.25">
      <c r="A3551" t="str">
        <f t="shared" si="222"/>
        <v>Multihop,USnet,120</v>
      </c>
      <c r="B3551" t="s">
        <v>34</v>
      </c>
      <c r="C3551" t="s">
        <v>7</v>
      </c>
      <c r="D3551">
        <v>120</v>
      </c>
      <c r="E3551">
        <v>4038.4940000000001</v>
      </c>
      <c r="F3551">
        <f t="shared" si="221"/>
        <v>3960</v>
      </c>
      <c r="G3551">
        <f t="shared" si="223"/>
        <v>1.9821717171717208</v>
      </c>
      <c r="H3551">
        <f t="shared" si="224"/>
        <v>1.9436453291746907</v>
      </c>
    </row>
    <row r="3552" spans="1:8" x14ac:dyDescent="0.25">
      <c r="A3552" t="str">
        <f t="shared" si="222"/>
        <v>Multihop,USnet,120</v>
      </c>
      <c r="B3552" t="s">
        <v>34</v>
      </c>
      <c r="C3552" t="s">
        <v>7</v>
      </c>
      <c r="D3552">
        <v>120</v>
      </c>
      <c r="E3552">
        <v>3882.5830000000001</v>
      </c>
      <c r="F3552">
        <f t="shared" si="221"/>
        <v>3960</v>
      </c>
      <c r="G3552">
        <f t="shared" si="223"/>
        <v>1.9549747474747452</v>
      </c>
      <c r="H3552">
        <f t="shared" si="224"/>
        <v>1.9939560854204512</v>
      </c>
    </row>
    <row r="3553" spans="1:8" x14ac:dyDescent="0.25">
      <c r="A3553" t="str">
        <f t="shared" si="222"/>
        <v>Multihop,USnet,120</v>
      </c>
      <c r="B3553" t="s">
        <v>34</v>
      </c>
      <c r="C3553" t="s">
        <v>7</v>
      </c>
      <c r="D3553">
        <v>120</v>
      </c>
      <c r="E3553">
        <v>3931.587</v>
      </c>
      <c r="F3553">
        <f t="shared" si="221"/>
        <v>3960</v>
      </c>
      <c r="G3553">
        <f t="shared" si="223"/>
        <v>0.71750000000000025</v>
      </c>
      <c r="H3553">
        <f t="shared" si="224"/>
        <v>0.72268526678921285</v>
      </c>
    </row>
    <row r="3554" spans="1:8" x14ac:dyDescent="0.25">
      <c r="A3554" t="str">
        <f t="shared" si="222"/>
        <v>Multihop,USnet,120</v>
      </c>
      <c r="B3554" t="s">
        <v>34</v>
      </c>
      <c r="C3554" t="s">
        <v>7</v>
      </c>
      <c r="D3554">
        <v>120</v>
      </c>
      <c r="E3554">
        <v>3876.4290000000001</v>
      </c>
      <c r="F3554">
        <f t="shared" si="221"/>
        <v>3960</v>
      </c>
      <c r="G3554">
        <f t="shared" si="223"/>
        <v>2.1103787878787856</v>
      </c>
      <c r="H3554">
        <f t="shared" si="224"/>
        <v>2.155875936332122</v>
      </c>
    </row>
    <row r="3555" spans="1:8" x14ac:dyDescent="0.25">
      <c r="A3555" t="str">
        <f t="shared" si="222"/>
        <v>Multihop,USnet,120</v>
      </c>
      <c r="B3555" t="s">
        <v>34</v>
      </c>
      <c r="C3555" t="s">
        <v>7</v>
      </c>
      <c r="D3555">
        <v>120</v>
      </c>
      <c r="E3555">
        <v>3741.9940000000001</v>
      </c>
      <c r="F3555">
        <f t="shared" si="221"/>
        <v>3960</v>
      </c>
      <c r="G3555">
        <f t="shared" si="223"/>
        <v>5.5052020202020167</v>
      </c>
      <c r="H3555">
        <f t="shared" si="224"/>
        <v>5.8259313082810893</v>
      </c>
    </row>
    <row r="3556" spans="1:8" x14ac:dyDescent="0.25">
      <c r="A3556" t="str">
        <f t="shared" si="222"/>
        <v>Multihop,USnet,120</v>
      </c>
      <c r="B3556" t="s">
        <v>34</v>
      </c>
      <c r="C3556" t="s">
        <v>7</v>
      </c>
      <c r="D3556">
        <v>120</v>
      </c>
      <c r="E3556">
        <v>3800.7579999999998</v>
      </c>
      <c r="F3556">
        <f t="shared" si="221"/>
        <v>3960</v>
      </c>
      <c r="G3556">
        <f t="shared" si="223"/>
        <v>4.0212626262626312</v>
      </c>
      <c r="H3556">
        <f t="shared" si="224"/>
        <v>4.1897432038556577</v>
      </c>
    </row>
    <row r="3557" spans="1:8" x14ac:dyDescent="0.25">
      <c r="A3557" t="str">
        <f t="shared" si="222"/>
        <v>Multihop,USnet,120</v>
      </c>
      <c r="B3557" t="s">
        <v>34</v>
      </c>
      <c r="C3557" t="s">
        <v>7</v>
      </c>
      <c r="D3557">
        <v>120</v>
      </c>
      <c r="E3557">
        <v>3840.7750000000001</v>
      </c>
      <c r="F3557">
        <f t="shared" si="221"/>
        <v>3960</v>
      </c>
      <c r="G3557">
        <f t="shared" si="223"/>
        <v>3.0107323232323213</v>
      </c>
      <c r="H3557">
        <f t="shared" si="224"/>
        <v>3.1041912114091534</v>
      </c>
    </row>
    <row r="3558" spans="1:8" x14ac:dyDescent="0.25">
      <c r="A3558" t="str">
        <f t="shared" si="222"/>
        <v>Multihop,USnet,120</v>
      </c>
      <c r="B3558" t="s">
        <v>34</v>
      </c>
      <c r="C3558" t="s">
        <v>7</v>
      </c>
      <c r="D3558">
        <v>120</v>
      </c>
      <c r="E3558">
        <v>3932.5819999999999</v>
      </c>
      <c r="F3558">
        <f t="shared" si="221"/>
        <v>3960</v>
      </c>
      <c r="G3558">
        <f t="shared" si="223"/>
        <v>0.69237373737374042</v>
      </c>
      <c r="H3558">
        <f t="shared" si="224"/>
        <v>0.6972009738131365</v>
      </c>
    </row>
    <row r="3559" spans="1:8" x14ac:dyDescent="0.25">
      <c r="A3559" t="str">
        <f t="shared" si="222"/>
        <v>Multihop,USnet,120</v>
      </c>
      <c r="B3559" t="s">
        <v>34</v>
      </c>
      <c r="C3559" t="s">
        <v>7</v>
      </c>
      <c r="D3559">
        <v>120</v>
      </c>
      <c r="E3559">
        <v>3851.364</v>
      </c>
      <c r="F3559">
        <f t="shared" si="221"/>
        <v>3960</v>
      </c>
      <c r="G3559">
        <f t="shared" si="223"/>
        <v>2.7433333333333323</v>
      </c>
      <c r="H3559">
        <f t="shared" si="224"/>
        <v>2.8207149467045953</v>
      </c>
    </row>
    <row r="3560" spans="1:8" x14ac:dyDescent="0.25">
      <c r="A3560" t="str">
        <f t="shared" si="222"/>
        <v>Multihop,USnet,120</v>
      </c>
      <c r="B3560" t="s">
        <v>34</v>
      </c>
      <c r="C3560" t="s">
        <v>7</v>
      </c>
      <c r="D3560">
        <v>120</v>
      </c>
      <c r="E3560">
        <v>3822.7310000000002</v>
      </c>
      <c r="F3560">
        <f t="shared" si="221"/>
        <v>3960</v>
      </c>
      <c r="G3560">
        <f t="shared" si="223"/>
        <v>3.4663888888888836</v>
      </c>
      <c r="H3560">
        <f t="shared" si="224"/>
        <v>3.5908621349501124</v>
      </c>
    </row>
    <row r="3561" spans="1:8" x14ac:dyDescent="0.25">
      <c r="A3561" t="str">
        <f t="shared" si="222"/>
        <v>Multihop,USnet,120</v>
      </c>
      <c r="B3561" t="s">
        <v>34</v>
      </c>
      <c r="C3561" t="s">
        <v>7</v>
      </c>
      <c r="D3561">
        <v>120</v>
      </c>
      <c r="E3561">
        <v>3920.18</v>
      </c>
      <c r="F3561">
        <f t="shared" si="221"/>
        <v>3960</v>
      </c>
      <c r="G3561">
        <f t="shared" si="223"/>
        <v>1.0055555555555598</v>
      </c>
      <c r="H3561">
        <f t="shared" si="224"/>
        <v>1.0157696840451247</v>
      </c>
    </row>
    <row r="3562" spans="1:8" x14ac:dyDescent="0.25">
      <c r="A3562" t="str">
        <f t="shared" si="222"/>
        <v>Multihop,USnet,120</v>
      </c>
      <c r="B3562" t="s">
        <v>34</v>
      </c>
      <c r="C3562" t="s">
        <v>7</v>
      </c>
      <c r="D3562">
        <v>120</v>
      </c>
      <c r="E3562">
        <v>3972.5419999999999</v>
      </c>
      <c r="F3562">
        <f t="shared" si="221"/>
        <v>3960</v>
      </c>
      <c r="G3562">
        <f t="shared" si="223"/>
        <v>0.31671717171716962</v>
      </c>
      <c r="H3562">
        <f t="shared" si="224"/>
        <v>0.31571724100084825</v>
      </c>
    </row>
    <row r="3563" spans="1:8" x14ac:dyDescent="0.25">
      <c r="A3563" t="str">
        <f t="shared" si="222"/>
        <v>Multihop,USnet,120</v>
      </c>
      <c r="B3563" t="s">
        <v>34</v>
      </c>
      <c r="C3563" t="s">
        <v>7</v>
      </c>
      <c r="D3563">
        <v>120</v>
      </c>
      <c r="E3563">
        <v>3752.1889999999999</v>
      </c>
      <c r="F3563">
        <f t="shared" si="221"/>
        <v>3960</v>
      </c>
      <c r="G3563">
        <f t="shared" si="223"/>
        <v>5.2477525252525288</v>
      </c>
      <c r="H3563">
        <f t="shared" si="224"/>
        <v>5.5383937216382266</v>
      </c>
    </row>
    <row r="3564" spans="1:8" x14ac:dyDescent="0.25">
      <c r="A3564" t="str">
        <f t="shared" si="222"/>
        <v>Multihop,USnet,120</v>
      </c>
      <c r="B3564" t="s">
        <v>34</v>
      </c>
      <c r="C3564" t="s">
        <v>7</v>
      </c>
      <c r="D3564">
        <v>120</v>
      </c>
      <c r="E3564">
        <v>3719.002</v>
      </c>
      <c r="F3564">
        <f t="shared" si="221"/>
        <v>3960</v>
      </c>
      <c r="G3564">
        <f t="shared" si="223"/>
        <v>6.0858080808080821</v>
      </c>
      <c r="H3564">
        <f t="shared" si="224"/>
        <v>6.4801793599465682</v>
      </c>
    </row>
    <row r="3565" spans="1:8" x14ac:dyDescent="0.25">
      <c r="A3565" t="str">
        <f t="shared" si="222"/>
        <v>Multihop,USnet,120</v>
      </c>
      <c r="B3565" t="s">
        <v>34</v>
      </c>
      <c r="C3565" t="s">
        <v>7</v>
      </c>
      <c r="D3565">
        <v>120</v>
      </c>
      <c r="E3565">
        <v>3741.319</v>
      </c>
      <c r="F3565">
        <f t="shared" si="221"/>
        <v>3960</v>
      </c>
      <c r="G3565">
        <f t="shared" si="223"/>
        <v>5.5222474747474752</v>
      </c>
      <c r="H3565">
        <f t="shared" si="224"/>
        <v>5.845024174629323</v>
      </c>
    </row>
    <row r="3566" spans="1:8" x14ac:dyDescent="0.25">
      <c r="A3566" t="str">
        <f t="shared" si="222"/>
        <v>Multihop,USnet,120</v>
      </c>
      <c r="B3566" t="s">
        <v>34</v>
      </c>
      <c r="C3566" t="s">
        <v>7</v>
      </c>
      <c r="D3566">
        <v>120</v>
      </c>
      <c r="E3566">
        <v>4053.3829999999998</v>
      </c>
      <c r="F3566">
        <f t="shared" si="221"/>
        <v>3960</v>
      </c>
      <c r="G3566">
        <f t="shared" si="223"/>
        <v>2.3581565656565608</v>
      </c>
      <c r="H3566">
        <f t="shared" si="224"/>
        <v>2.3038286784150377</v>
      </c>
    </row>
    <row r="3567" spans="1:8" x14ac:dyDescent="0.25">
      <c r="A3567" t="str">
        <f t="shared" si="222"/>
        <v>Multihop,USnet,120</v>
      </c>
      <c r="B3567" t="s">
        <v>34</v>
      </c>
      <c r="C3567" t="s">
        <v>7</v>
      </c>
      <c r="D3567">
        <v>120</v>
      </c>
      <c r="E3567">
        <v>3870.9229999999998</v>
      </c>
      <c r="F3567">
        <f t="shared" si="221"/>
        <v>3960</v>
      </c>
      <c r="G3567">
        <f t="shared" si="223"/>
        <v>2.2494191919191975</v>
      </c>
      <c r="H3567">
        <f t="shared" si="224"/>
        <v>2.3011824311669393</v>
      </c>
    </row>
    <row r="3568" spans="1:8" x14ac:dyDescent="0.25">
      <c r="A3568" t="str">
        <f t="shared" si="222"/>
        <v>Multihop,USnet,120</v>
      </c>
      <c r="B3568" t="s">
        <v>34</v>
      </c>
      <c r="C3568" t="s">
        <v>7</v>
      </c>
      <c r="D3568">
        <v>120</v>
      </c>
      <c r="E3568">
        <v>3918.4070000000002</v>
      </c>
      <c r="F3568">
        <f t="shared" si="221"/>
        <v>3960</v>
      </c>
      <c r="G3568">
        <f t="shared" si="223"/>
        <v>1.0503282828282789</v>
      </c>
      <c r="H3568">
        <f t="shared" si="224"/>
        <v>1.061477278904408</v>
      </c>
    </row>
    <row r="3569" spans="1:8" x14ac:dyDescent="0.25">
      <c r="A3569" t="str">
        <f t="shared" si="222"/>
        <v>Multihop,USnet,120</v>
      </c>
      <c r="B3569" t="s">
        <v>34</v>
      </c>
      <c r="C3569" t="s">
        <v>7</v>
      </c>
      <c r="D3569">
        <v>120</v>
      </c>
      <c r="E3569">
        <v>4006.2190000000001</v>
      </c>
      <c r="F3569">
        <f t="shared" si="221"/>
        <v>3960</v>
      </c>
      <c r="G3569">
        <f t="shared" si="223"/>
        <v>1.167146464646466</v>
      </c>
      <c r="H3569">
        <f t="shared" si="224"/>
        <v>1.1536813139770954</v>
      </c>
    </row>
    <row r="3570" spans="1:8" x14ac:dyDescent="0.25">
      <c r="A3570" t="str">
        <f t="shared" si="222"/>
        <v>Multihop,USnet,120</v>
      </c>
      <c r="B3570" t="s">
        <v>34</v>
      </c>
      <c r="C3570" t="s">
        <v>7</v>
      </c>
      <c r="D3570">
        <v>120</v>
      </c>
      <c r="E3570">
        <v>3826.317</v>
      </c>
      <c r="F3570">
        <f t="shared" si="221"/>
        <v>3960</v>
      </c>
      <c r="G3570">
        <f t="shared" si="223"/>
        <v>3.3758333333333335</v>
      </c>
      <c r="H3570">
        <f t="shared" si="224"/>
        <v>3.4937774366316225</v>
      </c>
    </row>
    <row r="3571" spans="1:8" x14ac:dyDescent="0.25">
      <c r="A3571" t="str">
        <f t="shared" si="222"/>
        <v>Multihop,USnet,120</v>
      </c>
      <c r="B3571" t="s">
        <v>34</v>
      </c>
      <c r="C3571" t="s">
        <v>7</v>
      </c>
      <c r="D3571">
        <v>120</v>
      </c>
      <c r="E3571">
        <v>3916.241</v>
      </c>
      <c r="F3571">
        <f t="shared" si="221"/>
        <v>3960</v>
      </c>
      <c r="G3571">
        <f t="shared" si="223"/>
        <v>1.1050252525252529</v>
      </c>
      <c r="H3571">
        <f t="shared" si="224"/>
        <v>1.1173725008241324</v>
      </c>
    </row>
    <row r="3572" spans="1:8" x14ac:dyDescent="0.25">
      <c r="A3572" t="str">
        <f t="shared" si="222"/>
        <v>Multihop,USnet,120</v>
      </c>
      <c r="B3572" t="s">
        <v>34</v>
      </c>
      <c r="C3572" t="s">
        <v>7</v>
      </c>
      <c r="D3572">
        <v>120</v>
      </c>
      <c r="E3572">
        <v>3887.127</v>
      </c>
      <c r="F3572">
        <f t="shared" si="221"/>
        <v>3960</v>
      </c>
      <c r="G3572">
        <f t="shared" si="223"/>
        <v>1.8402272727272739</v>
      </c>
      <c r="H3572">
        <f t="shared" si="224"/>
        <v>1.8747265010893663</v>
      </c>
    </row>
    <row r="3573" spans="1:8" x14ac:dyDescent="0.25">
      <c r="A3573" t="str">
        <f t="shared" si="222"/>
        <v>Multihop,USnet,120</v>
      </c>
      <c r="B3573" t="s">
        <v>34</v>
      </c>
      <c r="C3573" t="s">
        <v>7</v>
      </c>
      <c r="D3573">
        <v>120</v>
      </c>
      <c r="E3573">
        <v>3982.2460000000001</v>
      </c>
      <c r="F3573">
        <f t="shared" si="221"/>
        <v>3960</v>
      </c>
      <c r="G3573">
        <f t="shared" si="223"/>
        <v>0.56176767676767914</v>
      </c>
      <c r="H3573">
        <f t="shared" si="224"/>
        <v>0.55862947693337106</v>
      </c>
    </row>
    <row r="3574" spans="1:8" x14ac:dyDescent="0.25">
      <c r="A3574" t="str">
        <f t="shared" si="222"/>
        <v>Multihop,USnet,120</v>
      </c>
      <c r="B3574" t="s">
        <v>34</v>
      </c>
      <c r="C3574" t="s">
        <v>7</v>
      </c>
      <c r="D3574">
        <v>120</v>
      </c>
      <c r="E3574">
        <v>3956.2550000000001</v>
      </c>
      <c r="F3574">
        <f t="shared" si="221"/>
        <v>3960</v>
      </c>
      <c r="G3574">
        <f t="shared" si="223"/>
        <v>9.4570707070704307E-2</v>
      </c>
      <c r="H3574">
        <f t="shared" si="224"/>
        <v>9.4660227917560694E-2</v>
      </c>
    </row>
    <row r="3575" spans="1:8" x14ac:dyDescent="0.25">
      <c r="A3575" t="str">
        <f t="shared" si="222"/>
        <v>Multihop,USnet,120</v>
      </c>
      <c r="B3575" t="s">
        <v>34</v>
      </c>
      <c r="C3575" t="s">
        <v>7</v>
      </c>
      <c r="D3575">
        <v>120</v>
      </c>
      <c r="E3575">
        <v>3824.2939999999999</v>
      </c>
      <c r="F3575">
        <f t="shared" si="221"/>
        <v>3960</v>
      </c>
      <c r="G3575">
        <f t="shared" si="223"/>
        <v>3.426919191919195</v>
      </c>
      <c r="H3575">
        <f t="shared" si="224"/>
        <v>3.5485242504891135</v>
      </c>
    </row>
    <row r="3576" spans="1:8" x14ac:dyDescent="0.25">
      <c r="A3576" t="str">
        <f t="shared" si="222"/>
        <v>Multihop,USnet,120</v>
      </c>
      <c r="B3576" t="s">
        <v>34</v>
      </c>
      <c r="C3576" t="s">
        <v>7</v>
      </c>
      <c r="D3576">
        <v>120</v>
      </c>
      <c r="E3576">
        <v>4011.4340000000002</v>
      </c>
      <c r="F3576">
        <f t="shared" si="221"/>
        <v>3960</v>
      </c>
      <c r="G3576">
        <f t="shared" si="223"/>
        <v>1.2988383838383888</v>
      </c>
      <c r="H3576">
        <f t="shared" si="224"/>
        <v>1.2821848745361433</v>
      </c>
    </row>
    <row r="3577" spans="1:8" x14ac:dyDescent="0.25">
      <c r="A3577" t="str">
        <f t="shared" si="222"/>
        <v>Multihop,USnet,120</v>
      </c>
      <c r="B3577" t="s">
        <v>34</v>
      </c>
      <c r="C3577" t="s">
        <v>7</v>
      </c>
      <c r="D3577">
        <v>120</v>
      </c>
      <c r="E3577">
        <v>3823.8220000000001</v>
      </c>
      <c r="F3577">
        <f t="shared" si="221"/>
        <v>3960</v>
      </c>
      <c r="G3577">
        <f t="shared" si="223"/>
        <v>3.4388383838383807</v>
      </c>
      <c r="H3577">
        <f t="shared" si="224"/>
        <v>3.5613059394501074</v>
      </c>
    </row>
    <row r="3578" spans="1:8" x14ac:dyDescent="0.25">
      <c r="A3578" t="str">
        <f t="shared" si="222"/>
        <v>Multihop,USnet,120</v>
      </c>
      <c r="B3578" t="s">
        <v>34</v>
      </c>
      <c r="C3578" t="s">
        <v>7</v>
      </c>
      <c r="D3578">
        <v>120</v>
      </c>
      <c r="E3578">
        <v>3766.8409999999999</v>
      </c>
      <c r="F3578">
        <f t="shared" si="221"/>
        <v>3960</v>
      </c>
      <c r="G3578">
        <f t="shared" si="223"/>
        <v>4.8777525252525278</v>
      </c>
      <c r="H3578">
        <f t="shared" si="224"/>
        <v>5.1278777097307824</v>
      </c>
    </row>
    <row r="3579" spans="1:8" x14ac:dyDescent="0.25">
      <c r="A3579" t="str">
        <f t="shared" si="222"/>
        <v>Multihop,USnet,120</v>
      </c>
      <c r="B3579" t="s">
        <v>34</v>
      </c>
      <c r="C3579" t="s">
        <v>7</v>
      </c>
      <c r="D3579">
        <v>120</v>
      </c>
      <c r="E3579">
        <v>3947.6750000000002</v>
      </c>
      <c r="F3579">
        <f t="shared" si="221"/>
        <v>3960</v>
      </c>
      <c r="G3579">
        <f t="shared" si="223"/>
        <v>0.31123737373736915</v>
      </c>
      <c r="H3579">
        <f t="shared" si="224"/>
        <v>0.31220908509438638</v>
      </c>
    </row>
    <row r="3580" spans="1:8" x14ac:dyDescent="0.25">
      <c r="A3580" t="str">
        <f t="shared" si="222"/>
        <v>Multihop,USnet,120</v>
      </c>
      <c r="B3580" t="s">
        <v>34</v>
      </c>
      <c r="C3580" t="s">
        <v>7</v>
      </c>
      <c r="D3580">
        <v>120</v>
      </c>
      <c r="E3580">
        <v>3821.136</v>
      </c>
      <c r="F3580">
        <f t="shared" si="221"/>
        <v>3960</v>
      </c>
      <c r="G3580">
        <f t="shared" si="223"/>
        <v>3.5066666666666677</v>
      </c>
      <c r="H3580">
        <f t="shared" si="224"/>
        <v>3.6341025286721029</v>
      </c>
    </row>
    <row r="3581" spans="1:8" x14ac:dyDescent="0.25">
      <c r="A3581" t="str">
        <f t="shared" si="222"/>
        <v>Multihop,USnet,120</v>
      </c>
      <c r="B3581" t="s">
        <v>34</v>
      </c>
      <c r="C3581" t="s">
        <v>7</v>
      </c>
      <c r="D3581">
        <v>120</v>
      </c>
      <c r="E3581">
        <v>3890.16</v>
      </c>
      <c r="F3581">
        <f t="shared" si="221"/>
        <v>3960</v>
      </c>
      <c r="G3581">
        <f t="shared" si="223"/>
        <v>1.7636363636363672</v>
      </c>
      <c r="H3581">
        <f t="shared" si="224"/>
        <v>1.7952989080140702</v>
      </c>
    </row>
    <row r="3582" spans="1:8" x14ac:dyDescent="0.25">
      <c r="A3582" t="str">
        <f t="shared" si="222"/>
        <v>Multihop,USnet,120</v>
      </c>
      <c r="B3582" t="s">
        <v>34</v>
      </c>
      <c r="C3582" t="s">
        <v>7</v>
      </c>
      <c r="D3582">
        <v>120</v>
      </c>
      <c r="E3582">
        <v>3671.0720000000001</v>
      </c>
      <c r="F3582">
        <f t="shared" si="221"/>
        <v>3960</v>
      </c>
      <c r="G3582">
        <f t="shared" si="223"/>
        <v>7.296161616161613</v>
      </c>
      <c r="H3582">
        <f t="shared" si="224"/>
        <v>7.8703986192588946</v>
      </c>
    </row>
    <row r="3583" spans="1:8" x14ac:dyDescent="0.25">
      <c r="A3583" t="str">
        <f t="shared" si="222"/>
        <v>Multihop,USnet,120</v>
      </c>
      <c r="B3583" t="s">
        <v>34</v>
      </c>
      <c r="C3583" t="s">
        <v>7</v>
      </c>
      <c r="D3583">
        <v>120</v>
      </c>
      <c r="E3583">
        <v>3897.66</v>
      </c>
      <c r="F3583">
        <f t="shared" si="221"/>
        <v>3960</v>
      </c>
      <c r="G3583">
        <f t="shared" si="223"/>
        <v>1.574242424242428</v>
      </c>
      <c r="H3583">
        <f t="shared" si="224"/>
        <v>1.5994211911762479</v>
      </c>
    </row>
    <row r="3584" spans="1:8" x14ac:dyDescent="0.25">
      <c r="A3584" t="str">
        <f t="shared" si="222"/>
        <v>Multihop,USnet,120</v>
      </c>
      <c r="B3584" t="s">
        <v>34</v>
      </c>
      <c r="C3584" t="s">
        <v>7</v>
      </c>
      <c r="D3584">
        <v>120</v>
      </c>
      <c r="E3584">
        <v>4022.8710000000001</v>
      </c>
      <c r="F3584">
        <f t="shared" si="221"/>
        <v>3960</v>
      </c>
      <c r="G3584">
        <f t="shared" si="223"/>
        <v>1.5876515151515176</v>
      </c>
      <c r="H3584">
        <f t="shared" si="224"/>
        <v>1.5628390768682392</v>
      </c>
    </row>
    <row r="3585" spans="1:8" x14ac:dyDescent="0.25">
      <c r="A3585" t="str">
        <f t="shared" si="222"/>
        <v>Multihop,USnet,120</v>
      </c>
      <c r="B3585" t="s">
        <v>34</v>
      </c>
      <c r="C3585" t="s">
        <v>7</v>
      </c>
      <c r="D3585">
        <v>120</v>
      </c>
      <c r="E3585">
        <v>3855.21</v>
      </c>
      <c r="F3585">
        <f t="shared" si="221"/>
        <v>3960</v>
      </c>
      <c r="G3585">
        <f t="shared" si="223"/>
        <v>2.6462121212121206</v>
      </c>
      <c r="H3585">
        <f t="shared" si="224"/>
        <v>2.7181398678671189</v>
      </c>
    </row>
    <row r="3586" spans="1:8" x14ac:dyDescent="0.25">
      <c r="A3586" t="str">
        <f t="shared" si="222"/>
        <v>Multihop,USnet,120</v>
      </c>
      <c r="B3586" t="s">
        <v>34</v>
      </c>
      <c r="C3586" t="s">
        <v>7</v>
      </c>
      <c r="D3586">
        <v>120</v>
      </c>
      <c r="E3586">
        <v>4064.895</v>
      </c>
      <c r="F3586">
        <f t="shared" si="221"/>
        <v>3960</v>
      </c>
      <c r="G3586">
        <f t="shared" si="223"/>
        <v>2.648863636363636</v>
      </c>
      <c r="H3586">
        <f t="shared" si="224"/>
        <v>2.5805094596539386</v>
      </c>
    </row>
    <row r="3587" spans="1:8" x14ac:dyDescent="0.25">
      <c r="A3587" t="str">
        <f t="shared" si="222"/>
        <v>Multihop,USnet,120</v>
      </c>
      <c r="B3587" t="s">
        <v>34</v>
      </c>
      <c r="C3587" t="s">
        <v>7</v>
      </c>
      <c r="D3587">
        <v>120</v>
      </c>
      <c r="E3587">
        <v>3937.2730000000001</v>
      </c>
      <c r="F3587">
        <f t="shared" ref="F3587:F3602" si="225">_xlfn.XLOOKUP(A3587,$J$3:$J$36,$N$3:$N$36)</f>
        <v>3960</v>
      </c>
      <c r="G3587">
        <f t="shared" si="223"/>
        <v>0.57391414141413788</v>
      </c>
      <c r="H3587">
        <f t="shared" si="224"/>
        <v>0.57722692838418521</v>
      </c>
    </row>
    <row r="3588" spans="1:8" x14ac:dyDescent="0.25">
      <c r="A3588" t="str">
        <f t="shared" ref="A3588:A3602" si="226">B3588&amp;","&amp;C3588&amp;","&amp;D3588</f>
        <v>Multihop,USnet,120</v>
      </c>
      <c r="B3588" t="s">
        <v>34</v>
      </c>
      <c r="C3588" t="s">
        <v>7</v>
      </c>
      <c r="D3588">
        <v>120</v>
      </c>
      <c r="E3588">
        <v>3981.8969999999999</v>
      </c>
      <c r="F3588">
        <f t="shared" si="225"/>
        <v>3960</v>
      </c>
      <c r="G3588">
        <f t="shared" ref="G3588:G3602" si="227">ABS((E3588-F3588)/F3588)*100</f>
        <v>0.55295454545454381</v>
      </c>
      <c r="H3588">
        <f t="shared" ref="H3588:H3602" si="228">ABS((F3588-E3588)/E3588)*100</f>
        <v>0.54991377225478044</v>
      </c>
    </row>
    <row r="3589" spans="1:8" x14ac:dyDescent="0.25">
      <c r="A3589" t="str">
        <f t="shared" si="226"/>
        <v>Multihop,USnet,120</v>
      </c>
      <c r="B3589" t="s">
        <v>34</v>
      </c>
      <c r="C3589" t="s">
        <v>7</v>
      </c>
      <c r="D3589">
        <v>120</v>
      </c>
      <c r="E3589">
        <v>3688.0410000000002</v>
      </c>
      <c r="F3589">
        <f t="shared" si="225"/>
        <v>3960</v>
      </c>
      <c r="G3589">
        <f t="shared" si="227"/>
        <v>6.8676515151515112</v>
      </c>
      <c r="H3589">
        <f t="shared" si="228"/>
        <v>7.3740774573818406</v>
      </c>
    </row>
    <row r="3590" spans="1:8" x14ac:dyDescent="0.25">
      <c r="A3590" t="str">
        <f t="shared" si="226"/>
        <v>Multihop,USnet,120</v>
      </c>
      <c r="B3590" t="s">
        <v>34</v>
      </c>
      <c r="C3590" t="s">
        <v>7</v>
      </c>
      <c r="D3590">
        <v>120</v>
      </c>
      <c r="E3590">
        <v>3833.4140000000002</v>
      </c>
      <c r="F3590">
        <f t="shared" si="225"/>
        <v>3960</v>
      </c>
      <c r="G3590">
        <f t="shared" si="227"/>
        <v>3.1966161616161557</v>
      </c>
      <c r="H3590">
        <f t="shared" si="228"/>
        <v>3.302173989034312</v>
      </c>
    </row>
    <row r="3591" spans="1:8" x14ac:dyDescent="0.25">
      <c r="A3591" t="str">
        <f t="shared" si="226"/>
        <v>Multihop,USnet,120</v>
      </c>
      <c r="B3591" t="s">
        <v>34</v>
      </c>
      <c r="C3591" t="s">
        <v>7</v>
      </c>
      <c r="D3591">
        <v>120</v>
      </c>
      <c r="E3591">
        <v>3887.8029999999999</v>
      </c>
      <c r="F3591">
        <f t="shared" si="225"/>
        <v>3960</v>
      </c>
      <c r="G3591">
        <f t="shared" si="227"/>
        <v>1.8231565656565685</v>
      </c>
      <c r="H3591">
        <f t="shared" si="228"/>
        <v>1.8570128167502344</v>
      </c>
    </row>
    <row r="3592" spans="1:8" x14ac:dyDescent="0.25">
      <c r="A3592" t="str">
        <f t="shared" si="226"/>
        <v>Multihop,USnet,120</v>
      </c>
      <c r="B3592" t="s">
        <v>34</v>
      </c>
      <c r="C3592" t="s">
        <v>7</v>
      </c>
      <c r="D3592">
        <v>120</v>
      </c>
      <c r="E3592">
        <v>3868.5320000000002</v>
      </c>
      <c r="F3592">
        <f t="shared" si="225"/>
        <v>3960</v>
      </c>
      <c r="G3592">
        <f t="shared" si="227"/>
        <v>2.3097979797979762</v>
      </c>
      <c r="H3592">
        <f t="shared" si="228"/>
        <v>2.3644110996109076</v>
      </c>
    </row>
    <row r="3593" spans="1:8" x14ac:dyDescent="0.25">
      <c r="A3593" t="str">
        <f t="shared" si="226"/>
        <v>Multihop,USnet,120</v>
      </c>
      <c r="B3593" t="s">
        <v>34</v>
      </c>
      <c r="C3593" t="s">
        <v>7</v>
      </c>
      <c r="D3593">
        <v>120</v>
      </c>
      <c r="E3593">
        <v>3892.3270000000002</v>
      </c>
      <c r="F3593">
        <f t="shared" si="225"/>
        <v>3960</v>
      </c>
      <c r="G3593">
        <f t="shared" si="227"/>
        <v>1.7089141414141358</v>
      </c>
      <c r="H3593">
        <f t="shared" si="228"/>
        <v>1.7386257629433439</v>
      </c>
    </row>
    <row r="3594" spans="1:8" x14ac:dyDescent="0.25">
      <c r="A3594" t="str">
        <f t="shared" si="226"/>
        <v>Multihop,USnet,120</v>
      </c>
      <c r="B3594" t="s">
        <v>34</v>
      </c>
      <c r="C3594" t="s">
        <v>7</v>
      </c>
      <c r="D3594">
        <v>120</v>
      </c>
      <c r="E3594">
        <v>3892.203</v>
      </c>
      <c r="F3594">
        <f t="shared" si="225"/>
        <v>3960</v>
      </c>
      <c r="G3594">
        <f t="shared" si="227"/>
        <v>1.7120454545454553</v>
      </c>
      <c r="H3594">
        <f t="shared" si="228"/>
        <v>1.7418670095059283</v>
      </c>
    </row>
    <row r="3595" spans="1:8" x14ac:dyDescent="0.25">
      <c r="A3595" t="str">
        <f t="shared" si="226"/>
        <v>Multihop,USnet,120</v>
      </c>
      <c r="B3595" t="s">
        <v>34</v>
      </c>
      <c r="C3595" t="s">
        <v>7</v>
      </c>
      <c r="D3595">
        <v>120</v>
      </c>
      <c r="E3595">
        <v>3804.3560000000002</v>
      </c>
      <c r="F3595">
        <f t="shared" si="225"/>
        <v>3960</v>
      </c>
      <c r="G3595">
        <f t="shared" si="227"/>
        <v>3.930404040404035</v>
      </c>
      <c r="H3595">
        <f t="shared" si="228"/>
        <v>4.0912049240397002</v>
      </c>
    </row>
    <row r="3596" spans="1:8" x14ac:dyDescent="0.25">
      <c r="A3596" t="str">
        <f t="shared" si="226"/>
        <v>Multihop,USnet,120</v>
      </c>
      <c r="B3596" t="s">
        <v>34</v>
      </c>
      <c r="C3596" t="s">
        <v>7</v>
      </c>
      <c r="D3596">
        <v>120</v>
      </c>
      <c r="E3596">
        <v>3882.7950000000001</v>
      </c>
      <c r="F3596">
        <f t="shared" si="225"/>
        <v>3960</v>
      </c>
      <c r="G3596">
        <f t="shared" si="227"/>
        <v>1.9496212121212102</v>
      </c>
      <c r="H3596">
        <f t="shared" si="228"/>
        <v>1.9883872313629722</v>
      </c>
    </row>
    <row r="3597" spans="1:8" x14ac:dyDescent="0.25">
      <c r="A3597" t="str">
        <f t="shared" si="226"/>
        <v>Multihop,USnet,120</v>
      </c>
      <c r="B3597" t="s">
        <v>34</v>
      </c>
      <c r="C3597" t="s">
        <v>7</v>
      </c>
      <c r="D3597">
        <v>120</v>
      </c>
      <c r="E3597">
        <v>3807.9079999999999</v>
      </c>
      <c r="F3597">
        <f t="shared" si="225"/>
        <v>3960</v>
      </c>
      <c r="G3597">
        <f t="shared" si="227"/>
        <v>3.8407070707070732</v>
      </c>
      <c r="H3597">
        <f t="shared" si="228"/>
        <v>3.9941091013753511</v>
      </c>
    </row>
    <row r="3598" spans="1:8" x14ac:dyDescent="0.25">
      <c r="A3598" t="str">
        <f t="shared" si="226"/>
        <v>Multihop,USnet,120</v>
      </c>
      <c r="B3598" t="s">
        <v>34</v>
      </c>
      <c r="C3598" t="s">
        <v>7</v>
      </c>
      <c r="D3598">
        <v>120</v>
      </c>
      <c r="E3598">
        <v>3834.4340000000002</v>
      </c>
      <c r="F3598">
        <f t="shared" si="225"/>
        <v>3960</v>
      </c>
      <c r="G3598">
        <f t="shared" si="227"/>
        <v>3.1708585858585812</v>
      </c>
      <c r="H3598">
        <f t="shared" si="228"/>
        <v>3.2746945181479146</v>
      </c>
    </row>
    <row r="3599" spans="1:8" x14ac:dyDescent="0.25">
      <c r="A3599" t="str">
        <f t="shared" si="226"/>
        <v>Multihop,USnet,120</v>
      </c>
      <c r="B3599" t="s">
        <v>34</v>
      </c>
      <c r="C3599" t="s">
        <v>7</v>
      </c>
      <c r="D3599">
        <v>120</v>
      </c>
      <c r="E3599">
        <v>3860.4589999999998</v>
      </c>
      <c r="F3599">
        <f t="shared" si="225"/>
        <v>3960</v>
      </c>
      <c r="G3599">
        <f t="shared" si="227"/>
        <v>2.5136616161616203</v>
      </c>
      <c r="H3599">
        <f t="shared" si="228"/>
        <v>2.5784757719224625</v>
      </c>
    </row>
    <row r="3600" spans="1:8" x14ac:dyDescent="0.25">
      <c r="A3600" t="str">
        <f t="shared" si="226"/>
        <v>Multihop,USnet,120</v>
      </c>
      <c r="B3600" t="s">
        <v>34</v>
      </c>
      <c r="C3600" t="s">
        <v>7</v>
      </c>
      <c r="D3600">
        <v>120</v>
      </c>
      <c r="E3600">
        <v>3928.201</v>
      </c>
      <c r="F3600">
        <f t="shared" si="225"/>
        <v>3960</v>
      </c>
      <c r="G3600">
        <f t="shared" si="227"/>
        <v>0.80300505050505</v>
      </c>
      <c r="H3600">
        <f t="shared" si="228"/>
        <v>0.80950541991104774</v>
      </c>
    </row>
    <row r="3601" spans="1:8" x14ac:dyDescent="0.25">
      <c r="A3601" t="str">
        <f t="shared" si="226"/>
        <v>Multihop,USnet,120</v>
      </c>
      <c r="B3601" t="s">
        <v>34</v>
      </c>
      <c r="C3601" t="s">
        <v>7</v>
      </c>
      <c r="D3601">
        <v>120</v>
      </c>
      <c r="E3601">
        <v>3867.29</v>
      </c>
      <c r="F3601">
        <f t="shared" si="225"/>
        <v>3960</v>
      </c>
      <c r="G3601">
        <f t="shared" si="227"/>
        <v>2.3411616161616173</v>
      </c>
      <c r="H3601">
        <f t="shared" si="228"/>
        <v>2.39728595476419</v>
      </c>
    </row>
    <row r="3602" spans="1:8" x14ac:dyDescent="0.25">
      <c r="A3602" t="str">
        <f t="shared" si="226"/>
        <v>Multihop,USnet,120</v>
      </c>
      <c r="B3602" t="s">
        <v>34</v>
      </c>
      <c r="C3602" t="s">
        <v>7</v>
      </c>
      <c r="D3602">
        <v>120</v>
      </c>
      <c r="E3602">
        <v>3886.163</v>
      </c>
      <c r="F3602">
        <f t="shared" si="225"/>
        <v>3960</v>
      </c>
      <c r="G3602">
        <f t="shared" si="227"/>
        <v>1.8645707070707069</v>
      </c>
      <c r="H3602">
        <f t="shared" si="228"/>
        <v>1.8999975039647072</v>
      </c>
    </row>
  </sheetData>
  <sortState xmlns:xlrd2="http://schemas.microsoft.com/office/spreadsheetml/2017/richdata2" ref="K3:N36">
    <sortCondition ref="K3:K36"/>
    <sortCondition ref="L3:L36"/>
    <sortCondition ref="M3:M36"/>
  </sortState>
  <pageMargins left="0.7" right="0.7" top="0.75" bottom="0.75" header="0.3" footer="0.3"/>
  <pageSetup paperSize="9" orientation="portrait" horizontalDpi="4294967293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8688-CB3D-433B-85EB-19ADAF728D39}">
  <dimension ref="A1:AB36"/>
  <sheetViews>
    <sheetView tabSelected="1" workbookViewId="0">
      <selection activeCell="W24" sqref="W24"/>
    </sheetView>
  </sheetViews>
  <sheetFormatPr defaultRowHeight="15" x14ac:dyDescent="0.25"/>
  <sheetData>
    <row r="1" spans="1:28" x14ac:dyDescent="0.25">
      <c r="A1" s="8" t="s">
        <v>44</v>
      </c>
      <c r="B1" s="8"/>
      <c r="C1" s="8"/>
      <c r="D1" s="8"/>
      <c r="E1" s="8" t="s">
        <v>44</v>
      </c>
      <c r="F1" s="8"/>
      <c r="G1" s="8"/>
      <c r="H1" s="8"/>
      <c r="P1" s="8" t="s">
        <v>44</v>
      </c>
      <c r="Q1" s="8"/>
      <c r="R1" s="8"/>
      <c r="S1" s="8"/>
      <c r="T1" s="8" t="s">
        <v>44</v>
      </c>
      <c r="U1" s="8"/>
      <c r="V1" s="8"/>
    </row>
    <row r="2" spans="1:28" x14ac:dyDescent="0.25">
      <c r="A2" s="8" t="s">
        <v>45</v>
      </c>
      <c r="B2" s="8"/>
      <c r="C2" s="8"/>
      <c r="D2" s="8"/>
      <c r="E2" s="8" t="s">
        <v>46</v>
      </c>
      <c r="F2" s="8"/>
      <c r="G2" s="8"/>
      <c r="H2" s="8"/>
      <c r="P2" s="8" t="s">
        <v>47</v>
      </c>
      <c r="Q2" s="8"/>
      <c r="R2" s="8"/>
      <c r="S2" s="8"/>
      <c r="T2" s="8" t="s">
        <v>48</v>
      </c>
      <c r="U2" s="8"/>
      <c r="V2" s="8"/>
    </row>
    <row r="3" spans="1:28" x14ac:dyDescent="0.25">
      <c r="A3" s="8" t="s">
        <v>49</v>
      </c>
      <c r="B3" s="8" t="s">
        <v>50</v>
      </c>
      <c r="C3" s="8" t="s">
        <v>51</v>
      </c>
      <c r="D3" s="8"/>
      <c r="E3" s="8" t="s">
        <v>49</v>
      </c>
      <c r="F3" s="8" t="s">
        <v>50</v>
      </c>
      <c r="G3" s="8" t="s">
        <v>51</v>
      </c>
      <c r="H3" s="8"/>
      <c r="I3" s="17" t="s">
        <v>56</v>
      </c>
      <c r="P3" s="8" t="s">
        <v>49</v>
      </c>
      <c r="Q3" s="8" t="s">
        <v>50</v>
      </c>
      <c r="R3" s="8" t="s">
        <v>51</v>
      </c>
      <c r="S3" s="8"/>
      <c r="T3" s="8" t="s">
        <v>49</v>
      </c>
      <c r="U3" s="8" t="s">
        <v>50</v>
      </c>
      <c r="V3" s="8" t="s">
        <v>51</v>
      </c>
      <c r="X3" s="17" t="s">
        <v>56</v>
      </c>
    </row>
    <row r="4" spans="1:28" x14ac:dyDescent="0.25">
      <c r="A4" s="9">
        <v>20</v>
      </c>
      <c r="B4" s="10">
        <v>51.705999999999939</v>
      </c>
      <c r="C4" s="10">
        <f>ROUND(B4,3)</f>
        <v>51.706000000000003</v>
      </c>
      <c r="D4" s="8"/>
      <c r="E4" s="11">
        <v>20</v>
      </c>
      <c r="F4" s="12">
        <v>52.2</v>
      </c>
      <c r="G4" s="11">
        <v>1</v>
      </c>
      <c r="H4" s="8"/>
      <c r="I4">
        <f>ROUND(ABS((F4-B4)/B4*100),1)</f>
        <v>1</v>
      </c>
      <c r="J4" cm="1">
        <f t="array" ref="J4:N4">TRANSPOSE(I4:I8)</f>
        <v>1</v>
      </c>
      <c r="K4">
        <v>1.8</v>
      </c>
      <c r="L4">
        <v>1.8</v>
      </c>
      <c r="M4">
        <v>0.2</v>
      </c>
      <c r="N4">
        <v>1.1000000000000001</v>
      </c>
      <c r="P4" s="13">
        <v>20</v>
      </c>
      <c r="Q4" s="14">
        <v>45.162429999999993</v>
      </c>
      <c r="R4" s="10">
        <f>ROUND(Q4,3)</f>
        <v>45.161999999999999</v>
      </c>
      <c r="T4" s="15">
        <v>20</v>
      </c>
      <c r="U4" s="16">
        <v>46</v>
      </c>
      <c r="V4" s="15">
        <v>1</v>
      </c>
      <c r="X4">
        <f t="shared" ref="X4:X8" si="0">ROUND(ABS((U4-Q4)/Q4*100),1)</f>
        <v>1.9</v>
      </c>
    </row>
    <row r="5" spans="1:28" x14ac:dyDescent="0.25">
      <c r="A5" s="9">
        <v>40</v>
      </c>
      <c r="B5" s="10">
        <v>83.863120000000023</v>
      </c>
      <c r="C5" s="10">
        <f>ROUND(B5,3)</f>
        <v>83.863</v>
      </c>
      <c r="D5" s="8"/>
      <c r="E5" s="11">
        <v>40</v>
      </c>
      <c r="F5" s="12">
        <v>85.4</v>
      </c>
      <c r="G5" s="11">
        <v>1</v>
      </c>
      <c r="H5" s="8"/>
      <c r="I5">
        <f>ROUND(ABS((F5-B5)/B5*100),1)</f>
        <v>1.8</v>
      </c>
      <c r="J5" t="str">
        <f>_xlfn.TEXTJOIN(";",FALSE,J4:N4)</f>
        <v>1;1.8;1.8;0.2;1.1</v>
      </c>
      <c r="P5" s="13">
        <v>40</v>
      </c>
      <c r="Q5" s="14">
        <v>76.951300000000003</v>
      </c>
      <c r="R5" s="10">
        <f t="shared" ref="R5:R9" si="1">ROUND(Q5,3)</f>
        <v>76.950999999999993</v>
      </c>
      <c r="T5" s="15">
        <v>40</v>
      </c>
      <c r="U5" s="16">
        <v>79.7</v>
      </c>
      <c r="V5" s="15">
        <v>1</v>
      </c>
      <c r="X5">
        <f t="shared" si="0"/>
        <v>3.6</v>
      </c>
    </row>
    <row r="6" spans="1:28" x14ac:dyDescent="0.25">
      <c r="A6" s="9">
        <v>60</v>
      </c>
      <c r="B6" s="10">
        <v>115.59</v>
      </c>
      <c r="C6" s="10">
        <f t="shared" ref="C6:C9" si="2">ROUND(B6,3)</f>
        <v>115.59</v>
      </c>
      <c r="D6" s="8"/>
      <c r="E6" s="11">
        <v>60</v>
      </c>
      <c r="F6" s="12">
        <v>113.5</v>
      </c>
      <c r="G6" s="11">
        <v>1</v>
      </c>
      <c r="H6" s="8"/>
      <c r="I6">
        <f>ROUND(ABS((F6-B6)/B6*100),1)</f>
        <v>1.8</v>
      </c>
      <c r="P6" s="13">
        <v>60</v>
      </c>
      <c r="Q6" s="14">
        <v>107.91356000000003</v>
      </c>
      <c r="R6" s="10">
        <f t="shared" si="1"/>
        <v>107.914</v>
      </c>
      <c r="T6" s="15">
        <v>60</v>
      </c>
      <c r="U6" s="16">
        <v>110.5</v>
      </c>
      <c r="V6" s="15">
        <v>1</v>
      </c>
      <c r="X6">
        <f t="shared" si="0"/>
        <v>2.4</v>
      </c>
    </row>
    <row r="7" spans="1:28" x14ac:dyDescent="0.25">
      <c r="A7" s="9">
        <v>80</v>
      </c>
      <c r="B7" s="10">
        <v>146.67577</v>
      </c>
      <c r="C7" s="10">
        <f t="shared" si="2"/>
        <v>146.67599999999999</v>
      </c>
      <c r="D7" s="8"/>
      <c r="E7" s="11">
        <v>80</v>
      </c>
      <c r="F7" s="12">
        <v>147</v>
      </c>
      <c r="G7" s="11">
        <v>1</v>
      </c>
      <c r="H7" s="8"/>
      <c r="I7">
        <f>ROUND(ABS((F7-B7)/B7*100),1)</f>
        <v>0.2</v>
      </c>
      <c r="P7" s="13">
        <v>80</v>
      </c>
      <c r="Q7" s="14">
        <v>138.71859000000006</v>
      </c>
      <c r="R7" s="10">
        <f t="shared" si="1"/>
        <v>138.71899999999999</v>
      </c>
      <c r="T7" s="15">
        <v>80</v>
      </c>
      <c r="U7" s="16">
        <v>144.5</v>
      </c>
      <c r="V7" s="15">
        <v>1</v>
      </c>
      <c r="X7">
        <f t="shared" si="0"/>
        <v>4.2</v>
      </c>
    </row>
    <row r="8" spans="1:28" x14ac:dyDescent="0.25">
      <c r="A8" s="9">
        <v>100</v>
      </c>
      <c r="B8" s="10">
        <v>178.20447000000001</v>
      </c>
      <c r="C8" s="10">
        <f t="shared" si="2"/>
        <v>178.20400000000001</v>
      </c>
      <c r="D8" s="8"/>
      <c r="E8" s="11">
        <v>100</v>
      </c>
      <c r="F8" s="12">
        <v>180.2</v>
      </c>
      <c r="G8" s="11">
        <v>1</v>
      </c>
      <c r="H8" s="8"/>
      <c r="I8">
        <f>ROUND(ABS((F8-B8)/B8*100),1)</f>
        <v>1.1000000000000001</v>
      </c>
      <c r="P8" s="13">
        <v>100</v>
      </c>
      <c r="Q8" s="14">
        <v>170.89830999999992</v>
      </c>
      <c r="R8" s="10">
        <f t="shared" si="1"/>
        <v>170.898</v>
      </c>
      <c r="T8" s="15">
        <v>100</v>
      </c>
      <c r="U8" s="16">
        <v>176</v>
      </c>
      <c r="V8" s="15">
        <v>1</v>
      </c>
      <c r="X8">
        <f t="shared" si="0"/>
        <v>3</v>
      </c>
    </row>
    <row r="9" spans="1:28" x14ac:dyDescent="0.25">
      <c r="A9" s="9">
        <v>120</v>
      </c>
      <c r="B9" s="10">
        <v>210.15678000000008</v>
      </c>
      <c r="C9" s="10">
        <f t="shared" si="2"/>
        <v>210.15700000000001</v>
      </c>
      <c r="D9" s="8"/>
      <c r="E9" s="8"/>
      <c r="F9" s="8"/>
      <c r="G9" s="8"/>
      <c r="H9" s="8"/>
      <c r="I9" cm="1">
        <f t="array" ref="I9:M9">TRANSPOSE(F4:F8)</f>
        <v>52.2</v>
      </c>
      <c r="J9">
        <v>85.4</v>
      </c>
      <c r="K9">
        <v>113.5</v>
      </c>
      <c r="L9">
        <v>147</v>
      </c>
      <c r="M9">
        <v>180.2</v>
      </c>
      <c r="P9" s="13">
        <v>120</v>
      </c>
      <c r="Q9" s="14">
        <v>201.59109000000007</v>
      </c>
      <c r="R9" s="10">
        <f t="shared" si="1"/>
        <v>201.59100000000001</v>
      </c>
      <c r="T9" s="8"/>
      <c r="U9" s="8"/>
      <c r="V9" s="8"/>
      <c r="X9" cm="1">
        <f t="array" ref="X9:AB9">TRANSPOSE(U4:U8)</f>
        <v>46</v>
      </c>
      <c r="Y9">
        <v>79.7</v>
      </c>
      <c r="Z9">
        <v>110.5</v>
      </c>
      <c r="AA9">
        <v>144.5</v>
      </c>
      <c r="AB9">
        <v>176</v>
      </c>
    </row>
    <row r="10" spans="1:28" x14ac:dyDescent="0.25">
      <c r="A10" s="8"/>
      <c r="B10" s="8"/>
      <c r="C10" s="8"/>
      <c r="D10" s="8"/>
      <c r="E10" s="8"/>
      <c r="F10" s="8"/>
      <c r="G10" s="8"/>
      <c r="H10" s="8"/>
      <c r="I10" t="str">
        <f>_xlfn.TEXTJOIN(";",FALSE,_xlfn.ANCHORARRAY(I9))</f>
        <v>52.2;85.4;113.5;147;180.2</v>
      </c>
      <c r="P10" s="8"/>
      <c r="Q10" s="8"/>
      <c r="R10" s="8"/>
      <c r="S10" s="8"/>
      <c r="T10" s="8"/>
      <c r="U10" s="8"/>
      <c r="V10" s="8"/>
      <c r="X10" t="str">
        <f>_xlfn.TEXTJOIN(";",FALSE,_xlfn.ANCHORARRAY(X9))</f>
        <v>46;79.7;110.5;144.5;176</v>
      </c>
    </row>
    <row r="11" spans="1:28" x14ac:dyDescent="0.25">
      <c r="A11" s="8" t="s">
        <v>52</v>
      </c>
      <c r="B11" s="8"/>
      <c r="C11" s="8"/>
      <c r="D11" s="8"/>
      <c r="E11" s="8" t="s">
        <v>52</v>
      </c>
      <c r="F11" s="8"/>
      <c r="G11" s="8"/>
      <c r="H11" s="8"/>
      <c r="P11" s="8" t="s">
        <v>52</v>
      </c>
      <c r="Q11" s="8"/>
      <c r="R11" s="8"/>
      <c r="S11" s="8"/>
      <c r="T11" s="8" t="s">
        <v>52</v>
      </c>
      <c r="U11" s="8"/>
      <c r="V11" s="8"/>
    </row>
    <row r="12" spans="1:28" x14ac:dyDescent="0.25">
      <c r="A12" s="8" t="s">
        <v>53</v>
      </c>
      <c r="B12" s="8"/>
      <c r="C12" s="8"/>
      <c r="D12" s="8"/>
      <c r="E12" s="8" t="s">
        <v>46</v>
      </c>
      <c r="F12" s="8"/>
      <c r="G12" s="8"/>
      <c r="H12" s="8"/>
      <c r="P12" s="8" t="s">
        <v>54</v>
      </c>
      <c r="Q12" s="8"/>
      <c r="R12" s="8"/>
      <c r="S12" s="8"/>
      <c r="T12" s="8" t="s">
        <v>48</v>
      </c>
      <c r="U12" s="8"/>
      <c r="V12" s="8"/>
    </row>
    <row r="13" spans="1:28" x14ac:dyDescent="0.25">
      <c r="A13" s="8" t="s">
        <v>49</v>
      </c>
      <c r="B13" s="8" t="s">
        <v>50</v>
      </c>
      <c r="C13" s="8" t="s">
        <v>51</v>
      </c>
      <c r="D13" s="8"/>
      <c r="E13" s="8" t="s">
        <v>49</v>
      </c>
      <c r="F13" s="8" t="s">
        <v>50</v>
      </c>
      <c r="G13" s="8" t="s">
        <v>51</v>
      </c>
      <c r="H13" s="8"/>
      <c r="P13" s="8" t="s">
        <v>49</v>
      </c>
      <c r="Q13" s="8" t="s">
        <v>50</v>
      </c>
      <c r="R13" s="8" t="s">
        <v>51</v>
      </c>
      <c r="S13" s="8"/>
      <c r="T13" s="8" t="s">
        <v>49</v>
      </c>
      <c r="U13" s="8" t="s">
        <v>50</v>
      </c>
      <c r="V13" s="8" t="s">
        <v>51</v>
      </c>
    </row>
    <row r="14" spans="1:28" x14ac:dyDescent="0.25">
      <c r="A14" s="9">
        <v>20</v>
      </c>
      <c r="B14" s="10">
        <v>315.78799999999944</v>
      </c>
      <c r="C14" s="10">
        <f t="shared" ref="C14:C19" si="3">ROUND(B14,3)</f>
        <v>315.78800000000001</v>
      </c>
      <c r="D14" s="8"/>
      <c r="E14" s="11">
        <v>20</v>
      </c>
      <c r="F14" s="11">
        <v>303</v>
      </c>
      <c r="G14" s="11">
        <v>1</v>
      </c>
      <c r="H14" s="8"/>
      <c r="I14">
        <f t="shared" ref="I14:I19" si="4">ROUND(ABS((F14-B14)/B14*100),1)</f>
        <v>4</v>
      </c>
      <c r="P14" s="13">
        <v>20</v>
      </c>
      <c r="Q14" s="14">
        <v>265.74493000000001</v>
      </c>
      <c r="R14" s="10">
        <f t="shared" ref="R14:R19" si="5">ROUND(Q14,3)</f>
        <v>265.745</v>
      </c>
      <c r="T14" s="15">
        <v>20</v>
      </c>
      <c r="U14" s="15">
        <v>260</v>
      </c>
      <c r="V14" s="15">
        <v>1</v>
      </c>
      <c r="X14">
        <f t="shared" ref="X14:X19" si="6">ROUND(ABS((U14-Q14)/Q14*100),1)</f>
        <v>2.2000000000000002</v>
      </c>
    </row>
    <row r="15" spans="1:28" x14ac:dyDescent="0.25">
      <c r="A15" s="9">
        <v>40</v>
      </c>
      <c r="B15" s="10">
        <v>515.36740999999984</v>
      </c>
      <c r="C15" s="10">
        <f t="shared" si="3"/>
        <v>515.36699999999996</v>
      </c>
      <c r="D15" s="8"/>
      <c r="E15" s="11">
        <v>40</v>
      </c>
      <c r="F15" s="11">
        <v>497</v>
      </c>
      <c r="G15" s="11">
        <v>1</v>
      </c>
      <c r="H15" s="8"/>
      <c r="I15">
        <f t="shared" si="4"/>
        <v>3.6</v>
      </c>
      <c r="P15" s="13">
        <v>40</v>
      </c>
      <c r="Q15" s="14">
        <v>460.55830000000026</v>
      </c>
      <c r="R15" s="10">
        <f t="shared" si="5"/>
        <v>460.55799999999999</v>
      </c>
      <c r="T15" s="15">
        <v>40</v>
      </c>
      <c r="U15" s="15">
        <v>458</v>
      </c>
      <c r="V15" s="15">
        <v>1</v>
      </c>
      <c r="X15">
        <f t="shared" si="6"/>
        <v>0.6</v>
      </c>
    </row>
    <row r="16" spans="1:28" x14ac:dyDescent="0.25">
      <c r="A16" s="9">
        <v>60</v>
      </c>
      <c r="B16" s="10">
        <v>711.65046999999993</v>
      </c>
      <c r="C16" s="10">
        <f t="shared" si="3"/>
        <v>711.65</v>
      </c>
      <c r="D16" s="8"/>
      <c r="E16" s="11">
        <v>60</v>
      </c>
      <c r="F16" s="11">
        <v>687</v>
      </c>
      <c r="G16" s="11">
        <v>1</v>
      </c>
      <c r="H16" s="8"/>
      <c r="I16">
        <f t="shared" si="4"/>
        <v>3.5</v>
      </c>
      <c r="P16" s="13">
        <v>60</v>
      </c>
      <c r="Q16" s="14">
        <v>657.43960000000015</v>
      </c>
      <c r="R16" s="10">
        <f t="shared" si="5"/>
        <v>657.44</v>
      </c>
      <c r="T16" s="15">
        <v>60</v>
      </c>
      <c r="U16" s="15">
        <v>670</v>
      </c>
      <c r="V16" s="15">
        <v>1</v>
      </c>
      <c r="X16">
        <f t="shared" si="6"/>
        <v>1.9</v>
      </c>
    </row>
    <row r="17" spans="1:25" x14ac:dyDescent="0.25">
      <c r="A17" s="9">
        <v>80</v>
      </c>
      <c r="B17" s="10">
        <v>915.17971999999997</v>
      </c>
      <c r="C17" s="10">
        <f t="shared" si="3"/>
        <v>915.18</v>
      </c>
      <c r="D17" s="8"/>
      <c r="E17" s="11">
        <v>80</v>
      </c>
      <c r="F17" s="11">
        <v>877</v>
      </c>
      <c r="G17" s="11">
        <v>1</v>
      </c>
      <c r="H17" s="8"/>
      <c r="I17">
        <f t="shared" si="4"/>
        <v>4.2</v>
      </c>
      <c r="P17" s="13">
        <v>80</v>
      </c>
      <c r="Q17" s="14">
        <v>858.2951300000002</v>
      </c>
      <c r="R17" s="10">
        <f t="shared" si="5"/>
        <v>858.29499999999996</v>
      </c>
      <c r="T17" s="15">
        <v>80</v>
      </c>
      <c r="U17" s="15">
        <v>859</v>
      </c>
      <c r="V17" s="15">
        <v>1</v>
      </c>
      <c r="X17">
        <f t="shared" si="6"/>
        <v>0.1</v>
      </c>
    </row>
    <row r="18" spans="1:25" x14ac:dyDescent="0.25">
      <c r="A18" s="9">
        <v>100</v>
      </c>
      <c r="B18" s="10">
        <v>1113.0294900000001</v>
      </c>
      <c r="C18" s="10">
        <f t="shared" si="3"/>
        <v>1113.029</v>
      </c>
      <c r="D18" s="8"/>
      <c r="E18" s="11">
        <v>100</v>
      </c>
      <c r="F18" s="11">
        <v>1093</v>
      </c>
      <c r="G18" s="11">
        <v>1</v>
      </c>
      <c r="H18" s="8"/>
      <c r="I18">
        <f t="shared" si="4"/>
        <v>1.8</v>
      </c>
      <c r="P18" s="13">
        <v>100</v>
      </c>
      <c r="Q18" s="14">
        <v>1058.0311900000002</v>
      </c>
      <c r="R18" s="10">
        <f t="shared" si="5"/>
        <v>1058.0309999999999</v>
      </c>
      <c r="T18" s="15">
        <v>100</v>
      </c>
      <c r="U18" s="15">
        <v>1084</v>
      </c>
      <c r="V18" s="15">
        <v>1</v>
      </c>
      <c r="X18">
        <f t="shared" si="6"/>
        <v>2.5</v>
      </c>
    </row>
    <row r="19" spans="1:25" x14ac:dyDescent="0.25">
      <c r="A19" s="9">
        <v>120</v>
      </c>
      <c r="B19" s="10">
        <v>1322.9478599999991</v>
      </c>
      <c r="C19" s="10">
        <f t="shared" si="3"/>
        <v>1322.9480000000001</v>
      </c>
      <c r="D19" s="8"/>
      <c r="E19" s="11">
        <v>120</v>
      </c>
      <c r="F19" s="11">
        <v>1295</v>
      </c>
      <c r="G19" s="11">
        <v>1</v>
      </c>
      <c r="H19" s="8"/>
      <c r="I19">
        <f t="shared" si="4"/>
        <v>2.1</v>
      </c>
      <c r="P19" s="13">
        <v>120</v>
      </c>
      <c r="Q19" s="14">
        <v>1260.8184100000001</v>
      </c>
      <c r="R19" s="10">
        <f t="shared" si="5"/>
        <v>1260.818</v>
      </c>
      <c r="T19" s="15">
        <v>120</v>
      </c>
      <c r="U19" s="15">
        <v>1282</v>
      </c>
      <c r="V19" s="15">
        <v>1</v>
      </c>
      <c r="X19">
        <f t="shared" si="6"/>
        <v>1.7</v>
      </c>
    </row>
    <row r="20" spans="1:25" x14ac:dyDescent="0.25">
      <c r="A20" s="8"/>
      <c r="B20" s="8"/>
      <c r="C20" s="8"/>
      <c r="D20" s="8"/>
      <c r="E20" s="8"/>
      <c r="F20" s="8"/>
      <c r="G20" s="8"/>
      <c r="H20" s="8"/>
      <c r="I20" cm="1">
        <f t="array" ref="I20:N20">TRANSPOSE(F14:F19)</f>
        <v>303</v>
      </c>
      <c r="J20">
        <v>497</v>
      </c>
      <c r="K20">
        <v>687</v>
      </c>
      <c r="L20">
        <v>877</v>
      </c>
      <c r="M20">
        <v>1093</v>
      </c>
      <c r="N20">
        <v>1295</v>
      </c>
      <c r="P20" s="8"/>
      <c r="Q20" s="8"/>
      <c r="R20" s="8"/>
      <c r="S20" s="8"/>
      <c r="T20" s="8"/>
      <c r="U20" s="8"/>
      <c r="V20" s="8"/>
    </row>
    <row r="21" spans="1:25" x14ac:dyDescent="0.25">
      <c r="A21" s="8" t="s">
        <v>55</v>
      </c>
      <c r="B21" s="8"/>
      <c r="C21" s="8"/>
      <c r="D21" s="8"/>
      <c r="E21" s="8" t="s">
        <v>55</v>
      </c>
      <c r="F21" s="8"/>
      <c r="G21" s="8"/>
      <c r="H21" s="8"/>
      <c r="P21" s="8" t="s">
        <v>55</v>
      </c>
      <c r="Q21" s="8"/>
      <c r="R21" s="8"/>
      <c r="S21" s="8"/>
      <c r="T21" s="8" t="s">
        <v>55</v>
      </c>
      <c r="U21" s="8"/>
      <c r="V21" s="8"/>
    </row>
    <row r="22" spans="1:25" x14ac:dyDescent="0.25">
      <c r="A22" s="8" t="s">
        <v>53</v>
      </c>
      <c r="B22" s="8"/>
      <c r="C22" s="8"/>
      <c r="D22" s="8"/>
      <c r="E22" s="8" t="s">
        <v>46</v>
      </c>
      <c r="F22" s="8"/>
      <c r="G22" s="8"/>
      <c r="H22" s="8"/>
      <c r="P22" s="8" t="s">
        <v>54</v>
      </c>
      <c r="Q22" s="8"/>
      <c r="R22" s="8"/>
      <c r="S22" s="8"/>
      <c r="T22" s="8" t="s">
        <v>48</v>
      </c>
      <c r="U22" s="8"/>
      <c r="V22" s="8"/>
    </row>
    <row r="23" spans="1:25" x14ac:dyDescent="0.25">
      <c r="A23" s="8" t="s">
        <v>49</v>
      </c>
      <c r="B23" s="8" t="s">
        <v>50</v>
      </c>
      <c r="C23" s="8" t="s">
        <v>51</v>
      </c>
      <c r="D23" s="8"/>
      <c r="E23" s="8" t="s">
        <v>49</v>
      </c>
      <c r="F23" s="8" t="s">
        <v>50</v>
      </c>
      <c r="G23" s="8" t="s">
        <v>51</v>
      </c>
      <c r="H23" s="8"/>
      <c r="P23" s="8" t="s">
        <v>49</v>
      </c>
      <c r="Q23" s="8" t="s">
        <v>50</v>
      </c>
      <c r="R23" s="8" t="s">
        <v>51</v>
      </c>
      <c r="S23" s="8"/>
      <c r="T23" s="8" t="s">
        <v>49</v>
      </c>
      <c r="U23" s="8" t="s">
        <v>50</v>
      </c>
      <c r="V23" s="8" t="s">
        <v>51</v>
      </c>
    </row>
    <row r="24" spans="1:25" x14ac:dyDescent="0.25">
      <c r="A24" s="9">
        <v>20</v>
      </c>
      <c r="B24" s="10">
        <v>969.21799999999871</v>
      </c>
      <c r="C24" s="10">
        <f t="shared" ref="C24:C29" si="7">ROUND(B24,3)</f>
        <v>969.21799999999996</v>
      </c>
      <c r="D24" s="8"/>
      <c r="E24" s="11">
        <v>20</v>
      </c>
      <c r="F24" s="11">
        <v>920</v>
      </c>
      <c r="G24" s="11">
        <v>1</v>
      </c>
      <c r="H24" s="8"/>
      <c r="I24">
        <f t="shared" ref="I24:I29" si="8">ROUND(ABS((F24-B24)/B24*100),1)</f>
        <v>5.0999999999999996</v>
      </c>
      <c r="P24" s="13">
        <v>20</v>
      </c>
      <c r="Q24" s="14">
        <v>816.80460000000016</v>
      </c>
      <c r="R24" s="10">
        <f t="shared" ref="R24:R29" si="9">ROUND(Q24,3)</f>
        <v>816.80499999999995</v>
      </c>
      <c r="T24" s="15">
        <v>20</v>
      </c>
      <c r="U24" s="15">
        <v>750</v>
      </c>
      <c r="V24" s="15">
        <v>1</v>
      </c>
      <c r="X24">
        <f t="shared" ref="X24:X29" si="10">ROUND(ABS((U24-Q24)/Q24*100),1)</f>
        <v>8.1999999999999993</v>
      </c>
    </row>
    <row r="25" spans="1:25" x14ac:dyDescent="0.25">
      <c r="A25" s="9">
        <v>40</v>
      </c>
      <c r="B25" s="10">
        <v>1583.1895499999998</v>
      </c>
      <c r="C25" s="10">
        <f t="shared" si="7"/>
        <v>1583.19</v>
      </c>
      <c r="D25" s="8"/>
      <c r="E25" s="11">
        <v>40</v>
      </c>
      <c r="F25" s="11">
        <v>1480</v>
      </c>
      <c r="G25" s="11">
        <v>1</v>
      </c>
      <c r="H25" s="8"/>
      <c r="I25">
        <f t="shared" si="8"/>
        <v>6.5</v>
      </c>
      <c r="P25" s="13">
        <v>40</v>
      </c>
      <c r="Q25" s="14">
        <v>1413.5470099999989</v>
      </c>
      <c r="R25" s="10">
        <f t="shared" si="9"/>
        <v>1413.547</v>
      </c>
      <c r="T25" s="15">
        <v>40</v>
      </c>
      <c r="U25" s="15">
        <v>1410</v>
      </c>
      <c r="V25" s="15">
        <v>1</v>
      </c>
      <c r="X25">
        <f t="shared" si="10"/>
        <v>0.3</v>
      </c>
    </row>
    <row r="26" spans="1:25" x14ac:dyDescent="0.25">
      <c r="A26" s="9">
        <v>60</v>
      </c>
      <c r="B26" s="10">
        <v>2202.7231000000006</v>
      </c>
      <c r="C26" s="10">
        <f t="shared" si="7"/>
        <v>2202.723</v>
      </c>
      <c r="D26" s="8"/>
      <c r="E26" s="11">
        <v>60</v>
      </c>
      <c r="F26" s="11">
        <v>2130</v>
      </c>
      <c r="G26" s="11">
        <v>1</v>
      </c>
      <c r="H26" s="8"/>
      <c r="I26">
        <f t="shared" si="8"/>
        <v>3.3</v>
      </c>
      <c r="P26" s="13">
        <v>60</v>
      </c>
      <c r="Q26" s="14">
        <v>2019.0222300000005</v>
      </c>
      <c r="R26" s="10">
        <f t="shared" si="9"/>
        <v>2019.0219999999999</v>
      </c>
      <c r="T26" s="15">
        <v>60</v>
      </c>
      <c r="U26" s="15">
        <v>2040</v>
      </c>
      <c r="V26" s="15">
        <v>1</v>
      </c>
      <c r="X26">
        <f t="shared" si="10"/>
        <v>1</v>
      </c>
    </row>
    <row r="27" spans="1:25" x14ac:dyDescent="0.25">
      <c r="A27" s="9">
        <v>80</v>
      </c>
      <c r="B27" s="10">
        <v>2820.2475299999992</v>
      </c>
      <c r="C27" s="10">
        <f t="shared" si="7"/>
        <v>2820.248</v>
      </c>
      <c r="D27" s="8"/>
      <c r="E27" s="11">
        <v>80</v>
      </c>
      <c r="F27" s="11">
        <v>2740</v>
      </c>
      <c r="G27" s="11">
        <v>1</v>
      </c>
      <c r="H27" s="8"/>
      <c r="I27">
        <f t="shared" si="8"/>
        <v>2.8</v>
      </c>
      <c r="P27" s="13">
        <v>80</v>
      </c>
      <c r="Q27" s="14">
        <v>2643.17958</v>
      </c>
      <c r="R27" s="10">
        <f t="shared" si="9"/>
        <v>2643.18</v>
      </c>
      <c r="T27" s="15">
        <v>80</v>
      </c>
      <c r="U27" s="15">
        <v>2670</v>
      </c>
      <c r="V27" s="15">
        <v>1</v>
      </c>
      <c r="X27">
        <f t="shared" si="10"/>
        <v>1</v>
      </c>
    </row>
    <row r="28" spans="1:25" x14ac:dyDescent="0.25">
      <c r="A28" s="9">
        <v>100</v>
      </c>
      <c r="B28" s="10">
        <v>3439.0077900000015</v>
      </c>
      <c r="C28" s="10">
        <f t="shared" si="7"/>
        <v>3439.0079999999998</v>
      </c>
      <c r="D28" s="8"/>
      <c r="E28" s="11">
        <v>100</v>
      </c>
      <c r="F28" s="11">
        <v>3350</v>
      </c>
      <c r="G28" s="11">
        <v>1</v>
      </c>
      <c r="H28" s="8"/>
      <c r="I28">
        <f t="shared" si="8"/>
        <v>2.6</v>
      </c>
      <c r="P28" s="13">
        <v>100</v>
      </c>
      <c r="Q28" s="14">
        <v>3245.6268899999995</v>
      </c>
      <c r="R28" s="10">
        <f t="shared" si="9"/>
        <v>3245.627</v>
      </c>
      <c r="T28" s="15">
        <v>100</v>
      </c>
      <c r="U28" s="15">
        <v>3280</v>
      </c>
      <c r="V28" s="15">
        <v>1</v>
      </c>
      <c r="X28">
        <f t="shared" si="10"/>
        <v>1.1000000000000001</v>
      </c>
    </row>
    <row r="29" spans="1:25" x14ac:dyDescent="0.25">
      <c r="A29" s="9">
        <v>120</v>
      </c>
      <c r="B29" s="10">
        <v>4054.3837199999994</v>
      </c>
      <c r="C29" s="10">
        <f t="shared" si="7"/>
        <v>4054.384</v>
      </c>
      <c r="D29" s="8"/>
      <c r="E29" s="11">
        <v>120</v>
      </c>
      <c r="F29" s="11">
        <v>4010</v>
      </c>
      <c r="G29" s="11">
        <v>1</v>
      </c>
      <c r="H29" s="8"/>
      <c r="I29">
        <f t="shared" si="8"/>
        <v>1.1000000000000001</v>
      </c>
      <c r="P29" s="13">
        <v>120</v>
      </c>
      <c r="Q29" s="14">
        <v>3862.2399100000016</v>
      </c>
      <c r="R29" s="10">
        <f t="shared" si="9"/>
        <v>3862.24</v>
      </c>
      <c r="T29" s="15">
        <v>120</v>
      </c>
      <c r="U29" s="15">
        <v>3960</v>
      </c>
      <c r="V29" s="15">
        <v>1</v>
      </c>
      <c r="X29">
        <f t="shared" si="10"/>
        <v>2.5</v>
      </c>
    </row>
    <row r="32" spans="1:25" x14ac:dyDescent="0.25">
      <c r="A32" cm="1">
        <f t="array" ref="A32:F32">TRANSPOSE(C4:C9)</f>
        <v>51.706000000000003</v>
      </c>
      <c r="B32">
        <v>83.863</v>
      </c>
      <c r="C32">
        <v>115.59</v>
      </c>
      <c r="D32">
        <v>146.67599999999999</v>
      </c>
      <c r="E32">
        <v>178.20400000000001</v>
      </c>
      <c r="F32">
        <v>210.15700000000001</v>
      </c>
      <c r="J32" t="str">
        <f>_xlfn.TEXTJOIN(";",FALSE,_xlfn.ANCHORARRAY(A32))</f>
        <v>51.706;83.863;115.59;146.676;178.204;210.157</v>
      </c>
      <c r="P32" cm="1">
        <f t="array" ref="P32:U32">TRANSPOSE(R4:R9)</f>
        <v>45.161999999999999</v>
      </c>
      <c r="Q32">
        <v>76.950999999999993</v>
      </c>
      <c r="R32">
        <v>107.914</v>
      </c>
      <c r="S32">
        <v>138.71899999999999</v>
      </c>
      <c r="T32">
        <v>170.898</v>
      </c>
      <c r="U32">
        <v>201.59100000000001</v>
      </c>
      <c r="Y32" t="str">
        <f>_xlfn.TEXTJOIN(";",FALSE,_xlfn.ANCHORARRAY(P32))</f>
        <v>45.162;76.951;107.914;138.719;170.898;201.591</v>
      </c>
    </row>
    <row r="34" spans="1:25" x14ac:dyDescent="0.25">
      <c r="A34" cm="1">
        <f t="array" ref="A34:F34">TRANSPOSE(C14:C19)</f>
        <v>315.78800000000001</v>
      </c>
      <c r="B34">
        <v>515.36699999999996</v>
      </c>
      <c r="C34">
        <v>711.65</v>
      </c>
      <c r="D34">
        <v>915.18</v>
      </c>
      <c r="E34">
        <v>1113.029</v>
      </c>
      <c r="F34">
        <v>1322.9480000000001</v>
      </c>
      <c r="J34" t="str">
        <f>_xlfn.TEXTJOIN(";",FALSE,_xlfn.ANCHORARRAY(A34))</f>
        <v>315.788;515.367;711.65;915.18;1113.029;1322.948</v>
      </c>
      <c r="P34" cm="1">
        <f t="array" ref="P34:U34">TRANSPOSE(R14:R19)</f>
        <v>265.745</v>
      </c>
      <c r="Q34">
        <v>460.55799999999999</v>
      </c>
      <c r="R34">
        <v>657.44</v>
      </c>
      <c r="S34">
        <v>858.29499999999996</v>
      </c>
      <c r="T34">
        <v>1058.0309999999999</v>
      </c>
      <c r="U34">
        <v>1260.818</v>
      </c>
      <c r="Y34" t="str">
        <f>_xlfn.TEXTJOIN(";",FALSE,_xlfn.ANCHORARRAY(P34))</f>
        <v>265.745;460.558;657.44;858.295;1058.031;1260.818</v>
      </c>
    </row>
    <row r="36" spans="1:25" x14ac:dyDescent="0.25">
      <c r="A36" cm="1">
        <f t="array" ref="A36:F36">TRANSPOSE(C24:C29)</f>
        <v>969.21799999999996</v>
      </c>
      <c r="B36">
        <v>1583.19</v>
      </c>
      <c r="C36">
        <v>2202.723</v>
      </c>
      <c r="D36">
        <v>2820.248</v>
      </c>
      <c r="E36">
        <v>3439.0079999999998</v>
      </c>
      <c r="F36">
        <v>4054.384</v>
      </c>
      <c r="J36" t="str">
        <f>_xlfn.TEXTJOIN(";",FALSE,_xlfn.ANCHORARRAY(A36))</f>
        <v>969.218;1583.19;2202.723;2820.248;3439.008;4054.384</v>
      </c>
      <c r="P36" cm="1">
        <f t="array" ref="P36:U36">TRANSPOSE(R24:R29)</f>
        <v>816.80499999999995</v>
      </c>
      <c r="Q36">
        <v>1413.547</v>
      </c>
      <c r="R36">
        <v>2019.0219999999999</v>
      </c>
      <c r="S36">
        <v>2643.18</v>
      </c>
      <c r="T36">
        <v>3245.627</v>
      </c>
      <c r="U36">
        <v>3862.24</v>
      </c>
      <c r="Y36" t="str">
        <f>_xlfn.TEXTJOIN(";",FALSE,_xlfn.ANCHORARRAY(P36))</f>
        <v>816.805;1413.547;2019.022;2643.18;3245.627;3862.24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Sheet2</vt:lpstr>
      <vt:lpstr>ourPower</vt:lpstr>
      <vt:lpstr>stPower</vt:lpstr>
      <vt:lpstr>sideBYside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</dc:creator>
  <cp:lastModifiedBy>Konstantinos Delistavrou</cp:lastModifiedBy>
  <dcterms:created xsi:type="dcterms:W3CDTF">2025-10-15T04:30:49Z</dcterms:created>
  <dcterms:modified xsi:type="dcterms:W3CDTF">2025-10-17T12:20:12Z</dcterms:modified>
</cp:coreProperties>
</file>